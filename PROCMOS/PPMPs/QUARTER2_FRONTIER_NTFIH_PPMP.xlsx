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QdXOYWdBhbiSIpoXP2XdHROTW8FJU3yKVu5YunaVEq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3XU+TBNp7GQLN/Oa4T0TjlZQHLQ=="/>
    </ext>
  </extLst>
</comments>
</file>

<file path=xl/sharedStrings.xml><?xml version="1.0" encoding="utf-8"?>
<sst xmlns="http://schemas.openxmlformats.org/spreadsheetml/2006/main" count="485" uniqueCount="315">
  <si>
    <t xml:space="preserve">  PROJECT PROCUREMENT MANAGEMENT PLAN (PPMP) 2024</t>
  </si>
  <si>
    <t>For 2nd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</si>
  <si>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</si>
  <si>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</si>
  <si>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</si>
  <si>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</si>
  <si>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</si>
  <si>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</si>
  <si>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</si>
  <si>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</si>
  <si>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</si>
  <si>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</si>
  <si>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</si>
  <si>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</si>
  <si>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</si>
  <si>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</si>
  <si>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</si>
  <si>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</si>
  <si>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</si>
  <si>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</si>
  <si>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</si>
  <si>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</si>
  <si>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</si>
  <si>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</si>
  <si>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</si>
  <si>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</si>
  <si>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</si>
  <si>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</si>
  <si>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</si>
  <si>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</si>
  <si>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</si>
  <si>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</si>
  <si>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</si>
  <si>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</si>
  <si>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</si>
  <si>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</si>
  <si>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</si>
  <si>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</si>
  <si>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</si>
  <si>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</si>
  <si>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</si>
  <si>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</si>
  <si>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</si>
  <si>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</si>
  <si>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</si>
  <si>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</si>
  <si>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</si>
  <si>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</si>
  <si>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</si>
  <si>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</si>
  <si>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</si>
  <si>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</si>
  <si>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</si>
  <si>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</si>
  <si>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</si>
  <si>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</si>
  <si>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</si>
  <si>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</si>
  <si>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</si>
  <si>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</si>
  <si>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</si>
  <si>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</si>
  <si>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</si>
  <si>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</si>
  <si>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</si>
  <si>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</si>
  <si>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</si>
  <si>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</si>
  <si>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</si>
  <si>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</si>
  <si>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</si>
  <si>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</si>
  <si>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</si>
  <si>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</si>
  <si>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</si>
  <si>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</si>
  <si>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</si>
  <si>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</si>
  <si>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</si>
  <si>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10 pcs Original HL T4000 DW Inks - BTD60 - BK</t>
  </si>
  <si>
    <t>lot</t>
  </si>
  <si>
    <t xml:space="preserve">
Negotiated Procurement-Small Value Procurement
</t>
  </si>
  <si>
    <t>15-30 working days</t>
  </si>
  <si>
    <t>10 pcs Original HL T4000 DW Inks - BT5000 - Magenta</t>
  </si>
  <si>
    <t>10 pcs Original HL T4000 DW Inks - BT5000 - Cyan</t>
  </si>
  <si>
    <t>10 pcs Original HL T4000 DW Inks - BT5000 - Yellow</t>
  </si>
  <si>
    <t>10 pcs Original Epson L5290 Ink - 65 ml BK 003</t>
  </si>
  <si>
    <t>5 pcs Original Epson L5290 Ink - 65 ml  Magenta 003</t>
  </si>
  <si>
    <t>5 pcs Original Epson L5290 Ink - 65 ml  Cyan 003</t>
  </si>
  <si>
    <t>5 pcs Original Epson L5290 Ink - 65 ml  Yellow 003</t>
  </si>
  <si>
    <t>5 pcs Original Brother MFC-L3770DW Cartridge, (Black)</t>
  </si>
  <si>
    <t>5 pcs Original Brother MFC-L3770DW Cartridge, (Yellow)</t>
  </si>
  <si>
    <t>5 pcs OriginalBrother MFC-L3770DW Cartridge, (Cyan)</t>
  </si>
  <si>
    <t>5 pcs Original Brother MFC-L3770DW Cartridge, (Magenta)</t>
  </si>
  <si>
    <t>5 pcs Original Kyocera Inks ( Black)</t>
  </si>
  <si>
    <t>5 pcs Original Kyocera Inks ( Cyan )</t>
  </si>
  <si>
    <t>5 pcs Original Kyocera Inks ( Magenta )</t>
  </si>
  <si>
    <t>5 pcs Original Kyocera Inks ( Yellow)</t>
  </si>
  <si>
    <t>20 pcs Durable Office/Desk Stapler with staple remover</t>
  </si>
  <si>
    <t>Shopping</t>
  </si>
  <si>
    <t xml:space="preserve">50 pcs Spiral Notebook 216x280MM 100s(leaves) </t>
  </si>
  <si>
    <t xml:space="preserve">50 pcs Spiral Notebook 153x228MM 60s(leaves) </t>
  </si>
  <si>
    <t>10 reams - Bond Paper Color Green, A4 70gsm</t>
  </si>
  <si>
    <t>5 pcs 3 Layer Desk File Organizer Document Paper Tray</t>
  </si>
  <si>
    <t>25 pcs Clear Acrylic Name Plate Holder for Conference; 3x8.5 inches</t>
  </si>
  <si>
    <t>WiFi Printer and Scanner</t>
  </si>
  <si>
    <t>2 lots</t>
  </si>
  <si>
    <t>15 working days</t>
  </si>
  <si>
    <t>Computer Chair/Office Chair,/Ergonomic Chair With Armrest</t>
  </si>
  <si>
    <t>10 pcs</t>
  </si>
  <si>
    <t>Negotiated Procurement-Small Value Procurement</t>
  </si>
  <si>
    <t>Office Table Partition</t>
  </si>
  <si>
    <t>4 pcs</t>
  </si>
  <si>
    <t>50203990 00</t>
  </si>
  <si>
    <t>Other Maintenance and Operating Expenses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</si>
  <si>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-A4 size; Materials: Gina fabric cover with indigenous accent Tinalak Accent;                                                                               -For MOA Signing and Launching of NTFIH in Laguna, Leyte and Davao</t>
    </r>
  </si>
  <si>
    <t>50 pcs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</si>
  <si>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-Legal size; Materials: Gina fabric cover with indigenous accent Tinalak Accent;                                                                               -For MOA Signing and Launching of NTFIH in Laguna, Leyte and Davao</t>
    </r>
  </si>
  <si>
    <r>
      <rPr>
        <rFont val="Arial"/>
        <b/>
        <color rgb="FF000000"/>
        <sz val="9.0"/>
      </rPr>
      <t>Token Packaging Box;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-Size:7.25"W x 9.25H x 1.5"Thickness                                                            -Material: Hamuti Abaca and Chipboard                                                                             -For MOA Signing and Launching of NTFIH in Laguna, Leyte and Davao</t>
    </r>
  </si>
  <si>
    <t>60 pcs</t>
  </si>
  <si>
    <r>
      <rPr>
        <rFont val="Arial"/>
        <b/>
        <color rgb="FF000000"/>
        <sz val="9.0"/>
      </rPr>
      <t xml:space="preserve">Full Fabric Notebook as Tokens          </t>
    </r>
    <r>
      <rPr>
        <rFont val="Arial"/>
        <color rgb="FF000000"/>
        <sz val="9.0"/>
      </rPr>
      <t xml:space="preserve">                                                                        </t>
    </r>
    <r>
      <rPr>
        <rFont val="Arial"/>
        <i/>
        <color rgb="FF000000"/>
        <sz val="9.0"/>
      </rPr>
      <t>-Size:6.5"W x 8.75H                                                             -Material: Indiginous Accent: Binakol and T'nalak  with magnetic lock, Inclusive of Bamboo Pen (Blue Ink)                                                                -For MOA Signing and Launching of NTFIH in Laguna, Leyte and Davao</t>
    </r>
  </si>
  <si>
    <t>Development of Carbon Dioxide (CO2) Emission Assessment Tool</t>
  </si>
  <si>
    <t>1 lot</t>
  </si>
  <si>
    <t>45 calendar days</t>
  </si>
  <si>
    <t>Split Type Wall Mounted Inverter Airconditioner
(for CDBUS Laboratory Use)</t>
  </si>
  <si>
    <t>Oil-free vacuum pump
- max. vacuum: 99 mbar abs. 
- max. flow rate: 37 L/min @ 60 Hz or 34 L/min @ 50 Hz
- hose bard: ID8
- noise level: 52 dB
- net weight: 5.2 kg
- 220 V, 50/60 Hz
- max. power: 80W (1/6 HP)
- max. current: 0.4 A
- with overheat protection
- equipped with vacuum regulator and overflow protection / filter cartridge</t>
  </si>
  <si>
    <t>50203080 00</t>
  </si>
  <si>
    <t>Medical, Dental  Laboratory Supplies Expenses</t>
  </si>
  <si>
    <t>Hydrogen Peroxide
- Technical grade, ≥48% purity
- 35 kg/cby</t>
  </si>
  <si>
    <t>40 cby</t>
  </si>
  <si>
    <t>60 working days</t>
  </si>
  <si>
    <t>Acetone, technical grade, 5L</t>
  </si>
  <si>
    <t>20 bottles</t>
  </si>
  <si>
    <t>Sulfuric Acid, -95-98%, AR Grade</t>
  </si>
  <si>
    <t>30 liters Xylanase Enzyme</t>
  </si>
  <si>
    <t>Agency to Agency</t>
  </si>
  <si>
    <t>per schedule</t>
  </si>
  <si>
    <t>30 liters Pectinase Enzyme</t>
  </si>
  <si>
    <t>20 pcs pH Testing strips</t>
  </si>
  <si>
    <t>20 pairs Non-Slip Laboratory Shoes (Medium Size)</t>
  </si>
  <si>
    <t>24 gallons Bleach, unscented, 3.8-4.0/ gallon</t>
  </si>
  <si>
    <t>12 gallons Alcohol 70% Solution, Antiseptic Disinfectant 4L/Gallon</t>
  </si>
  <si>
    <t>50 packs Pull-ups Tissue, 2 ply, 190pulls/pack</t>
  </si>
  <si>
    <t>50 box Face Mask, 3 ply, Earloop, 50pcs/box</t>
  </si>
  <si>
    <t>15 pcs Polyethyene plastic bag, transparent, 0.002 in (thickness), 40in x 60in, 50 pcs/pack</t>
  </si>
  <si>
    <t>15 pcs Polyethyene plastic bag, transparent, 0.002 in (thickness), 20in x 30in, 50 pcs/pack</t>
  </si>
  <si>
    <t>10 pcs Ziplock bag, transparent, 8cm x 12cm, 100 pcs/pack</t>
  </si>
  <si>
    <t>10 pcs Ziplock bag, transparent, 14cm x 20cm, 100 pcs/pack</t>
  </si>
  <si>
    <t>10 pcs Ziplock bag, transparent, 24cm x 34cm, 100 pcs/pack</t>
  </si>
  <si>
    <t>100 pcs Particulate Filter N95</t>
  </si>
  <si>
    <t>50 pcs Laboratory Gown, 3/4 Sleeves, White, Medium</t>
  </si>
  <si>
    <t>10 pcs Reusable Respirator, Respiratory Protection</t>
  </si>
  <si>
    <t>50 pcs Lint-free tissue, 1 ply,  4.3 in x 8.4 in, 280 pcs/box</t>
  </si>
  <si>
    <t>25 pcs Safety Eye Laboratory Goggles</t>
  </si>
  <si>
    <t>5 pcs Parafilm, 4" x 125 ft</t>
  </si>
  <si>
    <t>3 pcs Electronic  Laboratorty Timer</t>
  </si>
  <si>
    <t>Stainless Steel Emergency spray eyewash and Emergency Shower</t>
  </si>
  <si>
    <t>1 unit</t>
  </si>
  <si>
    <t>1 unit Laboratory Glasswares  Drying Rack (Vinyl-Coated Steel Wire Construction, Self-Standing), 90 pegs, 46.2 x 18.2 x 52.5 cm</t>
  </si>
  <si>
    <t>10 pcs Magnetic Stirrer Bar</t>
  </si>
  <si>
    <t>10 pcs Fritted Glass Extraction Thimbles, 10mm</t>
  </si>
  <si>
    <t>8 pcs Glass Extraction Thimbles</t>
  </si>
  <si>
    <t>30 pcs Glass filter crucibles, 30 mL, 40-60 microns</t>
  </si>
  <si>
    <t>5 pcs Erlenmeyer Flask 250 ml</t>
  </si>
  <si>
    <t>5 pcs Erlenmeyer Flask 50 ml</t>
  </si>
  <si>
    <t xml:space="preserve">3 pcs Desiccator </t>
  </si>
  <si>
    <t>1 unit Desiccator cabinet</t>
  </si>
  <si>
    <t>3 units Hot Plate with Magnetic Stirring
Specifications:
280 mm x 280 mm or equivalent or better
200 - 1500 C temperature range, 1 increment or equivalent or better
100 - 1500 rpm speed or equivalent or better
Ceramic Plate</t>
  </si>
  <si>
    <t>3 units</t>
  </si>
  <si>
    <t>30 working days</t>
  </si>
  <si>
    <t>50211990 00</t>
  </si>
  <si>
    <t xml:space="preserve">Other Professional Services </t>
  </si>
  <si>
    <t>Yarn Strength and Elongation (Single Strand) ASTM D 2256</t>
  </si>
  <si>
    <t>15 samples</t>
  </si>
  <si>
    <t>3 weeks upon receipt of samples</t>
  </si>
  <si>
    <t>Yarn Number (Single) ASTM D 1059</t>
  </si>
  <si>
    <t>Yarn Evenness, ASTM D 1425</t>
  </si>
  <si>
    <t>Yarn Twist ASTM D1423/D1423M-16</t>
  </si>
  <si>
    <t>Yarn Hairiness, ASTM D 5647</t>
  </si>
  <si>
    <t>Fiber Composition AATCC</t>
  </si>
  <si>
    <t>Fiber fineness, cut middle method
- sample raw and treated bamboo fibers
- includes raw data of results
- turnaround time: 7-10 working days upon receipt of sample</t>
  </si>
  <si>
    <t>20 samples</t>
  </si>
  <si>
    <t>Worksheet Copy (request of Raw Data)</t>
  </si>
  <si>
    <t>X-Ray Diffraction Analysis</t>
  </si>
  <si>
    <t>Microscopical View (Longitudinal)</t>
  </si>
  <si>
    <t>Microscopical View (Cross-Sectional)</t>
  </si>
  <si>
    <t>Non Woven ( Needle Punching) Production Services</t>
  </si>
  <si>
    <t>104 m</t>
  </si>
  <si>
    <t>Representation Expenses</t>
  </si>
  <si>
    <t>Meals and snacks for meetings, trainings and events</t>
  </si>
  <si>
    <t>3 lots</t>
  </si>
  <si>
    <t>Printing Services - Tarpaulin, Sintra Board etc</t>
  </si>
  <si>
    <t>Cash Advance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</si>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</sst>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0.0"/>
      <color theme="1"/>
      <name val="Verdana"/>
    </font>
    <font>
      <b/>
      <color theme="1"/>
      <name val="Arial"/>
    </font>
    <font>
      <sz val="10.0"/>
      <color theme="1"/>
      <name val="Calibri"/>
    </font>
    <font>
      <sz val="10.0"/>
      <color theme="1"/>
      <name val="Verdana"/>
    </font>
    <font>
      <b/>
      <sz val="10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Font="1"/>
    <xf borderId="6" fillId="0" fontId="7" numFmtId="0" xfId="0" applyBorder="1" applyFont="1"/>
    <xf borderId="7" fillId="0" fontId="7" numFmtId="0" xfId="0" applyBorder="1" applyFont="1"/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9" fillId="0" fontId="8" numFmtId="0" xfId="0" applyBorder="1" applyFont="1"/>
    <xf quotePrefix="1" borderId="6" fillId="0" fontId="6" numFmtId="0" xfId="0" applyAlignment="1" applyBorder="1" applyFont="1">
      <alignment horizontal="center" shrinkToFit="0" vertical="center" wrapText="1"/>
    </xf>
    <xf quotePrefix="1" borderId="7" fillId="0" fontId="6" numFmtId="0" xfId="0" applyAlignment="1" applyBorder="1" applyFont="1">
      <alignment horizontal="center" shrinkToFit="0" vertical="center" wrapText="1"/>
    </xf>
    <xf quotePrefix="1" borderId="7" fillId="0" fontId="6" numFmtId="0" xfId="0" applyAlignment="1" applyBorder="1" applyFont="1">
      <alignment horizontal="center" readingOrder="0" shrinkToFit="0" vertical="center" wrapText="1"/>
    </xf>
    <xf quotePrefix="1" borderId="7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1" fillId="2" fontId="6" numFmtId="0" xfId="0" applyAlignment="1" applyBorder="1" applyFont="1">
      <alignment horizontal="left" readingOrder="0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4" xfId="0" applyAlignment="1" applyBorder="1" applyFont="1" applyNumberFormat="1">
      <alignment horizontal="right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3" fontId="6" numFmtId="0" xfId="0" applyAlignment="1" applyBorder="1" applyFill="1" applyFont="1">
      <alignment horizontal="center" shrinkToFit="0" vertical="center" wrapText="1"/>
    </xf>
    <xf borderId="15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readingOrder="0" vertical="center"/>
    </xf>
    <xf borderId="16" fillId="3" fontId="9" numFmtId="0" xfId="0" applyAlignment="1" applyBorder="1" applyFont="1">
      <alignment horizontal="center" readingOrder="0" vertical="center"/>
    </xf>
    <xf borderId="16" fillId="3" fontId="9" numFmtId="4" xfId="0" applyAlignment="1" applyBorder="1" applyFont="1" applyNumberFormat="1">
      <alignment horizontal="right" readingOrder="0" vertical="center"/>
    </xf>
    <xf borderId="16" fillId="3" fontId="9" numFmtId="164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4" fontId="8" numFmtId="0" xfId="0" applyAlignment="1" applyBorder="1" applyFill="1" applyFont="1">
      <alignment horizontal="center" readingOrder="0" vertical="center"/>
    </xf>
    <xf borderId="17" fillId="3" fontId="8" numFmtId="0" xfId="0" applyAlignment="1" applyBorder="1" applyFont="1">
      <alignment horizontal="center" vertical="center"/>
    </xf>
    <xf borderId="17" fillId="3" fontId="8" numFmtId="0" xfId="0" applyAlignment="1" applyBorder="1" applyFont="1">
      <alignment vertical="center"/>
    </xf>
    <xf borderId="15" fillId="3" fontId="8" numFmtId="0" xfId="0" applyAlignment="1" applyBorder="1" applyFont="1">
      <alignment vertical="center"/>
    </xf>
    <xf borderId="11" fillId="3" fontId="8" numFmtId="0" xfId="0" applyAlignment="1" applyBorder="1" applyFont="1">
      <alignment vertical="center"/>
    </xf>
    <xf borderId="0" fillId="3" fontId="8" numFmtId="0" xfId="0" applyAlignment="1" applyFont="1">
      <alignment vertical="center"/>
    </xf>
    <xf borderId="0" fillId="3" fontId="2" numFmtId="0" xfId="0" applyAlignment="1" applyFont="1">
      <alignment vertical="center"/>
    </xf>
    <xf borderId="19" fillId="3" fontId="6" numFmtId="0" xfId="0" applyAlignment="1" applyBorder="1" applyFont="1">
      <alignment horizontal="center" shrinkToFit="0" vertical="center" wrapText="1"/>
    </xf>
    <xf borderId="15" fillId="3" fontId="8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5" fillId="3" fontId="8" numFmtId="164" xfId="0" applyAlignment="1" applyBorder="1" applyFont="1" applyNumberFormat="1">
      <alignment horizontal="center" shrinkToFit="0" vertical="center" wrapText="1"/>
    </xf>
    <xf borderId="21" fillId="0" fontId="7" numFmtId="0" xfId="0" applyBorder="1" applyFont="1"/>
    <xf borderId="15" fillId="4" fontId="8" numFmtId="0" xfId="0" applyAlignment="1" applyBorder="1" applyFont="1">
      <alignment horizontal="center" readingOrder="0" vertical="center"/>
    </xf>
    <xf borderId="15" fillId="3" fontId="8" numFmtId="0" xfId="0" applyAlignment="1" applyBorder="1" applyFont="1">
      <alignment horizontal="center" vertical="center"/>
    </xf>
    <xf borderId="17" fillId="4" fontId="8" numFmtId="0" xfId="0" applyAlignment="1" applyBorder="1" applyFont="1">
      <alignment horizontal="center" readingOrder="0" vertical="center"/>
    </xf>
    <xf borderId="21" fillId="3" fontId="8" numFmtId="0" xfId="0" applyAlignment="1" applyBorder="1" applyFont="1">
      <alignment vertical="center"/>
    </xf>
    <xf borderId="15" fillId="3" fontId="8" numFmtId="0" xfId="0" applyAlignment="1" applyBorder="1" applyFont="1">
      <alignment readingOrder="0" shrinkToFit="0" vertical="center" wrapText="1"/>
    </xf>
    <xf borderId="17" fillId="3" fontId="8" numFmtId="4" xfId="0" applyAlignment="1" applyBorder="1" applyFont="1" applyNumberFormat="1">
      <alignment horizontal="right" readingOrder="0" shrinkToFit="0" vertical="center" wrapText="1"/>
    </xf>
    <xf borderId="17" fillId="3" fontId="8" numFmtId="164" xfId="0" applyAlignment="1" applyBorder="1" applyFont="1" applyNumberFormat="1">
      <alignment horizontal="center" shrinkToFit="0" vertical="center" wrapText="1"/>
    </xf>
    <xf borderId="15" fillId="3" fontId="8" numFmtId="4" xfId="0" applyAlignment="1" applyBorder="1" applyFont="1" applyNumberFormat="1">
      <alignment horizontal="right" readingOrder="0" shrinkToFit="0" vertical="center" wrapText="1"/>
    </xf>
    <xf borderId="15" fillId="0" fontId="10" numFmtId="4" xfId="0" applyAlignment="1" applyBorder="1" applyFont="1" applyNumberFormat="1">
      <alignment readingOrder="0" vertical="center"/>
    </xf>
    <xf borderId="15" fillId="0" fontId="9" numFmtId="0" xfId="0" applyAlignment="1" applyBorder="1" applyFont="1">
      <alignment readingOrder="0" shrinkToFit="0" vertical="center" wrapText="0"/>
    </xf>
    <xf borderId="17" fillId="3" fontId="8" numFmtId="0" xfId="0" applyAlignment="1" applyBorder="1" applyFont="1">
      <alignment horizontal="center" readingOrder="0" vertical="center"/>
    </xf>
    <xf borderId="15" fillId="3" fontId="9" numFmtId="0" xfId="0" applyAlignment="1" applyBorder="1" applyFont="1">
      <alignment horizontal="left" readingOrder="0" vertical="center"/>
    </xf>
    <xf borderId="22" fillId="0" fontId="7" numFmtId="0" xfId="0" applyBorder="1" applyFont="1"/>
    <xf borderId="11" fillId="0" fontId="7" numFmtId="0" xfId="0" applyBorder="1" applyFont="1"/>
    <xf borderId="17" fillId="3" fontId="9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readingOrder="0" vertical="center"/>
    </xf>
    <xf borderId="15" fillId="3" fontId="8" numFmtId="49" xfId="0" applyAlignment="1" applyBorder="1" applyFont="1" applyNumberFormat="1">
      <alignment readingOrder="0" vertical="center"/>
    </xf>
    <xf borderId="18" fillId="5" fontId="8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readingOrder="0" shrinkToFit="0" vertical="center" wrapText="0"/>
    </xf>
    <xf borderId="16" fillId="3" fontId="8" numFmtId="4" xfId="0" applyAlignment="1" applyBorder="1" applyFont="1" applyNumberFormat="1">
      <alignment horizontal="right" readingOrder="0" shrinkToFit="0" vertical="center" wrapText="1"/>
    </xf>
    <xf borderId="16" fillId="3" fontId="8" numFmtId="164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shrinkToFit="0" vertical="center" wrapText="0"/>
    </xf>
    <xf borderId="16" fillId="3" fontId="8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horizontal="center" shrinkToFit="0" vertical="center" wrapText="1"/>
    </xf>
    <xf borderId="17" fillId="3" fontId="8" numFmtId="0" xfId="0" applyAlignment="1" applyBorder="1" applyFont="1">
      <alignment horizontal="center" readingOrder="0" shrinkToFit="0" vertical="center" wrapText="1"/>
    </xf>
    <xf borderId="15" fillId="3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7" fillId="6" fontId="8" numFmtId="0" xfId="0" applyAlignment="1" applyBorder="1" applyFill="1" applyFont="1">
      <alignment horizontal="center" readingOrder="0" vertical="center"/>
    </xf>
    <xf borderId="19" fillId="2" fontId="6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left" readingOrder="0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18" fillId="2" fontId="6" numFmtId="4" xfId="0" applyAlignment="1" applyBorder="1" applyFont="1" applyNumberFormat="1">
      <alignment horizontal="right" shrinkToFit="0" vertical="center" wrapText="1"/>
    </xf>
    <xf borderId="18" fillId="2" fontId="6" numFmtId="164" xfId="0" applyAlignment="1" applyBorder="1" applyFont="1" applyNumberFormat="1">
      <alignment horizontal="center"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9" fillId="0" fontId="6" numFmtId="0" xfId="0" applyAlignment="1" applyBorder="1" applyFont="1">
      <alignment horizontal="center" shrinkToFit="0" vertical="center" wrapText="1"/>
    </xf>
    <xf borderId="15" fillId="0" fontId="8" numFmtId="49" xfId="0" applyAlignment="1" applyBorder="1" applyFont="1" applyNumberFormat="1">
      <alignment horizontal="center" vertical="center"/>
    </xf>
    <xf borderId="15" fillId="3" fontId="9" numFmtId="49" xfId="0" applyAlignment="1" applyBorder="1" applyFont="1" applyNumberFormat="1">
      <alignment horizontal="left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5" fillId="0" fontId="8" numFmtId="4" xfId="0" applyAlignment="1" applyBorder="1" applyFont="1" applyNumberFormat="1">
      <alignment horizontal="right" readingOrder="0" shrinkToFit="0" vertical="center" wrapText="1"/>
    </xf>
    <xf borderId="15" fillId="0" fontId="8" numFmtId="164" xfId="0" applyAlignment="1" applyBorder="1" applyFont="1" applyNumberFormat="1">
      <alignment horizontal="center" shrinkToFit="0" vertical="center" wrapText="1"/>
    </xf>
    <xf borderId="15" fillId="0" fontId="8" numFmtId="0" xfId="0" applyAlignment="1" applyBorder="1" applyFont="1">
      <alignment vertical="center"/>
    </xf>
    <xf borderId="15" fillId="7" fontId="8" numFmtId="0" xfId="0" applyAlignment="1" applyBorder="1" applyFill="1" applyFont="1">
      <alignment horizontal="center" readingOrder="0" vertical="center"/>
    </xf>
    <xf borderId="19" fillId="3" fontId="6" numFmtId="0" xfId="0" applyAlignment="1" applyBorder="1" applyFont="1">
      <alignment horizontal="center" vertical="center"/>
    </xf>
    <xf borderId="15" fillId="3" fontId="6" numFmtId="49" xfId="0" applyAlignment="1" applyBorder="1" applyFont="1" applyNumberFormat="1">
      <alignment horizontal="center" vertical="center"/>
    </xf>
    <xf borderId="23" fillId="3" fontId="8" numFmtId="0" xfId="0" applyAlignment="1" applyBorder="1" applyFont="1">
      <alignment horizontal="center" readingOrder="0" vertical="center"/>
    </xf>
    <xf borderId="23" fillId="3" fontId="8" numFmtId="4" xfId="0" applyAlignment="1" applyBorder="1" applyFont="1" applyNumberFormat="1">
      <alignment readingOrder="0" vertical="center"/>
    </xf>
    <xf borderId="23" fillId="3" fontId="8" numFmtId="164" xfId="0" applyAlignment="1" applyBorder="1" applyFont="1" applyNumberFormat="1">
      <alignment vertical="center"/>
    </xf>
    <xf borderId="23" fillId="3" fontId="8" numFmtId="0" xfId="0" applyAlignment="1" applyBorder="1" applyFont="1">
      <alignment vertical="center"/>
    </xf>
    <xf borderId="23" fillId="7" fontId="8" numFmtId="0" xfId="0" applyAlignment="1" applyBorder="1" applyFont="1">
      <alignment horizontal="center" readingOrder="0" vertical="center"/>
    </xf>
    <xf borderId="23" fillId="3" fontId="8" numFmtId="164" xfId="0" applyAlignment="1" applyBorder="1" applyFont="1" applyNumberFormat="1">
      <alignment readingOrder="0" vertical="center"/>
    </xf>
    <xf borderId="22" fillId="3" fontId="8" numFmtId="49" xfId="0" applyAlignment="1" applyBorder="1" applyFont="1" applyNumberFormat="1">
      <alignment readingOrder="0" vertical="center"/>
    </xf>
    <xf borderId="23" fillId="3" fontId="8" numFmtId="0" xfId="0" applyAlignment="1" applyBorder="1" applyFont="1">
      <alignment horizontal="center" readingOrder="0" shrinkToFit="0" vertical="center" wrapText="1"/>
    </xf>
    <xf borderId="23" fillId="8" fontId="8" numFmtId="0" xfId="0" applyAlignment="1" applyBorder="1" applyFill="1" applyFont="1">
      <alignment horizontal="center" readingOrder="0" vertical="center"/>
    </xf>
    <xf borderId="23" fillId="3" fontId="8" numFmtId="0" xfId="0" applyAlignment="1" applyBorder="1" applyFont="1">
      <alignment horizontal="center" vertical="center"/>
    </xf>
    <xf borderId="23" fillId="9" fontId="8" numFmtId="0" xfId="0" applyAlignment="1" applyBorder="1" applyFill="1" applyFont="1">
      <alignment horizontal="center" readingOrder="0" vertical="center"/>
    </xf>
    <xf borderId="15" fillId="0" fontId="8" numFmtId="49" xfId="0" applyAlignment="1" applyBorder="1" applyFont="1" applyNumberFormat="1">
      <alignment shrinkToFit="0" vertical="center" wrapText="1"/>
    </xf>
    <xf borderId="23" fillId="0" fontId="8" numFmtId="0" xfId="0" applyAlignment="1" applyBorder="1" applyFont="1">
      <alignment horizontal="center" readingOrder="0" shrinkToFit="0" vertical="center" wrapText="1"/>
    </xf>
    <xf borderId="23" fillId="0" fontId="8" numFmtId="4" xfId="0" applyAlignment="1" applyBorder="1" applyFont="1" applyNumberFormat="1">
      <alignment horizontal="right" shrinkToFit="0" vertical="center" wrapText="1"/>
    </xf>
    <xf borderId="23" fillId="0" fontId="8" numFmtId="164" xfId="0" applyAlignment="1" applyBorder="1" applyFont="1" applyNumberFormat="1">
      <alignment horizontal="center" shrinkToFit="0" vertical="center" wrapText="1"/>
    </xf>
    <xf borderId="23" fillId="0" fontId="11" numFmtId="0" xfId="0" applyAlignment="1" applyBorder="1" applyFont="1">
      <alignment horizontal="center" readingOrder="0" vertical="center"/>
    </xf>
    <xf borderId="23" fillId="4" fontId="8" numFmtId="0" xfId="0" applyAlignment="1" applyBorder="1" applyFont="1">
      <alignment horizontal="center" readingOrder="0" vertical="center"/>
    </xf>
    <xf borderId="26" fillId="2" fontId="6" numFmtId="0" xfId="0" applyAlignment="1" applyBorder="1" applyFont="1">
      <alignment horizontal="center" vertical="center"/>
    </xf>
    <xf borderId="15" fillId="2" fontId="6" numFmtId="49" xfId="0" applyAlignment="1" applyBorder="1" applyFont="1" applyNumberFormat="1">
      <alignment horizontal="center" vertical="center"/>
    </xf>
    <xf borderId="23" fillId="2" fontId="6" numFmtId="49" xfId="0" applyAlignment="1" applyBorder="1" applyFont="1" applyNumberFormat="1">
      <alignment vertical="center"/>
    </xf>
    <xf borderId="27" fillId="2" fontId="8" numFmtId="0" xfId="0" applyAlignment="1" applyBorder="1" applyFont="1">
      <alignment vertical="center"/>
    </xf>
    <xf borderId="27" fillId="2" fontId="8" numFmtId="4" xfId="0" applyAlignment="1" applyBorder="1" applyFont="1" applyNumberFormat="1">
      <alignment vertical="center"/>
    </xf>
    <xf borderId="27" fillId="2" fontId="8" numFmtId="164" xfId="0" applyAlignment="1" applyBorder="1" applyFont="1" applyNumberFormat="1">
      <alignment vertical="center"/>
    </xf>
    <xf borderId="27" fillId="2" fontId="8" numFmtId="0" xfId="0" applyAlignment="1" applyBorder="1" applyFont="1">
      <alignment horizontal="center" shrinkToFit="0" vertical="center" wrapText="1"/>
    </xf>
    <xf borderId="27" fillId="2" fontId="8" numFmtId="0" xfId="0" applyAlignment="1" applyBorder="1" applyFont="1">
      <alignment horizontal="center" vertical="center"/>
    </xf>
    <xf borderId="15" fillId="3" fontId="8" numFmtId="49" xfId="0" applyAlignment="1" applyBorder="1" applyFont="1" applyNumberFormat="1">
      <alignment horizontal="center" vertical="center"/>
    </xf>
    <xf borderId="15" fillId="6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vertical="center"/>
    </xf>
    <xf borderId="15" fillId="3" fontId="8" numFmtId="49" xfId="0" applyAlignment="1" applyBorder="1" applyFont="1" applyNumberFormat="1">
      <alignment horizontal="center" shrinkToFit="0" vertical="center" wrapText="1"/>
    </xf>
    <xf borderId="11" fillId="3" fontId="8" numFmtId="49" xfId="0" applyAlignment="1" applyBorder="1" applyFont="1" applyNumberFormat="1">
      <alignment readingOrder="0"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11" fillId="3" fontId="8" numFmtId="4" xfId="0" applyAlignment="1" applyBorder="1" applyFont="1" applyNumberFormat="1">
      <alignment horizontal="right" readingOrder="0" shrinkToFit="0" vertical="center" wrapText="1"/>
    </xf>
    <xf borderId="11" fillId="3" fontId="8" numFmtId="49" xfId="0" applyAlignment="1" applyBorder="1" applyFont="1" applyNumberFormat="1">
      <alignment readingOrder="0" vertical="center"/>
    </xf>
    <xf borderId="15" fillId="3" fontId="8" numFmtId="0" xfId="0" applyAlignment="1" applyBorder="1" applyFont="1">
      <alignment horizontal="center" readingOrder="0" shrinkToFit="0" vertical="center" wrapText="1"/>
    </xf>
    <xf borderId="21" fillId="3" fontId="8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shrinkToFit="0" vertical="center" wrapText="1"/>
    </xf>
    <xf borderId="15" fillId="0" fontId="8" numFmtId="49" xfId="0" applyAlignment="1" applyBorder="1" applyFont="1" applyNumberFormat="1">
      <alignment readingOrder="0" shrinkToFit="0" vertical="center" wrapText="1"/>
    </xf>
    <xf borderId="23" fillId="0" fontId="8" numFmtId="4" xfId="0" applyAlignment="1" applyBorder="1" applyFont="1" applyNumberFormat="1">
      <alignment horizontal="right" readingOrder="0" shrinkToFit="0" vertical="center" wrapText="1"/>
    </xf>
    <xf borderId="15" fillId="10" fontId="8" numFmtId="0" xfId="0" applyAlignment="1" applyBorder="1" applyFill="1" applyFont="1">
      <alignment horizontal="center" readingOrder="0" vertical="center"/>
    </xf>
    <xf borderId="15" fillId="0" fontId="6" numFmtId="0" xfId="0" applyAlignment="1" applyBorder="1" applyFont="1">
      <alignment vertical="center"/>
    </xf>
    <xf borderId="15" fillId="3" fontId="8" numFmtId="0" xfId="0" applyAlignment="1" applyBorder="1" applyFont="1">
      <alignment horizontal="left" readingOrder="0" vertical="center"/>
    </xf>
    <xf borderId="17" fillId="1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15" fillId="3" fontId="8" numFmtId="0" xfId="0" applyAlignment="1" applyBorder="1" applyFont="1">
      <alignment horizontal="left" readingOrder="0" shrinkToFit="0" vertical="center" wrapText="1"/>
    </xf>
    <xf borderId="15" fillId="3" fontId="9" numFmtId="0" xfId="0" applyAlignment="1" applyBorder="1" applyFont="1">
      <alignment horizontal="left" readingOrder="0" shrinkToFit="0" vertical="center" wrapText="0"/>
    </xf>
    <xf borderId="11" fillId="0" fontId="8" numFmtId="49" xfId="0" applyAlignment="1" applyBorder="1" applyFont="1" applyNumberFormat="1">
      <alignment readingOrder="0" vertical="center"/>
    </xf>
    <xf borderId="17" fillId="3" fontId="8" numFmtId="164" xfId="0" applyAlignment="1" applyBorder="1" applyFont="1" applyNumberFormat="1">
      <alignment horizontal="center" readingOrder="0" shrinkToFit="0" vertical="center" wrapText="1"/>
    </xf>
    <xf borderId="16" fillId="3" fontId="8" numFmtId="0" xfId="0" applyAlignment="1" applyBorder="1" applyFont="1">
      <alignment horizontal="center" readingOrder="0" shrinkToFit="0" vertical="center" wrapText="1"/>
    </xf>
    <xf borderId="11" fillId="3" fontId="8" numFmtId="0" xfId="0" applyAlignment="1" applyBorder="1" applyFont="1">
      <alignment horizontal="center" readingOrder="0" vertical="center"/>
    </xf>
    <xf borderId="17" fillId="11" fontId="8" numFmtId="0" xfId="0" applyAlignment="1" applyBorder="1" applyFill="1" applyFont="1">
      <alignment horizontal="center" readingOrder="0" vertical="center"/>
    </xf>
    <xf borderId="11" fillId="3" fontId="8" numFmtId="0" xfId="0" applyAlignment="1" applyBorder="1" applyFont="1">
      <alignment horizontal="left" readingOrder="0" vertical="center"/>
    </xf>
    <xf borderId="15" fillId="12" fontId="8" numFmtId="0" xfId="0" applyAlignment="1" applyBorder="1" applyFill="1" applyFont="1">
      <alignment horizontal="center" readingOrder="0" vertical="center"/>
    </xf>
    <xf borderId="15" fillId="2" fontId="6" numFmtId="0" xfId="0" applyAlignment="1" applyBorder="1" applyFont="1">
      <alignment horizontal="center" vertical="center"/>
    </xf>
    <xf borderId="23" fillId="2" fontId="6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15" fillId="3" fontId="8" numFmtId="49" xfId="0" applyAlignment="1" applyBorder="1" applyFont="1" applyNumberFormat="1">
      <alignment vertical="center"/>
    </xf>
    <xf borderId="15" fillId="3" fontId="8" numFmtId="4" xfId="0" applyAlignment="1" applyBorder="1" applyFont="1" applyNumberFormat="1">
      <alignment horizontal="right" vertical="center"/>
    </xf>
    <xf borderId="22" fillId="0" fontId="8" numFmtId="0" xfId="0" applyAlignment="1" applyBorder="1" applyFont="1">
      <alignment horizontal="center" readingOrder="0" shrinkToFit="0" vertical="center" wrapText="1"/>
    </xf>
    <xf borderId="23" fillId="0" fontId="8" numFmtId="0" xfId="0" applyAlignment="1" applyBorder="1" applyFont="1">
      <alignment horizontal="center" readingOrder="0" vertical="center"/>
    </xf>
    <xf borderId="23" fillId="13" fontId="8" numFmtId="0" xfId="0" applyAlignment="1" applyBorder="1" applyFill="1" applyFont="1">
      <alignment horizontal="center" readingOrder="0" vertical="center"/>
    </xf>
    <xf borderId="23" fillId="0" fontId="8" numFmtId="0" xfId="0" applyAlignment="1" applyBorder="1" applyFont="1">
      <alignment vertical="center"/>
    </xf>
    <xf borderId="28" fillId="0" fontId="8" numFmtId="0" xfId="0" applyAlignment="1" applyBorder="1" applyFont="1">
      <alignment vertical="center"/>
    </xf>
    <xf borderId="22" fillId="0" fontId="8" numFmtId="164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center" readingOrder="0" vertical="center"/>
    </xf>
    <xf borderId="22" fillId="13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vertical="center"/>
    </xf>
    <xf borderId="22" fillId="0" fontId="8" numFmtId="0" xfId="0" applyAlignment="1" applyBorder="1" applyFont="1">
      <alignment readingOrder="0" shrinkToFit="0" vertical="center" wrapText="1"/>
    </xf>
    <xf borderId="22" fillId="0" fontId="8" numFmtId="4" xfId="0" applyAlignment="1" applyBorder="1" applyFont="1" applyNumberFormat="1">
      <alignment horizontal="right" readingOrder="0" shrinkToFit="0" vertical="center" wrapText="1"/>
    </xf>
    <xf borderId="15" fillId="0" fontId="8" numFmtId="0" xfId="0" applyAlignment="1" applyBorder="1" applyFont="1">
      <alignment shrinkToFit="0" vertical="center" wrapText="1"/>
    </xf>
    <xf borderId="22" fillId="14" fontId="8" numFmtId="0" xfId="0" applyAlignment="1" applyBorder="1" applyFill="1" applyFont="1">
      <alignment horizontal="center" readingOrder="0" vertical="center"/>
    </xf>
    <xf borderId="22" fillId="0" fontId="8" numFmtId="164" xfId="0" applyAlignment="1" applyBorder="1" applyFont="1" applyNumberFormat="1">
      <alignment horizontal="center" readingOrder="0" shrinkToFit="0" vertical="center" wrapText="1"/>
    </xf>
    <xf borderId="22" fillId="3" fontId="8" numFmtId="0" xfId="0" applyAlignment="1" applyBorder="1" applyFont="1">
      <alignment horizontal="center" readingOrder="0" vertical="center"/>
    </xf>
    <xf borderId="15" fillId="3" fontId="9" numFmtId="49" xfId="0" applyAlignment="1" applyBorder="1" applyFont="1" applyNumberFormat="1">
      <alignment horizontal="left" readingOrder="0" vertical="center"/>
    </xf>
    <xf borderId="22" fillId="15" fontId="8" numFmtId="0" xfId="0" applyAlignment="1" applyBorder="1" applyFill="1" applyFont="1">
      <alignment horizontal="center" readingOrder="0" vertical="center"/>
    </xf>
    <xf borderId="22" fillId="3" fontId="8" numFmtId="0" xfId="0" applyAlignment="1" applyBorder="1" applyFont="1">
      <alignment horizontal="center" vertical="center"/>
    </xf>
    <xf borderId="23" fillId="2" fontId="6" numFmtId="0" xfId="0" applyAlignment="1" applyBorder="1" applyFont="1">
      <alignment readingOrder="0" vertical="center"/>
    </xf>
    <xf borderId="22" fillId="0" fontId="8" numFmtId="0" xfId="0" applyAlignment="1" applyBorder="1" applyFont="1">
      <alignment readingOrder="0" vertical="center"/>
    </xf>
    <xf borderId="15" fillId="0" fontId="8" numFmtId="0" xfId="0" applyAlignment="1" applyBorder="1" applyFont="1">
      <alignment readingOrder="0" vertical="bottom"/>
    </xf>
    <xf borderId="22" fillId="3" fontId="8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29" fillId="0" fontId="1" numFmtId="165" xfId="0" applyAlignment="1" applyBorder="1" applyFont="1" applyNumberFormat="1">
      <alignment horizontal="right"/>
    </xf>
    <xf borderId="29" fillId="0" fontId="7" numFmtId="0" xfId="0" applyBorder="1" applyFont="1"/>
    <xf borderId="11" fillId="0" fontId="6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/>
    </xf>
    <xf borderId="31" fillId="0" fontId="7" numFmtId="0" xfId="0" applyBorder="1" applyFont="1"/>
    <xf borderId="0" fillId="0" fontId="8" numFmtId="0" xfId="0" applyAlignment="1" applyFont="1">
      <alignment horizontal="left"/>
    </xf>
    <xf borderId="15" fillId="0" fontId="2" numFmtId="0" xfId="0" applyAlignment="1" applyBorder="1" applyFont="1">
      <alignment vertical="center"/>
    </xf>
    <xf borderId="32" fillId="0" fontId="1" numFmtId="164" xfId="0" applyAlignment="1" applyBorder="1" applyFont="1" applyNumberFormat="1">
      <alignment horizontal="center"/>
    </xf>
    <xf borderId="33" fillId="0" fontId="7" numFmtId="0" xfId="0" applyBorder="1" applyFont="1"/>
    <xf borderId="23" fillId="0" fontId="7" numFmtId="0" xfId="0" applyBorder="1" applyFont="1"/>
    <xf borderId="0" fillId="0" fontId="12" numFmtId="0" xfId="0" applyFont="1"/>
    <xf borderId="0" fillId="0" fontId="12" numFmtId="164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17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16" numFmtId="0" xfId="0" applyFont="1"/>
    <xf borderId="0" fillId="0" fontId="11" numFmtId="4" xfId="0" applyAlignment="1" applyFont="1" applyNumberFormat="1">
      <alignment horizontal="right"/>
    </xf>
    <xf borderId="0" fillId="0" fontId="18" numFmtId="0" xfId="0" applyAlignment="1" applyFont="1">
      <alignment horizontal="left" shrinkToFit="0" vertical="center" wrapText="1"/>
    </xf>
    <xf borderId="17" fillId="0" fontId="19" numFmtId="49" xfId="0" applyAlignment="1" applyBorder="1" applyFont="1" applyNumberFormat="1">
      <alignment vertical="top"/>
    </xf>
    <xf borderId="21" fillId="3" fontId="19" numFmtId="49" xfId="0" applyAlignment="1" applyBorder="1" applyFont="1" applyNumberFormat="1">
      <alignment vertical="bottom"/>
    </xf>
    <xf borderId="0" fillId="0" fontId="20" numFmtId="0" xfId="0" applyFont="1"/>
    <xf borderId="0" fillId="0" fontId="18" numFmtId="0" xfId="0" applyAlignment="1" applyFont="1">
      <alignment shrinkToFit="0" wrapText="1"/>
    </xf>
    <xf borderId="0" fillId="0" fontId="21" numFmtId="0" xfId="0" applyFont="1"/>
    <xf borderId="0" fillId="0" fontId="18" numFmtId="0" xfId="0" applyAlignment="1" applyFont="1">
      <alignment horizontal="left" shrinkToFit="0" wrapText="1"/>
    </xf>
    <xf borderId="0" fillId="0" fontId="21" numFmtId="164" xfId="0" applyAlignment="1" applyFont="1" applyNumberFormat="1">
      <alignment horizontal="left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34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34" fillId="0" fontId="6" numFmtId="4" xfId="0" applyAlignment="1" applyBorder="1" applyFont="1" applyNumberFormat="1">
      <alignment horizontal="center" shrinkToFit="0" vertical="center" wrapText="1"/>
    </xf>
    <xf borderId="34" fillId="0" fontId="6" numFmtId="164" xfId="0" applyAlignment="1" applyBorder="1" applyFont="1" applyNumberFormat="1">
      <alignment horizontal="center" shrinkToFit="0" vertical="center" wrapText="1"/>
    </xf>
    <xf borderId="34" fillId="0" fontId="22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6" fillId="0" fontId="7" numFmtId="0" xfId="0" applyBorder="1" applyFont="1"/>
    <xf borderId="37" fillId="0" fontId="6" numFmtId="0" xfId="0" applyAlignment="1" applyBorder="1" applyFont="1">
      <alignment horizontal="center" shrinkToFit="0" vertical="center" wrapText="1"/>
    </xf>
    <xf borderId="37" fillId="0" fontId="22" numFmtId="0" xfId="0" applyAlignment="1" applyBorder="1" applyFont="1">
      <alignment horizontal="center" shrinkToFit="0" vertical="center" wrapText="1"/>
    </xf>
    <xf borderId="38" fillId="0" fontId="22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left" shrinkToFit="0" vertical="center" wrapText="1"/>
    </xf>
    <xf borderId="18" fillId="2" fontId="22" numFmtId="0" xfId="0" applyAlignment="1" applyBorder="1" applyFont="1">
      <alignment horizontal="center" shrinkToFit="0" vertical="center" wrapText="1"/>
    </xf>
    <xf borderId="25" fillId="2" fontId="22" numFmtId="0" xfId="0" applyAlignment="1" applyBorder="1" applyFont="1">
      <alignment horizontal="center" shrinkToFit="0" vertical="center" wrapText="1"/>
    </xf>
    <xf borderId="13" fillId="2" fontId="22" numFmtId="0" xfId="0" applyAlignment="1" applyBorder="1" applyFont="1">
      <alignment horizontal="center" shrinkToFit="0" vertical="center" wrapText="1"/>
    </xf>
    <xf borderId="14" fillId="0" fontId="2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center"/>
    </xf>
    <xf borderId="15" fillId="0" fontId="2" numFmtId="4" xfId="0" applyAlignment="1" applyBorder="1" applyFont="1" applyNumberFormat="1">
      <alignment horizontal="right"/>
    </xf>
    <xf borderId="15" fillId="0" fontId="2" numFmtId="0" xfId="0" applyBorder="1" applyFont="1"/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1" fillId="0" fontId="2" numFmtId="49" xfId="0" applyBorder="1" applyFont="1" applyNumberFormat="1"/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17" fillId="0" fontId="2" numFmtId="0" xfId="0" applyAlignment="1" applyBorder="1" applyFont="1">
      <alignment horizontal="right" shrinkToFit="0" vertical="center" wrapText="1"/>
    </xf>
    <xf borderId="39" fillId="2" fontId="23" numFmtId="0" xfId="0" applyAlignment="1" applyBorder="1" applyFont="1">
      <alignment horizontal="left" vertical="center"/>
    </xf>
    <xf borderId="15" fillId="2" fontId="2" numFmtId="0" xfId="0" applyBorder="1" applyFont="1"/>
    <xf borderId="15" fillId="2" fontId="2" numFmtId="4" xfId="0" applyAlignment="1" applyBorder="1" applyFont="1" applyNumberFormat="1">
      <alignment horizontal="right"/>
    </xf>
    <xf borderId="26" fillId="0" fontId="23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4" xfId="0" applyAlignment="1" applyBorder="1" applyFont="1" applyNumberFormat="1">
      <alignment horizontal="right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32" fillId="0" fontId="6" numFmtId="0" xfId="0" applyAlignment="1" applyBorder="1" applyFont="1">
      <alignment horizontal="left" shrinkToFit="0" vertical="center" wrapText="1"/>
    </xf>
    <xf borderId="29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left" shrinkToFit="0" vertical="center" wrapText="1"/>
    </xf>
    <xf borderId="0" fillId="0" fontId="22" numFmtId="4" xfId="0" applyAlignment="1" applyFont="1" applyNumberFormat="1">
      <alignment horizontal="right" shrinkToFit="0" vertical="center" wrapText="1"/>
    </xf>
    <xf borderId="0" fillId="0" fontId="12" numFmtId="4" xfId="0" applyAlignment="1" applyFont="1" applyNumberFormat="1">
      <alignment horizontal="right"/>
    </xf>
    <xf borderId="0" fillId="0" fontId="22" numFmtId="0" xfId="0" applyAlignment="1" applyFont="1">
      <alignment shrinkToFit="0" wrapText="1"/>
    </xf>
    <xf borderId="0" fillId="0" fontId="24" numFmtId="0" xfId="0" applyAlignment="1" applyFont="1">
      <alignment horizontal="left" vertical="center"/>
    </xf>
    <xf borderId="0" fillId="0" fontId="22" numFmtId="0" xfId="0" applyAlignment="1" applyFont="1">
      <alignment horizontal="left" shrinkToFit="0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88"/>
    <col customWidth="1" min="3" max="3" width="45.5"/>
    <col customWidth="1" min="4" max="4" width="11.63"/>
    <col customWidth="1" min="6" max="6" width="13.25"/>
    <col customWidth="1" min="7" max="7" width="37.13"/>
    <col customWidth="1" min="8" max="8" width="15.75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>
      <c r="A3" s="4"/>
      <c r="AJ3" s="2"/>
      <c r="AK3" s="2"/>
      <c r="AL3" s="2"/>
      <c r="AM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  <c r="AL4" s="2"/>
      <c r="AM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>
      <c r="A6" s="5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0"/>
      <c r="AK8" s="20"/>
      <c r="AL8" s="2"/>
      <c r="AM8" s="2"/>
    </row>
    <row r="9">
      <c r="A9" s="21"/>
      <c r="B9" s="22"/>
      <c r="C9" s="22"/>
      <c r="D9" s="23" t="s">
        <v>14</v>
      </c>
      <c r="E9" s="22"/>
      <c r="F9" s="22"/>
      <c r="G9" s="22"/>
      <c r="H9" s="22"/>
      <c r="I9" s="24" t="s">
        <v>15</v>
      </c>
      <c r="J9" s="24" t="s">
        <v>16</v>
      </c>
      <c r="K9" s="24" t="s">
        <v>17</v>
      </c>
      <c r="L9" s="25" t="s">
        <v>18</v>
      </c>
      <c r="M9" s="25" t="s">
        <v>19</v>
      </c>
      <c r="N9" s="23" t="s">
        <v>20</v>
      </c>
      <c r="O9" s="23" t="s">
        <v>21</v>
      </c>
      <c r="P9" s="23" t="s">
        <v>22</v>
      </c>
      <c r="Q9" s="23" t="s">
        <v>23</v>
      </c>
      <c r="R9" s="23" t="s">
        <v>24</v>
      </c>
      <c r="S9" s="23" t="s">
        <v>25</v>
      </c>
      <c r="T9" s="23" t="s">
        <v>26</v>
      </c>
      <c r="U9" s="23" t="s">
        <v>27</v>
      </c>
      <c r="V9" s="23" t="s">
        <v>28</v>
      </c>
      <c r="W9" s="23" t="s">
        <v>29</v>
      </c>
      <c r="X9" s="23" t="s">
        <v>30</v>
      </c>
      <c r="Y9" s="23" t="s">
        <v>31</v>
      </c>
      <c r="Z9" s="23" t="s">
        <v>32</v>
      </c>
      <c r="AA9" s="23" t="s">
        <v>33</v>
      </c>
      <c r="AB9" s="23" t="s">
        <v>34</v>
      </c>
      <c r="AC9" s="23" t="s">
        <v>35</v>
      </c>
      <c r="AD9" s="23" t="s">
        <v>36</v>
      </c>
      <c r="AE9" s="23" t="s">
        <v>37</v>
      </c>
      <c r="AF9" s="23" t="s">
        <v>38</v>
      </c>
      <c r="AG9" s="23" t="s">
        <v>39</v>
      </c>
      <c r="AH9" s="23" t="s">
        <v>40</v>
      </c>
      <c r="AI9" s="26" t="s">
        <v>41</v>
      </c>
      <c r="AJ9" s="27"/>
      <c r="AK9" s="20"/>
      <c r="AL9" s="2"/>
      <c r="AM9" s="2"/>
    </row>
    <row r="10">
      <c r="A10" s="28" t="s">
        <v>42</v>
      </c>
      <c r="B10" s="29" t="s">
        <v>43</v>
      </c>
      <c r="C10" s="29" t="s">
        <v>44</v>
      </c>
      <c r="D10" s="29" t="s">
        <v>45</v>
      </c>
      <c r="E10" s="30" t="s">
        <v>46</v>
      </c>
      <c r="F10" s="31" t="s">
        <v>47</v>
      </c>
      <c r="G10" s="29" t="s">
        <v>48</v>
      </c>
      <c r="H10" s="29" t="s">
        <v>49</v>
      </c>
      <c r="I10" s="29" t="s">
        <v>50</v>
      </c>
      <c r="J10" s="29" t="s">
        <v>51</v>
      </c>
      <c r="K10" s="29" t="s">
        <v>52</v>
      </c>
      <c r="L10" s="29" t="s">
        <v>53</v>
      </c>
      <c r="M10" s="29" t="s">
        <v>54</v>
      </c>
      <c r="N10" s="29" t="s">
        <v>55</v>
      </c>
      <c r="O10" s="29" t="s">
        <v>56</v>
      </c>
      <c r="P10" s="29" t="s">
        <v>57</v>
      </c>
      <c r="Q10" s="29" t="s">
        <v>58</v>
      </c>
      <c r="R10" s="29" t="s">
        <v>59</v>
      </c>
      <c r="S10" s="29" t="s">
        <v>60</v>
      </c>
      <c r="T10" s="29" t="s">
        <v>61</v>
      </c>
      <c r="U10" s="29" t="s">
        <v>62</v>
      </c>
      <c r="V10" s="29" t="s">
        <v>63</v>
      </c>
      <c r="W10" s="29" t="s">
        <v>64</v>
      </c>
      <c r="X10" s="29" t="s">
        <v>65</v>
      </c>
      <c r="Y10" s="29" t="s">
        <v>66</v>
      </c>
      <c r="Z10" s="29" t="s">
        <v>67</v>
      </c>
      <c r="AA10" s="29" t="s">
        <v>68</v>
      </c>
      <c r="AB10" s="29" t="s">
        <v>69</v>
      </c>
      <c r="AC10" s="29" t="s">
        <v>70</v>
      </c>
      <c r="AD10" s="29" t="s">
        <v>71</v>
      </c>
      <c r="AE10" s="29" t="s">
        <v>72</v>
      </c>
      <c r="AF10" s="29" t="s">
        <v>73</v>
      </c>
      <c r="AG10" s="29" t="s">
        <v>74</v>
      </c>
      <c r="AH10" s="29" t="s">
        <v>75</v>
      </c>
      <c r="AI10" s="32" t="s">
        <v>76</v>
      </c>
      <c r="AJ10" s="20"/>
      <c r="AK10" s="20"/>
      <c r="AL10" s="2"/>
      <c r="AM10" s="2"/>
    </row>
    <row r="11">
      <c r="A11" s="33" t="s">
        <v>77</v>
      </c>
      <c r="B11" s="34"/>
      <c r="C11" s="35" t="s">
        <v>78</v>
      </c>
      <c r="D11" s="36"/>
      <c r="E11" s="37"/>
      <c r="F11" s="38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9"/>
      <c r="AJ11" s="20"/>
      <c r="AK11" s="20"/>
      <c r="AL11" s="2"/>
      <c r="AM11" s="2"/>
    </row>
    <row r="12">
      <c r="A12" s="40"/>
      <c r="B12" s="41"/>
      <c r="C12" s="42" t="s">
        <v>79</v>
      </c>
      <c r="D12" s="43" t="s">
        <v>80</v>
      </c>
      <c r="E12" s="44">
        <v>1000.0</v>
      </c>
      <c r="F12" s="45">
        <f>E12*10</f>
        <v>10000</v>
      </c>
      <c r="G12" s="46" t="s">
        <v>81</v>
      </c>
      <c r="H12" s="47" t="s">
        <v>82</v>
      </c>
      <c r="I12" s="48">
        <v>10.0</v>
      </c>
      <c r="J12" s="4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1"/>
      <c r="AI12" s="52"/>
      <c r="AJ12" s="53"/>
      <c r="AK12" s="53"/>
      <c r="AL12" s="54"/>
      <c r="AM12" s="54"/>
    </row>
    <row r="13" ht="15.75" customHeight="1">
      <c r="A13" s="55"/>
      <c r="B13" s="56"/>
      <c r="C13" s="42" t="s">
        <v>83</v>
      </c>
      <c r="D13" s="57"/>
      <c r="E13" s="44">
        <v>1000.0</v>
      </c>
      <c r="F13" s="58">
        <f t="shared" ref="F13:F15" si="1">E13*5</f>
        <v>5000</v>
      </c>
      <c r="G13" s="57"/>
      <c r="H13" s="59"/>
      <c r="I13" s="60">
        <v>5.0</v>
      </c>
      <c r="J13" s="6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3"/>
      <c r="AK13" s="53"/>
      <c r="AL13" s="54"/>
      <c r="AM13" s="54"/>
    </row>
    <row r="14" ht="15.75" customHeight="1">
      <c r="A14" s="55"/>
      <c r="B14" s="56"/>
      <c r="C14" s="42" t="s">
        <v>84</v>
      </c>
      <c r="D14" s="57"/>
      <c r="E14" s="44">
        <v>1000.0</v>
      </c>
      <c r="F14" s="58">
        <f t="shared" si="1"/>
        <v>5000</v>
      </c>
      <c r="G14" s="57"/>
      <c r="H14" s="59"/>
      <c r="I14" s="62">
        <v>5.0</v>
      </c>
      <c r="J14" s="49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63"/>
      <c r="AI14" s="51"/>
      <c r="AJ14" s="53"/>
      <c r="AK14" s="53"/>
      <c r="AL14" s="54"/>
      <c r="AM14" s="54"/>
    </row>
    <row r="15" ht="15.75" customHeight="1">
      <c r="A15" s="55"/>
      <c r="B15" s="56"/>
      <c r="C15" s="42" t="s">
        <v>85</v>
      </c>
      <c r="D15" s="57"/>
      <c r="E15" s="44">
        <v>1000.0</v>
      </c>
      <c r="F15" s="58">
        <f t="shared" si="1"/>
        <v>5000</v>
      </c>
      <c r="G15" s="57"/>
      <c r="H15" s="59"/>
      <c r="I15" s="62">
        <v>5.0</v>
      </c>
      <c r="J15" s="49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63"/>
      <c r="AI15" s="51"/>
      <c r="AJ15" s="53"/>
      <c r="AK15" s="53"/>
      <c r="AL15" s="54"/>
      <c r="AM15" s="54"/>
    </row>
    <row r="16" ht="15.75" customHeight="1">
      <c r="A16" s="55"/>
      <c r="B16" s="56"/>
      <c r="C16" s="64" t="s">
        <v>86</v>
      </c>
      <c r="D16" s="57"/>
      <c r="E16" s="65">
        <v>800.0</v>
      </c>
      <c r="F16" s="66">
        <f>E16*10</f>
        <v>8000</v>
      </c>
      <c r="G16" s="57"/>
      <c r="H16" s="59"/>
      <c r="I16" s="62">
        <v>10.0</v>
      </c>
      <c r="J16" s="49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63"/>
      <c r="AI16" s="51"/>
      <c r="AJ16" s="53"/>
      <c r="AK16" s="53"/>
      <c r="AL16" s="54"/>
      <c r="AM16" s="54"/>
    </row>
    <row r="17" ht="15.75" customHeight="1">
      <c r="A17" s="55"/>
      <c r="B17" s="56"/>
      <c r="C17" s="64" t="s">
        <v>87</v>
      </c>
      <c r="D17" s="57"/>
      <c r="E17" s="67">
        <v>800.0</v>
      </c>
      <c r="F17" s="66">
        <f t="shared" ref="F17:F27" si="2">E17*5</f>
        <v>4000</v>
      </c>
      <c r="G17" s="57"/>
      <c r="H17" s="59"/>
      <c r="I17" s="62">
        <v>5.0</v>
      </c>
      <c r="J17" s="49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63"/>
      <c r="AI17" s="51"/>
      <c r="AJ17" s="53"/>
      <c r="AK17" s="53"/>
      <c r="AL17" s="54"/>
      <c r="AM17" s="54"/>
    </row>
    <row r="18" ht="15.75" customHeight="1">
      <c r="A18" s="55"/>
      <c r="B18" s="56"/>
      <c r="C18" s="64" t="s">
        <v>88</v>
      </c>
      <c r="D18" s="57"/>
      <c r="E18" s="68">
        <v>800.0</v>
      </c>
      <c r="F18" s="66">
        <f t="shared" si="2"/>
        <v>4000</v>
      </c>
      <c r="G18" s="57"/>
      <c r="H18" s="59"/>
      <c r="I18" s="62">
        <v>5.0</v>
      </c>
      <c r="J18" s="49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63"/>
      <c r="AI18" s="51"/>
      <c r="AJ18" s="53"/>
      <c r="AK18" s="53"/>
      <c r="AL18" s="54"/>
      <c r="AM18" s="54"/>
    </row>
    <row r="19" ht="15.75" customHeight="1">
      <c r="A19" s="55"/>
      <c r="B19" s="56"/>
      <c r="C19" s="64" t="s">
        <v>89</v>
      </c>
      <c r="D19" s="57"/>
      <c r="E19" s="65">
        <v>800.0</v>
      </c>
      <c r="F19" s="66">
        <f t="shared" si="2"/>
        <v>4000</v>
      </c>
      <c r="G19" s="57"/>
      <c r="H19" s="59"/>
      <c r="I19" s="62">
        <v>5.0</v>
      </c>
      <c r="J19" s="49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63"/>
      <c r="AI19" s="51"/>
      <c r="AJ19" s="53"/>
      <c r="AK19" s="53"/>
      <c r="AL19" s="54"/>
      <c r="AM19" s="54"/>
    </row>
    <row r="20" ht="15.75" customHeight="1">
      <c r="A20" s="55"/>
      <c r="B20" s="56"/>
      <c r="C20" s="64" t="s">
        <v>90</v>
      </c>
      <c r="D20" s="57"/>
      <c r="E20" s="65">
        <v>2000.0</v>
      </c>
      <c r="F20" s="66">
        <f t="shared" si="2"/>
        <v>10000</v>
      </c>
      <c r="G20" s="57"/>
      <c r="H20" s="59"/>
      <c r="I20" s="62">
        <v>5.0</v>
      </c>
      <c r="J20" s="49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63"/>
      <c r="AI20" s="51"/>
      <c r="AJ20" s="53"/>
      <c r="AK20" s="53"/>
      <c r="AL20" s="54"/>
      <c r="AM20" s="54"/>
    </row>
    <row r="21" ht="15.75" customHeight="1">
      <c r="A21" s="55"/>
      <c r="B21" s="56"/>
      <c r="C21" s="69" t="s">
        <v>91</v>
      </c>
      <c r="D21" s="57"/>
      <c r="E21" s="65">
        <v>2000.0</v>
      </c>
      <c r="F21" s="66">
        <f t="shared" si="2"/>
        <v>10000</v>
      </c>
      <c r="G21" s="57"/>
      <c r="H21" s="59"/>
      <c r="I21" s="62">
        <v>5.0</v>
      </c>
      <c r="J21" s="7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63"/>
      <c r="AI21" s="51"/>
      <c r="AJ21" s="53"/>
      <c r="AK21" s="53"/>
      <c r="AL21" s="54"/>
      <c r="AM21" s="54"/>
    </row>
    <row r="22" ht="15.75" customHeight="1">
      <c r="A22" s="55"/>
      <c r="B22" s="56"/>
      <c r="C22" s="71" t="s">
        <v>92</v>
      </c>
      <c r="D22" s="57"/>
      <c r="E22" s="65">
        <v>2000.0</v>
      </c>
      <c r="F22" s="66">
        <f t="shared" si="2"/>
        <v>10000</v>
      </c>
      <c r="G22" s="57"/>
      <c r="H22" s="59"/>
      <c r="I22" s="62">
        <v>5.0</v>
      </c>
      <c r="J22" s="7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63"/>
      <c r="AI22" s="51"/>
      <c r="AJ22" s="53"/>
      <c r="AK22" s="53"/>
      <c r="AL22" s="54"/>
      <c r="AM22" s="54"/>
    </row>
    <row r="23" ht="15.75" customHeight="1">
      <c r="A23" s="55"/>
      <c r="B23" s="56"/>
      <c r="C23" s="69" t="s">
        <v>93</v>
      </c>
      <c r="D23" s="57"/>
      <c r="E23" s="65">
        <v>2000.0</v>
      </c>
      <c r="F23" s="66">
        <f t="shared" si="2"/>
        <v>10000</v>
      </c>
      <c r="G23" s="57"/>
      <c r="H23" s="59"/>
      <c r="I23" s="62">
        <v>5.0</v>
      </c>
      <c r="J23" s="7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63"/>
      <c r="AI23" s="51"/>
      <c r="AJ23" s="53"/>
      <c r="AK23" s="53"/>
      <c r="AL23" s="54"/>
      <c r="AM23" s="54"/>
    </row>
    <row r="24" ht="15.75" customHeight="1">
      <c r="A24" s="55"/>
      <c r="B24" s="56"/>
      <c r="C24" s="69" t="s">
        <v>94</v>
      </c>
      <c r="D24" s="57"/>
      <c r="E24" s="65">
        <v>1000.0</v>
      </c>
      <c r="F24" s="66">
        <f t="shared" si="2"/>
        <v>5000</v>
      </c>
      <c r="G24" s="57"/>
      <c r="H24" s="59"/>
      <c r="I24" s="62">
        <v>5.0</v>
      </c>
      <c r="J24" s="7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63"/>
      <c r="AI24" s="51"/>
      <c r="AJ24" s="53"/>
      <c r="AK24" s="53"/>
      <c r="AL24" s="54"/>
      <c r="AM24" s="54"/>
    </row>
    <row r="25" ht="15.75" customHeight="1">
      <c r="A25" s="55"/>
      <c r="B25" s="56"/>
      <c r="C25" s="69" t="s">
        <v>95</v>
      </c>
      <c r="D25" s="57"/>
      <c r="E25" s="65">
        <v>1000.0</v>
      </c>
      <c r="F25" s="66">
        <f t="shared" si="2"/>
        <v>5000</v>
      </c>
      <c r="G25" s="57"/>
      <c r="H25" s="59"/>
      <c r="I25" s="62">
        <v>5.0</v>
      </c>
      <c r="J25" s="7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63"/>
      <c r="AI25" s="51"/>
      <c r="AJ25" s="53"/>
      <c r="AK25" s="53"/>
      <c r="AL25" s="54"/>
      <c r="AM25" s="54"/>
    </row>
    <row r="26" ht="15.75" customHeight="1">
      <c r="A26" s="55"/>
      <c r="B26" s="56"/>
      <c r="C26" s="69" t="s">
        <v>96</v>
      </c>
      <c r="D26" s="57"/>
      <c r="E26" s="65">
        <v>1000.0</v>
      </c>
      <c r="F26" s="66">
        <f t="shared" si="2"/>
        <v>5000</v>
      </c>
      <c r="G26" s="57"/>
      <c r="H26" s="59"/>
      <c r="I26" s="62">
        <v>5.0</v>
      </c>
      <c r="J26" s="7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63"/>
      <c r="AI26" s="51"/>
      <c r="AJ26" s="53"/>
      <c r="AK26" s="53"/>
      <c r="AL26" s="54"/>
      <c r="AM26" s="54"/>
    </row>
    <row r="27" ht="15.75" customHeight="1">
      <c r="A27" s="55"/>
      <c r="B27" s="56"/>
      <c r="C27" s="69" t="s">
        <v>97</v>
      </c>
      <c r="D27" s="57"/>
      <c r="E27" s="65">
        <v>1000.0</v>
      </c>
      <c r="F27" s="66">
        <f t="shared" si="2"/>
        <v>5000</v>
      </c>
      <c r="G27" s="72"/>
      <c r="H27" s="73"/>
      <c r="I27" s="62">
        <v>5.0</v>
      </c>
      <c r="J27" s="7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63"/>
      <c r="AI27" s="51"/>
      <c r="AJ27" s="53"/>
      <c r="AK27" s="53"/>
      <c r="AL27" s="54"/>
      <c r="AM27" s="54"/>
    </row>
    <row r="28" ht="15.75" customHeight="1">
      <c r="A28" s="55"/>
      <c r="B28" s="56"/>
      <c r="C28" s="69" t="s">
        <v>98</v>
      </c>
      <c r="D28" s="74" t="s">
        <v>80</v>
      </c>
      <c r="E28" s="65">
        <v>300.0</v>
      </c>
      <c r="F28" s="66">
        <f>300*20</f>
        <v>6000</v>
      </c>
      <c r="G28" s="75" t="s">
        <v>99</v>
      </c>
      <c r="H28" s="47" t="s">
        <v>82</v>
      </c>
      <c r="I28" s="76">
        <v>20.0</v>
      </c>
      <c r="J28" s="7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63"/>
      <c r="AI28" s="51"/>
      <c r="AJ28" s="53"/>
      <c r="AK28" s="53"/>
      <c r="AL28" s="54"/>
      <c r="AM28" s="54"/>
    </row>
    <row r="29" ht="15.75" customHeight="1">
      <c r="A29" s="55"/>
      <c r="B29" s="56"/>
      <c r="C29" s="69" t="s">
        <v>100</v>
      </c>
      <c r="D29" s="59"/>
      <c r="E29" s="65">
        <v>300.0</v>
      </c>
      <c r="F29" s="66">
        <f t="shared" ref="F29:F30" si="3">E29*50</f>
        <v>15000</v>
      </c>
      <c r="G29" s="57"/>
      <c r="H29" s="59"/>
      <c r="I29" s="76">
        <v>50.0</v>
      </c>
      <c r="J29" s="7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63"/>
      <c r="AI29" s="51"/>
      <c r="AJ29" s="53"/>
      <c r="AK29" s="53"/>
      <c r="AL29" s="54"/>
      <c r="AM29" s="54"/>
    </row>
    <row r="30" ht="15.75" customHeight="1">
      <c r="A30" s="55"/>
      <c r="B30" s="56"/>
      <c r="C30" s="69" t="s">
        <v>101</v>
      </c>
      <c r="D30" s="59"/>
      <c r="E30" s="65">
        <v>150.0</v>
      </c>
      <c r="F30" s="66">
        <f t="shared" si="3"/>
        <v>7500</v>
      </c>
      <c r="G30" s="57"/>
      <c r="H30" s="59"/>
      <c r="I30" s="76">
        <v>50.0</v>
      </c>
      <c r="J30" s="7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63"/>
      <c r="AI30" s="51"/>
      <c r="AJ30" s="53"/>
      <c r="AK30" s="53"/>
      <c r="AL30" s="54"/>
      <c r="AM30" s="54"/>
    </row>
    <row r="31">
      <c r="A31" s="40"/>
      <c r="B31" s="41"/>
      <c r="C31" s="77" t="s">
        <v>102</v>
      </c>
      <c r="D31" s="59"/>
      <c r="E31" s="44">
        <v>500.0</v>
      </c>
      <c r="F31" s="45">
        <f>10*E31</f>
        <v>5000</v>
      </c>
      <c r="G31" s="57"/>
      <c r="H31" s="59"/>
      <c r="I31" s="78">
        <v>10.0</v>
      </c>
      <c r="J31" s="49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1"/>
      <c r="AI31" s="52"/>
      <c r="AJ31" s="53"/>
      <c r="AK31" s="53"/>
      <c r="AL31" s="54"/>
      <c r="AM31" s="54"/>
    </row>
    <row r="32" ht="15.75" customHeight="1">
      <c r="A32" s="55"/>
      <c r="B32" s="56"/>
      <c r="C32" s="79" t="s">
        <v>103</v>
      </c>
      <c r="D32" s="59"/>
      <c r="E32" s="80">
        <v>1000.0</v>
      </c>
      <c r="F32" s="81">
        <f>E32*5</f>
        <v>5000</v>
      </c>
      <c r="G32" s="57"/>
      <c r="H32" s="59"/>
      <c r="I32" s="78">
        <v>5.0</v>
      </c>
      <c r="J32" s="7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63"/>
      <c r="AI32" s="52"/>
      <c r="AJ32" s="53"/>
      <c r="AK32" s="53"/>
      <c r="AL32" s="54"/>
      <c r="AM32" s="54"/>
    </row>
    <row r="33" ht="15.75" customHeight="1">
      <c r="A33" s="55"/>
      <c r="B33" s="56"/>
      <c r="C33" s="79" t="s">
        <v>104</v>
      </c>
      <c r="D33" s="73"/>
      <c r="E33" s="80">
        <v>450.0</v>
      </c>
      <c r="F33" s="81">
        <f>E33*25</f>
        <v>11250</v>
      </c>
      <c r="G33" s="72"/>
      <c r="H33" s="73"/>
      <c r="I33" s="78">
        <v>25.0</v>
      </c>
      <c r="J33" s="7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63"/>
      <c r="AI33" s="52"/>
      <c r="AJ33" s="53"/>
      <c r="AK33" s="53"/>
      <c r="AL33" s="54"/>
      <c r="AM33" s="54"/>
    </row>
    <row r="34" ht="15.75" customHeight="1">
      <c r="A34" s="55"/>
      <c r="B34" s="56"/>
      <c r="C34" s="82" t="s">
        <v>105</v>
      </c>
      <c r="D34" s="83" t="s">
        <v>106</v>
      </c>
      <c r="E34" s="65">
        <v>30000.0</v>
      </c>
      <c r="F34" s="66">
        <f>E34*2</f>
        <v>60000</v>
      </c>
      <c r="G34" s="84" t="s">
        <v>99</v>
      </c>
      <c r="H34" s="85" t="s">
        <v>107</v>
      </c>
      <c r="I34" s="70">
        <v>2.0</v>
      </c>
      <c r="J34" s="7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63"/>
      <c r="AI34" s="51"/>
      <c r="AJ34" s="53"/>
      <c r="AK34" s="53"/>
      <c r="AL34" s="54"/>
      <c r="AM34" s="54"/>
    </row>
    <row r="35">
      <c r="A35" s="55"/>
      <c r="B35" s="56"/>
      <c r="C35" s="64" t="s">
        <v>108</v>
      </c>
      <c r="D35" s="86" t="s">
        <v>109</v>
      </c>
      <c r="E35" s="65">
        <v>10000.0</v>
      </c>
      <c r="F35" s="66">
        <f>10*E35</f>
        <v>100000</v>
      </c>
      <c r="G35" s="87" t="s">
        <v>110</v>
      </c>
      <c r="H35" s="88" t="s">
        <v>82</v>
      </c>
      <c r="I35" s="89">
        <v>10.0</v>
      </c>
      <c r="J35" s="49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63"/>
      <c r="AI35" s="51"/>
      <c r="AJ35" s="53"/>
      <c r="AK35" s="53"/>
      <c r="AL35" s="54"/>
      <c r="AM35" s="54"/>
    </row>
    <row r="36">
      <c r="A36" s="55"/>
      <c r="B36" s="56"/>
      <c r="C36" s="64" t="s">
        <v>111</v>
      </c>
      <c r="D36" s="86" t="s">
        <v>112</v>
      </c>
      <c r="E36" s="65">
        <v>20000.0</v>
      </c>
      <c r="F36" s="66">
        <f>E36*4</f>
        <v>80000</v>
      </c>
      <c r="G36" s="87" t="s">
        <v>110</v>
      </c>
      <c r="H36" s="88" t="s">
        <v>82</v>
      </c>
      <c r="I36" s="89">
        <v>4.0</v>
      </c>
      <c r="J36" s="49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63"/>
      <c r="AI36" s="51"/>
      <c r="AJ36" s="53"/>
      <c r="AK36" s="53"/>
      <c r="AL36" s="54"/>
      <c r="AM36" s="54"/>
    </row>
    <row r="37" ht="15.75" customHeight="1">
      <c r="A37" s="90" t="s">
        <v>113</v>
      </c>
      <c r="B37" s="91"/>
      <c r="C37" s="92" t="s">
        <v>114</v>
      </c>
      <c r="D37" s="93"/>
      <c r="E37" s="94"/>
      <c r="F37" s="95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7"/>
      <c r="AI37" s="98"/>
      <c r="AJ37" s="99"/>
      <c r="AK37" s="99"/>
      <c r="AL37" s="6"/>
      <c r="AM37" s="6"/>
    </row>
    <row r="38" ht="42.0" customHeight="1">
      <c r="A38" s="100"/>
      <c r="B38" s="101"/>
      <c r="C38" s="102" t="s">
        <v>115</v>
      </c>
      <c r="D38" s="103" t="s">
        <v>116</v>
      </c>
      <c r="E38" s="104">
        <v>500.0</v>
      </c>
      <c r="F38" s="105">
        <f>500*50</f>
        <v>25000</v>
      </c>
      <c r="G38" s="84" t="s">
        <v>99</v>
      </c>
      <c r="H38" s="88" t="s">
        <v>82</v>
      </c>
      <c r="I38" s="106"/>
      <c r="J38" s="107">
        <v>50.0</v>
      </c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99"/>
      <c r="AK38" s="99"/>
      <c r="AL38" s="6"/>
      <c r="AM38" s="6"/>
    </row>
    <row r="39" ht="56.25" customHeight="1">
      <c r="A39" s="108"/>
      <c r="B39" s="109"/>
      <c r="C39" s="102" t="s">
        <v>117</v>
      </c>
      <c r="D39" s="110" t="s">
        <v>116</v>
      </c>
      <c r="E39" s="111">
        <v>500.0</v>
      </c>
      <c r="F39" s="112">
        <f>50*500</f>
        <v>25000</v>
      </c>
      <c r="G39" s="84" t="s">
        <v>99</v>
      </c>
      <c r="H39" s="88" t="s">
        <v>82</v>
      </c>
      <c r="I39" s="113"/>
      <c r="J39" s="114">
        <v>50.0</v>
      </c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6"/>
      <c r="AK39" s="6"/>
      <c r="AL39" s="6"/>
      <c r="AM39" s="6"/>
    </row>
    <row r="40" ht="56.25" customHeight="1">
      <c r="A40" s="108"/>
      <c r="B40" s="109"/>
      <c r="C40" s="102" t="s">
        <v>118</v>
      </c>
      <c r="D40" s="110" t="s">
        <v>119</v>
      </c>
      <c r="E40" s="111">
        <v>450.0</v>
      </c>
      <c r="F40" s="112">
        <f t="shared" ref="F40:F41" si="4">60*E40</f>
        <v>27000</v>
      </c>
      <c r="G40" s="84" t="s">
        <v>99</v>
      </c>
      <c r="H40" s="88" t="s">
        <v>82</v>
      </c>
      <c r="I40" s="113"/>
      <c r="J40" s="114">
        <v>60.0</v>
      </c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6"/>
      <c r="AK40" s="6"/>
      <c r="AL40" s="6"/>
      <c r="AM40" s="6"/>
    </row>
    <row r="41">
      <c r="A41" s="108"/>
      <c r="B41" s="109"/>
      <c r="C41" s="102" t="s">
        <v>120</v>
      </c>
      <c r="D41" s="110" t="s">
        <v>119</v>
      </c>
      <c r="E41" s="111">
        <v>1000.0</v>
      </c>
      <c r="F41" s="115">
        <f t="shared" si="4"/>
        <v>60000</v>
      </c>
      <c r="G41" s="84" t="s">
        <v>99</v>
      </c>
      <c r="H41" s="88" t="s">
        <v>82</v>
      </c>
      <c r="I41" s="113"/>
      <c r="J41" s="114">
        <v>60.0</v>
      </c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6"/>
      <c r="AK41" s="6"/>
      <c r="AL41" s="6"/>
      <c r="AM41" s="6"/>
    </row>
    <row r="42" ht="18.0" customHeight="1">
      <c r="A42" s="108"/>
      <c r="B42" s="109"/>
      <c r="C42" s="116" t="s">
        <v>121</v>
      </c>
      <c r="D42" s="110" t="s">
        <v>122</v>
      </c>
      <c r="E42" s="111">
        <v>350000.0</v>
      </c>
      <c r="F42" s="115">
        <v>350000.0</v>
      </c>
      <c r="G42" s="87" t="s">
        <v>110</v>
      </c>
      <c r="H42" s="117" t="s">
        <v>123</v>
      </c>
      <c r="I42" s="118">
        <v>1.0</v>
      </c>
      <c r="J42" s="119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6"/>
      <c r="AK42" s="6"/>
      <c r="AL42" s="6"/>
      <c r="AM42" s="6"/>
    </row>
    <row r="43">
      <c r="A43" s="108"/>
      <c r="B43" s="109"/>
      <c r="C43" s="116" t="s">
        <v>124</v>
      </c>
      <c r="D43" s="110" t="s">
        <v>106</v>
      </c>
      <c r="E43" s="111">
        <v>49990.0</v>
      </c>
      <c r="F43" s="112">
        <f>E43*2</f>
        <v>99980</v>
      </c>
      <c r="G43" s="87" t="s">
        <v>110</v>
      </c>
      <c r="H43" s="88" t="s">
        <v>82</v>
      </c>
      <c r="I43" s="120">
        <v>2.0</v>
      </c>
      <c r="J43" s="119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6"/>
      <c r="AK43" s="6"/>
      <c r="AL43" s="6"/>
      <c r="AM43" s="6"/>
    </row>
    <row r="44" ht="20.25" customHeight="1">
      <c r="A44" s="108"/>
      <c r="B44" s="109"/>
      <c r="C44" s="121" t="s">
        <v>125</v>
      </c>
      <c r="D44" s="122" t="s">
        <v>122</v>
      </c>
      <c r="E44" s="123">
        <v>49999.0</v>
      </c>
      <c r="F44" s="124">
        <f>E44</f>
        <v>49999</v>
      </c>
      <c r="G44" s="84" t="s">
        <v>99</v>
      </c>
      <c r="H44" s="88" t="s">
        <v>82</v>
      </c>
      <c r="I44" s="125"/>
      <c r="J44" s="126">
        <v>1.0</v>
      </c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6"/>
      <c r="AK44" s="6"/>
      <c r="AL44" s="6"/>
      <c r="AM44" s="6"/>
    </row>
    <row r="45" ht="15.75" customHeight="1">
      <c r="A45" s="127" t="s">
        <v>126</v>
      </c>
      <c r="B45" s="128"/>
      <c r="C45" s="129" t="s">
        <v>127</v>
      </c>
      <c r="D45" s="130"/>
      <c r="E45" s="131"/>
      <c r="F45" s="132"/>
      <c r="G45" s="133"/>
      <c r="H45" s="133"/>
      <c r="I45" s="134"/>
      <c r="J45" s="134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6"/>
      <c r="AK45" s="6"/>
      <c r="AL45" s="6"/>
      <c r="AM45" s="6"/>
    </row>
    <row r="46" ht="16.5" customHeight="1">
      <c r="A46" s="40"/>
      <c r="B46" s="135"/>
      <c r="C46" s="77" t="s">
        <v>128</v>
      </c>
      <c r="D46" s="86" t="s">
        <v>129</v>
      </c>
      <c r="E46" s="67">
        <v>8000.0</v>
      </c>
      <c r="F46" s="66">
        <f>E46*40</f>
        <v>320000</v>
      </c>
      <c r="G46" s="87" t="s">
        <v>110</v>
      </c>
      <c r="H46" s="85" t="s">
        <v>130</v>
      </c>
      <c r="I46" s="136">
        <v>40.0</v>
      </c>
      <c r="J46" s="137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99"/>
      <c r="AK46" s="99"/>
      <c r="AL46" s="6"/>
      <c r="AM46" s="6"/>
    </row>
    <row r="47">
      <c r="A47" s="40"/>
      <c r="B47" s="138"/>
      <c r="C47" s="139" t="s">
        <v>131</v>
      </c>
      <c r="D47" s="140" t="s">
        <v>132</v>
      </c>
      <c r="E47" s="141">
        <v>6500.0</v>
      </c>
      <c r="F47" s="66">
        <f>20*6500</f>
        <v>130000</v>
      </c>
      <c r="G47" s="87" t="s">
        <v>110</v>
      </c>
      <c r="H47" s="85" t="s">
        <v>130</v>
      </c>
      <c r="I47" s="136">
        <v>20.0</v>
      </c>
      <c r="J47" s="137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99"/>
      <c r="AK47" s="99"/>
      <c r="AL47" s="6"/>
      <c r="AM47" s="6"/>
    </row>
    <row r="48">
      <c r="A48" s="40"/>
      <c r="B48" s="135"/>
      <c r="C48" s="142" t="s">
        <v>133</v>
      </c>
      <c r="D48" s="140" t="s">
        <v>132</v>
      </c>
      <c r="E48" s="141">
        <v>2000.0</v>
      </c>
      <c r="F48" s="66">
        <f>2000*20</f>
        <v>40000</v>
      </c>
      <c r="G48" s="87" t="s">
        <v>110</v>
      </c>
      <c r="H48" s="143" t="s">
        <v>130</v>
      </c>
      <c r="I48" s="136">
        <v>20.0</v>
      </c>
      <c r="J48" s="137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99"/>
      <c r="AK48" s="99"/>
      <c r="AL48" s="6"/>
      <c r="AM48" s="6"/>
    </row>
    <row r="49">
      <c r="A49" s="40"/>
      <c r="B49" s="135"/>
      <c r="C49" s="77" t="s">
        <v>134</v>
      </c>
      <c r="D49" s="144" t="s">
        <v>122</v>
      </c>
      <c r="E49" s="141">
        <v>3500.0</v>
      </c>
      <c r="F49" s="66">
        <f t="shared" ref="F49:F50" si="5">30*E49</f>
        <v>105000</v>
      </c>
      <c r="G49" s="145" t="s">
        <v>135</v>
      </c>
      <c r="H49" s="85" t="s">
        <v>136</v>
      </c>
      <c r="I49" s="86"/>
      <c r="J49" s="107">
        <v>30.0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99"/>
      <c r="AK49" s="99"/>
      <c r="AL49" s="6"/>
      <c r="AM49" s="6"/>
    </row>
    <row r="50" ht="15.75" customHeight="1">
      <c r="A50" s="40"/>
      <c r="B50" s="135"/>
      <c r="C50" s="142" t="s">
        <v>137</v>
      </c>
      <c r="D50" s="73"/>
      <c r="E50" s="141">
        <v>3500.0</v>
      </c>
      <c r="F50" s="66">
        <f t="shared" si="5"/>
        <v>105000</v>
      </c>
      <c r="G50" s="72"/>
      <c r="H50" s="73"/>
      <c r="I50" s="86"/>
      <c r="J50" s="107">
        <v>30.0</v>
      </c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99"/>
      <c r="AK50" s="99"/>
      <c r="AL50" s="6"/>
      <c r="AM50" s="6"/>
    </row>
    <row r="51" ht="15.75" customHeight="1">
      <c r="A51" s="40"/>
      <c r="B51" s="135"/>
      <c r="C51" s="146" t="s">
        <v>138</v>
      </c>
      <c r="D51" s="46" t="s">
        <v>122</v>
      </c>
      <c r="E51" s="147">
        <v>2000.0</v>
      </c>
      <c r="F51" s="66">
        <f>2000*20</f>
        <v>40000</v>
      </c>
      <c r="G51" s="46" t="s">
        <v>110</v>
      </c>
      <c r="H51" s="47" t="s">
        <v>82</v>
      </c>
      <c r="I51" s="148">
        <v>20.0</v>
      </c>
      <c r="J51" s="137"/>
      <c r="K51" s="106"/>
      <c r="L51" s="106"/>
      <c r="M51" s="106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06"/>
      <c r="AB51" s="106"/>
      <c r="AC51" s="106"/>
      <c r="AD51" s="106"/>
      <c r="AE51" s="106"/>
      <c r="AF51" s="106"/>
      <c r="AG51" s="106"/>
      <c r="AH51" s="106"/>
      <c r="AI51" s="106"/>
      <c r="AJ51" s="99"/>
      <c r="AK51" s="99"/>
      <c r="AL51" s="6"/>
      <c r="AM51" s="6"/>
    </row>
    <row r="52" ht="15.75" customHeight="1">
      <c r="A52" s="55"/>
      <c r="B52" s="61"/>
      <c r="C52" s="150" t="s">
        <v>139</v>
      </c>
      <c r="D52" s="57"/>
      <c r="E52" s="65">
        <v>500.0</v>
      </c>
      <c r="F52" s="66">
        <f>500*15</f>
        <v>7500</v>
      </c>
      <c r="G52" s="57"/>
      <c r="H52" s="59"/>
      <c r="I52" s="151">
        <v>20.0</v>
      </c>
      <c r="J52" s="152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4"/>
      <c r="AI52" s="106"/>
      <c r="AJ52" s="99"/>
      <c r="AK52" s="99"/>
      <c r="AL52" s="6"/>
      <c r="AM52" s="6"/>
    </row>
    <row r="53" ht="15.75" customHeight="1">
      <c r="A53" s="55"/>
      <c r="B53" s="61"/>
      <c r="C53" s="150" t="s">
        <v>140</v>
      </c>
      <c r="D53" s="57"/>
      <c r="E53" s="65">
        <v>500.0</v>
      </c>
      <c r="F53" s="66">
        <f>24*E53</f>
        <v>12000</v>
      </c>
      <c r="G53" s="57"/>
      <c r="H53" s="59"/>
      <c r="I53" s="151">
        <v>24.0</v>
      </c>
      <c r="J53" s="152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4"/>
      <c r="AI53" s="106"/>
      <c r="AJ53" s="99"/>
      <c r="AK53" s="99"/>
      <c r="AL53" s="6"/>
      <c r="AM53" s="6"/>
    </row>
    <row r="54" ht="15.75" customHeight="1">
      <c r="A54" s="55"/>
      <c r="B54" s="61"/>
      <c r="C54" s="150" t="s">
        <v>141</v>
      </c>
      <c r="D54" s="57"/>
      <c r="E54" s="65">
        <v>2500.0</v>
      </c>
      <c r="F54" s="66">
        <f>12*E54</f>
        <v>30000</v>
      </c>
      <c r="G54" s="57"/>
      <c r="H54" s="59"/>
      <c r="I54" s="151">
        <v>12.0</v>
      </c>
      <c r="J54" s="152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4"/>
      <c r="AI54" s="106"/>
      <c r="AJ54" s="99"/>
      <c r="AK54" s="99"/>
      <c r="AL54" s="6"/>
      <c r="AM54" s="6"/>
    </row>
    <row r="55">
      <c r="A55" s="55"/>
      <c r="B55" s="61"/>
      <c r="C55" s="155" t="s">
        <v>142</v>
      </c>
      <c r="D55" s="57"/>
      <c r="E55" s="65">
        <v>300.0</v>
      </c>
      <c r="F55" s="66">
        <f>300*50</f>
        <v>15000</v>
      </c>
      <c r="G55" s="57"/>
      <c r="H55" s="59"/>
      <c r="I55" s="151">
        <v>50.0</v>
      </c>
      <c r="J55" s="152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4"/>
      <c r="AI55" s="106"/>
      <c r="AJ55" s="99"/>
      <c r="AK55" s="99"/>
      <c r="AL55" s="6"/>
      <c r="AM55" s="6"/>
    </row>
    <row r="56">
      <c r="A56" s="55"/>
      <c r="B56" s="61"/>
      <c r="C56" s="155" t="s">
        <v>143</v>
      </c>
      <c r="D56" s="57"/>
      <c r="E56" s="65">
        <v>300.0</v>
      </c>
      <c r="F56" s="66">
        <f>50*300</f>
        <v>15000</v>
      </c>
      <c r="G56" s="57"/>
      <c r="H56" s="59"/>
      <c r="I56" s="151">
        <v>50.0</v>
      </c>
      <c r="J56" s="152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4"/>
      <c r="AI56" s="106"/>
      <c r="AJ56" s="99"/>
      <c r="AK56" s="99"/>
      <c r="AL56" s="6"/>
      <c r="AM56" s="6"/>
    </row>
    <row r="57">
      <c r="A57" s="55"/>
      <c r="B57" s="61"/>
      <c r="C57" s="155" t="s">
        <v>144</v>
      </c>
      <c r="D57" s="57"/>
      <c r="E57" s="65">
        <v>1000.0</v>
      </c>
      <c r="F57" s="66">
        <f t="shared" ref="F57:F58" si="6">E57*15</f>
        <v>15000</v>
      </c>
      <c r="G57" s="57"/>
      <c r="H57" s="59"/>
      <c r="I57" s="151">
        <v>10.0</v>
      </c>
      <c r="J57" s="152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4"/>
      <c r="AI57" s="106"/>
      <c r="AJ57" s="99"/>
      <c r="AK57" s="99"/>
      <c r="AL57" s="6"/>
      <c r="AM57" s="6"/>
    </row>
    <row r="58">
      <c r="A58" s="55"/>
      <c r="B58" s="61"/>
      <c r="C58" s="155" t="s">
        <v>145</v>
      </c>
      <c r="D58" s="57"/>
      <c r="E58" s="65">
        <v>500.0</v>
      </c>
      <c r="F58" s="66">
        <f t="shared" si="6"/>
        <v>7500</v>
      </c>
      <c r="G58" s="57"/>
      <c r="H58" s="59"/>
      <c r="I58" s="151">
        <v>10.0</v>
      </c>
      <c r="J58" s="152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4"/>
      <c r="AI58" s="106"/>
      <c r="AJ58" s="99"/>
      <c r="AK58" s="99"/>
      <c r="AL58" s="6"/>
      <c r="AM58" s="6"/>
    </row>
    <row r="59" ht="15.75" customHeight="1">
      <c r="A59" s="55"/>
      <c r="B59" s="61"/>
      <c r="C59" s="150" t="s">
        <v>146</v>
      </c>
      <c r="D59" s="57"/>
      <c r="E59" s="65">
        <v>200.0</v>
      </c>
      <c r="F59" s="66">
        <f t="shared" ref="F59:F61" si="7">E59*10</f>
        <v>2000</v>
      </c>
      <c r="G59" s="57"/>
      <c r="H59" s="59"/>
      <c r="I59" s="151">
        <v>10.0</v>
      </c>
      <c r="J59" s="152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4"/>
      <c r="AI59" s="106"/>
      <c r="AJ59" s="99"/>
      <c r="AK59" s="99"/>
      <c r="AL59" s="6"/>
      <c r="AM59" s="6"/>
    </row>
    <row r="60" ht="15.75" customHeight="1">
      <c r="A60" s="55"/>
      <c r="B60" s="61"/>
      <c r="C60" s="150" t="s">
        <v>147</v>
      </c>
      <c r="D60" s="57"/>
      <c r="E60" s="65">
        <v>300.0</v>
      </c>
      <c r="F60" s="66">
        <f t="shared" si="7"/>
        <v>3000</v>
      </c>
      <c r="G60" s="57"/>
      <c r="H60" s="59"/>
      <c r="I60" s="151">
        <v>10.0</v>
      </c>
      <c r="J60" s="152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4"/>
      <c r="AI60" s="106"/>
      <c r="AJ60" s="99"/>
      <c r="AK60" s="99"/>
      <c r="AL60" s="6"/>
      <c r="AM60" s="6"/>
    </row>
    <row r="61">
      <c r="A61" s="55"/>
      <c r="B61" s="61"/>
      <c r="C61" s="156" t="s">
        <v>148</v>
      </c>
      <c r="D61" s="57"/>
      <c r="E61" s="65">
        <v>400.0</v>
      </c>
      <c r="F61" s="66">
        <f t="shared" si="7"/>
        <v>4000</v>
      </c>
      <c r="G61" s="57"/>
      <c r="H61" s="59"/>
      <c r="I61" s="151">
        <v>10.0</v>
      </c>
      <c r="J61" s="152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4"/>
      <c r="AI61" s="106"/>
      <c r="AJ61" s="99"/>
      <c r="AK61" s="99"/>
      <c r="AL61" s="6"/>
      <c r="AM61" s="6"/>
    </row>
    <row r="62" ht="15.75" customHeight="1">
      <c r="A62" s="55"/>
      <c r="B62" s="61"/>
      <c r="C62" s="150" t="s">
        <v>149</v>
      </c>
      <c r="D62" s="57"/>
      <c r="E62" s="65">
        <v>500.0</v>
      </c>
      <c r="F62" s="66">
        <f>500*100</f>
        <v>50000</v>
      </c>
      <c r="G62" s="57"/>
      <c r="H62" s="59"/>
      <c r="I62" s="151">
        <v>100.0</v>
      </c>
      <c r="J62" s="152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4"/>
      <c r="AI62" s="106"/>
      <c r="AJ62" s="99"/>
      <c r="AK62" s="99"/>
      <c r="AL62" s="6"/>
      <c r="AM62" s="6"/>
    </row>
    <row r="63" ht="15.75" customHeight="1">
      <c r="A63" s="55"/>
      <c r="B63" s="61"/>
      <c r="C63" s="157" t="s">
        <v>150</v>
      </c>
      <c r="D63" s="57"/>
      <c r="E63" s="65">
        <v>500.0</v>
      </c>
      <c r="F63" s="66">
        <f>500*50</f>
        <v>25000</v>
      </c>
      <c r="G63" s="57"/>
      <c r="H63" s="59"/>
      <c r="I63" s="151">
        <v>50.0</v>
      </c>
      <c r="J63" s="152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4"/>
      <c r="AI63" s="106"/>
      <c r="AJ63" s="99"/>
      <c r="AK63" s="99"/>
      <c r="AL63" s="6"/>
      <c r="AM63" s="6"/>
    </row>
    <row r="64" ht="15.75" customHeight="1">
      <c r="A64" s="55"/>
      <c r="B64" s="61"/>
      <c r="C64" s="150" t="s">
        <v>151</v>
      </c>
      <c r="D64" s="57"/>
      <c r="E64" s="65">
        <v>2000.0</v>
      </c>
      <c r="F64" s="66">
        <f>2000*10</f>
        <v>20000</v>
      </c>
      <c r="G64" s="57"/>
      <c r="H64" s="59"/>
      <c r="I64" s="151">
        <v>10.0</v>
      </c>
      <c r="J64" s="152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4"/>
      <c r="AI64" s="106"/>
      <c r="AJ64" s="99"/>
      <c r="AK64" s="99"/>
      <c r="AL64" s="6"/>
      <c r="AM64" s="6"/>
    </row>
    <row r="65" ht="15.75" customHeight="1">
      <c r="A65" s="55"/>
      <c r="B65" s="61"/>
      <c r="C65" s="150" t="s">
        <v>152</v>
      </c>
      <c r="D65" s="57"/>
      <c r="E65" s="65">
        <v>400.0</v>
      </c>
      <c r="F65" s="158">
        <f>50*400</f>
        <v>20000</v>
      </c>
      <c r="G65" s="57"/>
      <c r="H65" s="59"/>
      <c r="I65" s="151">
        <v>50.0</v>
      </c>
      <c r="J65" s="152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4"/>
      <c r="AI65" s="106"/>
      <c r="AJ65" s="99"/>
      <c r="AK65" s="99"/>
      <c r="AL65" s="6"/>
      <c r="AM65" s="6"/>
    </row>
    <row r="66" ht="15.75" customHeight="1">
      <c r="A66" s="55"/>
      <c r="B66" s="61"/>
      <c r="C66" s="150" t="s">
        <v>153</v>
      </c>
      <c r="D66" s="57"/>
      <c r="E66" s="65">
        <v>500.0</v>
      </c>
      <c r="F66" s="158">
        <f>25*500</f>
        <v>12500</v>
      </c>
      <c r="G66" s="57"/>
      <c r="H66" s="59"/>
      <c r="I66" s="151">
        <v>25.0</v>
      </c>
      <c r="J66" s="152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4"/>
      <c r="AI66" s="106"/>
      <c r="AJ66" s="99"/>
      <c r="AK66" s="99"/>
      <c r="AL66" s="6"/>
      <c r="AM66" s="6"/>
    </row>
    <row r="67" ht="15.75" customHeight="1">
      <c r="A67" s="55"/>
      <c r="B67" s="61"/>
      <c r="C67" s="150" t="s">
        <v>154</v>
      </c>
      <c r="D67" s="57"/>
      <c r="E67" s="65">
        <v>4000.0</v>
      </c>
      <c r="F67" s="158">
        <f>E67*5</f>
        <v>20000</v>
      </c>
      <c r="G67" s="57"/>
      <c r="H67" s="59"/>
      <c r="I67" s="151">
        <v>5.0</v>
      </c>
      <c r="J67" s="152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4"/>
      <c r="AI67" s="106"/>
      <c r="AJ67" s="99"/>
      <c r="AK67" s="99"/>
      <c r="AL67" s="6"/>
      <c r="AM67" s="6"/>
    </row>
    <row r="68" ht="15.75" customHeight="1">
      <c r="A68" s="55"/>
      <c r="B68" s="61"/>
      <c r="C68" s="150" t="s">
        <v>155</v>
      </c>
      <c r="D68" s="72"/>
      <c r="E68" s="65">
        <f>2000</f>
        <v>2000</v>
      </c>
      <c r="F68" s="158">
        <f>2000*3</f>
        <v>6000</v>
      </c>
      <c r="G68" s="72"/>
      <c r="H68" s="73"/>
      <c r="I68" s="151">
        <v>3.0</v>
      </c>
      <c r="J68" s="152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4"/>
      <c r="AI68" s="106"/>
      <c r="AJ68" s="99"/>
      <c r="AK68" s="99"/>
      <c r="AL68" s="6"/>
      <c r="AM68" s="6"/>
    </row>
    <row r="69" ht="15.75" customHeight="1">
      <c r="A69" s="55"/>
      <c r="B69" s="61"/>
      <c r="C69" s="150" t="s">
        <v>156</v>
      </c>
      <c r="D69" s="159" t="s">
        <v>157</v>
      </c>
      <c r="E69" s="65">
        <v>40000.0</v>
      </c>
      <c r="F69" s="158">
        <v>40000.0</v>
      </c>
      <c r="G69" s="84" t="s">
        <v>99</v>
      </c>
      <c r="H69" s="160" t="s">
        <v>82</v>
      </c>
      <c r="I69" s="70">
        <v>1.0</v>
      </c>
      <c r="J69" s="152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4"/>
      <c r="AI69" s="106"/>
      <c r="AJ69" s="99"/>
      <c r="AK69" s="99"/>
      <c r="AL69" s="6"/>
      <c r="AM69" s="6"/>
    </row>
    <row r="70">
      <c r="A70" s="55"/>
      <c r="B70" s="61"/>
      <c r="C70" s="155" t="s">
        <v>158</v>
      </c>
      <c r="D70" s="159" t="s">
        <v>122</v>
      </c>
      <c r="E70" s="65">
        <v>10000.0</v>
      </c>
      <c r="F70" s="158">
        <v>10000.0</v>
      </c>
      <c r="G70" s="46" t="s">
        <v>110</v>
      </c>
      <c r="H70" s="144" t="s">
        <v>82</v>
      </c>
      <c r="I70" s="161">
        <v>1.0</v>
      </c>
      <c r="J70" s="152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4"/>
      <c r="AI70" s="106"/>
      <c r="AJ70" s="99"/>
      <c r="AK70" s="99"/>
      <c r="AL70" s="6"/>
      <c r="AM70" s="6"/>
    </row>
    <row r="71" ht="15.75" customHeight="1">
      <c r="A71" s="55"/>
      <c r="B71" s="61"/>
      <c r="C71" s="150" t="s">
        <v>159</v>
      </c>
      <c r="D71" s="57"/>
      <c r="E71" s="65">
        <v>1500.0</v>
      </c>
      <c r="F71" s="66">
        <f>1500*10</f>
        <v>15000</v>
      </c>
      <c r="G71" s="57"/>
      <c r="H71" s="59"/>
      <c r="I71" s="161">
        <v>5.0</v>
      </c>
      <c r="J71" s="152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4"/>
      <c r="AI71" s="106"/>
      <c r="AJ71" s="99"/>
      <c r="AK71" s="99"/>
      <c r="AL71" s="6"/>
      <c r="AM71" s="6"/>
    </row>
    <row r="72" ht="15.75" customHeight="1">
      <c r="A72" s="55"/>
      <c r="B72" s="61"/>
      <c r="C72" s="150" t="s">
        <v>160</v>
      </c>
      <c r="D72" s="57"/>
      <c r="E72" s="65">
        <v>4000.0</v>
      </c>
      <c r="F72" s="66">
        <f>4000*10</f>
        <v>40000</v>
      </c>
      <c r="G72" s="57"/>
      <c r="H72" s="59"/>
      <c r="I72" s="161">
        <v>10.0</v>
      </c>
      <c r="J72" s="152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4"/>
      <c r="AI72" s="106"/>
      <c r="AJ72" s="99"/>
      <c r="AK72" s="99"/>
      <c r="AL72" s="6"/>
      <c r="AM72" s="6"/>
    </row>
    <row r="73" ht="15.75" customHeight="1">
      <c r="A73" s="55"/>
      <c r="B73" s="61"/>
      <c r="C73" s="150" t="s">
        <v>161</v>
      </c>
      <c r="D73" s="57"/>
      <c r="E73" s="65">
        <v>3000.0</v>
      </c>
      <c r="F73" s="66">
        <f>8*3000</f>
        <v>24000</v>
      </c>
      <c r="G73" s="57"/>
      <c r="H73" s="59"/>
      <c r="I73" s="161">
        <v>8.0</v>
      </c>
      <c r="J73" s="152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4"/>
      <c r="AI73" s="106"/>
      <c r="AJ73" s="99"/>
      <c r="AK73" s="99"/>
      <c r="AL73" s="6"/>
      <c r="AM73" s="6"/>
    </row>
    <row r="74" ht="15.75" customHeight="1">
      <c r="A74" s="55"/>
      <c r="B74" s="61"/>
      <c r="C74" s="150" t="s">
        <v>162</v>
      </c>
      <c r="D74" s="57"/>
      <c r="E74" s="65">
        <v>3500.0</v>
      </c>
      <c r="F74" s="66">
        <f>30*E74</f>
        <v>105000</v>
      </c>
      <c r="G74" s="57"/>
      <c r="H74" s="59"/>
      <c r="I74" s="161">
        <v>30.0</v>
      </c>
      <c r="J74" s="152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4"/>
      <c r="AI74" s="106"/>
      <c r="AJ74" s="99"/>
      <c r="AK74" s="99"/>
      <c r="AL74" s="6"/>
      <c r="AM74" s="6"/>
    </row>
    <row r="75" ht="15.75" customHeight="1">
      <c r="A75" s="55"/>
      <c r="B75" s="61"/>
      <c r="C75" s="150" t="s">
        <v>163</v>
      </c>
      <c r="D75" s="57"/>
      <c r="E75" s="65">
        <v>1500.0</v>
      </c>
      <c r="F75" s="66">
        <f>1500*5</f>
        <v>7500</v>
      </c>
      <c r="G75" s="57"/>
      <c r="H75" s="59"/>
      <c r="I75" s="161">
        <v>5.0</v>
      </c>
      <c r="J75" s="152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4"/>
      <c r="AI75" s="106"/>
      <c r="AJ75" s="99"/>
      <c r="AK75" s="99"/>
      <c r="AL75" s="6"/>
      <c r="AM75" s="6"/>
    </row>
    <row r="76" ht="15.75" customHeight="1">
      <c r="A76" s="55"/>
      <c r="B76" s="61"/>
      <c r="C76" s="150" t="s">
        <v>164</v>
      </c>
      <c r="D76" s="57"/>
      <c r="E76" s="65">
        <v>1000.0</v>
      </c>
      <c r="F76" s="66">
        <f>1000*5</f>
        <v>5000</v>
      </c>
      <c r="G76" s="57"/>
      <c r="H76" s="59"/>
      <c r="I76" s="161">
        <v>5.0</v>
      </c>
      <c r="J76" s="152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4"/>
      <c r="AI76" s="106"/>
      <c r="AJ76" s="99"/>
      <c r="AK76" s="99"/>
      <c r="AL76" s="6"/>
      <c r="AM76" s="6"/>
    </row>
    <row r="77">
      <c r="A77" s="55"/>
      <c r="B77" s="61"/>
      <c r="C77" s="162" t="s">
        <v>165</v>
      </c>
      <c r="D77" s="57"/>
      <c r="E77" s="65">
        <f>10000</f>
        <v>10000</v>
      </c>
      <c r="F77" s="66">
        <f>10000*3</f>
        <v>30000</v>
      </c>
      <c r="G77" s="57"/>
      <c r="H77" s="73"/>
      <c r="I77" s="161">
        <v>3.0</v>
      </c>
      <c r="J77" s="152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4"/>
      <c r="AI77" s="106"/>
      <c r="AJ77" s="99"/>
      <c r="AK77" s="99"/>
      <c r="AL77" s="6"/>
      <c r="AM77" s="6"/>
    </row>
    <row r="78">
      <c r="A78" s="55"/>
      <c r="B78" s="61"/>
      <c r="C78" s="162" t="s">
        <v>166</v>
      </c>
      <c r="D78" s="72"/>
      <c r="E78" s="65">
        <v>30000.0</v>
      </c>
      <c r="F78" s="158">
        <v>30000.0</v>
      </c>
      <c r="G78" s="72"/>
      <c r="H78" s="160" t="s">
        <v>82</v>
      </c>
      <c r="I78" s="161">
        <v>1.0</v>
      </c>
      <c r="J78" s="152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4"/>
      <c r="AI78" s="106"/>
      <c r="AJ78" s="99"/>
      <c r="AK78" s="99"/>
      <c r="AL78" s="6"/>
      <c r="AM78" s="6"/>
    </row>
    <row r="79">
      <c r="A79" s="40"/>
      <c r="B79" s="61"/>
      <c r="C79" s="162" t="s">
        <v>167</v>
      </c>
      <c r="D79" s="143" t="s">
        <v>168</v>
      </c>
      <c r="E79" s="67">
        <v>40000.0</v>
      </c>
      <c r="F79" s="66">
        <f>E79*3</f>
        <v>120000</v>
      </c>
      <c r="G79" s="140" t="s">
        <v>110</v>
      </c>
      <c r="H79" s="140" t="s">
        <v>169</v>
      </c>
      <c r="I79" s="163">
        <v>3.0</v>
      </c>
      <c r="J79" s="137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99"/>
      <c r="AK79" s="99"/>
      <c r="AL79" s="6"/>
      <c r="AM79" s="6"/>
    </row>
    <row r="80" ht="15.75" customHeight="1">
      <c r="A80" s="127" t="s">
        <v>170</v>
      </c>
      <c r="B80" s="164"/>
      <c r="C80" s="165" t="s">
        <v>171</v>
      </c>
      <c r="D80" s="130"/>
      <c r="E80" s="131"/>
      <c r="F80" s="132"/>
      <c r="G80" s="133"/>
      <c r="H80" s="133"/>
      <c r="I80" s="134"/>
      <c r="J80" s="134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6"/>
      <c r="AK80" s="6"/>
      <c r="AL80" s="6"/>
      <c r="AM80" s="6"/>
    </row>
    <row r="81">
      <c r="A81" s="166"/>
      <c r="B81" s="88"/>
      <c r="C81" s="167" t="s">
        <v>172</v>
      </c>
      <c r="D81" s="122" t="s">
        <v>173</v>
      </c>
      <c r="E81" s="168">
        <v>650.0</v>
      </c>
      <c r="F81" s="124">
        <f t="shared" ref="F81:F85" si="8">15*E81</f>
        <v>9750</v>
      </c>
      <c r="G81" s="169" t="s">
        <v>135</v>
      </c>
      <c r="H81" s="46" t="s">
        <v>174</v>
      </c>
      <c r="I81" s="170"/>
      <c r="J81" s="171">
        <v>15.0</v>
      </c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6"/>
      <c r="AK81" s="6"/>
      <c r="AL81" s="6"/>
      <c r="AM81" s="6"/>
    </row>
    <row r="82">
      <c r="A82" s="173"/>
      <c r="B82" s="88"/>
      <c r="C82" s="167" t="s">
        <v>175</v>
      </c>
      <c r="D82" s="122" t="s">
        <v>173</v>
      </c>
      <c r="E82" s="168">
        <v>600.0</v>
      </c>
      <c r="F82" s="174">
        <f t="shared" si="8"/>
        <v>9000</v>
      </c>
      <c r="G82" s="169" t="s">
        <v>135</v>
      </c>
      <c r="H82" s="57"/>
      <c r="I82" s="175"/>
      <c r="J82" s="176">
        <v>15.0</v>
      </c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6"/>
      <c r="AK82" s="6"/>
      <c r="AL82" s="6"/>
      <c r="AM82" s="6"/>
    </row>
    <row r="83">
      <c r="A83" s="173"/>
      <c r="B83" s="88"/>
      <c r="C83" s="167" t="s">
        <v>176</v>
      </c>
      <c r="D83" s="122" t="s">
        <v>173</v>
      </c>
      <c r="E83" s="168">
        <v>1100.0</v>
      </c>
      <c r="F83" s="174">
        <f t="shared" si="8"/>
        <v>16500</v>
      </c>
      <c r="G83" s="169" t="s">
        <v>135</v>
      </c>
      <c r="H83" s="57"/>
      <c r="I83" s="175"/>
      <c r="J83" s="176">
        <v>15.0</v>
      </c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6"/>
      <c r="AK83" s="6"/>
      <c r="AL83" s="6"/>
      <c r="AM83" s="6"/>
    </row>
    <row r="84">
      <c r="A84" s="173"/>
      <c r="B84" s="88"/>
      <c r="C84" s="167" t="s">
        <v>177</v>
      </c>
      <c r="D84" s="122" t="s">
        <v>173</v>
      </c>
      <c r="E84" s="168">
        <v>650.0</v>
      </c>
      <c r="F84" s="174">
        <f t="shared" si="8"/>
        <v>9750</v>
      </c>
      <c r="G84" s="169" t="s">
        <v>135</v>
      </c>
      <c r="H84" s="57"/>
      <c r="I84" s="175"/>
      <c r="J84" s="176">
        <v>15.0</v>
      </c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6"/>
      <c r="AK84" s="6"/>
      <c r="AL84" s="6"/>
      <c r="AM84" s="6"/>
    </row>
    <row r="85">
      <c r="A85" s="173"/>
      <c r="B85" s="88"/>
      <c r="C85" s="167" t="s">
        <v>178</v>
      </c>
      <c r="D85" s="122" t="s">
        <v>173</v>
      </c>
      <c r="E85" s="168">
        <v>1100.0</v>
      </c>
      <c r="F85" s="174">
        <f t="shared" si="8"/>
        <v>16500</v>
      </c>
      <c r="G85" s="169" t="s">
        <v>135</v>
      </c>
      <c r="H85" s="72"/>
      <c r="I85" s="175"/>
      <c r="J85" s="176">
        <v>15.0</v>
      </c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6"/>
      <c r="AK85" s="6"/>
      <c r="AL85" s="6"/>
      <c r="AM85" s="6"/>
    </row>
    <row r="86">
      <c r="A86" s="173"/>
      <c r="B86" s="88"/>
      <c r="C86" s="178" t="s">
        <v>179</v>
      </c>
      <c r="D86" s="169" t="s">
        <v>173</v>
      </c>
      <c r="E86" s="179">
        <v>3000.0</v>
      </c>
      <c r="F86" s="174">
        <f>E86*15</f>
        <v>45000</v>
      </c>
      <c r="G86" s="169" t="s">
        <v>135</v>
      </c>
      <c r="H86" s="122" t="s">
        <v>174</v>
      </c>
      <c r="I86" s="175"/>
      <c r="J86" s="176">
        <v>15.0</v>
      </c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6"/>
      <c r="AK86" s="6"/>
      <c r="AL86" s="6"/>
      <c r="AM86" s="6"/>
    </row>
    <row r="87">
      <c r="A87" s="173"/>
      <c r="B87" s="88"/>
      <c r="C87" s="180" t="s">
        <v>180</v>
      </c>
      <c r="D87" s="84" t="s">
        <v>181</v>
      </c>
      <c r="E87" s="123">
        <v>2500.0</v>
      </c>
      <c r="F87" s="174">
        <f>2500*20</f>
        <v>50000</v>
      </c>
      <c r="G87" s="169" t="s">
        <v>135</v>
      </c>
      <c r="H87" s="122" t="s">
        <v>174</v>
      </c>
      <c r="I87" s="177"/>
      <c r="J87" s="181">
        <v>20.0</v>
      </c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99"/>
      <c r="AK87" s="99"/>
      <c r="AL87" s="99"/>
      <c r="AM87" s="99"/>
    </row>
    <row r="88">
      <c r="A88" s="173"/>
      <c r="B88" s="88"/>
      <c r="C88" s="178" t="s">
        <v>182</v>
      </c>
      <c r="D88" s="169" t="s">
        <v>122</v>
      </c>
      <c r="E88" s="179">
        <v>2000.0</v>
      </c>
      <c r="F88" s="182">
        <v>2000.0</v>
      </c>
      <c r="G88" s="169" t="s">
        <v>135</v>
      </c>
      <c r="H88" s="122" t="s">
        <v>174</v>
      </c>
      <c r="I88" s="177"/>
      <c r="J88" s="181">
        <v>1.0</v>
      </c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6"/>
      <c r="AK88" s="6"/>
      <c r="AL88" s="6"/>
      <c r="AM88" s="6"/>
    </row>
    <row r="89">
      <c r="A89" s="173"/>
      <c r="B89" s="88"/>
      <c r="C89" s="178" t="s">
        <v>183</v>
      </c>
      <c r="D89" s="169" t="s">
        <v>122</v>
      </c>
      <c r="E89" s="179">
        <v>30000.0</v>
      </c>
      <c r="F89" s="182">
        <v>30000.0</v>
      </c>
      <c r="G89" s="169" t="s">
        <v>135</v>
      </c>
      <c r="H89" s="122" t="s">
        <v>174</v>
      </c>
      <c r="I89" s="175"/>
      <c r="J89" s="183">
        <v>1.0</v>
      </c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6"/>
      <c r="AK89" s="6"/>
      <c r="AL89" s="6"/>
      <c r="AM89" s="6"/>
    </row>
    <row r="90">
      <c r="A90" s="173"/>
      <c r="B90" s="88"/>
      <c r="C90" s="184" t="s">
        <v>184</v>
      </c>
      <c r="D90" s="169" t="s">
        <v>173</v>
      </c>
      <c r="E90" s="179">
        <v>500.0</v>
      </c>
      <c r="F90" s="182">
        <f t="shared" ref="F90:F91" si="9">15*E90</f>
        <v>7500</v>
      </c>
      <c r="G90" s="169" t="s">
        <v>135</v>
      </c>
      <c r="H90" s="122" t="s">
        <v>174</v>
      </c>
      <c r="I90" s="175"/>
      <c r="J90" s="183">
        <v>15.0</v>
      </c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6"/>
      <c r="AK90" s="6"/>
      <c r="AL90" s="6"/>
      <c r="AM90" s="6"/>
    </row>
    <row r="91">
      <c r="A91" s="173"/>
      <c r="B91" s="88"/>
      <c r="C91" s="184" t="s">
        <v>185</v>
      </c>
      <c r="D91" s="169" t="s">
        <v>173</v>
      </c>
      <c r="E91" s="179">
        <v>500.0</v>
      </c>
      <c r="F91" s="182">
        <f t="shared" si="9"/>
        <v>7500</v>
      </c>
      <c r="G91" s="169" t="s">
        <v>135</v>
      </c>
      <c r="H91" s="122" t="s">
        <v>174</v>
      </c>
      <c r="I91" s="175"/>
      <c r="J91" s="183">
        <v>15.0</v>
      </c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6"/>
      <c r="AK91" s="6"/>
      <c r="AL91" s="6"/>
      <c r="AM91" s="6"/>
    </row>
    <row r="92">
      <c r="A92" s="173"/>
      <c r="B92" s="88"/>
      <c r="C92" s="178" t="s">
        <v>186</v>
      </c>
      <c r="D92" s="169" t="s">
        <v>187</v>
      </c>
      <c r="E92" s="179">
        <v>200.0</v>
      </c>
      <c r="F92" s="182">
        <f>E92*104</f>
        <v>20800</v>
      </c>
      <c r="G92" s="84" t="s">
        <v>99</v>
      </c>
      <c r="H92" s="140" t="s">
        <v>169</v>
      </c>
      <c r="I92" s="185">
        <v>104.0</v>
      </c>
      <c r="J92" s="186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6"/>
      <c r="AK92" s="6"/>
      <c r="AL92" s="6"/>
      <c r="AM92" s="6"/>
    </row>
    <row r="93">
      <c r="A93" s="173"/>
      <c r="B93" s="88"/>
      <c r="C93" s="178"/>
      <c r="D93" s="169"/>
      <c r="E93" s="179"/>
      <c r="F93" s="182"/>
      <c r="G93" s="169"/>
      <c r="H93" s="169"/>
      <c r="I93" s="175"/>
      <c r="J93" s="186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6"/>
      <c r="AK93" s="6"/>
      <c r="AL93" s="6"/>
      <c r="AM93" s="6"/>
    </row>
    <row r="94" ht="15.75" customHeight="1">
      <c r="A94" s="127"/>
      <c r="B94" s="164"/>
      <c r="C94" s="187" t="s">
        <v>188</v>
      </c>
      <c r="D94" s="130"/>
      <c r="E94" s="131"/>
      <c r="F94" s="132"/>
      <c r="G94" s="133"/>
      <c r="H94" s="133"/>
      <c r="I94" s="134"/>
      <c r="J94" s="134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2"/>
      <c r="AK94" s="2"/>
      <c r="AL94" s="2"/>
      <c r="AM94" s="2"/>
    </row>
    <row r="95">
      <c r="A95" s="173"/>
      <c r="B95" s="88"/>
      <c r="C95" s="178" t="s">
        <v>189</v>
      </c>
      <c r="D95" s="169" t="s">
        <v>190</v>
      </c>
      <c r="E95" s="179">
        <v>15000.0</v>
      </c>
      <c r="F95" s="182">
        <f>15000*3</f>
        <v>45000</v>
      </c>
      <c r="G95" s="140" t="s">
        <v>110</v>
      </c>
      <c r="H95" s="169" t="s">
        <v>136</v>
      </c>
      <c r="I95" s="175">
        <v>1.0</v>
      </c>
      <c r="J95" s="183">
        <v>1.0</v>
      </c>
      <c r="K95" s="188">
        <v>1.0</v>
      </c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2"/>
      <c r="AK95" s="2"/>
      <c r="AL95" s="2"/>
      <c r="AM95" s="2"/>
    </row>
    <row r="96">
      <c r="A96" s="173"/>
      <c r="B96" s="88"/>
      <c r="C96" s="189" t="s">
        <v>191</v>
      </c>
      <c r="D96" s="169" t="s">
        <v>190</v>
      </c>
      <c r="E96" s="179">
        <v>2000.0</v>
      </c>
      <c r="F96" s="182">
        <f>3*2000</f>
        <v>6000</v>
      </c>
      <c r="G96" s="190" t="s">
        <v>192</v>
      </c>
      <c r="H96" s="169" t="s">
        <v>136</v>
      </c>
      <c r="I96" s="175">
        <v>1.0</v>
      </c>
      <c r="J96" s="183">
        <v>1.0</v>
      </c>
      <c r="K96" s="188">
        <v>1.0</v>
      </c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2"/>
      <c r="AK96" s="2"/>
      <c r="AL96" s="2"/>
      <c r="AM96" s="2"/>
    </row>
    <row r="97" ht="15.75" customHeight="1">
      <c r="A97" s="127"/>
      <c r="B97" s="191"/>
      <c r="C97" s="165"/>
      <c r="D97" s="130"/>
      <c r="E97" s="131"/>
      <c r="F97" s="132"/>
      <c r="G97" s="133"/>
      <c r="H97" s="133"/>
      <c r="I97" s="134"/>
      <c r="J97" s="134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2"/>
      <c r="AK97" s="2"/>
      <c r="AL97" s="2"/>
      <c r="AM97" s="2"/>
    </row>
    <row r="98" ht="15.75" customHeight="1">
      <c r="A98" s="192"/>
      <c r="B98" s="193"/>
      <c r="C98" s="193"/>
      <c r="D98" s="2"/>
      <c r="E98" s="9"/>
      <c r="F98" s="10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194" t="s">
        <v>193</v>
      </c>
      <c r="B99" s="6"/>
      <c r="C99" s="6"/>
      <c r="D99" s="195">
        <f>SUM(F12:F97)</f>
        <v>2738029</v>
      </c>
      <c r="E99" s="196"/>
      <c r="F99" s="196"/>
      <c r="G99" s="11"/>
      <c r="H99" s="1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hidden="1" customHeight="1">
      <c r="A100" s="197" t="s">
        <v>194</v>
      </c>
      <c r="B100" s="198"/>
      <c r="C100" s="198"/>
      <c r="D100" s="199">
        <f>PRODUCT(D99,0.1)</f>
        <v>273802.9</v>
      </c>
      <c r="E100" s="200"/>
      <c r="F100" s="72"/>
      <c r="G100" s="11"/>
      <c r="H100" s="11"/>
      <c r="I100" s="201"/>
      <c r="K100" s="201"/>
      <c r="AH100" s="201"/>
      <c r="AI100" s="2"/>
      <c r="AJ100" s="2"/>
      <c r="AK100" s="2"/>
      <c r="AL100" s="2"/>
      <c r="AM100" s="2"/>
    </row>
    <row r="101" ht="15.75" hidden="1" customHeight="1">
      <c r="A101" s="149" t="s">
        <v>195</v>
      </c>
      <c r="B101" s="202"/>
      <c r="C101" s="202"/>
      <c r="D101" s="203">
        <f>PRODUCT(D99,0.1)</f>
        <v>273802.9</v>
      </c>
      <c r="E101" s="204"/>
      <c r="F101" s="205"/>
      <c r="G101" s="11"/>
      <c r="H101" s="11"/>
      <c r="I101" s="206"/>
      <c r="J101" s="206"/>
      <c r="K101" s="207"/>
      <c r="AH101" s="207"/>
      <c r="AI101" s="2"/>
      <c r="AJ101" s="2"/>
      <c r="AK101" s="2"/>
      <c r="AL101" s="2"/>
      <c r="AM101" s="2"/>
    </row>
    <row r="102" ht="15.75" hidden="1" customHeight="1">
      <c r="A102" s="149" t="s">
        <v>196</v>
      </c>
      <c r="B102" s="202"/>
      <c r="C102" s="202"/>
      <c r="D102" s="203">
        <f>SUM(D99:F101)</f>
        <v>3285634.8</v>
      </c>
      <c r="E102" s="204"/>
      <c r="F102" s="205"/>
      <c r="G102" s="11"/>
      <c r="H102" s="11"/>
      <c r="I102" s="206"/>
      <c r="J102" s="206"/>
      <c r="K102" s="207"/>
      <c r="AH102" s="207"/>
      <c r="AI102" s="2"/>
      <c r="AJ102" s="2"/>
      <c r="AK102" s="2"/>
      <c r="AL102" s="2"/>
      <c r="AM102" s="2"/>
    </row>
    <row r="103" ht="15.75" customHeight="1">
      <c r="A103" s="208"/>
      <c r="B103" s="6"/>
      <c r="C103" s="6"/>
      <c r="D103" s="2"/>
      <c r="E103" s="9"/>
      <c r="F103" s="10"/>
      <c r="G103" s="11"/>
      <c r="H103" s="11"/>
      <c r="I103" s="206"/>
      <c r="J103" s="206"/>
      <c r="K103" s="207"/>
      <c r="AH103" s="207"/>
      <c r="AI103" s="2"/>
      <c r="AJ103" s="2"/>
      <c r="AK103" s="2"/>
      <c r="AL103" s="2"/>
      <c r="AM103" s="2"/>
    </row>
    <row r="104" ht="15.75" customHeight="1">
      <c r="A104" s="209" t="s">
        <v>197</v>
      </c>
      <c r="B104" s="6"/>
      <c r="C104" s="6"/>
      <c r="D104" s="2"/>
      <c r="E104" s="9"/>
      <c r="F104" s="10"/>
      <c r="G104" s="11"/>
      <c r="H104" s="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99"/>
      <c r="B105" s="6"/>
      <c r="C105" s="6"/>
      <c r="D105" s="210"/>
      <c r="E105" s="211"/>
      <c r="F105" s="212"/>
      <c r="G105" s="210"/>
      <c r="H105" s="210"/>
      <c r="I105" s="210"/>
      <c r="J105" s="210"/>
      <c r="K105" s="210"/>
      <c r="L105" s="210"/>
      <c r="M105" s="21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13" t="s">
        <v>198</v>
      </c>
      <c r="B106" s="214"/>
      <c r="C106" s="214"/>
      <c r="D106" s="215" t="s">
        <v>199</v>
      </c>
      <c r="E106" s="211"/>
      <c r="F106" s="212"/>
      <c r="G106" s="215" t="s">
        <v>200</v>
      </c>
      <c r="H106" s="210"/>
      <c r="I106" s="210"/>
      <c r="J106" s="215" t="s">
        <v>201</v>
      </c>
      <c r="K106" s="210"/>
      <c r="L106" s="210"/>
      <c r="M106" s="21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06"/>
      <c r="AL106" s="2"/>
      <c r="AM106" s="2"/>
    </row>
    <row r="107" ht="15.75" customHeight="1">
      <c r="A107" s="213"/>
      <c r="B107" s="214"/>
      <c r="C107" s="214"/>
      <c r="D107" s="210"/>
      <c r="E107" s="211"/>
      <c r="F107" s="212"/>
      <c r="G107" s="210"/>
      <c r="H107" s="210"/>
      <c r="I107" s="210"/>
      <c r="J107" s="210"/>
      <c r="K107" s="210"/>
      <c r="L107" s="210"/>
      <c r="M107" s="21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06"/>
      <c r="AL107" s="2"/>
      <c r="AM107" s="2"/>
    </row>
    <row r="108" ht="15.75" customHeight="1">
      <c r="A108" s="214"/>
      <c r="B108" s="214"/>
      <c r="C108" s="214"/>
      <c r="D108" s="210"/>
      <c r="E108" s="211"/>
      <c r="F108" s="212"/>
      <c r="G108" s="210"/>
      <c r="H108" s="210"/>
      <c r="I108" s="210"/>
      <c r="J108" s="210"/>
      <c r="K108" s="210"/>
      <c r="L108" s="210"/>
      <c r="M108" s="21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06"/>
      <c r="AL108" s="2"/>
      <c r="AM108" s="2"/>
    </row>
    <row r="109" ht="15.75" customHeight="1">
      <c r="A109" s="216" t="s">
        <v>202</v>
      </c>
      <c r="D109" s="215" t="s">
        <v>203</v>
      </c>
      <c r="E109" s="211"/>
      <c r="F109" s="212"/>
      <c r="G109" s="217" t="s">
        <v>204</v>
      </c>
      <c r="H109" s="210"/>
      <c r="I109" s="210"/>
      <c r="J109" s="215" t="s">
        <v>205</v>
      </c>
      <c r="K109" s="210"/>
      <c r="L109" s="210"/>
      <c r="M109" s="21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0" customHeight="1">
      <c r="A110" s="218" t="s">
        <v>206</v>
      </c>
      <c r="D110" s="219" t="s">
        <v>207</v>
      </c>
      <c r="E110" s="211"/>
      <c r="F110" s="212"/>
      <c r="G110" s="220" t="s">
        <v>208</v>
      </c>
      <c r="H110" s="210"/>
      <c r="I110" s="210"/>
      <c r="J110" s="219" t="s">
        <v>209</v>
      </c>
      <c r="K110" s="210"/>
      <c r="L110" s="210"/>
      <c r="M110" s="21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06"/>
      <c r="AL110" s="2"/>
      <c r="AM110" s="2"/>
    </row>
    <row r="111" ht="15.75" customHeight="1">
      <c r="A111" s="221"/>
      <c r="B111" s="221"/>
      <c r="C111" s="221"/>
      <c r="D111" s="210"/>
      <c r="E111" s="211"/>
      <c r="F111" s="212"/>
      <c r="G111" s="210"/>
      <c r="H111" s="210"/>
      <c r="I111" s="210"/>
      <c r="J111" s="210"/>
      <c r="K111" s="210"/>
      <c r="L111" s="210"/>
      <c r="M111" s="21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21" t="s">
        <v>210</v>
      </c>
      <c r="B112" s="221"/>
      <c r="C112" s="221"/>
      <c r="D112" s="219" t="s">
        <v>211</v>
      </c>
      <c r="E112" s="211"/>
      <c r="F112" s="212"/>
      <c r="G112" s="220" t="s">
        <v>211</v>
      </c>
      <c r="H112" s="210"/>
      <c r="I112" s="210"/>
      <c r="J112" s="219" t="s">
        <v>211</v>
      </c>
      <c r="K112" s="210"/>
      <c r="L112" s="210"/>
      <c r="M112" s="21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21"/>
      <c r="B113" s="221"/>
      <c r="C113" s="221"/>
      <c r="D113" s="210"/>
      <c r="E113" s="211"/>
      <c r="F113" s="212"/>
      <c r="G113" s="210"/>
      <c r="H113" s="210"/>
      <c r="I113" s="210"/>
      <c r="J113" s="210"/>
      <c r="K113" s="210"/>
      <c r="L113" s="210"/>
      <c r="M113" s="21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21"/>
      <c r="B114" s="221"/>
      <c r="C114" s="221"/>
      <c r="D114" s="2"/>
      <c r="E114" s="9"/>
      <c r="F114" s="10"/>
      <c r="G114" s="11"/>
      <c r="H114" s="1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9"/>
      <c r="F116" s="10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9"/>
      <c r="F117" s="10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9"/>
      <c r="F118" s="10"/>
      <c r="G118" s="11"/>
      <c r="H118" s="1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9"/>
      <c r="F119" s="10"/>
      <c r="G119" s="11"/>
      <c r="H119" s="1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222"/>
      <c r="F120" s="2"/>
      <c r="G120" s="2"/>
      <c r="H120" s="2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222"/>
      <c r="F121" s="2"/>
      <c r="G121" s="2"/>
      <c r="H121" s="2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223"/>
      <c r="AG121" s="223"/>
      <c r="AH121" s="223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222"/>
      <c r="F122" s="2"/>
      <c r="G122" s="2"/>
      <c r="H122" s="2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222"/>
      <c r="F123" s="2"/>
      <c r="G123" s="2"/>
      <c r="H123" s="2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F123" s="223"/>
      <c r="AG123" s="223"/>
      <c r="AH123" s="223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222"/>
      <c r="F124" s="2"/>
      <c r="G124" s="2"/>
      <c r="H124" s="2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222"/>
      <c r="F125" s="2"/>
      <c r="G125" s="2"/>
      <c r="H125" s="2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222"/>
      <c r="F126" s="2"/>
      <c r="G126" s="2"/>
      <c r="H126" s="2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222"/>
      <c r="F127" s="2"/>
      <c r="G127" s="2"/>
      <c r="H127" s="2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  <c r="AG127" s="223"/>
      <c r="AH127" s="223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222"/>
      <c r="F128" s="2"/>
      <c r="G128" s="2"/>
      <c r="H128" s="2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222"/>
      <c r="F129" s="2"/>
      <c r="G129" s="2"/>
      <c r="H129" s="2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/>
      <c r="AG129" s="223"/>
      <c r="AH129" s="223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222"/>
      <c r="F130" s="2"/>
      <c r="G130" s="2"/>
      <c r="H130" s="2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222"/>
      <c r="F131" s="2"/>
      <c r="G131" s="2"/>
      <c r="H131" s="2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  <c r="AF131" s="223"/>
      <c r="AG131" s="223"/>
      <c r="AH131" s="223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22"/>
      <c r="F132" s="2"/>
      <c r="G132" s="2"/>
      <c r="H132" s="2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22"/>
      <c r="F133" s="2"/>
      <c r="G133" s="2"/>
      <c r="H133" s="2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  <c r="AG133" s="223"/>
      <c r="AH133" s="223"/>
      <c r="AI133" s="2"/>
      <c r="AJ133" s="2"/>
      <c r="AK133" s="2"/>
      <c r="AL133" s="2"/>
      <c r="AM133" s="2"/>
    </row>
    <row r="134" ht="15.75" customHeight="1">
      <c r="A134" s="2"/>
      <c r="B134" s="2"/>
      <c r="C134" s="224"/>
      <c r="D134" s="2"/>
      <c r="E134" s="222"/>
      <c r="F134" s="2"/>
      <c r="G134" s="2"/>
      <c r="H134" s="2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"/>
      <c r="AJ134" s="2"/>
      <c r="AK134" s="2"/>
      <c r="AL134" s="2"/>
      <c r="AM134" s="2"/>
    </row>
    <row r="135" ht="15.75" customHeight="1">
      <c r="A135" s="2"/>
      <c r="B135" s="2"/>
      <c r="C135" s="225"/>
      <c r="D135" s="2"/>
      <c r="E135" s="222"/>
      <c r="F135" s="2"/>
      <c r="G135" s="2"/>
      <c r="H135" s="2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  <c r="AF135" s="223"/>
      <c r="AG135" s="223"/>
      <c r="AH135" s="223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22"/>
      <c r="F136" s="2"/>
      <c r="G136" s="2"/>
      <c r="H136" s="2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22"/>
      <c r="F137" s="2"/>
      <c r="G137" s="2"/>
      <c r="H137" s="2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  <c r="AG137" s="223"/>
      <c r="AH137" s="223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22"/>
      <c r="F138" s="2"/>
      <c r="G138" s="2"/>
      <c r="H138" s="2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22"/>
      <c r="F139" s="2"/>
      <c r="G139" s="2"/>
      <c r="H139" s="2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  <c r="AG139" s="223"/>
      <c r="AH139" s="223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22"/>
      <c r="F140" s="2"/>
      <c r="G140" s="2"/>
      <c r="H140" s="2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22"/>
      <c r="F141" s="2"/>
      <c r="G141" s="2"/>
      <c r="H141" s="2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  <c r="AA141" s="223"/>
      <c r="AB141" s="223"/>
      <c r="AC141" s="223"/>
      <c r="AD141" s="223"/>
      <c r="AE141" s="223"/>
      <c r="AF141" s="223"/>
      <c r="AG141" s="223"/>
      <c r="AH141" s="223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22"/>
      <c r="F142" s="2"/>
      <c r="G142" s="2"/>
      <c r="H142" s="2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22"/>
      <c r="F143" s="2"/>
      <c r="G143" s="2"/>
      <c r="H143" s="2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  <c r="AA143" s="223"/>
      <c r="AB143" s="223"/>
      <c r="AC143" s="223"/>
      <c r="AD143" s="223"/>
      <c r="AE143" s="223"/>
      <c r="AF143" s="223"/>
      <c r="AG143" s="223"/>
      <c r="AH143" s="223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22"/>
      <c r="F144" s="2"/>
      <c r="G144" s="2"/>
      <c r="H144" s="2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  <c r="AG144" s="223"/>
      <c r="AH144" s="223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22"/>
      <c r="F145" s="2"/>
      <c r="G145" s="2"/>
      <c r="H145" s="2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23"/>
      <c r="AE145" s="223"/>
      <c r="AF145" s="223"/>
      <c r="AG145" s="223"/>
      <c r="AH145" s="223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222"/>
      <c r="F146" s="2"/>
      <c r="G146" s="2"/>
      <c r="H146" s="2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222"/>
      <c r="F147" s="2"/>
      <c r="G147" s="2"/>
      <c r="H147" s="2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  <c r="AG147" s="223"/>
      <c r="AH147" s="223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22"/>
      <c r="F148" s="2"/>
      <c r="G148" s="2"/>
      <c r="H148" s="2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  <c r="AG148" s="223"/>
      <c r="AH148" s="223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22"/>
      <c r="F149" s="2"/>
      <c r="G149" s="2"/>
      <c r="H149" s="2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23"/>
      <c r="AE149" s="223"/>
      <c r="AF149" s="223"/>
      <c r="AG149" s="223"/>
      <c r="AH149" s="223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22"/>
      <c r="F150" s="2"/>
      <c r="G150" s="2"/>
      <c r="H150" s="2"/>
      <c r="I150" s="226"/>
      <c r="J150" s="227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22"/>
      <c r="F151" s="2"/>
      <c r="G151" s="2"/>
      <c r="H151" s="2"/>
      <c r="I151" s="229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22"/>
      <c r="F152" s="2"/>
      <c r="G152" s="2"/>
      <c r="H152" s="2"/>
      <c r="I152" s="230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2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2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2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2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2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2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2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2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2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2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2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2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2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2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2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2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2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2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2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2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2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2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2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2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2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2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2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2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2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2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2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2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2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2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2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2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2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2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2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2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2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2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2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2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2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2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2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2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2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2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2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2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2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2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2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2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2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2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2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2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2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2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2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2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2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2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2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2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2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2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22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22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22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22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22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22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22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22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22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22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22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22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22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22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22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22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22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22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22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22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22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22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22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22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22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22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22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22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22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22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22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22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22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2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2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2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2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2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2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2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2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2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2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2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2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2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2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2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2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2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2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2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2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2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2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2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2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2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2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2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2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2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2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2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2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2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2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2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2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2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2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2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2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2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2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2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2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2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2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2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2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2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2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2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2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2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2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2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2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2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2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2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2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2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2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2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2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2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2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2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2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2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2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2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2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2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2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2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2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2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2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2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2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2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2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2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2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2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2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2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2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2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2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2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3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3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3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3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3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3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3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3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3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3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3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3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3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3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3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3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3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3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3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3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3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3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3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3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3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3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3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3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3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3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3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3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3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3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3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3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3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3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3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3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3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3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3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3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3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3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3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3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3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3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3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3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3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3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3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3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3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3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3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3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3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3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3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3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3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3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3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3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3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3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3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3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3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3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3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3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3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3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3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3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3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3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3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3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3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3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3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3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3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3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3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3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3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3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3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3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3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3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3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3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3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3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3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3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3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3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3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3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3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3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3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3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3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3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3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3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3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3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3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3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3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3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3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3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3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3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3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3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3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3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3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3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3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3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3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3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3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3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3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3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3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3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3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3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3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3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3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3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3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3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3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3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3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3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3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3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3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3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3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3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3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3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3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3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3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3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3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3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3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3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3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3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3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3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3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3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3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3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3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3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3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3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3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3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3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3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3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3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3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3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3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3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3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3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3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3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3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3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3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3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3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3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3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3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3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3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3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3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3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3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3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3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3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3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3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3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3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3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3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3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3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3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3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3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3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3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3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3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3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3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3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3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3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3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3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3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3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3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3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3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3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3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3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3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3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3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3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3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3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3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3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3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3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3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3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3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3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3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3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3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3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3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3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3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3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3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3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3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3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3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3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3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3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3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3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3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3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3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3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3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3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3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3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3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3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3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3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3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3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3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3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3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3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3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3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3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3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3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3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3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3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3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3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3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3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3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3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3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3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3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3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3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3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3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3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3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3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3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3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3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3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3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3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3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3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3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3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3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3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3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3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3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3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3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3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3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3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3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3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3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3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3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3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3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3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3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3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3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3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3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3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3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3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3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3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3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3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3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3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3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3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3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3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3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3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3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3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3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3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3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3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3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3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3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3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3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3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3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3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3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3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3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3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3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3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3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3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3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3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3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3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3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3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3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3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3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3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3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3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3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3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3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3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3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3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3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3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3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3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3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3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3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3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3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3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3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3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3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3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3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3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3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3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3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3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3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3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3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3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3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3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3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3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3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3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3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3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3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3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3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3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3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3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3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3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3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3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3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3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3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3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3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3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3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3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3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3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3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3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3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3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3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3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3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3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3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3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3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3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3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3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3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3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3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3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3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3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3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3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3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3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3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3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3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3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3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3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3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3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3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3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3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3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3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3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3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3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3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3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3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3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3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3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3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3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3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3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3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3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3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3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3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3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3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3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3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3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3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3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3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3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3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3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3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3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3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3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3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3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3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3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3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3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3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3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3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3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3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3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3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3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3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3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3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3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3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3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3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3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3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3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3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3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3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3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3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3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3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3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3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3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3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3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3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3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3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3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3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3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3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3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3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3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3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3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3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3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3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3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3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3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3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3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3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3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3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3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3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3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3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3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3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3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3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3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3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3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3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3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3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3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3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3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3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3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3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3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3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3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3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3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3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3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3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3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3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3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3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3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3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3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3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3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3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3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3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3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3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3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3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3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3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3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3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3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3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3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3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3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ht="15.75" customHeight="1">
      <c r="A987" s="2"/>
      <c r="B987" s="2"/>
      <c r="C987" s="2"/>
      <c r="D987" s="2"/>
      <c r="E987" s="23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ht="15.75" customHeight="1">
      <c r="A988" s="2"/>
      <c r="B988" s="2"/>
      <c r="C988" s="2"/>
      <c r="D988" s="2"/>
      <c r="E988" s="23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ht="15.75" customHeight="1">
      <c r="A989" s="2"/>
      <c r="B989" s="2"/>
      <c r="C989" s="2"/>
      <c r="D989" s="2"/>
      <c r="E989" s="23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ht="15.75" customHeight="1">
      <c r="A990" s="2"/>
      <c r="B990" s="2"/>
      <c r="C990" s="2"/>
      <c r="D990" s="2"/>
      <c r="E990" s="23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ht="15.75" customHeight="1">
      <c r="A991" s="2"/>
      <c r="B991" s="2"/>
      <c r="C991" s="2"/>
      <c r="D991" s="2"/>
      <c r="E991" s="23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ht="15.75" customHeight="1">
      <c r="A992" s="2"/>
      <c r="B992" s="2"/>
      <c r="C992" s="2"/>
      <c r="D992" s="2"/>
      <c r="E992" s="23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ht="15.75" customHeight="1">
      <c r="A993" s="2"/>
      <c r="B993" s="2"/>
      <c r="C993" s="2"/>
      <c r="D993" s="2"/>
      <c r="E993" s="23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ht="15.75" customHeight="1">
      <c r="A994" s="2"/>
      <c r="B994" s="2"/>
      <c r="C994" s="2"/>
      <c r="D994" s="2"/>
      <c r="E994" s="23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ht="15.75" customHeight="1">
      <c r="A995" s="2"/>
      <c r="B995" s="2"/>
      <c r="C995" s="2"/>
      <c r="D995" s="2"/>
      <c r="E995" s="23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ht="15.75" customHeight="1">
      <c r="A996" s="2"/>
      <c r="B996" s="2"/>
      <c r="C996" s="2"/>
      <c r="D996" s="2"/>
      <c r="E996" s="23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ht="15.75" customHeight="1">
      <c r="A997" s="2"/>
      <c r="B997" s="2"/>
      <c r="C997" s="2"/>
      <c r="D997" s="2"/>
      <c r="E997" s="23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ht="15.75" customHeight="1">
      <c r="A998" s="2"/>
      <c r="B998" s="2"/>
      <c r="C998" s="2"/>
      <c r="D998" s="2"/>
      <c r="E998" s="23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ht="15.75" customHeight="1">
      <c r="A999" s="2"/>
      <c r="B999" s="2"/>
      <c r="C999" s="2"/>
      <c r="D999" s="2"/>
      <c r="E999" s="23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ht="15.75" customHeight="1">
      <c r="A1000" s="2"/>
      <c r="B1000" s="2"/>
      <c r="C1000" s="2"/>
      <c r="D1000" s="2"/>
      <c r="E1000" s="23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ht="15.75" customHeight="1">
      <c r="A1001" s="2"/>
      <c r="B1001" s="2"/>
      <c r="C1001" s="2"/>
      <c r="D1001" s="2"/>
      <c r="E1001" s="231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ht="15.75" customHeight="1">
      <c r="A1002" s="2"/>
      <c r="B1002" s="2"/>
      <c r="C1002" s="2"/>
      <c r="D1002" s="2"/>
      <c r="E1002" s="231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ht="15.75" customHeight="1">
      <c r="A1003" s="2"/>
      <c r="B1003" s="2"/>
      <c r="C1003" s="2"/>
      <c r="D1003" s="2"/>
      <c r="E1003" s="231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ht="15.75" customHeight="1">
      <c r="A1004" s="2"/>
      <c r="B1004" s="2"/>
      <c r="C1004" s="2"/>
      <c r="D1004" s="2"/>
      <c r="E1004" s="231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ht="15.75" customHeight="1">
      <c r="A1005" s="2"/>
      <c r="B1005" s="2"/>
      <c r="C1005" s="2"/>
      <c r="D1005" s="2"/>
      <c r="E1005" s="231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ht="15.75" customHeight="1">
      <c r="A1006" s="2"/>
      <c r="B1006" s="2"/>
      <c r="C1006" s="2"/>
      <c r="D1006" s="2"/>
      <c r="E1006" s="231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 ht="15.75" customHeight="1">
      <c r="A1007" s="2"/>
      <c r="B1007" s="2"/>
      <c r="C1007" s="2"/>
      <c r="D1007" s="2"/>
      <c r="E1007" s="231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ht="15.75" customHeight="1">
      <c r="A1008" s="2"/>
      <c r="B1008" s="2"/>
      <c r="C1008" s="2"/>
      <c r="D1008" s="2"/>
      <c r="E1008" s="231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ht="15.75" customHeight="1">
      <c r="A1009" s="2"/>
      <c r="B1009" s="2"/>
      <c r="C1009" s="2"/>
      <c r="D1009" s="2"/>
      <c r="E1009" s="231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ht="15.75" customHeight="1">
      <c r="A1010" s="2"/>
      <c r="B1010" s="2"/>
      <c r="C1010" s="2"/>
      <c r="D1010" s="2"/>
      <c r="E1010" s="231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ht="15.75" customHeight="1">
      <c r="A1011" s="2"/>
      <c r="B1011" s="2"/>
      <c r="C1011" s="2"/>
      <c r="D1011" s="2"/>
      <c r="E1011" s="231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ht="15.75" customHeight="1">
      <c r="A1012" s="2"/>
      <c r="B1012" s="2"/>
      <c r="C1012" s="2"/>
      <c r="D1012" s="2"/>
      <c r="E1012" s="231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 ht="15.75" customHeight="1">
      <c r="A1013" s="2"/>
      <c r="B1013" s="2"/>
      <c r="C1013" s="2"/>
      <c r="D1013" s="2"/>
      <c r="E1013" s="231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ht="15.75" customHeight="1">
      <c r="A1014" s="2"/>
      <c r="B1014" s="2"/>
      <c r="C1014" s="2"/>
      <c r="D1014" s="2"/>
      <c r="E1014" s="231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ht="15.75" customHeight="1">
      <c r="A1015" s="2"/>
      <c r="B1015" s="2"/>
      <c r="C1015" s="2"/>
      <c r="D1015" s="2"/>
      <c r="E1015" s="231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ht="15.75" customHeight="1">
      <c r="A1016" s="2"/>
      <c r="B1016" s="2"/>
      <c r="C1016" s="2"/>
      <c r="D1016" s="2"/>
      <c r="E1016" s="231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ht="15.75" customHeight="1">
      <c r="A1017" s="2"/>
      <c r="B1017" s="2"/>
      <c r="C1017" s="2"/>
      <c r="D1017" s="2"/>
      <c r="E1017" s="231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 ht="15.75" customHeight="1">
      <c r="A1018" s="2"/>
      <c r="B1018" s="2"/>
      <c r="C1018" s="2"/>
      <c r="D1018" s="2"/>
      <c r="E1018" s="231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 ht="15.75" customHeight="1">
      <c r="A1019" s="2"/>
      <c r="B1019" s="2"/>
      <c r="C1019" s="2"/>
      <c r="D1019" s="2"/>
      <c r="E1019" s="231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 ht="15.75" customHeight="1">
      <c r="A1020" s="2"/>
      <c r="B1020" s="2"/>
      <c r="C1020" s="2"/>
      <c r="D1020" s="2"/>
      <c r="E1020" s="231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 ht="15.75" customHeight="1">
      <c r="A1021" s="2"/>
      <c r="B1021" s="2"/>
      <c r="C1021" s="2"/>
      <c r="D1021" s="2"/>
      <c r="E1021" s="231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 ht="15.75" customHeight="1">
      <c r="A1022" s="2"/>
      <c r="B1022" s="2"/>
      <c r="C1022" s="2"/>
      <c r="D1022" s="2"/>
      <c r="E1022" s="231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 ht="15.75" customHeight="1">
      <c r="A1023" s="2"/>
      <c r="B1023" s="2"/>
      <c r="C1023" s="2"/>
      <c r="D1023" s="2"/>
      <c r="E1023" s="231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 ht="15.75" customHeight="1">
      <c r="A1024" s="2"/>
      <c r="B1024" s="2"/>
      <c r="C1024" s="2"/>
      <c r="D1024" s="2"/>
      <c r="E1024" s="231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 ht="15.75" customHeight="1">
      <c r="A1025" s="2"/>
      <c r="B1025" s="2"/>
      <c r="C1025" s="2"/>
      <c r="D1025" s="2"/>
      <c r="E1025" s="231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 ht="15.75" customHeight="1">
      <c r="A1026" s="2"/>
      <c r="B1026" s="2"/>
      <c r="C1026" s="2"/>
      <c r="D1026" s="2"/>
      <c r="E1026" s="231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ht="15.75" customHeight="1">
      <c r="A1027" s="2"/>
      <c r="B1027" s="2"/>
      <c r="C1027" s="2"/>
      <c r="D1027" s="2"/>
      <c r="E1027" s="231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ht="15.75" customHeight="1">
      <c r="A1028" s="2"/>
      <c r="B1028" s="2"/>
      <c r="C1028" s="2"/>
      <c r="D1028" s="2"/>
      <c r="E1028" s="231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ht="15.75" customHeight="1">
      <c r="A1029" s="2"/>
      <c r="B1029" s="2"/>
      <c r="C1029" s="2"/>
      <c r="D1029" s="2"/>
      <c r="E1029" s="231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 ht="15.75" customHeight="1">
      <c r="A1030" s="2"/>
      <c r="B1030" s="2"/>
      <c r="C1030" s="2"/>
      <c r="D1030" s="2"/>
      <c r="E1030" s="231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ht="15.75" customHeight="1">
      <c r="A1031" s="2"/>
      <c r="B1031" s="2"/>
      <c r="C1031" s="2"/>
      <c r="D1031" s="2"/>
      <c r="E1031" s="231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 ht="15.75" customHeight="1">
      <c r="A1032" s="2"/>
      <c r="B1032" s="2"/>
      <c r="C1032" s="2"/>
      <c r="D1032" s="2"/>
      <c r="E1032" s="231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 ht="15.75" customHeight="1">
      <c r="A1033" s="2"/>
      <c r="B1033" s="2"/>
      <c r="C1033" s="2"/>
      <c r="D1033" s="2"/>
      <c r="E1033" s="231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 ht="15.75" customHeight="1">
      <c r="A1034" s="2"/>
      <c r="B1034" s="2"/>
      <c r="C1034" s="2"/>
      <c r="D1034" s="2"/>
      <c r="E1034" s="231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 ht="15.75" customHeight="1">
      <c r="A1035" s="2"/>
      <c r="B1035" s="2"/>
      <c r="C1035" s="2"/>
      <c r="D1035" s="2"/>
      <c r="E1035" s="231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 ht="15.75" customHeight="1">
      <c r="A1036" s="2"/>
      <c r="B1036" s="2"/>
      <c r="C1036" s="2"/>
      <c r="D1036" s="2"/>
      <c r="E1036" s="231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 ht="15.75" customHeight="1">
      <c r="A1037" s="2"/>
      <c r="B1037" s="2"/>
      <c r="C1037" s="2"/>
      <c r="D1037" s="2"/>
      <c r="E1037" s="231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 ht="15.75" customHeight="1">
      <c r="A1038" s="2"/>
      <c r="B1038" s="2"/>
      <c r="C1038" s="2"/>
      <c r="D1038" s="2"/>
      <c r="E1038" s="231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 ht="15.75" customHeight="1">
      <c r="A1039" s="2"/>
      <c r="B1039" s="2"/>
      <c r="C1039" s="2"/>
      <c r="D1039" s="2"/>
      <c r="E1039" s="231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 ht="15.75" customHeight="1">
      <c r="A1040" s="2"/>
      <c r="B1040" s="2"/>
      <c r="C1040" s="2"/>
      <c r="D1040" s="2"/>
      <c r="E1040" s="231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 ht="15.75" customHeight="1">
      <c r="A1041" s="2"/>
      <c r="B1041" s="2"/>
      <c r="C1041" s="2"/>
      <c r="D1041" s="2"/>
      <c r="E1041" s="231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 ht="15.75" customHeight="1">
      <c r="A1042" s="2"/>
      <c r="B1042" s="2"/>
      <c r="C1042" s="2"/>
      <c r="D1042" s="2"/>
      <c r="E1042" s="231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 ht="15.75" customHeight="1">
      <c r="A1043" s="2"/>
      <c r="B1043" s="2"/>
      <c r="C1043" s="2"/>
      <c r="D1043" s="2"/>
      <c r="E1043" s="231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 ht="15.75" customHeight="1">
      <c r="A1044" s="2"/>
      <c r="B1044" s="2"/>
      <c r="C1044" s="2"/>
      <c r="D1044" s="2"/>
      <c r="E1044" s="231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</sheetData>
  <mergeCells count="4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7"/>
    <mergeCell ref="G12:G27"/>
    <mergeCell ref="H12:H27"/>
    <mergeCell ref="G28:G33"/>
    <mergeCell ref="H28:H33"/>
    <mergeCell ref="G51:G68"/>
    <mergeCell ref="G70:G78"/>
    <mergeCell ref="H70:H77"/>
    <mergeCell ref="H81:H85"/>
    <mergeCell ref="D28:D33"/>
    <mergeCell ref="D49:D50"/>
    <mergeCell ref="G49:G50"/>
    <mergeCell ref="H49:H50"/>
    <mergeCell ref="D51:D68"/>
    <mergeCell ref="H51:H68"/>
    <mergeCell ref="D70:D78"/>
    <mergeCell ref="K102:AG102"/>
    <mergeCell ref="K103:AG103"/>
    <mergeCell ref="A109:C109"/>
    <mergeCell ref="A110:C110"/>
    <mergeCell ref="I151:AG151"/>
    <mergeCell ref="I152:AG152"/>
    <mergeCell ref="D99:F99"/>
    <mergeCell ref="D100:F100"/>
    <mergeCell ref="I100:J100"/>
    <mergeCell ref="K100:AG100"/>
    <mergeCell ref="D101:F101"/>
    <mergeCell ref="K101:AG101"/>
    <mergeCell ref="D102:F102"/>
  </mergeCells>
  <printOptions/>
  <pageMargins bottom="0.5871725383920506" footer="0.0" header="0.0" left="0.7" right="0.4462511291779584" top="0.775067750677506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232" t="s">
        <v>212</v>
      </c>
      <c r="W2" s="2"/>
      <c r="X2" s="2"/>
    </row>
    <row r="3">
      <c r="A3" s="4" t="s">
        <v>213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214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 t="s">
        <v>215</v>
      </c>
      <c r="B8" s="233" t="s">
        <v>7</v>
      </c>
      <c r="C8" s="234" t="s">
        <v>8</v>
      </c>
      <c r="D8" s="235" t="s">
        <v>9</v>
      </c>
      <c r="E8" s="236" t="s">
        <v>10</v>
      </c>
      <c r="F8" s="237" t="s">
        <v>11</v>
      </c>
      <c r="G8" s="233" t="s">
        <v>12</v>
      </c>
      <c r="H8" s="238" t="s">
        <v>13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39"/>
      <c r="C9" s="240" t="s">
        <v>14</v>
      </c>
      <c r="D9" s="239"/>
      <c r="E9" s="239"/>
      <c r="F9" s="239"/>
      <c r="G9" s="239"/>
      <c r="H9" s="241" t="s">
        <v>216</v>
      </c>
      <c r="I9" s="241" t="s">
        <v>217</v>
      </c>
      <c r="J9" s="241" t="s">
        <v>218</v>
      </c>
      <c r="K9" s="241" t="s">
        <v>219</v>
      </c>
      <c r="L9" s="241" t="s">
        <v>220</v>
      </c>
      <c r="M9" s="241" t="s">
        <v>221</v>
      </c>
      <c r="N9" s="241" t="s">
        <v>222</v>
      </c>
      <c r="O9" s="241" t="s">
        <v>223</v>
      </c>
      <c r="P9" s="241" t="s">
        <v>224</v>
      </c>
      <c r="Q9" s="241" t="s">
        <v>225</v>
      </c>
      <c r="R9" s="241" t="s">
        <v>226</v>
      </c>
      <c r="S9" s="241" t="s">
        <v>227</v>
      </c>
      <c r="T9" s="241" t="s">
        <v>228</v>
      </c>
      <c r="U9" s="242" t="str">
        <f>$V$9</f>
        <v>REMARKS</v>
      </c>
      <c r="V9" s="242" t="s">
        <v>41</v>
      </c>
      <c r="W9" s="27"/>
      <c r="X9" s="20"/>
    </row>
    <row r="10">
      <c r="A10" s="243"/>
      <c r="B10" s="244" t="s">
        <v>229</v>
      </c>
      <c r="C10" s="96"/>
      <c r="D10" s="94"/>
      <c r="E10" s="9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6"/>
      <c r="V10" s="247"/>
      <c r="W10" s="20"/>
      <c r="X10" s="20"/>
    </row>
    <row r="11">
      <c r="A11" s="248"/>
      <c r="B11" s="249" t="s">
        <v>230</v>
      </c>
      <c r="C11" s="250" t="s">
        <v>231</v>
      </c>
      <c r="D11" s="251">
        <f>50000/80</f>
        <v>625</v>
      </c>
      <c r="E11" s="251">
        <v>50000.0</v>
      </c>
      <c r="F11" s="252" t="s">
        <v>232</v>
      </c>
      <c r="G11" s="252"/>
      <c r="H11" s="252">
        <v>80.0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0"/>
      <c r="X11" s="20"/>
    </row>
    <row r="12">
      <c r="A12" s="248"/>
      <c r="B12" s="249" t="s">
        <v>233</v>
      </c>
      <c r="C12" s="253" t="s">
        <v>234</v>
      </c>
      <c r="D12" s="254">
        <f>3000/5</f>
        <v>600</v>
      </c>
      <c r="E12" s="254">
        <v>3000.0</v>
      </c>
      <c r="F12" s="252" t="s">
        <v>232</v>
      </c>
      <c r="G12" s="252"/>
      <c r="H12" s="252">
        <v>5.0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0"/>
      <c r="X12" s="20"/>
    </row>
    <row r="13">
      <c r="A13" s="248"/>
      <c r="B13" s="255" t="s">
        <v>235</v>
      </c>
      <c r="C13" s="256" t="s">
        <v>236</v>
      </c>
      <c r="D13" s="257">
        <f>10000/10</f>
        <v>1000</v>
      </c>
      <c r="E13" s="258">
        <v>10000.0</v>
      </c>
      <c r="F13" s="252" t="s">
        <v>232</v>
      </c>
      <c r="G13" s="252"/>
      <c r="H13" s="252">
        <v>10.0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0"/>
      <c r="X13" s="20"/>
    </row>
    <row r="14">
      <c r="A14" s="248"/>
      <c r="B14" s="259" t="s">
        <v>237</v>
      </c>
      <c r="C14" s="256" t="s">
        <v>236</v>
      </c>
      <c r="D14" s="257">
        <f>50000/10</f>
        <v>5000</v>
      </c>
      <c r="E14" s="258">
        <v>50000.0</v>
      </c>
      <c r="F14" s="252" t="s">
        <v>232</v>
      </c>
      <c r="G14" s="252"/>
      <c r="H14" s="252">
        <v>10.0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0"/>
      <c r="X14" s="20"/>
    </row>
    <row r="15">
      <c r="A15" s="248"/>
      <c r="B15" s="259" t="s">
        <v>238</v>
      </c>
      <c r="C15" s="256" t="s">
        <v>234</v>
      </c>
      <c r="D15" s="257">
        <f>2500/5</f>
        <v>500</v>
      </c>
      <c r="E15" s="258">
        <v>2500.0</v>
      </c>
      <c r="F15" s="252" t="s">
        <v>232</v>
      </c>
      <c r="G15" s="252"/>
      <c r="H15" s="252">
        <v>5.0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0"/>
      <c r="X15" s="20"/>
    </row>
    <row r="16">
      <c r="A16" s="248"/>
      <c r="B16" s="255" t="s">
        <v>239</v>
      </c>
      <c r="C16" s="256" t="s">
        <v>240</v>
      </c>
      <c r="D16" s="257">
        <f>500/20</f>
        <v>25</v>
      </c>
      <c r="E16" s="258">
        <v>500.0</v>
      </c>
      <c r="F16" s="252" t="s">
        <v>99</v>
      </c>
      <c r="G16" s="252"/>
      <c r="H16" s="252">
        <v>20.0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0"/>
      <c r="X16" s="20"/>
    </row>
    <row r="17">
      <c r="A17" s="248"/>
      <c r="B17" s="255" t="s">
        <v>241</v>
      </c>
      <c r="C17" s="256" t="s">
        <v>242</v>
      </c>
      <c r="D17" s="257">
        <f>300/15</f>
        <v>20</v>
      </c>
      <c r="E17" s="258">
        <v>300.0</v>
      </c>
      <c r="F17" s="252" t="s">
        <v>99</v>
      </c>
      <c r="G17" s="252"/>
      <c r="H17" s="252">
        <v>15.0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0"/>
      <c r="X17" s="20"/>
    </row>
    <row r="18">
      <c r="A18" s="248"/>
      <c r="B18" s="255" t="s">
        <v>243</v>
      </c>
      <c r="C18" s="256" t="s">
        <v>244</v>
      </c>
      <c r="D18" s="257">
        <f>150/5</f>
        <v>30</v>
      </c>
      <c r="E18" s="258">
        <v>150.0</v>
      </c>
      <c r="F18" s="252" t="s">
        <v>99</v>
      </c>
      <c r="G18" s="252"/>
      <c r="H18" s="252">
        <v>5.0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0"/>
      <c r="X18" s="20"/>
    </row>
    <row r="19">
      <c r="A19" s="248"/>
      <c r="B19" s="259" t="s">
        <v>245</v>
      </c>
      <c r="C19" s="256" t="s">
        <v>246</v>
      </c>
      <c r="D19" s="257">
        <f>300/10</f>
        <v>30</v>
      </c>
      <c r="E19" s="258">
        <v>300.0</v>
      </c>
      <c r="F19" s="252" t="s">
        <v>99</v>
      </c>
      <c r="G19" s="252"/>
      <c r="H19" s="252">
        <v>10.0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0"/>
      <c r="X19" s="20"/>
    </row>
    <row r="20">
      <c r="A20" s="248"/>
      <c r="B20" s="255" t="s">
        <v>247</v>
      </c>
      <c r="C20" s="256" t="s">
        <v>248</v>
      </c>
      <c r="D20" s="257">
        <f>300/30</f>
        <v>10</v>
      </c>
      <c r="E20" s="258">
        <v>300.0</v>
      </c>
      <c r="F20" s="252" t="s">
        <v>99</v>
      </c>
      <c r="G20" s="252"/>
      <c r="H20" s="252">
        <v>30.0</v>
      </c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0"/>
      <c r="X20" s="20"/>
    </row>
    <row r="21" ht="15.75" customHeight="1">
      <c r="A21" s="248"/>
      <c r="B21" s="255" t="s">
        <v>249</v>
      </c>
      <c r="C21" s="256" t="s">
        <v>240</v>
      </c>
      <c r="D21" s="260">
        <f>2000/20</f>
        <v>100</v>
      </c>
      <c r="E21" s="258">
        <v>2000.0</v>
      </c>
      <c r="F21" s="252" t="s">
        <v>99</v>
      </c>
      <c r="G21" s="252"/>
      <c r="H21" s="252">
        <v>20.0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0"/>
      <c r="X21" s="20"/>
    </row>
    <row r="22" ht="15.75" customHeight="1">
      <c r="A22" s="248"/>
      <c r="B22" s="259" t="s">
        <v>250</v>
      </c>
      <c r="C22" s="256" t="s">
        <v>234</v>
      </c>
      <c r="D22" s="257">
        <v>15.0</v>
      </c>
      <c r="E22" s="258">
        <v>75.0</v>
      </c>
      <c r="F22" s="252" t="s">
        <v>99</v>
      </c>
      <c r="G22" s="252"/>
      <c r="H22" s="252">
        <v>5.0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0"/>
      <c r="X22" s="20"/>
    </row>
    <row r="23" ht="15.75" customHeight="1">
      <c r="A23" s="248"/>
      <c r="B23" s="259" t="s">
        <v>251</v>
      </c>
      <c r="C23" s="256" t="s">
        <v>246</v>
      </c>
      <c r="D23" s="257">
        <f>300/10</f>
        <v>30</v>
      </c>
      <c r="E23" s="258">
        <v>300.0</v>
      </c>
      <c r="F23" s="252" t="s">
        <v>99</v>
      </c>
      <c r="G23" s="252"/>
      <c r="H23" s="252">
        <v>10.0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0"/>
      <c r="X23" s="20"/>
    </row>
    <row r="24" ht="15.75" customHeight="1">
      <c r="A24" s="248"/>
      <c r="B24" s="255" t="s">
        <v>252</v>
      </c>
      <c r="C24" s="256" t="s">
        <v>253</v>
      </c>
      <c r="D24" s="257">
        <f>1000/50</f>
        <v>20</v>
      </c>
      <c r="E24" s="258">
        <v>1000.0</v>
      </c>
      <c r="F24" s="252" t="s">
        <v>99</v>
      </c>
      <c r="G24" s="252"/>
      <c r="H24" s="252">
        <v>50.0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0"/>
      <c r="X24" s="20"/>
    </row>
    <row r="25" ht="15.75" customHeight="1">
      <c r="A25" s="248"/>
      <c r="B25" s="255" t="s">
        <v>254</v>
      </c>
      <c r="C25" s="256" t="s">
        <v>255</v>
      </c>
      <c r="D25" s="257">
        <f>2000/15</f>
        <v>133.3333333</v>
      </c>
      <c r="E25" s="258">
        <v>2000.0</v>
      </c>
      <c r="F25" s="252" t="s">
        <v>99</v>
      </c>
      <c r="G25" s="252"/>
      <c r="H25" s="252">
        <v>15.0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0"/>
      <c r="X25" s="20"/>
    </row>
    <row r="26" ht="15.75" customHeight="1">
      <c r="A26" s="248"/>
      <c r="B26" s="255" t="s">
        <v>256</v>
      </c>
      <c r="C26" s="256" t="s">
        <v>257</v>
      </c>
      <c r="D26" s="257">
        <f>1000/1</f>
        <v>1000</v>
      </c>
      <c r="E26" s="258">
        <v>1000.0</v>
      </c>
      <c r="F26" s="252" t="s">
        <v>232</v>
      </c>
      <c r="G26" s="252"/>
      <c r="H26" s="252"/>
      <c r="I26" s="252">
        <v>1.0</v>
      </c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0"/>
      <c r="X26" s="20"/>
    </row>
    <row r="27" ht="15.75" customHeight="1">
      <c r="A27" s="248"/>
      <c r="B27" s="255" t="s">
        <v>258</v>
      </c>
      <c r="C27" s="256" t="s">
        <v>168</v>
      </c>
      <c r="D27" s="257">
        <f>30000/3</f>
        <v>10000</v>
      </c>
      <c r="E27" s="258">
        <v>30000.0</v>
      </c>
      <c r="F27" s="252" t="s">
        <v>232</v>
      </c>
      <c r="G27" s="252"/>
      <c r="H27" s="252"/>
      <c r="I27" s="252">
        <v>3.0</v>
      </c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0"/>
      <c r="X27" s="20"/>
    </row>
    <row r="28" ht="15.75" customHeight="1">
      <c r="A28" s="248"/>
      <c r="B28" s="259" t="s">
        <v>259</v>
      </c>
      <c r="C28" s="256" t="s">
        <v>260</v>
      </c>
      <c r="D28" s="257">
        <f>1000/100</f>
        <v>10</v>
      </c>
      <c r="E28" s="258">
        <v>1000.0</v>
      </c>
      <c r="F28" s="252" t="s">
        <v>99</v>
      </c>
      <c r="G28" s="252"/>
      <c r="H28" s="252"/>
      <c r="I28" s="252">
        <v>100.0</v>
      </c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0"/>
      <c r="X28" s="20"/>
    </row>
    <row r="29" ht="15.75" customHeight="1">
      <c r="A29" s="248"/>
      <c r="B29" s="259" t="s">
        <v>261</v>
      </c>
      <c r="C29" s="256" t="s">
        <v>260</v>
      </c>
      <c r="D29" s="257">
        <f>2000/100</f>
        <v>20</v>
      </c>
      <c r="E29" s="258">
        <v>2000.0</v>
      </c>
      <c r="F29" s="252" t="s">
        <v>99</v>
      </c>
      <c r="G29" s="252"/>
      <c r="H29" s="252"/>
      <c r="I29" s="252">
        <v>100.0</v>
      </c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0"/>
      <c r="X29" s="20"/>
    </row>
    <row r="30" ht="15.75" customHeight="1">
      <c r="A30" s="248"/>
      <c r="B30" s="255" t="s">
        <v>262</v>
      </c>
      <c r="C30" s="256" t="s">
        <v>263</v>
      </c>
      <c r="D30" s="257">
        <f>250/50</f>
        <v>5</v>
      </c>
      <c r="E30" s="258">
        <v>250.0</v>
      </c>
      <c r="F30" s="252" t="s">
        <v>99</v>
      </c>
      <c r="G30" s="252"/>
      <c r="H30" s="252"/>
      <c r="I30" s="252">
        <v>50.0</v>
      </c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0"/>
      <c r="X30" s="20"/>
    </row>
    <row r="31" ht="15.75" customHeight="1">
      <c r="A31" s="248"/>
      <c r="B31" s="255" t="s">
        <v>264</v>
      </c>
      <c r="C31" s="256" t="s">
        <v>168</v>
      </c>
      <c r="D31" s="257">
        <f t="shared" ref="D31:D32" si="1">400/3</f>
        <v>133.3333333</v>
      </c>
      <c r="E31" s="258">
        <v>400.0</v>
      </c>
      <c r="F31" s="252" t="s">
        <v>232</v>
      </c>
      <c r="G31" s="252"/>
      <c r="H31" s="252"/>
      <c r="I31" s="252">
        <v>3.0</v>
      </c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0"/>
      <c r="X31" s="20"/>
    </row>
    <row r="32" ht="15.75" customHeight="1">
      <c r="A32" s="248"/>
      <c r="B32" s="255" t="s">
        <v>265</v>
      </c>
      <c r="C32" s="256" t="s">
        <v>168</v>
      </c>
      <c r="D32" s="257">
        <f t="shared" si="1"/>
        <v>133.3333333</v>
      </c>
      <c r="E32" s="258">
        <v>400.0</v>
      </c>
      <c r="F32" s="252" t="s">
        <v>232</v>
      </c>
      <c r="G32" s="252"/>
      <c r="H32" s="252"/>
      <c r="I32" s="252">
        <v>3.0</v>
      </c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0"/>
      <c r="X32" s="20"/>
    </row>
    <row r="33" ht="15.75" customHeight="1">
      <c r="A33" s="248"/>
      <c r="B33" s="255" t="s">
        <v>266</v>
      </c>
      <c r="C33" s="256" t="s">
        <v>267</v>
      </c>
      <c r="D33" s="257">
        <f>5500/30</f>
        <v>183.3333333</v>
      </c>
      <c r="E33" s="258">
        <v>5500.0</v>
      </c>
      <c r="F33" s="252" t="s">
        <v>99</v>
      </c>
      <c r="G33" s="252"/>
      <c r="H33" s="252"/>
      <c r="I33" s="252">
        <v>30.0</v>
      </c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0"/>
      <c r="X33" s="20"/>
    </row>
    <row r="34" ht="15.75" customHeight="1">
      <c r="A34" s="248"/>
      <c r="B34" s="255" t="s">
        <v>268</v>
      </c>
      <c r="C34" s="256" t="s">
        <v>257</v>
      </c>
      <c r="D34" s="257">
        <v>5000.0</v>
      </c>
      <c r="E34" s="258">
        <v>5000.0</v>
      </c>
      <c r="F34" s="252" t="s">
        <v>232</v>
      </c>
      <c r="G34" s="252"/>
      <c r="H34" s="252"/>
      <c r="I34" s="252">
        <v>1.0</v>
      </c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0"/>
      <c r="X34" s="20"/>
    </row>
    <row r="35" ht="15.75" customHeight="1">
      <c r="A35" s="248"/>
      <c r="B35" s="255" t="s">
        <v>269</v>
      </c>
      <c r="C35" s="256" t="s">
        <v>270</v>
      </c>
      <c r="D35" s="257">
        <f t="shared" ref="D35:D36" si="2">3200/8</f>
        <v>400</v>
      </c>
      <c r="E35" s="258">
        <v>3200.0</v>
      </c>
      <c r="F35" s="252" t="s">
        <v>99</v>
      </c>
      <c r="G35" s="252"/>
      <c r="H35" s="252"/>
      <c r="I35" s="252">
        <v>8.0</v>
      </c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0"/>
      <c r="X35" s="20"/>
    </row>
    <row r="36" ht="15.75" customHeight="1">
      <c r="A36" s="248"/>
      <c r="B36" s="255" t="s">
        <v>271</v>
      </c>
      <c r="C36" s="256" t="s">
        <v>270</v>
      </c>
      <c r="D36" s="257">
        <f t="shared" si="2"/>
        <v>400</v>
      </c>
      <c r="E36" s="258">
        <v>3200.0</v>
      </c>
      <c r="F36" s="252" t="s">
        <v>99</v>
      </c>
      <c r="G36" s="252"/>
      <c r="H36" s="252"/>
      <c r="I36" s="252">
        <v>8.0</v>
      </c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0"/>
      <c r="X36" s="20"/>
    </row>
    <row r="37" ht="15.75" customHeight="1">
      <c r="A37" s="248"/>
      <c r="B37" s="255" t="s">
        <v>272</v>
      </c>
      <c r="C37" s="256" t="s">
        <v>273</v>
      </c>
      <c r="D37" s="257">
        <f>200/3</f>
        <v>66.66666667</v>
      </c>
      <c r="E37" s="258">
        <v>200.0</v>
      </c>
      <c r="F37" s="252" t="s">
        <v>99</v>
      </c>
      <c r="G37" s="252"/>
      <c r="H37" s="252"/>
      <c r="I37" s="252">
        <v>3.0</v>
      </c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0"/>
      <c r="X37" s="20"/>
    </row>
    <row r="38" ht="15.75" customHeight="1">
      <c r="A38" s="248"/>
      <c r="B38" s="255" t="s">
        <v>274</v>
      </c>
      <c r="C38" s="256" t="s">
        <v>240</v>
      </c>
      <c r="D38" s="257">
        <f>1000/20</f>
        <v>50</v>
      </c>
      <c r="E38" s="258">
        <v>1000.0</v>
      </c>
      <c r="F38" s="252" t="s">
        <v>99</v>
      </c>
      <c r="G38" s="252"/>
      <c r="H38" s="252"/>
      <c r="I38" s="252"/>
      <c r="J38" s="252">
        <v>20.0</v>
      </c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0"/>
      <c r="X38" s="20"/>
    </row>
    <row r="39" ht="15.75" customHeight="1">
      <c r="A39" s="248"/>
      <c r="B39" s="255" t="s">
        <v>275</v>
      </c>
      <c r="C39" s="256" t="s">
        <v>276</v>
      </c>
      <c r="D39" s="257">
        <f>600/20</f>
        <v>30</v>
      </c>
      <c r="E39" s="258">
        <v>600.0</v>
      </c>
      <c r="F39" s="252" t="s">
        <v>99</v>
      </c>
      <c r="G39" s="252"/>
      <c r="H39" s="252"/>
      <c r="I39" s="252"/>
      <c r="J39" s="252">
        <v>20.0</v>
      </c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0"/>
      <c r="X39" s="20"/>
    </row>
    <row r="40" ht="15.75" customHeight="1">
      <c r="A40" s="248"/>
      <c r="B40" s="255" t="s">
        <v>277</v>
      </c>
      <c r="C40" s="256" t="s">
        <v>260</v>
      </c>
      <c r="D40" s="257">
        <f>1000/100</f>
        <v>10</v>
      </c>
      <c r="E40" s="258">
        <v>1000.0</v>
      </c>
      <c r="F40" s="252" t="s">
        <v>99</v>
      </c>
      <c r="G40" s="252"/>
      <c r="H40" s="252"/>
      <c r="I40" s="252"/>
      <c r="J40" s="252">
        <v>100.0</v>
      </c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0"/>
      <c r="X40" s="20"/>
    </row>
    <row r="41" ht="15.75" customHeight="1">
      <c r="A41" s="248"/>
      <c r="B41" s="255" t="s">
        <v>278</v>
      </c>
      <c r="C41" s="256" t="s">
        <v>263</v>
      </c>
      <c r="D41" s="257">
        <f>1000/50</f>
        <v>20</v>
      </c>
      <c r="E41" s="258">
        <v>1000.0</v>
      </c>
      <c r="F41" s="252" t="s">
        <v>99</v>
      </c>
      <c r="G41" s="252"/>
      <c r="H41" s="252"/>
      <c r="I41" s="252"/>
      <c r="J41" s="252">
        <v>50.0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0"/>
      <c r="X41" s="20"/>
    </row>
    <row r="42" ht="15.75" customHeight="1">
      <c r="A42" s="248"/>
      <c r="B42" s="255" t="s">
        <v>279</v>
      </c>
      <c r="C42" s="256" t="s">
        <v>276</v>
      </c>
      <c r="D42" s="257">
        <f>400/20</f>
        <v>20</v>
      </c>
      <c r="E42" s="258">
        <v>400.0</v>
      </c>
      <c r="F42" s="252" t="s">
        <v>99</v>
      </c>
      <c r="G42" s="252"/>
      <c r="H42" s="252"/>
      <c r="I42" s="252"/>
      <c r="J42" s="252">
        <v>20.0</v>
      </c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0"/>
      <c r="X42" s="20"/>
    </row>
    <row r="43" ht="15.75" customHeight="1">
      <c r="A43" s="248"/>
      <c r="B43" s="255" t="s">
        <v>280</v>
      </c>
      <c r="C43" s="256" t="s">
        <v>281</v>
      </c>
      <c r="D43" s="257">
        <f>300/3</f>
        <v>100</v>
      </c>
      <c r="E43" s="258">
        <v>300.0</v>
      </c>
      <c r="F43" s="252" t="s">
        <v>99</v>
      </c>
      <c r="G43" s="252"/>
      <c r="H43" s="252"/>
      <c r="I43" s="252"/>
      <c r="J43" s="252">
        <v>3.0</v>
      </c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0"/>
      <c r="X43" s="20"/>
    </row>
    <row r="44" ht="15.75" customHeight="1">
      <c r="A44" s="248"/>
      <c r="B44" s="255" t="s">
        <v>282</v>
      </c>
      <c r="C44" s="256" t="s">
        <v>283</v>
      </c>
      <c r="D44" s="257">
        <f>500/10</f>
        <v>50</v>
      </c>
      <c r="E44" s="258">
        <v>500.0</v>
      </c>
      <c r="F44" s="252" t="s">
        <v>99</v>
      </c>
      <c r="G44" s="252"/>
      <c r="H44" s="252"/>
      <c r="I44" s="252"/>
      <c r="J44" s="252">
        <v>10.0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0"/>
      <c r="X44" s="20"/>
    </row>
    <row r="45" ht="15.75" customHeight="1">
      <c r="A45" s="248"/>
      <c r="B45" s="255" t="s">
        <v>284</v>
      </c>
      <c r="C45" s="256" t="s">
        <v>236</v>
      </c>
      <c r="D45" s="257">
        <f t="shared" ref="D45:D46" si="3">300/10</f>
        <v>30</v>
      </c>
      <c r="E45" s="258">
        <v>300.0</v>
      </c>
      <c r="F45" s="252" t="s">
        <v>99</v>
      </c>
      <c r="G45" s="252"/>
      <c r="H45" s="252"/>
      <c r="I45" s="252"/>
      <c r="J45" s="252">
        <v>10.0</v>
      </c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0"/>
      <c r="X45" s="20"/>
    </row>
    <row r="46" ht="15.75" customHeight="1">
      <c r="A46" s="248"/>
      <c r="B46" s="255" t="s">
        <v>285</v>
      </c>
      <c r="C46" s="256" t="s">
        <v>236</v>
      </c>
      <c r="D46" s="257">
        <f t="shared" si="3"/>
        <v>30</v>
      </c>
      <c r="E46" s="258">
        <v>300.0</v>
      </c>
      <c r="F46" s="252" t="s">
        <v>99</v>
      </c>
      <c r="G46" s="252"/>
      <c r="H46" s="252"/>
      <c r="I46" s="252"/>
      <c r="J46" s="252">
        <v>10.0</v>
      </c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0"/>
      <c r="X46" s="20"/>
    </row>
    <row r="47" ht="15.75" customHeight="1">
      <c r="A47" s="248"/>
      <c r="B47" s="255"/>
      <c r="C47" s="256"/>
      <c r="D47" s="257"/>
      <c r="E47" s="258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0"/>
      <c r="X47" s="20"/>
    </row>
    <row r="48" ht="15.75" customHeight="1">
      <c r="A48" s="248"/>
      <c r="B48" s="261" t="s">
        <v>286</v>
      </c>
      <c r="C48" s="262"/>
      <c r="D48" s="263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0"/>
      <c r="X48" s="20"/>
    </row>
    <row r="49" ht="15.75" customHeight="1">
      <c r="A49" s="248"/>
      <c r="B49" s="249" t="s">
        <v>287</v>
      </c>
      <c r="C49" s="250" t="s">
        <v>288</v>
      </c>
      <c r="D49" s="257">
        <f>6560/4</f>
        <v>1640</v>
      </c>
      <c r="E49" s="251">
        <v>6560.0</v>
      </c>
      <c r="F49" s="252" t="s">
        <v>232</v>
      </c>
      <c r="G49" s="252"/>
      <c r="H49" s="252">
        <v>4.0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0"/>
      <c r="X49" s="20"/>
    </row>
    <row r="50" ht="15.75" customHeight="1">
      <c r="A50" s="248"/>
      <c r="B50" s="255" t="s">
        <v>289</v>
      </c>
      <c r="C50" s="256" t="s">
        <v>288</v>
      </c>
      <c r="D50" s="257">
        <f>3440/4</f>
        <v>860</v>
      </c>
      <c r="E50" s="258">
        <v>3440.0</v>
      </c>
      <c r="F50" s="252" t="s">
        <v>232</v>
      </c>
      <c r="G50" s="252"/>
      <c r="H50" s="252">
        <v>4.0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0"/>
      <c r="X50" s="20"/>
    </row>
    <row r="51" ht="15.75" customHeight="1">
      <c r="A51" s="248"/>
      <c r="B51" s="259" t="s">
        <v>290</v>
      </c>
      <c r="C51" s="256" t="s">
        <v>291</v>
      </c>
      <c r="D51" s="257">
        <f>8000/8</f>
        <v>1000</v>
      </c>
      <c r="E51" s="258">
        <v>8000.0</v>
      </c>
      <c r="F51" s="252" t="s">
        <v>232</v>
      </c>
      <c r="G51" s="252"/>
      <c r="H51" s="252">
        <v>8.0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0"/>
      <c r="X51" s="20"/>
    </row>
    <row r="52" ht="15.75" customHeight="1">
      <c r="A52" s="248"/>
      <c r="B52" s="249" t="s">
        <v>292</v>
      </c>
      <c r="C52" s="256" t="s">
        <v>293</v>
      </c>
      <c r="D52" s="257">
        <f>15000/300</f>
        <v>50</v>
      </c>
      <c r="E52" s="258">
        <v>15000.0</v>
      </c>
      <c r="F52" s="252" t="s">
        <v>232</v>
      </c>
      <c r="G52" s="252"/>
      <c r="H52" s="252">
        <v>300.0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0"/>
      <c r="X52" s="20"/>
    </row>
    <row r="53" ht="15.75" customHeight="1">
      <c r="A53" s="248"/>
      <c r="B53" s="249" t="s">
        <v>294</v>
      </c>
      <c r="C53" s="256" t="s">
        <v>295</v>
      </c>
      <c r="D53" s="257">
        <f>5700/100</f>
        <v>57</v>
      </c>
      <c r="E53" s="258">
        <v>5700.0</v>
      </c>
      <c r="F53" s="252" t="s">
        <v>232</v>
      </c>
      <c r="G53" s="252"/>
      <c r="H53" s="252">
        <v>100.0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0"/>
      <c r="X53" s="20"/>
    </row>
    <row r="54" ht="15.75" customHeight="1">
      <c r="A54" s="248"/>
      <c r="B54" s="249" t="s">
        <v>296</v>
      </c>
      <c r="C54" s="256" t="s">
        <v>288</v>
      </c>
      <c r="D54" s="257">
        <f>5500/4</f>
        <v>1375</v>
      </c>
      <c r="E54" s="258">
        <v>5500.0</v>
      </c>
      <c r="F54" s="252" t="s">
        <v>232</v>
      </c>
      <c r="G54" s="252"/>
      <c r="H54" s="252"/>
      <c r="I54" s="252">
        <v>4.0</v>
      </c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0"/>
      <c r="X54" s="20"/>
    </row>
    <row r="55" ht="15.75" customHeight="1">
      <c r="A55" s="248"/>
      <c r="B55" s="249" t="s">
        <v>297</v>
      </c>
      <c r="C55" s="256" t="s">
        <v>298</v>
      </c>
      <c r="D55" s="257">
        <f>7200/4</f>
        <v>1800</v>
      </c>
      <c r="E55" s="258">
        <v>7200.0</v>
      </c>
      <c r="F55" s="252" t="s">
        <v>232</v>
      </c>
      <c r="G55" s="252"/>
      <c r="H55" s="252"/>
      <c r="I55" s="252">
        <v>4.0</v>
      </c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0"/>
      <c r="X55" s="20"/>
    </row>
    <row r="56" ht="15.75" customHeight="1">
      <c r="A56" s="248"/>
      <c r="B56" s="249" t="s">
        <v>299</v>
      </c>
      <c r="C56" s="256" t="s">
        <v>300</v>
      </c>
      <c r="D56" s="257">
        <f>8000/6</f>
        <v>1333.333333</v>
      </c>
      <c r="E56" s="258">
        <v>8000.0</v>
      </c>
      <c r="F56" s="252" t="s">
        <v>232</v>
      </c>
      <c r="G56" s="252"/>
      <c r="H56" s="252"/>
      <c r="I56" s="252">
        <v>6.0</v>
      </c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0"/>
      <c r="X56" s="20"/>
    </row>
    <row r="57" ht="15.75" customHeight="1">
      <c r="A57" s="248"/>
      <c r="B57" s="249" t="s">
        <v>301</v>
      </c>
      <c r="C57" s="256" t="s">
        <v>302</v>
      </c>
      <c r="D57" s="257">
        <f>280/10</f>
        <v>28</v>
      </c>
      <c r="E57" s="258">
        <v>280.0</v>
      </c>
      <c r="F57" s="252" t="s">
        <v>232</v>
      </c>
      <c r="G57" s="252"/>
      <c r="H57" s="252"/>
      <c r="I57" s="252">
        <v>10.0</v>
      </c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0"/>
      <c r="X57" s="20"/>
    </row>
    <row r="58" ht="15.75" customHeight="1">
      <c r="A58" s="248"/>
      <c r="B58" s="249" t="s">
        <v>303</v>
      </c>
      <c r="C58" s="256" t="s">
        <v>304</v>
      </c>
      <c r="D58" s="257">
        <f>2100/6</f>
        <v>350</v>
      </c>
      <c r="E58" s="258">
        <v>2100.0</v>
      </c>
      <c r="F58" s="252" t="s">
        <v>232</v>
      </c>
      <c r="G58" s="252"/>
      <c r="H58" s="252"/>
      <c r="I58" s="252"/>
      <c r="J58" s="252">
        <v>6.0</v>
      </c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0"/>
      <c r="X58" s="20"/>
    </row>
    <row r="59" ht="15.75" customHeight="1">
      <c r="A59" s="248"/>
      <c r="B59" s="249" t="s">
        <v>305</v>
      </c>
      <c r="C59" s="256" t="s">
        <v>283</v>
      </c>
      <c r="D59" s="257">
        <f>3000/10</f>
        <v>300</v>
      </c>
      <c r="E59" s="258">
        <v>3000.0</v>
      </c>
      <c r="F59" s="252" t="s">
        <v>232</v>
      </c>
      <c r="G59" s="252"/>
      <c r="H59" s="252"/>
      <c r="I59" s="252"/>
      <c r="J59" s="252">
        <v>10.0</v>
      </c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0"/>
      <c r="X59" s="20"/>
    </row>
    <row r="60" ht="15.75" customHeight="1">
      <c r="A60" s="248"/>
      <c r="B60" s="249" t="s">
        <v>306</v>
      </c>
      <c r="C60" s="256" t="s">
        <v>304</v>
      </c>
      <c r="D60" s="257">
        <f>2400/6</f>
        <v>400</v>
      </c>
      <c r="E60" s="258">
        <v>2400.0</v>
      </c>
      <c r="F60" s="252" t="s">
        <v>232</v>
      </c>
      <c r="G60" s="252"/>
      <c r="H60" s="252"/>
      <c r="I60" s="252"/>
      <c r="J60" s="252">
        <v>6.0</v>
      </c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0"/>
      <c r="X60" s="20"/>
    </row>
    <row r="61" ht="15.75" hidden="1" customHeight="1">
      <c r="A61" s="248"/>
      <c r="B61" s="249"/>
      <c r="C61" s="256"/>
      <c r="D61" s="257"/>
      <c r="E61" s="258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0"/>
      <c r="X61" s="20"/>
    </row>
    <row r="62" ht="15.75" hidden="1" customHeight="1">
      <c r="A62" s="248"/>
      <c r="B62" s="249"/>
      <c r="C62" s="256"/>
      <c r="D62" s="257"/>
      <c r="E62" s="258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0"/>
      <c r="X62" s="20"/>
    </row>
    <row r="63" ht="15.75" hidden="1" customHeight="1">
      <c r="A63" s="248"/>
      <c r="B63" s="249"/>
      <c r="C63" s="256"/>
      <c r="D63" s="257"/>
      <c r="E63" s="258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0"/>
      <c r="X63" s="20"/>
    </row>
    <row r="64" ht="15.75" hidden="1" customHeight="1">
      <c r="A64" s="248"/>
      <c r="B64" s="249"/>
      <c r="C64" s="256"/>
      <c r="D64" s="257"/>
      <c r="E64" s="258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0"/>
      <c r="X64" s="20"/>
    </row>
    <row r="65" ht="15.75" hidden="1" customHeight="1">
      <c r="A65" s="248"/>
      <c r="B65" s="249"/>
      <c r="C65" s="256"/>
      <c r="D65" s="257"/>
      <c r="E65" s="258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0"/>
      <c r="X65" s="20"/>
    </row>
    <row r="66" ht="15.75" hidden="1" customHeight="1">
      <c r="A66" s="248"/>
      <c r="B66" s="249"/>
      <c r="C66" s="256"/>
      <c r="D66" s="257"/>
      <c r="E66" s="258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0"/>
      <c r="X66" s="20"/>
    </row>
    <row r="67" ht="15.75" hidden="1" customHeight="1">
      <c r="A67" s="264"/>
      <c r="B67" s="265"/>
      <c r="C67" s="266"/>
      <c r="D67" s="267"/>
      <c r="E67" s="268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0"/>
      <c r="X67" s="20"/>
    </row>
    <row r="68" ht="15.75" hidden="1" customHeight="1">
      <c r="A68" s="248"/>
      <c r="B68" s="261" t="s">
        <v>307</v>
      </c>
      <c r="C68" s="262"/>
      <c r="D68" s="263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0"/>
      <c r="X68" s="20"/>
    </row>
    <row r="69" ht="15.75" hidden="1" customHeight="1">
      <c r="A69" s="248"/>
      <c r="B69" s="249"/>
      <c r="C69" s="256"/>
      <c r="D69" s="257"/>
      <c r="E69" s="258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0"/>
      <c r="X69" s="20"/>
    </row>
    <row r="70" ht="15.75" hidden="1" customHeight="1">
      <c r="A70" s="248"/>
      <c r="B70" s="249"/>
      <c r="C70" s="256"/>
      <c r="D70" s="257"/>
      <c r="E70" s="258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0"/>
      <c r="X70" s="20"/>
    </row>
    <row r="71" ht="15.75" hidden="1" customHeight="1">
      <c r="A71" s="248"/>
      <c r="B71" s="249"/>
      <c r="C71" s="256"/>
      <c r="D71" s="257"/>
      <c r="E71" s="258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0"/>
      <c r="X71" s="20"/>
    </row>
    <row r="72" ht="15.75" hidden="1" customHeight="1">
      <c r="A72" s="248"/>
      <c r="B72" s="249"/>
      <c r="C72" s="256"/>
      <c r="D72" s="257"/>
      <c r="E72" s="258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0"/>
      <c r="X72" s="20"/>
    </row>
    <row r="73" ht="15.75" hidden="1" customHeight="1">
      <c r="A73" s="248"/>
      <c r="B73" s="261" t="s">
        <v>308</v>
      </c>
      <c r="C73" s="262"/>
      <c r="D73" s="263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0"/>
      <c r="X73" s="20"/>
    </row>
    <row r="74" ht="15.75" hidden="1" customHeight="1">
      <c r="A74" s="248"/>
      <c r="B74" s="249"/>
      <c r="C74" s="256"/>
      <c r="D74" s="257"/>
      <c r="E74" s="258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0"/>
      <c r="X74" s="20"/>
    </row>
    <row r="75" ht="15.75" hidden="1" customHeight="1">
      <c r="A75" s="248"/>
      <c r="B75" s="249"/>
      <c r="C75" s="256"/>
      <c r="D75" s="257"/>
      <c r="E75" s="258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0"/>
      <c r="X75" s="20"/>
    </row>
    <row r="76" ht="15.75" hidden="1" customHeight="1">
      <c r="A76" s="248"/>
      <c r="B76" s="249"/>
      <c r="C76" s="256"/>
      <c r="D76" s="257"/>
      <c r="E76" s="258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0"/>
      <c r="X76" s="20"/>
    </row>
    <row r="77" ht="15.75" customHeight="1">
      <c r="A77" s="264"/>
      <c r="B77" s="269" t="s">
        <v>309</v>
      </c>
      <c r="C77" s="204"/>
      <c r="D77" s="204"/>
      <c r="E77" s="204"/>
      <c r="F77" s="204"/>
      <c r="G77" s="204"/>
      <c r="H77" s="204"/>
      <c r="I77" s="205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0"/>
      <c r="X77" s="20"/>
    </row>
    <row r="78" ht="15.75" customHeight="1">
      <c r="A78" s="192"/>
      <c r="B78" s="193"/>
      <c r="C78" s="2"/>
      <c r="D78" s="9"/>
      <c r="E78" s="270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94" t="s">
        <v>310</v>
      </c>
      <c r="B79" s="6"/>
      <c r="C79" s="271">
        <v>247155.0</v>
      </c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97" t="s">
        <v>194</v>
      </c>
      <c r="B80" s="198"/>
      <c r="C80" s="199">
        <f>PRODUCT(C79,0.1)</f>
        <v>24715.5</v>
      </c>
      <c r="D80" s="200"/>
      <c r="E80" s="72"/>
      <c r="F80" s="11"/>
      <c r="G80" s="11"/>
      <c r="H80" s="201"/>
      <c r="J80" s="201"/>
      <c r="U80" s="201"/>
      <c r="V80" s="2"/>
      <c r="W80" s="2"/>
      <c r="X80" s="2"/>
    </row>
    <row r="81" ht="15.75" hidden="1" customHeight="1">
      <c r="A81" s="149" t="s">
        <v>195</v>
      </c>
      <c r="B81" s="202"/>
      <c r="C81" s="203">
        <f>PRODUCT(C79,0.1)</f>
        <v>24715.5</v>
      </c>
      <c r="D81" s="204"/>
      <c r="E81" s="205"/>
      <c r="F81" s="11"/>
      <c r="G81" s="11"/>
      <c r="H81" s="206"/>
      <c r="I81" s="206"/>
      <c r="J81" s="207"/>
      <c r="U81" s="207"/>
      <c r="V81" s="2"/>
      <c r="W81" s="2"/>
      <c r="X81" s="2"/>
    </row>
    <row r="82" ht="15.75" hidden="1" customHeight="1">
      <c r="A82" s="149" t="s">
        <v>196</v>
      </c>
      <c r="B82" s="202"/>
      <c r="C82" s="203">
        <f>SUM(C79:E81)</f>
        <v>296586</v>
      </c>
      <c r="D82" s="204"/>
      <c r="E82" s="205"/>
      <c r="F82" s="11"/>
      <c r="G82" s="11"/>
      <c r="H82" s="206"/>
      <c r="I82" s="206"/>
      <c r="J82" s="207"/>
      <c r="U82" s="207"/>
      <c r="V82" s="2"/>
      <c r="W82" s="2"/>
      <c r="X82" s="2"/>
    </row>
    <row r="83" ht="15.75" customHeight="1">
      <c r="A83" s="208"/>
      <c r="B83" s="6"/>
      <c r="C83" s="2"/>
      <c r="D83" s="9"/>
      <c r="E83" s="10"/>
      <c r="F83" s="11"/>
      <c r="G83" s="11"/>
      <c r="H83" s="206"/>
      <c r="I83" s="206"/>
      <c r="J83" s="207"/>
      <c r="U83" s="207"/>
      <c r="V83" s="2"/>
      <c r="W83" s="2"/>
      <c r="X83" s="2"/>
    </row>
    <row r="84" ht="15.75" customHeight="1">
      <c r="A84" s="209" t="s">
        <v>197</v>
      </c>
      <c r="B84" s="6"/>
      <c r="C84" s="2"/>
      <c r="D84" s="9"/>
      <c r="E84" s="10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99"/>
      <c r="B85" s="6"/>
      <c r="C85" s="2"/>
      <c r="D85" s="9"/>
      <c r="E85" s="10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72" t="s">
        <v>198</v>
      </c>
      <c r="B86" s="193"/>
      <c r="C86" s="273" t="s">
        <v>199</v>
      </c>
      <c r="F86" s="206"/>
      <c r="G86" s="206"/>
      <c r="H86" s="2"/>
      <c r="I86" s="273" t="s">
        <v>311</v>
      </c>
      <c r="O86" s="2"/>
      <c r="P86" s="2"/>
      <c r="Q86" s="273" t="s">
        <v>201</v>
      </c>
      <c r="U86" s="2"/>
      <c r="V86" s="2"/>
      <c r="X86" s="206"/>
    </row>
    <row r="87" ht="15.75" customHeight="1">
      <c r="A87" s="272"/>
      <c r="B87" s="193"/>
      <c r="C87" s="273"/>
      <c r="D87" s="274"/>
      <c r="E87" s="273"/>
      <c r="F87" s="206"/>
      <c r="G87" s="206"/>
      <c r="H87" s="2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06"/>
      <c r="X87" s="206"/>
    </row>
    <row r="88" ht="15.75" customHeight="1">
      <c r="A88" s="193"/>
      <c r="B88" s="193"/>
      <c r="C88" s="206"/>
      <c r="D88" s="275"/>
      <c r="E88" s="276"/>
      <c r="F88" s="206"/>
      <c r="G88" s="206"/>
      <c r="H88" s="2"/>
      <c r="I88" s="206"/>
      <c r="J88" s="276"/>
      <c r="K88" s="276"/>
      <c r="L88" s="276"/>
      <c r="M88" s="276"/>
      <c r="N88" s="276"/>
      <c r="O88" s="276"/>
      <c r="P88" s="276"/>
      <c r="Q88" s="206"/>
      <c r="R88" s="276"/>
      <c r="S88" s="206"/>
      <c r="T88" s="206"/>
      <c r="U88" s="206"/>
      <c r="V88" s="206"/>
      <c r="W88" s="206"/>
      <c r="X88" s="206"/>
    </row>
    <row r="89" ht="15.75" customHeight="1">
      <c r="A89" s="277" t="s">
        <v>312</v>
      </c>
      <c r="C89" s="278" t="s">
        <v>203</v>
      </c>
      <c r="G89" s="2"/>
      <c r="H89" s="2"/>
      <c r="I89" s="278" t="s">
        <v>204</v>
      </c>
      <c r="O89" s="2"/>
      <c r="P89" s="2"/>
      <c r="Q89" s="278" t="s">
        <v>205</v>
      </c>
      <c r="U89" s="2"/>
      <c r="V89" s="2"/>
    </row>
    <row r="90" ht="15.0" customHeight="1">
      <c r="A90" s="279" t="s">
        <v>206</v>
      </c>
      <c r="C90" s="280" t="s">
        <v>313</v>
      </c>
      <c r="G90" s="281"/>
      <c r="H90" s="2"/>
      <c r="I90" s="282" t="s">
        <v>314</v>
      </c>
      <c r="O90" s="2"/>
      <c r="P90" s="2"/>
      <c r="Q90" s="280" t="s">
        <v>209</v>
      </c>
      <c r="U90" s="2"/>
      <c r="V90" s="2"/>
      <c r="W90" s="206"/>
      <c r="X90" s="206"/>
    </row>
    <row r="91" ht="15.75" customHeight="1">
      <c r="A91" s="2"/>
      <c r="B91" s="2"/>
      <c r="C91" s="2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210</v>
      </c>
      <c r="B92" s="2"/>
      <c r="C92" s="2" t="s">
        <v>210</v>
      </c>
      <c r="D92" s="9"/>
      <c r="E92" s="2"/>
      <c r="F92" s="2"/>
      <c r="G92" s="2"/>
      <c r="H92" s="2"/>
      <c r="I92" s="2" t="s">
        <v>210</v>
      </c>
      <c r="J92" s="2"/>
      <c r="K92" s="2"/>
      <c r="L92" s="2"/>
      <c r="M92" s="2"/>
      <c r="N92" s="2"/>
      <c r="O92" s="2"/>
      <c r="P92" s="2"/>
      <c r="Q92" s="2" t="s">
        <v>210</v>
      </c>
      <c r="R92" s="2"/>
      <c r="S92" s="2"/>
      <c r="T92" s="2"/>
      <c r="U92" s="2"/>
      <c r="V92" s="2"/>
      <c r="W92" s="2"/>
      <c r="X92" s="2"/>
    </row>
    <row r="93" ht="15.75" customHeight="1">
      <c r="D93" s="222"/>
      <c r="H93" s="223"/>
    </row>
    <row r="94" ht="15.75" customHeight="1">
      <c r="D94" s="222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</row>
    <row r="95" ht="15.75" customHeight="1">
      <c r="D95" s="222"/>
      <c r="H95" s="226"/>
      <c r="I95" s="227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</row>
    <row r="96" ht="15.75" customHeight="1">
      <c r="D96" s="222"/>
      <c r="H96" s="229"/>
    </row>
    <row r="97" ht="15.75" customHeight="1">
      <c r="D97" s="222"/>
      <c r="H97" s="230"/>
    </row>
    <row r="98" ht="15.75" customHeight="1">
      <c r="D98" s="222"/>
    </row>
    <row r="99" ht="15.75" customHeight="1">
      <c r="D99" s="222"/>
    </row>
    <row r="100" ht="15.75" customHeight="1">
      <c r="D100" s="222"/>
    </row>
    <row r="101" ht="15.75" customHeight="1">
      <c r="D101" s="222"/>
    </row>
    <row r="102" ht="15.75" customHeight="1">
      <c r="D102" s="222"/>
    </row>
    <row r="103" ht="15.75" customHeight="1">
      <c r="D103" s="222"/>
    </row>
    <row r="104" ht="15.75" customHeight="1">
      <c r="D104" s="222"/>
    </row>
    <row r="105" ht="15.75" customHeight="1">
      <c r="D105" s="222"/>
    </row>
    <row r="106" ht="15.75" customHeight="1">
      <c r="D106" s="222"/>
    </row>
    <row r="107" ht="15.75" customHeight="1">
      <c r="D107" s="222"/>
    </row>
    <row r="108" ht="15.75" customHeight="1">
      <c r="D108" s="222"/>
    </row>
    <row r="109" ht="15.75" customHeight="1">
      <c r="D109" s="222"/>
    </row>
    <row r="110" ht="15.75" customHeight="1">
      <c r="D110" s="222"/>
    </row>
    <row r="111" ht="15.75" customHeight="1">
      <c r="D111" s="222"/>
    </row>
    <row r="112" ht="15.75" customHeight="1">
      <c r="D112" s="222"/>
    </row>
    <row r="113" ht="15.75" customHeight="1">
      <c r="D113" s="222"/>
    </row>
    <row r="114" ht="15.75" customHeight="1">
      <c r="D114" s="222"/>
    </row>
    <row r="115" ht="15.75" customHeight="1">
      <c r="D115" s="222"/>
    </row>
    <row r="116" ht="15.75" customHeight="1">
      <c r="D116" s="222"/>
    </row>
    <row r="117" ht="15.75" customHeight="1">
      <c r="D117" s="222"/>
    </row>
    <row r="118" ht="15.75" customHeight="1">
      <c r="D118" s="222"/>
    </row>
    <row r="119" ht="15.75" customHeight="1">
      <c r="D119" s="222"/>
    </row>
    <row r="120" ht="15.75" customHeight="1">
      <c r="D120" s="222"/>
    </row>
    <row r="121" ht="15.75" customHeight="1">
      <c r="D121" s="222"/>
    </row>
    <row r="122" ht="15.75" customHeight="1">
      <c r="D122" s="222"/>
    </row>
    <row r="123" ht="15.75" customHeight="1">
      <c r="D123" s="222"/>
    </row>
    <row r="124" ht="15.75" customHeight="1">
      <c r="D124" s="222"/>
    </row>
    <row r="125" ht="15.75" customHeight="1">
      <c r="D125" s="222"/>
    </row>
    <row r="126" ht="15.75" customHeight="1">
      <c r="D126" s="222"/>
    </row>
    <row r="127" ht="15.75" customHeight="1">
      <c r="D127" s="222"/>
    </row>
    <row r="128" ht="15.75" customHeight="1">
      <c r="D128" s="222"/>
    </row>
    <row r="129" ht="15.75" customHeight="1">
      <c r="D129" s="222"/>
    </row>
    <row r="130" ht="15.75" customHeight="1">
      <c r="D130" s="222"/>
    </row>
    <row r="131" ht="15.75" customHeight="1">
      <c r="D131" s="222"/>
    </row>
    <row r="132" ht="15.75" customHeight="1">
      <c r="D132" s="222"/>
    </row>
    <row r="133" ht="15.75" customHeight="1">
      <c r="D133" s="222"/>
    </row>
    <row r="134" ht="15.75" customHeight="1">
      <c r="D134" s="222"/>
    </row>
    <row r="135" ht="15.75" customHeight="1">
      <c r="D135" s="222"/>
    </row>
    <row r="136" ht="15.75" customHeight="1">
      <c r="D136" s="222"/>
    </row>
    <row r="137" ht="15.75" customHeight="1">
      <c r="D137" s="222"/>
    </row>
    <row r="138" ht="15.75" customHeight="1">
      <c r="D138" s="222"/>
    </row>
    <row r="139" ht="15.75" customHeight="1">
      <c r="D139" s="222"/>
    </row>
    <row r="140" ht="15.75" customHeight="1">
      <c r="D140" s="222"/>
    </row>
    <row r="141" ht="15.75" customHeight="1">
      <c r="D141" s="222"/>
    </row>
    <row r="142" ht="15.75" customHeight="1">
      <c r="D142" s="222"/>
    </row>
    <row r="143" ht="15.75" customHeight="1">
      <c r="D143" s="222"/>
    </row>
    <row r="144" ht="15.75" customHeight="1">
      <c r="D144" s="222"/>
    </row>
    <row r="145" ht="15.75" customHeight="1">
      <c r="D145" s="222"/>
    </row>
    <row r="146" ht="15.75" customHeight="1">
      <c r="D146" s="222"/>
    </row>
    <row r="147" ht="15.75" customHeight="1">
      <c r="D147" s="222"/>
    </row>
    <row r="148" ht="15.75" customHeight="1">
      <c r="D148" s="222"/>
    </row>
    <row r="149" ht="15.75" customHeight="1">
      <c r="D149" s="222"/>
    </row>
    <row r="150" ht="15.75" customHeight="1">
      <c r="D150" s="222"/>
    </row>
    <row r="151" ht="15.75" customHeight="1">
      <c r="D151" s="222"/>
    </row>
    <row r="152" ht="15.75" customHeight="1">
      <c r="D152" s="222"/>
    </row>
    <row r="153" ht="15.75" customHeight="1">
      <c r="D153" s="222"/>
    </row>
    <row r="154" ht="15.75" customHeight="1">
      <c r="D154" s="222"/>
    </row>
    <row r="155" ht="15.75" customHeight="1">
      <c r="D155" s="222"/>
    </row>
    <row r="156" ht="15.75" customHeight="1">
      <c r="D156" s="222"/>
    </row>
    <row r="157" ht="15.75" customHeight="1">
      <c r="D157" s="222"/>
    </row>
    <row r="158" ht="15.75" customHeight="1">
      <c r="D158" s="222"/>
    </row>
    <row r="159" ht="15.75" customHeight="1">
      <c r="D159" s="222"/>
    </row>
    <row r="160" ht="15.75" customHeight="1">
      <c r="D160" s="222"/>
    </row>
    <row r="161" ht="15.75" customHeight="1">
      <c r="D161" s="222"/>
    </row>
    <row r="162" ht="15.75" customHeight="1">
      <c r="D162" s="222"/>
    </row>
    <row r="163" ht="15.75" customHeight="1">
      <c r="D163" s="222"/>
    </row>
    <row r="164" ht="15.75" customHeight="1">
      <c r="D164" s="222"/>
    </row>
    <row r="165" ht="15.75" customHeight="1">
      <c r="D165" s="222"/>
    </row>
    <row r="166" ht="15.75" customHeight="1">
      <c r="D166" s="222"/>
    </row>
    <row r="167" ht="15.75" customHeight="1">
      <c r="D167" s="222"/>
    </row>
    <row r="168" ht="15.75" customHeight="1">
      <c r="D168" s="222"/>
    </row>
    <row r="169" ht="15.75" customHeight="1">
      <c r="D169" s="222"/>
    </row>
    <row r="170" ht="15.75" customHeight="1">
      <c r="D170" s="222"/>
    </row>
    <row r="171" ht="15.75" customHeight="1">
      <c r="D171" s="222"/>
    </row>
    <row r="172" ht="15.75" customHeight="1">
      <c r="D172" s="222"/>
    </row>
    <row r="173" ht="15.75" customHeight="1">
      <c r="D173" s="222"/>
    </row>
    <row r="174" ht="15.75" customHeight="1">
      <c r="D174" s="222"/>
    </row>
    <row r="175" ht="15.75" customHeight="1">
      <c r="D175" s="222"/>
    </row>
    <row r="176" ht="15.75" customHeight="1">
      <c r="D176" s="222"/>
    </row>
    <row r="177" ht="15.75" customHeight="1">
      <c r="D177" s="222"/>
    </row>
    <row r="178" ht="15.75" customHeight="1">
      <c r="D178" s="222"/>
    </row>
    <row r="179" ht="15.75" customHeight="1">
      <c r="D179" s="222"/>
    </row>
    <row r="180" ht="15.75" customHeight="1">
      <c r="D180" s="222"/>
    </row>
    <row r="181" ht="15.75" customHeight="1">
      <c r="D181" s="222"/>
    </row>
    <row r="182" ht="15.75" customHeight="1">
      <c r="D182" s="222"/>
    </row>
    <row r="183" ht="15.75" customHeight="1">
      <c r="D183" s="222"/>
    </row>
    <row r="184" ht="15.75" customHeight="1">
      <c r="D184" s="222"/>
    </row>
    <row r="185" ht="15.75" customHeight="1">
      <c r="D185" s="222"/>
    </row>
    <row r="186" ht="15.75" customHeight="1">
      <c r="D186" s="222"/>
    </row>
    <row r="187" ht="15.75" customHeight="1">
      <c r="D187" s="222"/>
    </row>
    <row r="188" ht="15.75" customHeight="1">
      <c r="D188" s="222"/>
    </row>
    <row r="189" ht="15.75" customHeight="1">
      <c r="D189" s="222"/>
    </row>
    <row r="190" ht="15.75" customHeight="1">
      <c r="D190" s="222"/>
    </row>
    <row r="191" ht="15.75" customHeight="1">
      <c r="D191" s="222"/>
    </row>
    <row r="192" ht="15.75" customHeight="1">
      <c r="D192" s="222"/>
    </row>
    <row r="193" ht="15.75" customHeight="1">
      <c r="D193" s="222"/>
    </row>
    <row r="194" ht="15.75" customHeight="1">
      <c r="D194" s="222"/>
    </row>
    <row r="195" ht="15.75" customHeight="1">
      <c r="D195" s="222"/>
    </row>
    <row r="196" ht="15.75" customHeight="1">
      <c r="D196" s="222"/>
    </row>
    <row r="197" ht="15.75" customHeight="1">
      <c r="D197" s="222"/>
    </row>
    <row r="198" ht="15.75" customHeight="1">
      <c r="D198" s="222"/>
    </row>
    <row r="199" ht="15.75" customHeight="1">
      <c r="D199" s="222"/>
    </row>
    <row r="200" ht="15.75" customHeight="1">
      <c r="D200" s="222"/>
    </row>
    <row r="201" ht="15.75" customHeight="1">
      <c r="D201" s="222"/>
    </row>
    <row r="202" ht="15.75" customHeight="1">
      <c r="D202" s="222"/>
    </row>
    <row r="203" ht="15.75" customHeight="1">
      <c r="D203" s="222"/>
    </row>
    <row r="204" ht="15.75" customHeight="1">
      <c r="D204" s="222"/>
    </row>
    <row r="205" ht="15.75" customHeight="1">
      <c r="D205" s="222"/>
    </row>
    <row r="206" ht="15.75" customHeight="1">
      <c r="D206" s="222"/>
    </row>
    <row r="207" ht="15.75" customHeight="1">
      <c r="D207" s="222"/>
    </row>
    <row r="208" ht="15.75" customHeight="1">
      <c r="D208" s="222"/>
    </row>
    <row r="209" ht="15.75" customHeight="1">
      <c r="D209" s="222"/>
    </row>
    <row r="210" ht="15.75" customHeight="1">
      <c r="D210" s="222"/>
    </row>
    <row r="211" ht="15.75" customHeight="1">
      <c r="D211" s="222"/>
    </row>
    <row r="212" ht="15.75" customHeight="1">
      <c r="D212" s="222"/>
    </row>
    <row r="213" ht="15.75" customHeight="1">
      <c r="D213" s="222"/>
    </row>
    <row r="214" ht="15.75" customHeight="1">
      <c r="D214" s="222"/>
    </row>
    <row r="215" ht="15.75" customHeight="1">
      <c r="D215" s="222"/>
    </row>
    <row r="216" ht="15.75" customHeight="1">
      <c r="D216" s="222"/>
    </row>
    <row r="217" ht="15.75" customHeight="1">
      <c r="D217" s="222"/>
    </row>
    <row r="218" ht="15.75" customHeight="1">
      <c r="D218" s="222"/>
    </row>
    <row r="219" ht="15.75" customHeight="1">
      <c r="D219" s="222"/>
    </row>
    <row r="220" ht="15.75" customHeight="1">
      <c r="D220" s="222"/>
    </row>
    <row r="221" ht="15.75" customHeight="1">
      <c r="D221" s="222"/>
    </row>
    <row r="222" ht="15.75" customHeight="1">
      <c r="D222" s="222"/>
    </row>
    <row r="223" ht="15.75" customHeight="1">
      <c r="D223" s="222"/>
    </row>
    <row r="224" ht="15.75" customHeight="1">
      <c r="D224" s="222"/>
    </row>
    <row r="225" ht="15.75" customHeight="1">
      <c r="D225" s="222"/>
    </row>
    <row r="226" ht="15.75" customHeight="1">
      <c r="D226" s="222"/>
    </row>
    <row r="227" ht="15.75" customHeight="1">
      <c r="D227" s="222"/>
    </row>
    <row r="228" ht="15.75" customHeight="1">
      <c r="D228" s="222"/>
    </row>
    <row r="229" ht="15.75" customHeight="1">
      <c r="D229" s="222"/>
    </row>
    <row r="230" ht="15.75" customHeight="1">
      <c r="D230" s="222"/>
    </row>
    <row r="231" ht="15.75" customHeight="1">
      <c r="D231" s="222"/>
    </row>
    <row r="232" ht="15.75" customHeight="1">
      <c r="D232" s="222"/>
    </row>
    <row r="233" ht="15.75" customHeight="1">
      <c r="D233" s="222"/>
    </row>
    <row r="234" ht="15.75" customHeight="1">
      <c r="D234" s="222"/>
    </row>
    <row r="235" ht="15.75" customHeight="1">
      <c r="D235" s="222"/>
    </row>
    <row r="236" ht="15.75" customHeight="1">
      <c r="D236" s="222"/>
    </row>
    <row r="237" ht="15.75" customHeight="1">
      <c r="D237" s="222"/>
    </row>
    <row r="238" ht="15.75" customHeight="1">
      <c r="D238" s="222"/>
    </row>
    <row r="239" ht="15.75" customHeight="1">
      <c r="D239" s="222"/>
    </row>
    <row r="240" ht="15.75" customHeight="1">
      <c r="D240" s="222"/>
    </row>
    <row r="241" ht="15.75" customHeight="1">
      <c r="D241" s="222"/>
    </row>
    <row r="242" ht="15.75" customHeight="1">
      <c r="D242" s="222"/>
    </row>
    <row r="243" ht="15.75" customHeight="1">
      <c r="D243" s="222"/>
    </row>
    <row r="244" ht="15.75" customHeight="1">
      <c r="D244" s="222"/>
    </row>
    <row r="245" ht="15.75" customHeight="1">
      <c r="D245" s="222"/>
    </row>
    <row r="246" ht="15.75" customHeight="1">
      <c r="D246" s="222"/>
    </row>
    <row r="247" ht="15.75" customHeight="1">
      <c r="D247" s="222"/>
    </row>
    <row r="248" ht="15.75" customHeight="1">
      <c r="D248" s="222"/>
    </row>
    <row r="249" ht="15.75" customHeight="1">
      <c r="D249" s="222"/>
    </row>
    <row r="250" ht="15.75" customHeight="1">
      <c r="D250" s="222"/>
    </row>
    <row r="251" ht="15.75" customHeight="1">
      <c r="D251" s="222"/>
    </row>
    <row r="252" ht="15.75" customHeight="1">
      <c r="D252" s="222"/>
    </row>
    <row r="253" ht="15.75" customHeight="1">
      <c r="D253" s="222"/>
    </row>
    <row r="254" ht="15.75" customHeight="1">
      <c r="D254" s="222"/>
    </row>
    <row r="255" ht="15.75" customHeight="1">
      <c r="D255" s="222"/>
    </row>
    <row r="256" ht="15.75" customHeight="1">
      <c r="D256" s="222"/>
    </row>
    <row r="257" ht="15.75" customHeight="1">
      <c r="D257" s="222"/>
    </row>
    <row r="258" ht="15.75" customHeight="1">
      <c r="D258" s="222"/>
    </row>
    <row r="259" ht="15.75" customHeight="1">
      <c r="D259" s="222"/>
    </row>
    <row r="260" ht="15.75" customHeight="1">
      <c r="D260" s="222"/>
    </row>
    <row r="261" ht="15.75" customHeight="1">
      <c r="D261" s="222"/>
    </row>
    <row r="262" ht="15.75" customHeight="1">
      <c r="D262" s="222"/>
    </row>
    <row r="263" ht="15.75" customHeight="1">
      <c r="D263" s="222"/>
    </row>
    <row r="264" ht="15.75" customHeight="1">
      <c r="D264" s="222"/>
    </row>
    <row r="265" ht="15.75" customHeight="1">
      <c r="D265" s="222"/>
    </row>
    <row r="266" ht="15.75" customHeight="1">
      <c r="D266" s="222"/>
    </row>
    <row r="267" ht="15.75" customHeight="1">
      <c r="D267" s="222"/>
    </row>
    <row r="268" ht="15.75" customHeight="1">
      <c r="D268" s="222"/>
    </row>
    <row r="269" ht="15.75" customHeight="1">
      <c r="D269" s="222"/>
    </row>
    <row r="270" ht="15.75" customHeight="1">
      <c r="D270" s="222"/>
    </row>
    <row r="271" ht="15.75" customHeight="1">
      <c r="D271" s="222"/>
    </row>
    <row r="272" ht="15.75" customHeight="1">
      <c r="D272" s="222"/>
    </row>
    <row r="273" ht="15.75" customHeight="1">
      <c r="D273" s="222"/>
    </row>
    <row r="274" ht="15.75" customHeight="1">
      <c r="D274" s="222"/>
    </row>
    <row r="275" ht="15.75" customHeight="1">
      <c r="D275" s="222"/>
    </row>
    <row r="276" ht="15.75" customHeight="1">
      <c r="D276" s="222"/>
    </row>
    <row r="277" ht="15.75" customHeight="1">
      <c r="D277" s="222"/>
    </row>
    <row r="278" ht="15.75" customHeight="1">
      <c r="D278" s="222"/>
    </row>
    <row r="279" ht="15.75" customHeight="1">
      <c r="D279" s="222"/>
    </row>
    <row r="280" ht="15.75" customHeight="1">
      <c r="D280" s="222"/>
    </row>
    <row r="281" ht="15.75" customHeight="1">
      <c r="D281" s="222"/>
    </row>
    <row r="282" ht="15.75" customHeight="1">
      <c r="D282" s="222"/>
    </row>
    <row r="283" ht="15.75" customHeight="1">
      <c r="D283" s="222"/>
    </row>
    <row r="284" ht="15.75" customHeight="1">
      <c r="D284" s="222"/>
    </row>
    <row r="285" ht="15.75" customHeight="1">
      <c r="D285" s="222"/>
    </row>
    <row r="286" ht="15.75" customHeight="1">
      <c r="D286" s="222"/>
    </row>
    <row r="287" ht="15.75" customHeight="1">
      <c r="D287" s="222"/>
    </row>
    <row r="288" ht="15.75" customHeight="1">
      <c r="D288" s="222"/>
    </row>
    <row r="289" ht="15.75" customHeight="1">
      <c r="D289" s="222"/>
    </row>
    <row r="290" ht="15.75" customHeight="1">
      <c r="D290" s="222"/>
    </row>
    <row r="291" ht="15.75" customHeight="1">
      <c r="D291" s="222"/>
    </row>
    <row r="292" ht="15.75" customHeight="1">
      <c r="D292" s="22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