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PPMP Sample 1 (2)" sheetId="1" r:id="rId1"/>
  </sheets>
  <calcPr calcId="124519"/>
  <extLst>
    <ext uri="GoogleSheetsCustomDataVersion2">
      <go:sheetsCustomData xmlns:go="http://customooxmlschemas.google.com/" r:id="rId5" roundtripDataChecksum="eEaHzSjwtgq0HIFo9b9V+jnFKhhryJhnFh54l8VH5wE="/>
    </ext>
  </extLst>
</workbook>
</file>

<file path=xl/calcChain.xml><?xml version="1.0" encoding="utf-8"?>
<calcChain xmlns="http://schemas.openxmlformats.org/spreadsheetml/2006/main">
  <c r="C48" i="1"/>
  <c r="C49" s="1"/>
  <c r="U9"/>
  <c r="C50" l="1"/>
  <c r="C51" s="1"/>
</calcChain>
</file>

<file path=xl/comments1.xml><?xml version="1.0" encoding="utf-8"?>
<comments xmlns="http://schemas.openxmlformats.org/spreadsheetml/2006/main">
  <authors>
    <author/>
  </authors>
  <commentList>
    <comment ref="A55" authorId="0">
      <text>
        <r>
          <rPr>
            <sz val="11"/>
            <color theme="1"/>
            <rFont val="Arial"/>
            <scheme val="minor"/>
          </rPr>
          <t>======
ID#AAABNlAHKFs
upmnih    (2021-04-08 04:25:07)
Prepared by: Project Staff/ Research Associate</t>
        </r>
      </text>
    </comment>
    <comment ref="C55" authorId="0">
      <text>
        <r>
          <rPr>
            <sz val="11"/>
            <color theme="1"/>
            <rFont val="Arial"/>
            <scheme val="minor"/>
          </rPr>
          <t>======
ID#AAABNlAHKFw
upmnih    (2021-04-08 04:25:07)
Submitted by: Project Leader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grKDacWuzRpvw87b/JtOmm3mtNJw=="/>
    </ext>
  </extLst>
</comments>
</file>

<file path=xl/sharedStrings.xml><?xml version="1.0" encoding="utf-8"?>
<sst xmlns="http://schemas.openxmlformats.org/spreadsheetml/2006/main" count="95" uniqueCount="77">
  <si>
    <t xml:space="preserve">  PROJECT PROCUREMENT MANAGEMENT PLAN (PPMP) 2024</t>
  </si>
  <si>
    <t>For 2nd Quarter of CY 2024</t>
  </si>
  <si>
    <t>END-USER/UNIT: RDD-CDABUS</t>
  </si>
  <si>
    <t>Charged to: Vegetable Tanning of Leather Using Indigenous Plant Sources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</si>
  <si>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</si>
  <si>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</si>
  <si>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</si>
  <si>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</si>
  <si>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</si>
  <si>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</si>
  <si>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</si>
  <si>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</si>
  <si>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</si>
  <si>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</si>
  <si>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</si>
  <si>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</si>
  <si>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</si>
  <si>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</si>
  <si>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</si>
  <si>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</si>
  <si>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</si>
  <si>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</si>
  <si>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</si>
  <si>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</si>
  <si>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</si>
  <si>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</si>
  <si>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</si>
  <si>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</si>
  <si>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</si>
  <si>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USB-C to HDMI Cable</t>
  </si>
  <si>
    <t>5 pieces</t>
  </si>
  <si>
    <t>Shopping</t>
  </si>
  <si>
    <t>HDMI to HDMI Cable</t>
  </si>
  <si>
    <t>SD Card (256 GB or better)</t>
  </si>
  <si>
    <t>Micro SD Card (128 GB or better)</t>
  </si>
  <si>
    <t>USB-C Hub (with HDMI port, USB-A port, USB-C port, SD Card Reader, Micro SD Card Reader)</t>
  </si>
  <si>
    <t>3 pieces</t>
  </si>
  <si>
    <t>Laboratory Supplies</t>
  </si>
  <si>
    <t>Animal Hides</t>
  </si>
  <si>
    <t>10 sheets</t>
  </si>
  <si>
    <t>Small Value Procurement</t>
  </si>
  <si>
    <t>NaOH Pellets</t>
  </si>
  <si>
    <t>5 bottles</t>
  </si>
  <si>
    <t>Ethanol</t>
  </si>
  <si>
    <t>10 bottles</t>
  </si>
  <si>
    <t>Methanol</t>
  </si>
  <si>
    <t>Other Professional Services</t>
  </si>
  <si>
    <t>Leather Testing</t>
  </si>
  <si>
    <t>1 lot</t>
  </si>
  <si>
    <t>Bidding</t>
  </si>
  <si>
    <t>Design Services for TPDC</t>
  </si>
  <si>
    <t>Other Supplies and Materials</t>
  </si>
  <si>
    <t>Fine Natural Fiber Twine</t>
  </si>
  <si>
    <t>1000 meters</t>
  </si>
  <si>
    <t>Hand-Woven Sustainable Shoes</t>
  </si>
  <si>
    <t>63 pcs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</si>
  <si>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</si>
  <si>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</si>
  <si>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</si>
  <si>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</si>
  <si>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</si>
  <si>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</si>
  <si>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</si>
  <si>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</si>
  <si>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</si>
  <si>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</si>
  <si>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</si>
  <si>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</si>
  <si>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PHILIP AJON M. BASAT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</si>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</sst>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9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right" vertical="center" wrapText="1"/>
    </xf>
    <xf numFmtId="43" fontId="6" fillId="2" borderId="13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43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/>
    <xf numFmtId="49" fontId="2" fillId="0" borderId="15" xfId="0" applyNumberFormat="1" applyFont="1" applyBorder="1"/>
    <xf numFmtId="49" fontId="2" fillId="0" borderId="15" xfId="0" applyNumberFormat="1" applyFont="1" applyBorder="1" applyAlignment="1">
      <alignment horizontal="left" vertical="center" wrapText="1"/>
    </xf>
    <xf numFmtId="0" fontId="2" fillId="0" borderId="17" xfId="0" applyFont="1" applyBorder="1" applyAlignment="1">
      <alignment vertical="center"/>
    </xf>
    <xf numFmtId="0" fontId="10" fillId="2" borderId="18" xfId="0" applyFont="1" applyFill="1" applyBorder="1" applyAlignment="1">
      <alignment horizontal="left" vertical="center"/>
    </xf>
    <xf numFmtId="0" fontId="2" fillId="2" borderId="17" xfId="0" applyFont="1" applyFill="1" applyBorder="1"/>
    <xf numFmtId="4" fontId="2" fillId="2" borderId="17" xfId="0" applyNumberFormat="1" applyFont="1" applyFill="1" applyBorder="1" applyAlignment="1">
      <alignment horizontal="right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4" fontId="2" fillId="0" borderId="17" xfId="0" applyNumberFormat="1" applyFont="1" applyBorder="1" applyAlignment="1">
      <alignment horizontal="right"/>
    </xf>
    <xf numFmtId="0" fontId="10" fillId="2" borderId="18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43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/>
    <xf numFmtId="0" fontId="10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43" fontId="2" fillId="0" borderId="1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2" fillId="0" borderId="23" xfId="0" applyNumberFormat="1" applyFont="1" applyBorder="1"/>
    <xf numFmtId="0" fontId="12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11" fillId="0" borderId="0" xfId="0" applyFont="1"/>
    <xf numFmtId="43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43" fontId="1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22" xfId="0" applyFont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/>
    </xf>
    <xf numFmtId="43" fontId="1" fillId="0" borderId="24" xfId="0" applyNumberFormat="1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9" fillId="0" borderId="0" xfId="0" applyFont="1" applyAlignment="1">
      <alignment horizontal="left"/>
    </xf>
    <xf numFmtId="0" fontId="2" fillId="0" borderId="0" xfId="0" applyFont="1"/>
    <xf numFmtId="0" fontId="11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43" fontId="18" fillId="0" borderId="0" xfId="0" applyNumberFormat="1" applyFont="1" applyAlignment="1">
      <alignment horizontal="left" vertical="center" wrapText="1"/>
    </xf>
    <xf numFmtId="43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03"/>
  <sheetViews>
    <sheetView tabSelected="1" workbookViewId="0">
      <selection activeCell="B29" sqref="B29"/>
    </sheetView>
  </sheetViews>
  <sheetFormatPr defaultColWidth="12.625" defaultRowHeight="15" customHeight="1"/>
  <cols>
    <col min="1" max="1" width="7.625" customWidth="1"/>
    <col min="2" max="2" width="36.125" customWidth="1"/>
    <col min="3" max="3" width="11.625" customWidth="1"/>
    <col min="4" max="4" width="10.125" customWidth="1"/>
    <col min="5" max="5" width="11.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1"/>
      <c r="X1" s="1"/>
    </row>
    <row r="2" spans="1:24" ht="14.25">
      <c r="A2" s="75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1"/>
      <c r="X2" s="1"/>
    </row>
    <row r="3" spans="1:24">
      <c r="A3" s="76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1"/>
      <c r="X3" s="1"/>
    </row>
    <row r="4" spans="1:24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2" t="s">
        <v>3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5" t="s">
        <v>4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77" t="s">
        <v>5</v>
      </c>
      <c r="B8" s="79" t="s">
        <v>6</v>
      </c>
      <c r="C8" s="9" t="s">
        <v>7</v>
      </c>
      <c r="D8" s="81" t="s">
        <v>8</v>
      </c>
      <c r="E8" s="82" t="s">
        <v>9</v>
      </c>
      <c r="F8" s="94" t="s">
        <v>10</v>
      </c>
      <c r="G8" s="79" t="s">
        <v>11</v>
      </c>
      <c r="H8" s="83" t="s">
        <v>12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5"/>
      <c r="W8" s="10"/>
      <c r="X8" s="10"/>
    </row>
    <row r="9" spans="1:24" ht="38.25">
      <c r="A9" s="78"/>
      <c r="B9" s="80"/>
      <c r="C9" s="11" t="s">
        <v>13</v>
      </c>
      <c r="D9" s="80"/>
      <c r="E9" s="80"/>
      <c r="F9" s="80"/>
      <c r="G9" s="80"/>
      <c r="H9" s="12" t="s">
        <v>14</v>
      </c>
      <c r="I9" s="12" t="s">
        <v>15</v>
      </c>
      <c r="J9" s="12" t="s">
        <v>16</v>
      </c>
      <c r="K9" s="12" t="s">
        <v>17</v>
      </c>
      <c r="L9" s="12" t="s">
        <v>18</v>
      </c>
      <c r="M9" s="12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12" t="s">
        <v>25</v>
      </c>
      <c r="T9" s="12" t="s">
        <v>26</v>
      </c>
      <c r="U9" s="13" t="str">
        <f>$V$9</f>
        <v>REMARKS</v>
      </c>
      <c r="V9" s="13" t="s">
        <v>27</v>
      </c>
      <c r="W9" s="14"/>
      <c r="X9" s="10"/>
    </row>
    <row r="10" spans="1:24" ht="14.25">
      <c r="A10" s="15"/>
      <c r="B10" s="16" t="s">
        <v>28</v>
      </c>
      <c r="C10" s="17"/>
      <c r="D10" s="18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1"/>
      <c r="V10" s="22"/>
      <c r="W10" s="10"/>
      <c r="X10" s="10"/>
    </row>
    <row r="11" spans="1:24">
      <c r="A11" s="23"/>
      <c r="B11" s="24" t="s">
        <v>29</v>
      </c>
      <c r="C11" s="25" t="s">
        <v>30</v>
      </c>
      <c r="D11" s="26">
        <v>1000</v>
      </c>
      <c r="E11" s="27">
        <v>5000</v>
      </c>
      <c r="F11" s="28" t="s">
        <v>31</v>
      </c>
      <c r="G11" s="28"/>
      <c r="H11" s="28">
        <v>5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10"/>
      <c r="X11" s="10"/>
    </row>
    <row r="12" spans="1:24">
      <c r="A12" s="23"/>
      <c r="B12" s="29" t="s">
        <v>32</v>
      </c>
      <c r="C12" s="25" t="s">
        <v>30</v>
      </c>
      <c r="D12" s="26">
        <v>1000</v>
      </c>
      <c r="E12" s="27">
        <v>5000</v>
      </c>
      <c r="F12" s="28" t="s">
        <v>31</v>
      </c>
      <c r="G12" s="28"/>
      <c r="H12" s="28">
        <v>5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10"/>
      <c r="X12" s="10"/>
    </row>
    <row r="13" spans="1:24">
      <c r="A13" s="23"/>
      <c r="B13" s="29" t="s">
        <v>33</v>
      </c>
      <c r="C13" s="25" t="s">
        <v>30</v>
      </c>
      <c r="D13" s="26">
        <v>1000</v>
      </c>
      <c r="E13" s="27">
        <v>5000</v>
      </c>
      <c r="F13" s="28" t="s">
        <v>31</v>
      </c>
      <c r="G13" s="28"/>
      <c r="H13" s="28">
        <v>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10"/>
      <c r="X13" s="10"/>
    </row>
    <row r="14" spans="1:24">
      <c r="A14" s="23"/>
      <c r="B14" s="29" t="s">
        <v>34</v>
      </c>
      <c r="C14" s="25" t="s">
        <v>30</v>
      </c>
      <c r="D14" s="26">
        <v>750</v>
      </c>
      <c r="E14" s="27">
        <v>3750</v>
      </c>
      <c r="F14" s="28" t="s">
        <v>31</v>
      </c>
      <c r="G14" s="28"/>
      <c r="H14" s="28">
        <v>5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10"/>
      <c r="X14" s="10"/>
    </row>
    <row r="15" spans="1:24" ht="42.75">
      <c r="A15" s="23"/>
      <c r="B15" s="30" t="s">
        <v>35</v>
      </c>
      <c r="C15" s="25" t="s">
        <v>36</v>
      </c>
      <c r="D15" s="26">
        <v>2000</v>
      </c>
      <c r="E15" s="27">
        <v>6000</v>
      </c>
      <c r="F15" s="31" t="s">
        <v>31</v>
      </c>
      <c r="G15" s="28"/>
      <c r="H15" s="28">
        <v>3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10"/>
      <c r="X15" s="10"/>
    </row>
    <row r="16" spans="1:24" ht="15.75" customHeight="1">
      <c r="A16" s="23"/>
      <c r="B16" s="29"/>
      <c r="C16" s="25"/>
      <c r="D16" s="26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10"/>
      <c r="X16" s="10"/>
    </row>
    <row r="17" spans="1:24" ht="15.75" customHeight="1">
      <c r="A17" s="23"/>
      <c r="B17" s="32" t="s">
        <v>37</v>
      </c>
      <c r="C17" s="33"/>
      <c r="D17" s="3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10"/>
      <c r="X17" s="10"/>
    </row>
    <row r="18" spans="1:24" ht="15.75" customHeight="1">
      <c r="A18" s="23"/>
      <c r="B18" s="35" t="s">
        <v>38</v>
      </c>
      <c r="C18" s="36" t="s">
        <v>39</v>
      </c>
      <c r="D18" s="26">
        <v>1000</v>
      </c>
      <c r="E18" s="37">
        <v>10000</v>
      </c>
      <c r="F18" s="28" t="s">
        <v>40</v>
      </c>
      <c r="G18" s="28"/>
      <c r="H18" s="28"/>
      <c r="I18" s="28"/>
      <c r="J18" s="28">
        <v>10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10"/>
      <c r="X18" s="10"/>
    </row>
    <row r="19" spans="1:24" ht="15.75" customHeight="1">
      <c r="A19" s="23"/>
      <c r="B19" s="29" t="s">
        <v>41</v>
      </c>
      <c r="C19" s="25" t="s">
        <v>42</v>
      </c>
      <c r="D19" s="26">
        <v>2000</v>
      </c>
      <c r="E19" s="27">
        <v>10000</v>
      </c>
      <c r="F19" s="28" t="s">
        <v>40</v>
      </c>
      <c r="G19" s="28"/>
      <c r="H19" s="28">
        <v>5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10"/>
      <c r="X19" s="10"/>
    </row>
    <row r="20" spans="1:24" ht="15.75" customHeight="1">
      <c r="A20" s="23"/>
      <c r="B20" s="24" t="s">
        <v>43</v>
      </c>
      <c r="C20" s="25" t="s">
        <v>44</v>
      </c>
      <c r="D20" s="26">
        <v>5000</v>
      </c>
      <c r="E20" s="27">
        <v>50000</v>
      </c>
      <c r="F20" s="28" t="s">
        <v>40</v>
      </c>
      <c r="G20" s="28"/>
      <c r="H20" s="28"/>
      <c r="I20" s="28">
        <v>10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10"/>
      <c r="X20" s="10"/>
    </row>
    <row r="21" spans="1:24" ht="15.75" customHeight="1">
      <c r="A21" s="23"/>
      <c r="B21" s="24" t="s">
        <v>45</v>
      </c>
      <c r="C21" s="25" t="s">
        <v>44</v>
      </c>
      <c r="D21" s="26">
        <v>1500</v>
      </c>
      <c r="E21" s="27">
        <v>15000</v>
      </c>
      <c r="F21" s="28" t="s">
        <v>40</v>
      </c>
      <c r="G21" s="28"/>
      <c r="H21" s="28"/>
      <c r="I21" s="28">
        <v>10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0"/>
      <c r="X21" s="10"/>
    </row>
    <row r="22" spans="1:24" ht="15.75" customHeight="1">
      <c r="A22" s="23"/>
      <c r="B22" s="24"/>
      <c r="C22" s="25"/>
      <c r="D22" s="26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10"/>
      <c r="X22" s="10"/>
    </row>
    <row r="23" spans="1:24" ht="15.75" customHeight="1">
      <c r="A23" s="23"/>
      <c r="B23" s="32" t="s">
        <v>46</v>
      </c>
      <c r="C23" s="33"/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10"/>
      <c r="X23" s="10"/>
    </row>
    <row r="24" spans="1:24" ht="15.75" customHeight="1">
      <c r="A24" s="23"/>
      <c r="B24" s="35" t="s">
        <v>47</v>
      </c>
      <c r="C24" s="25" t="s">
        <v>48</v>
      </c>
      <c r="D24" s="26">
        <v>100000</v>
      </c>
      <c r="E24" s="27">
        <v>200000</v>
      </c>
      <c r="F24" s="28" t="s">
        <v>49</v>
      </c>
      <c r="G24" s="28"/>
      <c r="H24" s="28"/>
      <c r="I24" s="28"/>
      <c r="J24" s="28">
        <v>1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10"/>
      <c r="X24" s="10"/>
    </row>
    <row r="25" spans="1:24" ht="15.75" customHeight="1">
      <c r="A25" s="23"/>
      <c r="B25" s="35" t="s">
        <v>50</v>
      </c>
      <c r="C25" s="25" t="s">
        <v>48</v>
      </c>
      <c r="D25" s="26">
        <v>650000</v>
      </c>
      <c r="E25" s="27">
        <v>650000</v>
      </c>
      <c r="F25" s="28" t="s">
        <v>49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10"/>
      <c r="X25" s="10"/>
    </row>
    <row r="26" spans="1:24" ht="15.75" customHeight="1">
      <c r="A26" s="23"/>
      <c r="B26" s="35"/>
      <c r="C26" s="25"/>
      <c r="D26" s="26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10"/>
      <c r="X26" s="10"/>
    </row>
    <row r="27" spans="1:24" ht="15.75" customHeight="1">
      <c r="A27" s="23"/>
      <c r="B27" s="38" t="s">
        <v>51</v>
      </c>
      <c r="C27" s="33"/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10"/>
      <c r="X27" s="10"/>
    </row>
    <row r="28" spans="1:24" ht="15.75" customHeight="1">
      <c r="A28" s="23"/>
      <c r="B28" s="39" t="s">
        <v>52</v>
      </c>
      <c r="C28" s="40" t="s">
        <v>53</v>
      </c>
      <c r="D28" s="41">
        <v>10</v>
      </c>
      <c r="E28" s="42">
        <v>10000</v>
      </c>
      <c r="F28" s="28" t="s">
        <v>40</v>
      </c>
      <c r="G28" s="28"/>
      <c r="H28" s="28"/>
      <c r="I28" s="43">
        <v>1000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0"/>
      <c r="X28" s="10"/>
    </row>
    <row r="29" spans="1:24" ht="15.75" customHeight="1">
      <c r="A29" s="23"/>
      <c r="B29" s="39" t="s">
        <v>54</v>
      </c>
      <c r="C29" s="40" t="s">
        <v>55</v>
      </c>
      <c r="D29" s="41">
        <v>2500</v>
      </c>
      <c r="E29" s="42">
        <v>157500</v>
      </c>
      <c r="F29" s="28" t="s">
        <v>40</v>
      </c>
      <c r="G29" s="28"/>
      <c r="H29" s="28"/>
      <c r="I29" s="28"/>
      <c r="J29" s="43">
        <v>63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10"/>
      <c r="X29" s="10"/>
    </row>
    <row r="30" spans="1:24" ht="15.75" hidden="1" customHeight="1">
      <c r="A30" s="23"/>
      <c r="B30" s="35"/>
      <c r="C30" s="25"/>
      <c r="D30" s="26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10"/>
      <c r="X30" s="10"/>
    </row>
    <row r="31" spans="1:24" ht="15.75" hidden="1" customHeight="1">
      <c r="A31" s="23"/>
      <c r="B31" s="35"/>
      <c r="C31" s="25"/>
      <c r="D31" s="26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10"/>
      <c r="X31" s="10"/>
    </row>
    <row r="32" spans="1:24" ht="15.75" hidden="1" customHeight="1">
      <c r="A32" s="23"/>
      <c r="B32" s="35"/>
      <c r="C32" s="25"/>
      <c r="D32" s="26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10"/>
      <c r="X32" s="10"/>
    </row>
    <row r="33" spans="1:24" ht="15.75" hidden="1" customHeight="1">
      <c r="A33" s="23"/>
      <c r="B33" s="35"/>
      <c r="C33" s="25"/>
      <c r="D33" s="26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10"/>
      <c r="X33" s="10"/>
    </row>
    <row r="34" spans="1:24" ht="15.75" hidden="1" customHeight="1">
      <c r="A34" s="23"/>
      <c r="B34" s="35"/>
      <c r="C34" s="25"/>
      <c r="D34" s="26"/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10"/>
      <c r="X34" s="10"/>
    </row>
    <row r="35" spans="1:24" ht="15.75" hidden="1" customHeight="1">
      <c r="A35" s="23"/>
      <c r="B35" s="35"/>
      <c r="C35" s="25"/>
      <c r="D35" s="26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10"/>
      <c r="X35" s="10"/>
    </row>
    <row r="36" spans="1:24" ht="15.75" hidden="1" customHeight="1">
      <c r="A36" s="44"/>
      <c r="B36" s="45"/>
      <c r="C36" s="46"/>
      <c r="D36" s="47"/>
      <c r="E36" s="4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10"/>
      <c r="X36" s="10"/>
    </row>
    <row r="37" spans="1:24" ht="15.75" hidden="1" customHeight="1">
      <c r="A37" s="23"/>
      <c r="B37" s="32" t="s">
        <v>56</v>
      </c>
      <c r="C37" s="33"/>
      <c r="D37" s="3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10"/>
      <c r="X37" s="10"/>
    </row>
    <row r="38" spans="1:24" ht="15.75" hidden="1" customHeight="1">
      <c r="A38" s="23"/>
      <c r="B38" s="35"/>
      <c r="C38" s="25"/>
      <c r="D38" s="26"/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10"/>
      <c r="X38" s="10"/>
    </row>
    <row r="39" spans="1:24" ht="15.75" hidden="1" customHeight="1">
      <c r="A39" s="23"/>
      <c r="B39" s="35"/>
      <c r="C39" s="25"/>
      <c r="D39" s="26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10"/>
      <c r="X39" s="10"/>
    </row>
    <row r="40" spans="1:24" ht="15.75" hidden="1" customHeight="1">
      <c r="A40" s="23"/>
      <c r="B40" s="35"/>
      <c r="C40" s="25"/>
      <c r="D40" s="26"/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10"/>
      <c r="X40" s="10"/>
    </row>
    <row r="41" spans="1:24" ht="15.75" hidden="1" customHeight="1">
      <c r="A41" s="23"/>
      <c r="B41" s="35"/>
      <c r="C41" s="25"/>
      <c r="D41" s="26"/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10"/>
      <c r="X41" s="10"/>
    </row>
    <row r="42" spans="1:24" ht="15.75" hidden="1" customHeight="1">
      <c r="A42" s="23"/>
      <c r="B42" s="32" t="s">
        <v>57</v>
      </c>
      <c r="C42" s="33"/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10"/>
      <c r="X42" s="10"/>
    </row>
    <row r="43" spans="1:24" ht="15.75" hidden="1" customHeight="1">
      <c r="A43" s="23"/>
      <c r="B43" s="35"/>
      <c r="C43" s="25"/>
      <c r="D43" s="26"/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10"/>
      <c r="X43" s="10"/>
    </row>
    <row r="44" spans="1:24" ht="15.75" hidden="1" customHeight="1">
      <c r="A44" s="23"/>
      <c r="B44" s="35"/>
      <c r="C44" s="25"/>
      <c r="D44" s="26"/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10"/>
      <c r="X44" s="10"/>
    </row>
    <row r="45" spans="1:24" ht="15.75" hidden="1" customHeight="1">
      <c r="A45" s="23"/>
      <c r="B45" s="35"/>
      <c r="C45" s="25"/>
      <c r="D45" s="26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10"/>
      <c r="X45" s="10"/>
    </row>
    <row r="46" spans="1:24" ht="15.75" customHeight="1">
      <c r="A46" s="44"/>
      <c r="B46" s="95" t="s">
        <v>58</v>
      </c>
      <c r="C46" s="87"/>
      <c r="D46" s="87"/>
      <c r="E46" s="87"/>
      <c r="F46" s="87"/>
      <c r="G46" s="87"/>
      <c r="H46" s="87"/>
      <c r="I46" s="8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10"/>
      <c r="X46" s="10"/>
    </row>
    <row r="47" spans="1:24" ht="15.75" customHeight="1">
      <c r="A47" s="49"/>
      <c r="B47" s="50"/>
      <c r="C47" s="1"/>
      <c r="D47" s="6"/>
      <c r="E47" s="51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52" t="s">
        <v>59</v>
      </c>
      <c r="B48" s="3"/>
      <c r="C48" s="96">
        <f>SUM(E11:E28)</f>
        <v>969750</v>
      </c>
      <c r="D48" s="74"/>
      <c r="E48" s="74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hidden="1" customHeight="1">
      <c r="A49" s="53" t="s">
        <v>60</v>
      </c>
      <c r="B49" s="54"/>
      <c r="C49" s="97">
        <f>PRODUCT(C48,0.1)</f>
        <v>96975</v>
      </c>
      <c r="D49" s="98"/>
      <c r="E49" s="99"/>
      <c r="F49" s="8"/>
      <c r="G49" s="8"/>
      <c r="H49" s="100"/>
      <c r="I49" s="74"/>
      <c r="J49" s="100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55"/>
      <c r="V49" s="1"/>
      <c r="W49" s="1"/>
      <c r="X49" s="1"/>
    </row>
    <row r="50" spans="1:24" ht="15.75" hidden="1" customHeight="1">
      <c r="A50" s="56" t="s">
        <v>61</v>
      </c>
      <c r="B50" s="31"/>
      <c r="C50" s="86">
        <f>PRODUCT(C48,0.1)</f>
        <v>96975</v>
      </c>
      <c r="D50" s="87"/>
      <c r="E50" s="88"/>
      <c r="F50" s="8"/>
      <c r="G50" s="8"/>
      <c r="H50" s="57"/>
      <c r="I50" s="57"/>
      <c r="J50" s="106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58"/>
      <c r="V50" s="1"/>
      <c r="W50" s="1"/>
      <c r="X50" s="1"/>
    </row>
    <row r="51" spans="1:24" ht="15.75" hidden="1" customHeight="1">
      <c r="A51" s="56" t="s">
        <v>62</v>
      </c>
      <c r="B51" s="31"/>
      <c r="C51" s="86">
        <f>SUM(C48:E50)</f>
        <v>1163700</v>
      </c>
      <c r="D51" s="87"/>
      <c r="E51" s="88"/>
      <c r="F51" s="8"/>
      <c r="G51" s="8"/>
      <c r="H51" s="57"/>
      <c r="I51" s="57"/>
      <c r="J51" s="106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58"/>
      <c r="V51" s="1"/>
      <c r="W51" s="1"/>
      <c r="X51" s="1"/>
    </row>
    <row r="52" spans="1:24" ht="15.75" customHeight="1">
      <c r="A52" s="59"/>
      <c r="B52" s="3"/>
      <c r="C52" s="1"/>
      <c r="D52" s="6"/>
      <c r="E52" s="7"/>
      <c r="F52" s="8"/>
      <c r="G52" s="8"/>
      <c r="H52" s="57"/>
      <c r="I52" s="57"/>
      <c r="J52" s="106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58"/>
      <c r="V52" s="1"/>
      <c r="W52" s="1"/>
      <c r="X52" s="1"/>
    </row>
    <row r="53" spans="1:24" ht="15.75" customHeight="1">
      <c r="A53" s="60" t="s">
        <v>63</v>
      </c>
      <c r="B53" s="3"/>
      <c r="C53" s="1"/>
      <c r="D53" s="6"/>
      <c r="E53" s="7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61"/>
      <c r="B54" s="3"/>
      <c r="C54" s="1"/>
      <c r="D54" s="6"/>
      <c r="E54" s="7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62" t="s">
        <v>64</v>
      </c>
      <c r="B55" s="50"/>
      <c r="C55" s="89" t="s">
        <v>65</v>
      </c>
      <c r="D55" s="74"/>
      <c r="E55" s="74"/>
      <c r="F55" s="57"/>
      <c r="G55" s="57"/>
      <c r="H55" s="1"/>
      <c r="I55" s="89" t="s">
        <v>66</v>
      </c>
      <c r="J55" s="74"/>
      <c r="K55" s="74"/>
      <c r="L55" s="74"/>
      <c r="M55" s="74"/>
      <c r="N55" s="74"/>
      <c r="O55" s="1"/>
      <c r="P55" s="1"/>
      <c r="Q55" s="89" t="s">
        <v>67</v>
      </c>
      <c r="R55" s="74"/>
      <c r="S55" s="74"/>
      <c r="T55" s="74"/>
      <c r="U55" s="1"/>
      <c r="V55" s="101"/>
      <c r="W55" s="74"/>
      <c r="X55" s="57"/>
    </row>
    <row r="56" spans="1:24" ht="15.75" customHeight="1">
      <c r="A56" s="62"/>
      <c r="B56" s="50"/>
      <c r="C56" s="63"/>
      <c r="D56" s="64"/>
      <c r="E56" s="63"/>
      <c r="F56" s="57"/>
      <c r="G56" s="57"/>
      <c r="H56" s="1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57"/>
      <c r="X56" s="57"/>
    </row>
    <row r="57" spans="1:24" ht="15.75" customHeight="1">
      <c r="A57" s="50"/>
      <c r="B57" s="50"/>
      <c r="C57" s="57"/>
      <c r="D57" s="65"/>
      <c r="E57" s="66"/>
      <c r="F57" s="57"/>
      <c r="G57" s="57"/>
      <c r="H57" s="1"/>
      <c r="I57" s="57"/>
      <c r="J57" s="66"/>
      <c r="K57" s="66"/>
      <c r="L57" s="66"/>
      <c r="M57" s="66"/>
      <c r="N57" s="66"/>
      <c r="O57" s="66"/>
      <c r="P57" s="66"/>
      <c r="Q57" s="57"/>
      <c r="R57" s="66"/>
      <c r="S57" s="57"/>
      <c r="T57" s="57"/>
      <c r="U57" s="57"/>
      <c r="V57" s="57"/>
      <c r="W57" s="57"/>
      <c r="X57" s="57"/>
    </row>
    <row r="58" spans="1:24" ht="15.75" customHeight="1">
      <c r="A58" s="90" t="s">
        <v>68</v>
      </c>
      <c r="B58" s="74"/>
      <c r="C58" s="91" t="s">
        <v>69</v>
      </c>
      <c r="D58" s="74"/>
      <c r="E58" s="74"/>
      <c r="F58" s="74"/>
      <c r="G58" s="1"/>
      <c r="H58" s="1"/>
      <c r="I58" s="91" t="s">
        <v>70</v>
      </c>
      <c r="J58" s="74"/>
      <c r="K58" s="74"/>
      <c r="L58" s="74"/>
      <c r="M58" s="74"/>
      <c r="N58" s="74"/>
      <c r="O58" s="1"/>
      <c r="P58" s="1"/>
      <c r="Q58" s="91" t="s">
        <v>71</v>
      </c>
      <c r="R58" s="74"/>
      <c r="S58" s="74"/>
      <c r="T58" s="74"/>
      <c r="U58" s="1"/>
      <c r="V58" s="101"/>
      <c r="W58" s="74"/>
      <c r="X58" s="74"/>
    </row>
    <row r="59" spans="1:24" ht="15" customHeight="1">
      <c r="A59" s="92" t="s">
        <v>72</v>
      </c>
      <c r="B59" s="74"/>
      <c r="C59" s="93" t="s">
        <v>73</v>
      </c>
      <c r="D59" s="74"/>
      <c r="E59" s="74"/>
      <c r="F59" s="74"/>
      <c r="G59" s="67"/>
      <c r="H59" s="1"/>
      <c r="I59" s="102" t="s">
        <v>74</v>
      </c>
      <c r="J59" s="74"/>
      <c r="K59" s="74"/>
      <c r="L59" s="74"/>
      <c r="M59" s="74"/>
      <c r="N59" s="74"/>
      <c r="O59" s="1"/>
      <c r="P59" s="1"/>
      <c r="Q59" s="93" t="s">
        <v>75</v>
      </c>
      <c r="R59" s="74"/>
      <c r="S59" s="74"/>
      <c r="T59" s="74"/>
      <c r="U59" s="1"/>
      <c r="V59" s="1"/>
      <c r="W59" s="57"/>
      <c r="X59" s="57"/>
    </row>
    <row r="60" spans="1:24" ht="15.75" customHeight="1">
      <c r="A60" s="1"/>
      <c r="B60" s="1"/>
      <c r="C60" s="1"/>
      <c r="D60" s="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 t="s">
        <v>76</v>
      </c>
      <c r="B61" s="1"/>
      <c r="C61" s="1" t="s">
        <v>76</v>
      </c>
      <c r="D61" s="6"/>
      <c r="E61" s="1"/>
      <c r="F61" s="1"/>
      <c r="G61" s="1"/>
      <c r="H61" s="1"/>
      <c r="I61" s="1" t="s">
        <v>76</v>
      </c>
      <c r="J61" s="1"/>
      <c r="K61" s="1"/>
      <c r="L61" s="1"/>
      <c r="M61" s="1"/>
      <c r="N61" s="1"/>
      <c r="O61" s="1"/>
      <c r="P61" s="1"/>
      <c r="Q61" s="1" t="s">
        <v>76</v>
      </c>
      <c r="R61" s="1"/>
      <c r="S61" s="1"/>
      <c r="T61" s="1"/>
      <c r="U61" s="1"/>
      <c r="V61" s="1"/>
      <c r="W61" s="1"/>
      <c r="X61" s="1"/>
    </row>
    <row r="62" spans="1:24" ht="15.75" customHeight="1">
      <c r="D62" s="68"/>
      <c r="H62" s="103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</row>
    <row r="63" spans="1:24" ht="15.75" customHeight="1">
      <c r="D63" s="68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4" ht="15.75" customHeight="1">
      <c r="D64" s="68"/>
      <c r="H64" s="70"/>
      <c r="I64" s="71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 spans="4:20" ht="15.75" customHeight="1">
      <c r="D65" s="68"/>
      <c r="H65" s="10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</row>
    <row r="66" spans="4:20" ht="15.75" customHeight="1">
      <c r="D66" s="68"/>
      <c r="H66" s="105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</row>
    <row r="67" spans="4:20" ht="15.75" customHeight="1">
      <c r="D67" s="68"/>
    </row>
    <row r="68" spans="4:20" ht="15.75" customHeight="1">
      <c r="D68" s="68"/>
    </row>
    <row r="69" spans="4:20" ht="15.75" customHeight="1">
      <c r="D69" s="68"/>
    </row>
    <row r="70" spans="4:20" ht="15.75" customHeight="1">
      <c r="D70" s="68"/>
    </row>
    <row r="71" spans="4:20" ht="15.75" customHeight="1">
      <c r="D71" s="68"/>
    </row>
    <row r="72" spans="4:20" ht="15.75" customHeight="1">
      <c r="D72" s="68"/>
    </row>
    <row r="73" spans="4:20" ht="15.75" customHeight="1">
      <c r="D73" s="68"/>
    </row>
    <row r="74" spans="4:20" ht="15.75" customHeight="1">
      <c r="D74" s="68"/>
    </row>
    <row r="75" spans="4:20" ht="15.75" customHeight="1">
      <c r="D75" s="68"/>
    </row>
    <row r="76" spans="4:20" ht="15.75" customHeight="1">
      <c r="D76" s="68"/>
    </row>
    <row r="77" spans="4:20" ht="15.75" customHeight="1">
      <c r="D77" s="68"/>
    </row>
    <row r="78" spans="4:20" ht="15.75" customHeight="1">
      <c r="D78" s="68"/>
    </row>
    <row r="79" spans="4:20" ht="15.75" customHeight="1">
      <c r="D79" s="68"/>
    </row>
    <row r="80" spans="4:20" ht="15.75" customHeight="1">
      <c r="D80" s="68"/>
    </row>
    <row r="81" spans="4:4" ht="15.75" customHeight="1">
      <c r="D81" s="68"/>
    </row>
    <row r="82" spans="4:4" ht="15.75" customHeight="1">
      <c r="D82" s="68"/>
    </row>
    <row r="83" spans="4:4" ht="15.75" customHeight="1">
      <c r="D83" s="68"/>
    </row>
    <row r="84" spans="4:4" ht="15.75" customHeight="1">
      <c r="D84" s="68"/>
    </row>
    <row r="85" spans="4:4" ht="15.75" customHeight="1">
      <c r="D85" s="68"/>
    </row>
    <row r="86" spans="4:4" ht="15.75" customHeight="1">
      <c r="D86" s="68"/>
    </row>
    <row r="87" spans="4:4" ht="15.75" customHeight="1">
      <c r="D87" s="68"/>
    </row>
    <row r="88" spans="4:4" ht="15.75" customHeight="1">
      <c r="D88" s="68"/>
    </row>
    <row r="89" spans="4:4" ht="15.75" customHeight="1">
      <c r="D89" s="68"/>
    </row>
    <row r="90" spans="4:4" ht="15.75" customHeight="1">
      <c r="D90" s="68"/>
    </row>
    <row r="91" spans="4:4" ht="15.75" customHeight="1">
      <c r="D91" s="68"/>
    </row>
    <row r="92" spans="4:4" ht="15.75" customHeight="1">
      <c r="D92" s="68"/>
    </row>
    <row r="93" spans="4:4" ht="15.75" customHeight="1">
      <c r="D93" s="68"/>
    </row>
    <row r="94" spans="4:4" ht="15.75" customHeight="1">
      <c r="D94" s="68"/>
    </row>
    <row r="95" spans="4:4" ht="15.75" customHeight="1">
      <c r="D95" s="68"/>
    </row>
    <row r="96" spans="4:4" ht="15.75" customHeight="1">
      <c r="D96" s="68"/>
    </row>
    <row r="97" spans="4:4" ht="15.75" customHeight="1">
      <c r="D97" s="68"/>
    </row>
    <row r="98" spans="4:4" ht="15.75" customHeight="1">
      <c r="D98" s="68"/>
    </row>
    <row r="99" spans="4:4" ht="15.75" customHeight="1">
      <c r="D99" s="68"/>
    </row>
    <row r="100" spans="4:4" ht="15.75" customHeight="1">
      <c r="D100" s="68"/>
    </row>
    <row r="101" spans="4:4" ht="15.75" customHeight="1">
      <c r="D101" s="68"/>
    </row>
    <row r="102" spans="4:4" ht="15.75" customHeight="1">
      <c r="D102" s="68"/>
    </row>
    <row r="103" spans="4:4" ht="15.75" customHeight="1">
      <c r="D103" s="68"/>
    </row>
    <row r="104" spans="4:4" ht="15.75" customHeight="1">
      <c r="D104" s="68"/>
    </row>
    <row r="105" spans="4:4" ht="15.75" customHeight="1">
      <c r="D105" s="68"/>
    </row>
    <row r="106" spans="4:4" ht="15.75" customHeight="1">
      <c r="D106" s="68"/>
    </row>
    <row r="107" spans="4:4" ht="15.75" customHeight="1">
      <c r="D107" s="68"/>
    </row>
    <row r="108" spans="4:4" ht="15.75" customHeight="1">
      <c r="D108" s="68"/>
    </row>
    <row r="109" spans="4:4" ht="15.75" customHeight="1">
      <c r="D109" s="68"/>
    </row>
    <row r="110" spans="4:4" ht="15.75" customHeight="1">
      <c r="D110" s="68"/>
    </row>
    <row r="111" spans="4:4" ht="15.75" customHeight="1">
      <c r="D111" s="68"/>
    </row>
    <row r="112" spans="4:4" ht="15.75" customHeight="1">
      <c r="D112" s="68"/>
    </row>
    <row r="113" spans="4:4" ht="15.75" customHeight="1">
      <c r="D113" s="68"/>
    </row>
    <row r="114" spans="4:4" ht="15.75" customHeight="1">
      <c r="D114" s="68"/>
    </row>
    <row r="115" spans="4:4" ht="15.75" customHeight="1">
      <c r="D115" s="68"/>
    </row>
    <row r="116" spans="4:4" ht="15.75" customHeight="1">
      <c r="D116" s="68"/>
    </row>
    <row r="117" spans="4:4" ht="15.75" customHeight="1">
      <c r="D117" s="68"/>
    </row>
    <row r="118" spans="4:4" ht="15.75" customHeight="1">
      <c r="D118" s="68"/>
    </row>
    <row r="119" spans="4:4" ht="15.75" customHeight="1">
      <c r="D119" s="68"/>
    </row>
    <row r="120" spans="4:4" ht="15.75" customHeight="1">
      <c r="D120" s="68"/>
    </row>
    <row r="121" spans="4:4" ht="15.75" customHeight="1">
      <c r="D121" s="68"/>
    </row>
    <row r="122" spans="4:4" ht="15.75" customHeight="1">
      <c r="D122" s="68"/>
    </row>
    <row r="123" spans="4:4" ht="15.75" customHeight="1">
      <c r="D123" s="68"/>
    </row>
    <row r="124" spans="4:4" ht="15.75" customHeight="1">
      <c r="D124" s="68"/>
    </row>
    <row r="125" spans="4:4" ht="15.75" customHeight="1">
      <c r="D125" s="68"/>
    </row>
    <row r="126" spans="4:4" ht="15.75" customHeight="1">
      <c r="D126" s="68"/>
    </row>
    <row r="127" spans="4:4" ht="15.75" customHeight="1">
      <c r="D127" s="68"/>
    </row>
    <row r="128" spans="4:4" ht="15.75" customHeight="1">
      <c r="D128" s="68"/>
    </row>
    <row r="129" spans="4:4" ht="15.75" customHeight="1">
      <c r="D129" s="68"/>
    </row>
    <row r="130" spans="4:4" ht="15.75" customHeight="1">
      <c r="D130" s="68"/>
    </row>
    <row r="131" spans="4:4" ht="15.75" customHeight="1">
      <c r="D131" s="68"/>
    </row>
    <row r="132" spans="4:4" ht="15.75" customHeight="1">
      <c r="D132" s="68"/>
    </row>
    <row r="133" spans="4:4" ht="15.75" customHeight="1">
      <c r="D133" s="68"/>
    </row>
    <row r="134" spans="4:4" ht="15.75" customHeight="1">
      <c r="D134" s="68"/>
    </row>
    <row r="135" spans="4:4" ht="15.75" customHeight="1">
      <c r="D135" s="68"/>
    </row>
    <row r="136" spans="4:4" ht="15.75" customHeight="1">
      <c r="D136" s="68"/>
    </row>
    <row r="137" spans="4:4" ht="15.75" customHeight="1">
      <c r="D137" s="68"/>
    </row>
    <row r="138" spans="4:4" ht="15.75" customHeight="1">
      <c r="D138" s="68"/>
    </row>
    <row r="139" spans="4:4" ht="15.75" customHeight="1">
      <c r="D139" s="68"/>
    </row>
    <row r="140" spans="4:4" ht="15.75" customHeight="1">
      <c r="D140" s="68"/>
    </row>
    <row r="141" spans="4:4" ht="15.75" customHeight="1">
      <c r="D141" s="68"/>
    </row>
    <row r="142" spans="4:4" ht="15.75" customHeight="1">
      <c r="D142" s="68"/>
    </row>
    <row r="143" spans="4:4" ht="15.75" customHeight="1">
      <c r="D143" s="68"/>
    </row>
    <row r="144" spans="4:4" ht="15.75" customHeight="1">
      <c r="D144" s="68"/>
    </row>
    <row r="145" spans="4:4" ht="15.75" customHeight="1">
      <c r="D145" s="68"/>
    </row>
    <row r="146" spans="4:4" ht="15.75" customHeight="1">
      <c r="D146" s="68"/>
    </row>
    <row r="147" spans="4:4" ht="15.75" customHeight="1">
      <c r="D147" s="68"/>
    </row>
    <row r="148" spans="4:4" ht="15.75" customHeight="1">
      <c r="D148" s="68"/>
    </row>
    <row r="149" spans="4:4" ht="15.75" customHeight="1">
      <c r="D149" s="68"/>
    </row>
    <row r="150" spans="4:4" ht="15.75" customHeight="1">
      <c r="D150" s="68"/>
    </row>
    <row r="151" spans="4:4" ht="15.75" customHeight="1">
      <c r="D151" s="68"/>
    </row>
    <row r="152" spans="4:4" ht="15.75" customHeight="1">
      <c r="D152" s="68"/>
    </row>
    <row r="153" spans="4:4" ht="15.75" customHeight="1">
      <c r="D153" s="68"/>
    </row>
    <row r="154" spans="4:4" ht="15.75" customHeight="1">
      <c r="D154" s="68"/>
    </row>
    <row r="155" spans="4:4" ht="15.75" customHeight="1">
      <c r="D155" s="68"/>
    </row>
    <row r="156" spans="4:4" ht="15.75" customHeight="1">
      <c r="D156" s="68"/>
    </row>
    <row r="157" spans="4:4" ht="15.75" customHeight="1">
      <c r="D157" s="68"/>
    </row>
    <row r="158" spans="4:4" ht="15.75" customHeight="1">
      <c r="D158" s="68"/>
    </row>
    <row r="159" spans="4:4" ht="15.75" customHeight="1">
      <c r="D159" s="68"/>
    </row>
    <row r="160" spans="4:4" ht="15.75" customHeight="1">
      <c r="D160" s="68"/>
    </row>
    <row r="161" spans="4:4" ht="15.75" customHeight="1">
      <c r="D161" s="68"/>
    </row>
    <row r="162" spans="4:4" ht="15.75" customHeight="1">
      <c r="D162" s="68"/>
    </row>
    <row r="163" spans="4:4" ht="15.75" customHeight="1">
      <c r="D163" s="68"/>
    </row>
    <row r="164" spans="4:4" ht="15.75" customHeight="1">
      <c r="D164" s="68"/>
    </row>
    <row r="165" spans="4:4" ht="15.75" customHeight="1">
      <c r="D165" s="68"/>
    </row>
    <row r="166" spans="4:4" ht="15.75" customHeight="1">
      <c r="D166" s="68"/>
    </row>
    <row r="167" spans="4:4" ht="15.75" customHeight="1">
      <c r="D167" s="68"/>
    </row>
    <row r="168" spans="4:4" ht="15.75" customHeight="1">
      <c r="D168" s="68"/>
    </row>
    <row r="169" spans="4:4" ht="15.75" customHeight="1">
      <c r="D169" s="68"/>
    </row>
    <row r="170" spans="4:4" ht="15.75" customHeight="1">
      <c r="D170" s="68"/>
    </row>
    <row r="171" spans="4:4" ht="15.75" customHeight="1">
      <c r="D171" s="68"/>
    </row>
    <row r="172" spans="4:4" ht="15.75" customHeight="1">
      <c r="D172" s="68"/>
    </row>
    <row r="173" spans="4:4" ht="15.75" customHeight="1">
      <c r="D173" s="68"/>
    </row>
    <row r="174" spans="4:4" ht="15.75" customHeight="1">
      <c r="D174" s="68"/>
    </row>
    <row r="175" spans="4:4" ht="15.75" customHeight="1">
      <c r="D175" s="68"/>
    </row>
    <row r="176" spans="4:4" ht="15.75" customHeight="1">
      <c r="D176" s="68"/>
    </row>
    <row r="177" spans="4:4" ht="15.75" customHeight="1">
      <c r="D177" s="68"/>
    </row>
    <row r="178" spans="4:4" ht="15.75" customHeight="1">
      <c r="D178" s="68"/>
    </row>
    <row r="179" spans="4:4" ht="15.75" customHeight="1">
      <c r="D179" s="68"/>
    </row>
    <row r="180" spans="4:4" ht="15.75" customHeight="1">
      <c r="D180" s="68"/>
    </row>
    <row r="181" spans="4:4" ht="15.75" customHeight="1">
      <c r="D181" s="68"/>
    </row>
    <row r="182" spans="4:4" ht="15.75" customHeight="1">
      <c r="D182" s="68"/>
    </row>
    <row r="183" spans="4:4" ht="15.75" customHeight="1">
      <c r="D183" s="68"/>
    </row>
    <row r="184" spans="4:4" ht="15.75" customHeight="1">
      <c r="D184" s="68"/>
    </row>
    <row r="185" spans="4:4" ht="15.75" customHeight="1">
      <c r="D185" s="68"/>
    </row>
    <row r="186" spans="4:4" ht="15.75" customHeight="1">
      <c r="D186" s="68"/>
    </row>
    <row r="187" spans="4:4" ht="15.75" customHeight="1">
      <c r="D187" s="68"/>
    </row>
    <row r="188" spans="4:4" ht="15.75" customHeight="1">
      <c r="D188" s="68"/>
    </row>
    <row r="189" spans="4:4" ht="15.75" customHeight="1">
      <c r="D189" s="68"/>
    </row>
    <row r="190" spans="4:4" ht="15.75" customHeight="1">
      <c r="D190" s="68"/>
    </row>
    <row r="191" spans="4:4" ht="15.75" customHeight="1">
      <c r="D191" s="68"/>
    </row>
    <row r="192" spans="4:4" ht="15.75" customHeight="1">
      <c r="D192" s="68"/>
    </row>
    <row r="193" spans="4:4" ht="15.75" customHeight="1">
      <c r="D193" s="68"/>
    </row>
    <row r="194" spans="4:4" ht="15.75" customHeight="1">
      <c r="D194" s="68"/>
    </row>
    <row r="195" spans="4:4" ht="15.75" customHeight="1">
      <c r="D195" s="68"/>
    </row>
    <row r="196" spans="4:4" ht="15.75" customHeight="1">
      <c r="D196" s="68"/>
    </row>
    <row r="197" spans="4:4" ht="15.75" customHeight="1">
      <c r="D197" s="68"/>
    </row>
    <row r="198" spans="4:4" ht="15.75" customHeight="1">
      <c r="D198" s="68"/>
    </row>
    <row r="199" spans="4:4" ht="15.75" customHeight="1">
      <c r="D199" s="68"/>
    </row>
    <row r="200" spans="4:4" ht="15.75" customHeight="1">
      <c r="D200" s="68"/>
    </row>
    <row r="201" spans="4:4" ht="15.75" customHeight="1">
      <c r="D201" s="68"/>
    </row>
    <row r="202" spans="4:4" ht="15.75" customHeight="1">
      <c r="D202" s="68"/>
    </row>
    <row r="203" spans="4:4" ht="15.75" customHeight="1">
      <c r="D203" s="68"/>
    </row>
    <row r="204" spans="4:4" ht="15.75" customHeight="1">
      <c r="D204" s="68"/>
    </row>
    <row r="205" spans="4:4" ht="15.75" customHeight="1">
      <c r="D205" s="68"/>
    </row>
    <row r="206" spans="4:4" ht="15.75" customHeight="1">
      <c r="D206" s="68"/>
    </row>
    <row r="207" spans="4:4" ht="15.75" customHeight="1">
      <c r="D207" s="68"/>
    </row>
    <row r="208" spans="4:4" ht="15.75" customHeight="1">
      <c r="D208" s="68"/>
    </row>
    <row r="209" spans="4:4" ht="15.75" customHeight="1">
      <c r="D209" s="68"/>
    </row>
    <row r="210" spans="4:4" ht="15.75" customHeight="1">
      <c r="D210" s="68"/>
    </row>
    <row r="211" spans="4:4" ht="15.75" customHeight="1">
      <c r="D211" s="68"/>
    </row>
    <row r="212" spans="4:4" ht="15.75" customHeight="1">
      <c r="D212" s="68"/>
    </row>
    <row r="213" spans="4:4" ht="15.75" customHeight="1">
      <c r="D213" s="68"/>
    </row>
    <row r="214" spans="4:4" ht="15.75" customHeight="1">
      <c r="D214" s="68"/>
    </row>
    <row r="215" spans="4:4" ht="15.75" customHeight="1">
      <c r="D215" s="68"/>
    </row>
    <row r="216" spans="4:4" ht="15.75" customHeight="1">
      <c r="D216" s="68"/>
    </row>
    <row r="217" spans="4:4" ht="15.75" customHeight="1">
      <c r="D217" s="68"/>
    </row>
    <row r="218" spans="4:4" ht="15.75" customHeight="1">
      <c r="D218" s="68"/>
    </row>
    <row r="219" spans="4:4" ht="15.75" customHeight="1">
      <c r="D219" s="68"/>
    </row>
    <row r="220" spans="4:4" ht="15.75" customHeight="1">
      <c r="D220" s="68"/>
    </row>
    <row r="221" spans="4:4" ht="15.75" customHeight="1">
      <c r="D221" s="68"/>
    </row>
    <row r="222" spans="4:4" ht="15.75" customHeight="1">
      <c r="D222" s="68"/>
    </row>
    <row r="223" spans="4:4" ht="15.75" customHeight="1">
      <c r="D223" s="68"/>
    </row>
    <row r="224" spans="4:4" ht="15.75" customHeight="1">
      <c r="D224" s="68"/>
    </row>
    <row r="225" spans="4:4" ht="15.75" customHeight="1">
      <c r="D225" s="68"/>
    </row>
    <row r="226" spans="4:4" ht="15.75" customHeight="1">
      <c r="D226" s="68"/>
    </row>
    <row r="227" spans="4:4" ht="15.75" customHeight="1">
      <c r="D227" s="68"/>
    </row>
    <row r="228" spans="4:4" ht="15.75" customHeight="1">
      <c r="D228" s="68"/>
    </row>
    <row r="229" spans="4:4" ht="15.75" customHeight="1">
      <c r="D229" s="68"/>
    </row>
    <row r="230" spans="4:4" ht="15.75" customHeight="1">
      <c r="D230" s="68"/>
    </row>
    <row r="231" spans="4:4" ht="15.75" customHeight="1">
      <c r="D231" s="68"/>
    </row>
    <row r="232" spans="4:4" ht="15.75" customHeight="1">
      <c r="D232" s="68"/>
    </row>
    <row r="233" spans="4:4" ht="15.75" customHeight="1">
      <c r="D233" s="68"/>
    </row>
    <row r="234" spans="4:4" ht="15.75" customHeight="1">
      <c r="D234" s="68"/>
    </row>
    <row r="235" spans="4:4" ht="15.75" customHeight="1">
      <c r="D235" s="68"/>
    </row>
    <row r="236" spans="4:4" ht="15.75" customHeight="1">
      <c r="D236" s="68"/>
    </row>
    <row r="237" spans="4:4" ht="15.75" customHeight="1">
      <c r="D237" s="68"/>
    </row>
    <row r="238" spans="4:4" ht="15.75" customHeight="1">
      <c r="D238" s="68"/>
    </row>
    <row r="239" spans="4:4" ht="15.75" customHeight="1">
      <c r="D239" s="68"/>
    </row>
    <row r="240" spans="4:4" ht="15.75" customHeight="1">
      <c r="D240" s="68"/>
    </row>
    <row r="241" spans="4:4" ht="15.75" customHeight="1">
      <c r="D241" s="68"/>
    </row>
    <row r="242" spans="4:4" ht="15.75" customHeight="1">
      <c r="D242" s="68"/>
    </row>
    <row r="243" spans="4:4" ht="15.75" customHeight="1">
      <c r="D243" s="68"/>
    </row>
    <row r="244" spans="4:4" ht="15.75" customHeight="1">
      <c r="D244" s="68"/>
    </row>
    <row r="245" spans="4:4" ht="15.75" customHeight="1">
      <c r="D245" s="68"/>
    </row>
    <row r="246" spans="4:4" ht="15.75" customHeight="1">
      <c r="D246" s="68"/>
    </row>
    <row r="247" spans="4:4" ht="15.75" customHeight="1">
      <c r="D247" s="68"/>
    </row>
    <row r="248" spans="4:4" ht="15.75" customHeight="1">
      <c r="D248" s="68"/>
    </row>
    <row r="249" spans="4:4" ht="15.75" customHeight="1">
      <c r="D249" s="68"/>
    </row>
    <row r="250" spans="4:4" ht="15.75" customHeight="1">
      <c r="D250" s="68"/>
    </row>
    <row r="251" spans="4:4" ht="15.75" customHeight="1">
      <c r="D251" s="68"/>
    </row>
    <row r="252" spans="4:4" ht="15.75" customHeight="1">
      <c r="D252" s="68"/>
    </row>
    <row r="253" spans="4:4" ht="15.75" customHeight="1">
      <c r="D253" s="68"/>
    </row>
    <row r="254" spans="4:4" ht="15.75" customHeight="1">
      <c r="D254" s="68"/>
    </row>
    <row r="255" spans="4:4" ht="15.75" customHeight="1">
      <c r="D255" s="68"/>
    </row>
    <row r="256" spans="4:4" ht="15.75" customHeight="1">
      <c r="D256" s="68"/>
    </row>
    <row r="257" spans="4:4" ht="15.75" customHeight="1">
      <c r="D257" s="68"/>
    </row>
    <row r="258" spans="4:4" ht="15.75" customHeight="1">
      <c r="D258" s="68"/>
    </row>
    <row r="259" spans="4:4" ht="15.75" customHeight="1">
      <c r="D259" s="68"/>
    </row>
    <row r="260" spans="4:4" ht="15.75" customHeight="1">
      <c r="D260" s="68"/>
    </row>
    <row r="261" spans="4:4" ht="15.75" customHeight="1">
      <c r="D261" s="68"/>
    </row>
    <row r="262" spans="4:4" ht="15.75" customHeight="1"/>
    <row r="263" spans="4:4" ht="15.75" customHeight="1"/>
    <row r="264" spans="4:4" ht="15.75" customHeight="1"/>
    <row r="265" spans="4:4" ht="15.75" customHeight="1"/>
    <row r="266" spans="4:4" ht="15.75" customHeight="1"/>
    <row r="267" spans="4:4" ht="15.75" customHeight="1"/>
    <row r="268" spans="4:4" ht="15.75" customHeight="1"/>
    <row r="269" spans="4:4" ht="15.75" customHeight="1"/>
    <row r="270" spans="4:4" ht="15.75" customHeight="1"/>
    <row r="271" spans="4:4" ht="15.75" customHeight="1"/>
    <row r="272" spans="4: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6">
    <mergeCell ref="V55:W55"/>
    <mergeCell ref="H62:T62"/>
    <mergeCell ref="H65:T65"/>
    <mergeCell ref="H66:T66"/>
    <mergeCell ref="J49:T49"/>
    <mergeCell ref="J50:T50"/>
    <mergeCell ref="J51:T51"/>
    <mergeCell ref="J52:T52"/>
    <mergeCell ref="I55:N55"/>
    <mergeCell ref="Q55:T55"/>
    <mergeCell ref="I58:N58"/>
    <mergeCell ref="Q58:T58"/>
    <mergeCell ref="V58:X58"/>
    <mergeCell ref="I59:N59"/>
    <mergeCell ref="Q59:T59"/>
    <mergeCell ref="B46:I46"/>
    <mergeCell ref="C48:E48"/>
    <mergeCell ref="C49:E49"/>
    <mergeCell ref="H49:I49"/>
    <mergeCell ref="C50:E50"/>
    <mergeCell ref="C51:E51"/>
    <mergeCell ref="C55:E55"/>
    <mergeCell ref="A58:B58"/>
    <mergeCell ref="C58:F58"/>
    <mergeCell ref="A59:B59"/>
    <mergeCell ref="C59:F59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Sample 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2024-05-23T07:28:51Z</dcterms:modified>
</cp:coreProperties>
</file>