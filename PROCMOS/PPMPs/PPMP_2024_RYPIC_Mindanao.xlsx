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YPIC-MINDANAO" sheetId="1" r:id="rId4"/>
  </sheets>
  <definedNames/>
  <calcPr/>
  <extLst>
    <ext uri="GoogleSheetsCustomDataVersion2">
      <go:sheetsCustomData xmlns:go="http://customooxmlschemas.google.com/" r:id="rId5" roundtripDataChecksum="yJj1/MC62WkP9wugmTtLXcx39/qVytKvEFrTphkgvFY="/>
    </ext>
  </extLst>
</workbook>
</file>

<file path=xl/sharedStrings.xml><?xml version="1.0" encoding="utf-8"?>
<sst xmlns="http://schemas.openxmlformats.org/spreadsheetml/2006/main" count="321" uniqueCount="213">
  <si>
    <t xml:space="preserve">  PROJECT PROCUREMENT MANAGEMENT PLAN (PPMP) 2024</t>
  </si>
  <si>
    <t>For 1st Quarter of CY 2024</t>
  </si>
  <si>
    <t>End-User/Unit: TSD-MPU</t>
  </si>
  <si>
    <t>Charged to: Regional Yarn Production and Innovation Center (RYPIC) - Mindanao</t>
  </si>
  <si>
    <t>Projects, Programs and Activities (PAPs)</t>
  </si>
  <si>
    <t>UACS CODE</t>
  </si>
  <si>
    <t>Stock No.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</si>
  <si>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</si>
  <si>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</si>
  <si>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</si>
  <si>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</si>
  <si>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</si>
  <si>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</si>
  <si>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</si>
  <si>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</si>
  <si>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Jan</t>
  </si>
  <si>
    <t>Feb</t>
  </si>
  <si>
    <t>Mar</t>
  </si>
  <si>
    <t>PR No. and Date</t>
  </si>
  <si>
    <t>RFQ No. and Date</t>
  </si>
  <si>
    <t>PhilGEPS Reference No. and Date</t>
  </si>
  <si>
    <t>PhilGEPS Closing Date</t>
  </si>
  <si>
    <t>AOC No. and Date</t>
  </si>
  <si>
    <t>PO No. and Date</t>
  </si>
  <si>
    <t>Name of Payee</t>
  </si>
  <si>
    <t>BURS/ORS Amount</t>
  </si>
  <si>
    <t>Budget Utilization Rate</t>
  </si>
  <si>
    <t>Conforme of PO Date</t>
  </si>
  <si>
    <t>COA Received of PO Date</t>
  </si>
  <si>
    <t>NTP Date</t>
  </si>
  <si>
    <t>Contract Effectivity Date</t>
  </si>
  <si>
    <t>End of Contract</t>
  </si>
  <si>
    <t>Extended End of Contract</t>
  </si>
  <si>
    <t>Delivery Date</t>
  </si>
  <si>
    <t>IAR No. and Date</t>
  </si>
  <si>
    <t>ICS/PAR No. and Date</t>
  </si>
  <si>
    <t>RIS No. and Date</t>
  </si>
  <si>
    <t>RSMI No. and Date</t>
  </si>
  <si>
    <t>DV Release Date</t>
  </si>
  <si>
    <t>DV Amount</t>
  </si>
  <si>
    <t>Disbursement Rate</t>
  </si>
  <si>
    <t>REMARKS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</si>
  <si>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</si>
  <si>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</si>
  <si>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</si>
  <si>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</si>
  <si>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</si>
  <si>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</si>
  <si>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</si>
  <si>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</si>
  <si>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</si>
  <si>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</si>
  <si>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</si>
  <si>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</si>
  <si>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</si>
  <si>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</si>
  <si>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</si>
  <si>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</si>
  <si>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</si>
  <si>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</si>
  <si>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</si>
  <si>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</si>
  <si>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</si>
  <si>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</si>
  <si>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</si>
  <si>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</si>
  <si>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</si>
  <si>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</si>
  <si>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</si>
  <si>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</si>
  <si>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</si>
  <si>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</si>
  <si>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</si>
  <si>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</si>
  <si>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</si>
  <si>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</si>
  <si>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</si>
  <si>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50203010 02</t>
  </si>
  <si>
    <t>Office Supplies Expenses</t>
  </si>
  <si>
    <t>25 pieces RYPIC Mindanao Jacket</t>
  </si>
  <si>
    <t>1 lot</t>
  </si>
  <si>
    <t>Shopping</t>
  </si>
  <si>
    <t>15-30 working days</t>
  </si>
  <si>
    <t>65 pieces RYPIC Mindanao Polo Shirt</t>
  </si>
  <si>
    <t>2 units iPad 10th Generation</t>
  </si>
  <si>
    <t>Negotiated Procurement - Small Value Procurement</t>
  </si>
  <si>
    <t>1 unit Fully Automatic Espresso Machine</t>
  </si>
  <si>
    <t>OS-220</t>
  </si>
  <si>
    <t>15 pieces HP 201A CF400A Original LaserJet Toner Cartridge (Black)</t>
  </si>
  <si>
    <t>3 lots</t>
  </si>
  <si>
    <t>OS-222</t>
  </si>
  <si>
    <t>9 pieces HP 201A CF403A Original LaserJet Toner Cartridge (Magenta)</t>
  </si>
  <si>
    <t>OS-223</t>
  </si>
  <si>
    <t>9 pieces HP 201A CF402A Original LaserJet Toner Cartridge (Yellow)</t>
  </si>
  <si>
    <t>OS-221</t>
  </si>
  <si>
    <t>9 pieces HP 201A CF401A Original LaserJet Toner Cartridge (Cyan)</t>
  </si>
  <si>
    <t>6 units Stand Fan</t>
  </si>
  <si>
    <t>6 pieces Individual Switch Extension Cord, 4 gang</t>
  </si>
  <si>
    <t>4 pieces Universal Extension Wheel / Cord</t>
  </si>
  <si>
    <t>4 pieces Wet and Dry Vacuum Cleaner</t>
  </si>
  <si>
    <t>1 pieces Air Blow Gun</t>
  </si>
  <si>
    <t>1 roll Air Hose</t>
  </si>
  <si>
    <t>50203210 03</t>
  </si>
  <si>
    <t>Semi- Expendable - ICT Equipment</t>
  </si>
  <si>
    <t>3 units All-in-One Tank Printer</t>
  </si>
  <si>
    <t>30-45 working days</t>
  </si>
  <si>
    <t>2 units Color Duplex Document Scanner</t>
  </si>
  <si>
    <t>2 lots CCTV Security System</t>
  </si>
  <si>
    <t>2 lots</t>
  </si>
  <si>
    <t>50203090 00</t>
  </si>
  <si>
    <t xml:space="preserve">Fuel, Oil and Lubricants Expenses </t>
  </si>
  <si>
    <t>30 drums Diesel fuel 210L/ drum</t>
  </si>
  <si>
    <t>Direct Retail</t>
  </si>
  <si>
    <t>50299040 00</t>
  </si>
  <si>
    <t>Transportation and Delivery Expense</t>
  </si>
  <si>
    <t>5 lots Transport of Materials</t>
  </si>
  <si>
    <t>5 lots</t>
  </si>
  <si>
    <t>Negotiated Procurement - Small Value Procurement / Shopping</t>
  </si>
  <si>
    <t>4 lots Courier Fee of Documents</t>
  </si>
  <si>
    <t>4 lots</t>
  </si>
  <si>
    <t>Petty Cash Fund</t>
  </si>
  <si>
    <t>50203990 00</t>
  </si>
  <si>
    <t>Other Supplies Expenses</t>
  </si>
  <si>
    <t>2 units Water Dispenser</t>
  </si>
  <si>
    <t>4 units Hydraulic Hand Pallet Truck</t>
  </si>
  <si>
    <t>4 pieces 240 L Mobile Trash Bin with Cover</t>
  </si>
  <si>
    <t>50205020 01</t>
  </si>
  <si>
    <t>Telephone Expenses – Mobile</t>
  </si>
  <si>
    <t>105 pieces Mobile Load Cards</t>
  </si>
  <si>
    <t>Shopping / Petty Cash Fund</t>
  </si>
  <si>
    <t xml:space="preserve">2 lots Telephone and Internet Installation </t>
  </si>
  <si>
    <t>Direct Contracting</t>
  </si>
  <si>
    <t>50203220 01</t>
  </si>
  <si>
    <t xml:space="preserve">Semi-Expendable - Furniture and Fixtures </t>
  </si>
  <si>
    <t>20 pieces Light bulbs</t>
  </si>
  <si>
    <t>3 pieces Folding tables</t>
  </si>
  <si>
    <t>20 pieces Folding chairs</t>
  </si>
  <si>
    <t>3 pieces Office Table</t>
  </si>
  <si>
    <t>3 pieces Office Chair</t>
  </si>
  <si>
    <t>6 pieces Lockers/Cabinet</t>
  </si>
  <si>
    <t>2 lots Signages (NTFIH and RYPIC)</t>
  </si>
  <si>
    <t>Public Bidding</t>
  </si>
  <si>
    <t>50203080 00</t>
  </si>
  <si>
    <t>Medical, Dental  Laboratory Supplies Expenses</t>
  </si>
  <si>
    <t>30 gallons Rubberized Paint, Flat, Gray</t>
  </si>
  <si>
    <t>32 gallong Rubberized Paint, Glossy, Dark Gray</t>
  </si>
  <si>
    <t>12 gallons Rubberized Paint, Glossy, Yellow</t>
  </si>
  <si>
    <t>28 gallons Latex Paint, Cream</t>
  </si>
  <si>
    <t>22 pieces Roller Brush #7</t>
  </si>
  <si>
    <t>16 pieces Paint Brush, 4"</t>
  </si>
  <si>
    <t>10 pieces Paint Roller Plate, 9"</t>
  </si>
  <si>
    <t>25 pieces Griding Disc, 4"</t>
  </si>
  <si>
    <t>12 pieces Fire Extinguisher 10 lbs</t>
  </si>
  <si>
    <t>60 pairs Ear Plugs</t>
  </si>
  <si>
    <t>16 pieces Safety Helmet Hard Hat</t>
  </si>
  <si>
    <t>60 pairs Safety Knittted Cotton Gloves</t>
  </si>
  <si>
    <t>20 pieces Safety Goggles Clear</t>
  </si>
  <si>
    <t>6 pieces Rechargeable Torch Flashlight, LED</t>
  </si>
  <si>
    <t>16 pieces Head Lamp</t>
  </si>
  <si>
    <t>1 unit, Air Compressor</t>
  </si>
  <si>
    <t>1 unit, Electronic Weighing Scale, max weight: 30kgs</t>
  </si>
  <si>
    <t>1 unit, Digital AC Clamp Meter Tester</t>
  </si>
  <si>
    <t>3000 kilograms Banana Pseudostem (Cavendish)</t>
  </si>
  <si>
    <t>3000 kilograms Pineapple Leaves (Formosa/ Hawaiian)</t>
  </si>
  <si>
    <t>300 kilograms Bamboo Culm (Kawayang Tinik)</t>
  </si>
  <si>
    <t>300 kilograms Abaca Leaf Sheaths</t>
  </si>
  <si>
    <t>1000 kilograms Cotton Lint</t>
  </si>
  <si>
    <t>MDL-276</t>
  </si>
  <si>
    <t>9 carboys Hydrogen Peroxide, Technical Grade 25L/cby</t>
  </si>
  <si>
    <t>60-90 working days</t>
  </si>
  <si>
    <t>MDL-041</t>
  </si>
  <si>
    <t>130 carboys Sodium Hydroxide, Liquid 48%, 30kg/cby</t>
  </si>
  <si>
    <t>MDL-077</t>
  </si>
  <si>
    <t>180 kilograms Sodium Metabisulfite, Technical Grade</t>
  </si>
  <si>
    <t>50 gallons Anionic Detergent</t>
  </si>
  <si>
    <t>MDL-004</t>
  </si>
  <si>
    <t>38 carboys Acetic Acid, Technical Grade, 20kg/cby</t>
  </si>
  <si>
    <t>MDL-006</t>
  </si>
  <si>
    <t>50 liters Sodium Silicate, Technical Grade</t>
  </si>
  <si>
    <t>50 kilograms Softening Flakes</t>
  </si>
  <si>
    <t>50299030 00</t>
  </si>
  <si>
    <t>Representation Expenses</t>
  </si>
  <si>
    <t>5 lots Meals</t>
  </si>
  <si>
    <t>50215010 01</t>
  </si>
  <si>
    <t>Taxes, Duties, and Licenses</t>
  </si>
  <si>
    <t xml:space="preserve">1 lot RYPC Cotabato Operations Manual </t>
  </si>
  <si>
    <t>2 lots Notary Public</t>
  </si>
  <si>
    <t>50604050 14</t>
  </si>
  <si>
    <t>Technical &amp; Scientific Equipment-Equipment Outlay</t>
  </si>
  <si>
    <t>1 set Yarn Mercerizing Machine</t>
  </si>
  <si>
    <t xml:space="preserve">Public Bidding </t>
  </si>
  <si>
    <t>1 set Sliver Wrap Block</t>
  </si>
  <si>
    <t>2 sets Electronic Weighing Scale</t>
  </si>
  <si>
    <t>5 sets Air Conditioning System</t>
  </si>
  <si>
    <t>TOTAL APPROVED BUDGET:</t>
  </si>
  <si>
    <t>+ 10% Provision for Inflation</t>
  </si>
  <si>
    <t xml:space="preserve">+ 10% Contingency  </t>
  </si>
  <si>
    <t xml:space="preserve">TOTAL ESTIMATED BUDGET:  </t>
  </si>
  <si>
    <t>NOTE:      Technical Specifications for each Item/Project being proposed shall be submitted as part of the PPMP</t>
  </si>
  <si>
    <t>Prepared by:</t>
  </si>
  <si>
    <t>Reviewed by:</t>
  </si>
  <si>
    <t>Certified Funds Available:</t>
  </si>
  <si>
    <t>Approved by:</t>
  </si>
  <si>
    <t>DANIEL LEON J. LAVIN</t>
  </si>
  <si>
    <t>MARILOU G. AGUSTIN</t>
  </si>
  <si>
    <t>MERLITA R. ODI</t>
  </si>
  <si>
    <t>JULIUS L. LEAÑO JR., Ph.D.</t>
  </si>
  <si>
    <t>Project Leader</t>
  </si>
  <si>
    <t>Head, FAD-PPGSS</t>
  </si>
  <si>
    <t>Head, FAD-BTS</t>
  </si>
  <si>
    <t>Director IV</t>
  </si>
  <si>
    <t>Date: ______________________</t>
  </si>
  <si>
    <t>Date: _____________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</si>
</sst>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.00_);_(* \(#,##0.00\);_(* &quot;-&quot;??_);_(@_)"/>
    <numFmt numFmtId="165" formatCode="[$₱]#,##0.00"/>
  </numFmts>
  <fonts count="18">
    <font>
      <sz val="11.0"/>
      <color theme="1"/>
      <name val="Arial"/>
      <scheme val="minor"/>
    </font>
    <font>
      <b/>
      <sz val="12.0"/>
      <color theme="1"/>
      <name val="Arial"/>
    </font>
    <font>
      <sz val="11.0"/>
      <color theme="1"/>
      <name val="Arial"/>
    </font>
    <font>
      <sz val="12.0"/>
      <color theme="1"/>
      <name val="Arial"/>
    </font>
    <font>
      <b/>
      <sz val="12.0"/>
      <color rgb="FFFF0000"/>
      <name val="Arial"/>
    </font>
    <font>
      <b/>
      <i/>
      <sz val="12.0"/>
      <color theme="1"/>
      <name val="Arial"/>
    </font>
    <font>
      <i/>
      <sz val="12.0"/>
      <color theme="1"/>
      <name val="Arial"/>
    </font>
    <font>
      <b/>
      <sz val="9.0"/>
      <color theme="1"/>
      <name val="Arial"/>
    </font>
    <font/>
    <font>
      <sz val="9.0"/>
      <color theme="1"/>
      <name val="Arial"/>
    </font>
    <font>
      <color theme="1"/>
      <name val="Arial"/>
    </font>
    <font>
      <sz val="9.0"/>
      <color rgb="FF000000"/>
      <name val="Arial"/>
    </font>
    <font>
      <b/>
      <u/>
      <sz val="9.0"/>
      <color theme="1"/>
      <name val="Arial"/>
    </font>
    <font>
      <u/>
      <sz val="9.0"/>
      <color theme="1"/>
      <name val="Arial"/>
    </font>
    <font>
      <b/>
      <sz val="11.0"/>
      <color theme="1"/>
      <name val="Arial"/>
    </font>
    <font>
      <sz val="10.0"/>
      <color theme="1"/>
      <name val="Arial"/>
    </font>
    <font>
      <sz val="9.0"/>
      <color theme="1"/>
      <name val="Arial"/>
      <scheme val="minor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bottom style="double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shrinkToFit="0" wrapText="1"/>
    </xf>
    <xf borderId="0" fillId="0" fontId="5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0" fontId="3" numFmtId="0" xfId="0" applyFont="1"/>
    <xf borderId="0" fillId="0" fontId="6" numFmtId="0" xfId="0" applyAlignment="1" applyFont="1">
      <alignment vertical="center"/>
    </xf>
    <xf borderId="0" fillId="0" fontId="3" numFmtId="0" xfId="0" applyAlignment="1" applyFont="1">
      <alignment horizontal="right"/>
    </xf>
    <xf borderId="0" fillId="0" fontId="3" numFmtId="4" xfId="0" applyAlignment="1" applyFont="1" applyNumberFormat="1">
      <alignment horizontal="right"/>
    </xf>
    <xf borderId="0" fillId="0" fontId="3" numFmtId="164" xfId="0" applyFont="1" applyNumberFormat="1"/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right" vertical="center"/>
    </xf>
    <xf borderId="0" fillId="0" fontId="3" numFmtId="4" xfId="0" applyAlignment="1" applyFont="1" applyNumberFormat="1">
      <alignment horizontal="right" vertical="center"/>
    </xf>
    <xf borderId="0" fillId="0" fontId="3" numFmtId="164" xfId="0" applyAlignment="1" applyFont="1" applyNumberFormat="1">
      <alignment vertical="center"/>
    </xf>
    <xf borderId="1" fillId="0" fontId="7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1" fillId="0" fontId="7" numFmtId="4" xfId="0" applyAlignment="1" applyBorder="1" applyFont="1" applyNumberFormat="1">
      <alignment horizontal="center" shrinkToFit="0" vertical="center" wrapText="1"/>
    </xf>
    <xf borderId="1" fillId="0" fontId="7" numFmtId="164" xfId="0" applyAlignment="1" applyBorder="1" applyFont="1" applyNumberFormat="1">
      <alignment horizontal="center" shrinkToFit="0" vertical="center" wrapText="1"/>
    </xf>
    <xf borderId="3" fillId="0" fontId="7" numFmtId="0" xfId="0" applyAlignment="1" applyBorder="1" applyFont="1">
      <alignment horizontal="center" shrinkToFit="0" vertical="center" wrapText="1"/>
    </xf>
    <xf borderId="4" fillId="0" fontId="8" numFmtId="0" xfId="0" applyBorder="1" applyFont="1"/>
    <xf borderId="5" fillId="0" fontId="8" numFmtId="0" xfId="0" applyBorder="1" applyFont="1"/>
    <xf borderId="0" fillId="0" fontId="9" numFmtId="0" xfId="0" applyFont="1"/>
    <xf borderId="6" fillId="0" fontId="8" numFmtId="0" xfId="0" applyBorder="1" applyFont="1"/>
    <xf borderId="2" fillId="0" fontId="7" numFmtId="0" xfId="0" applyAlignment="1" applyBorder="1" applyFont="1">
      <alignment horizontal="center" vertical="center"/>
    </xf>
    <xf quotePrefix="1" borderId="2" fillId="0" fontId="7" numFmtId="0" xfId="0" applyAlignment="1" applyBorder="1" applyFont="1">
      <alignment horizontal="center" shrinkToFit="0" vertical="center" wrapText="1"/>
    </xf>
    <xf quotePrefix="1" borderId="2" fillId="0" fontId="7" numFmtId="4" xfId="0" applyAlignment="1" applyBorder="1" applyFont="1" applyNumberFormat="1">
      <alignment horizontal="center" shrinkToFit="0" vertical="center" wrapText="1"/>
    </xf>
    <xf quotePrefix="1" borderId="2" fillId="0" fontId="7" numFmtId="164" xfId="0" applyAlignment="1" applyBorder="1" applyFont="1" applyNumberFormat="1">
      <alignment horizontal="center" shrinkToFit="0" vertical="center" wrapText="1"/>
    </xf>
    <xf borderId="2" fillId="2" fontId="9" numFmtId="0" xfId="0" applyAlignment="1" applyBorder="1" applyFill="1" applyFont="1">
      <alignment horizontal="center" readingOrder="0" shrinkToFit="0" vertical="center" wrapText="1"/>
    </xf>
    <xf borderId="2" fillId="2" fontId="7" numFmtId="0" xfId="0" applyAlignment="1" applyBorder="1" applyFont="1">
      <alignment horizontal="left" shrinkToFit="0" vertical="center" wrapText="1"/>
    </xf>
    <xf borderId="2" fillId="2" fontId="7" numFmtId="0" xfId="0" applyAlignment="1" applyBorder="1" applyFont="1">
      <alignment horizontal="left" readingOrder="0" shrinkToFit="0" vertical="center" wrapText="1"/>
    </xf>
    <xf borderId="2" fillId="2" fontId="7" numFmtId="0" xfId="0" applyAlignment="1" applyBorder="1" applyFont="1">
      <alignment horizontal="right" shrinkToFit="0" vertical="center" wrapText="1"/>
    </xf>
    <xf borderId="2" fillId="2" fontId="7" numFmtId="4" xfId="0" applyAlignment="1" applyBorder="1" applyFont="1" applyNumberFormat="1">
      <alignment horizontal="right" shrinkToFit="0" vertical="center" wrapText="1"/>
    </xf>
    <xf borderId="2" fillId="2" fontId="7" numFmtId="164" xfId="0" applyAlignment="1" applyBorder="1" applyFont="1" applyNumberFormat="1">
      <alignment horizontal="center" shrinkToFit="0" vertical="center" wrapText="1"/>
    </xf>
    <xf borderId="2" fillId="2" fontId="7" numFmtId="0" xfId="0" applyAlignment="1" applyBorder="1" applyFont="1">
      <alignment horizontal="center" shrinkToFit="0" vertical="center" wrapText="1"/>
    </xf>
    <xf borderId="2" fillId="3" fontId="9" numFmtId="0" xfId="0" applyAlignment="1" applyBorder="1" applyFill="1" applyFont="1">
      <alignment horizontal="center" shrinkToFit="0" vertical="center" wrapText="1"/>
    </xf>
    <xf borderId="2" fillId="3" fontId="9" numFmtId="0" xfId="0" applyAlignment="1" applyBorder="1" applyFont="1">
      <alignment horizontal="left" vertical="center"/>
    </xf>
    <xf borderId="2" fillId="3" fontId="9" numFmtId="0" xfId="0" applyAlignment="1" applyBorder="1" applyFont="1">
      <alignment horizontal="center" vertical="center"/>
    </xf>
    <xf borderId="2" fillId="3" fontId="9" numFmtId="4" xfId="0" applyAlignment="1" applyBorder="1" applyFont="1" applyNumberFormat="1">
      <alignment horizontal="right" vertical="center"/>
    </xf>
    <xf borderId="2" fillId="0" fontId="9" numFmtId="0" xfId="0" applyAlignment="1" applyBorder="1" applyFont="1">
      <alignment horizontal="center" readingOrder="0" shrinkToFit="0" vertical="center" wrapText="1"/>
    </xf>
    <xf borderId="2" fillId="3" fontId="9" numFmtId="0" xfId="0" applyAlignment="1" applyBorder="1" applyFont="1">
      <alignment horizontal="center" readingOrder="0" vertical="center"/>
    </xf>
    <xf borderId="2" fillId="4" fontId="9" numFmtId="0" xfId="0" applyAlignment="1" applyBorder="1" applyFill="1" applyFont="1">
      <alignment horizontal="center" vertical="center"/>
    </xf>
    <xf borderId="2" fillId="3" fontId="9" numFmtId="0" xfId="0" applyAlignment="1" applyBorder="1" applyFont="1">
      <alignment vertical="center"/>
    </xf>
    <xf borderId="0" fillId="3" fontId="9" numFmtId="0" xfId="0" applyFont="1"/>
    <xf borderId="0" fillId="3" fontId="10" numFmtId="0" xfId="0" applyFont="1"/>
    <xf borderId="2" fillId="3" fontId="9" numFmtId="0" xfId="0" applyAlignment="1" applyBorder="1" applyFont="1">
      <alignment horizontal="center" readingOrder="0" shrinkToFit="0" vertical="center" wrapText="1"/>
    </xf>
    <xf borderId="2" fillId="3" fontId="9" numFmtId="49" xfId="0" applyAlignment="1" applyBorder="1" applyFont="1" applyNumberFormat="1">
      <alignment horizontal="center" shrinkToFit="0" vertical="center" wrapText="1"/>
    </xf>
    <xf borderId="2" fillId="3" fontId="9" numFmtId="49" xfId="0" applyAlignment="1" applyBorder="1" applyFont="1" applyNumberFormat="1">
      <alignment horizontal="left" shrinkToFit="0" vertical="center" wrapText="1"/>
    </xf>
    <xf borderId="2" fillId="3" fontId="9" numFmtId="49" xfId="0" applyAlignment="1" applyBorder="1" applyFont="1" applyNumberFormat="1">
      <alignment horizontal="center" readingOrder="0" shrinkToFit="0" vertical="center" wrapText="1"/>
    </xf>
    <xf borderId="1" fillId="3" fontId="9" numFmtId="0" xfId="0" applyAlignment="1" applyBorder="1" applyFont="1">
      <alignment horizontal="center" vertical="center"/>
    </xf>
    <xf borderId="2" fillId="3" fontId="9" numFmtId="4" xfId="0" applyAlignment="1" applyBorder="1" applyFont="1" applyNumberFormat="1">
      <alignment horizontal="right" shrinkToFit="0" vertical="center" wrapText="1"/>
    </xf>
    <xf borderId="1" fillId="3" fontId="9" numFmtId="4" xfId="0" applyAlignment="1" applyBorder="1" applyFont="1" applyNumberFormat="1">
      <alignment horizontal="center" vertical="center"/>
    </xf>
    <xf borderId="1" fillId="3" fontId="9" numFmtId="0" xfId="0" applyAlignment="1" applyBorder="1" applyFont="1">
      <alignment horizontal="center" readingOrder="0" shrinkToFit="0" vertical="center" wrapText="1"/>
    </xf>
    <xf borderId="2" fillId="3" fontId="9" numFmtId="49" xfId="0" applyAlignment="1" applyBorder="1" applyFont="1" applyNumberFormat="1">
      <alignment shrinkToFit="0" vertical="center" wrapText="1"/>
    </xf>
    <xf borderId="7" fillId="0" fontId="8" numFmtId="0" xfId="0" applyBorder="1" applyFont="1"/>
    <xf borderId="2" fillId="0" fontId="9" numFmtId="0" xfId="0" applyAlignment="1" applyBorder="1" applyFont="1">
      <alignment horizontal="center" shrinkToFit="0" vertical="center" wrapText="1"/>
    </xf>
    <xf borderId="2" fillId="0" fontId="9" numFmtId="49" xfId="0" applyAlignment="1" applyBorder="1" applyFont="1" applyNumberFormat="1">
      <alignment horizontal="center" vertical="center"/>
    </xf>
    <xf borderId="2" fillId="0" fontId="9" numFmtId="49" xfId="0" applyAlignment="1" applyBorder="1" applyFont="1" applyNumberFormat="1">
      <alignment vertical="center"/>
    </xf>
    <xf borderId="2" fillId="0" fontId="9" numFmtId="4" xfId="0" applyAlignment="1" applyBorder="1" applyFont="1" applyNumberFormat="1">
      <alignment horizontal="right" shrinkToFit="0" vertical="center" wrapText="1"/>
    </xf>
    <xf borderId="1" fillId="0" fontId="9" numFmtId="4" xfId="0" applyAlignment="1" applyBorder="1" applyFont="1" applyNumberFormat="1">
      <alignment horizontal="right" readingOrder="0" vertical="center"/>
    </xf>
    <xf borderId="1" fillId="0" fontId="9" numFmtId="0" xfId="0" applyAlignment="1" applyBorder="1" applyFont="1">
      <alignment horizontal="center" readingOrder="0" shrinkToFit="0" vertical="center" wrapText="1"/>
    </xf>
    <xf borderId="2" fillId="0" fontId="9" numFmtId="0" xfId="0" applyAlignment="1" applyBorder="1" applyFont="1">
      <alignment horizontal="center" vertical="center"/>
    </xf>
    <xf borderId="2" fillId="0" fontId="9" numFmtId="0" xfId="0" applyAlignment="1" applyBorder="1" applyFont="1">
      <alignment vertical="center"/>
    </xf>
    <xf borderId="1" fillId="0" fontId="9" numFmtId="0" xfId="0" applyAlignment="1" applyBorder="1" applyFont="1">
      <alignment horizontal="center" vertical="center"/>
    </xf>
    <xf borderId="2" fillId="2" fontId="9" numFmtId="49" xfId="0" applyAlignment="1" applyBorder="1" applyFont="1" applyNumberFormat="1">
      <alignment vertical="center"/>
    </xf>
    <xf borderId="2" fillId="2" fontId="7" numFmtId="49" xfId="0" applyAlignment="1" applyBorder="1" applyFont="1" applyNumberFormat="1">
      <alignment readingOrder="0" vertical="center"/>
    </xf>
    <xf borderId="2" fillId="2" fontId="9" numFmtId="0" xfId="0" applyAlignment="1" applyBorder="1" applyFont="1">
      <alignment horizontal="center" vertical="center"/>
    </xf>
    <xf borderId="2" fillId="2" fontId="9" numFmtId="4" xfId="0" applyAlignment="1" applyBorder="1" applyFont="1" applyNumberFormat="1">
      <alignment horizontal="right" shrinkToFit="0" vertical="center" wrapText="1"/>
    </xf>
    <xf borderId="2" fillId="2" fontId="9" numFmtId="4" xfId="0" applyAlignment="1" applyBorder="1" applyFont="1" applyNumberFormat="1">
      <alignment horizontal="right" vertical="center"/>
    </xf>
    <xf borderId="2" fillId="2" fontId="11" numFmtId="0" xfId="0" applyAlignment="1" applyBorder="1" applyFont="1">
      <alignment horizontal="center" shrinkToFit="0" vertical="center" wrapText="1"/>
    </xf>
    <xf borderId="2" fillId="2" fontId="9" numFmtId="0" xfId="0" applyAlignment="1" applyBorder="1" applyFont="1">
      <alignment horizontal="center" shrinkToFit="0" vertical="center" wrapText="1"/>
    </xf>
    <xf borderId="2" fillId="2" fontId="9" numFmtId="0" xfId="0" applyAlignment="1" applyBorder="1" applyFont="1">
      <alignment vertical="center"/>
    </xf>
    <xf borderId="1" fillId="3" fontId="11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readingOrder="0" vertical="center"/>
    </xf>
    <xf borderId="2" fillId="0" fontId="9" numFmtId="4" xfId="0" applyAlignment="1" applyBorder="1" applyFont="1" applyNumberFormat="1">
      <alignment horizontal="right" vertical="center"/>
    </xf>
    <xf borderId="2" fillId="3" fontId="11" numFmtId="0" xfId="0" applyAlignment="1" applyBorder="1" applyFont="1">
      <alignment horizontal="center" readingOrder="0" shrinkToFit="0" vertical="center" wrapText="1"/>
    </xf>
    <xf borderId="2" fillId="0" fontId="9" numFmtId="0" xfId="0" applyAlignment="1" applyBorder="1" applyFont="1">
      <alignment horizontal="center" readingOrder="0" vertical="center"/>
    </xf>
    <xf borderId="2" fillId="2" fontId="9" numFmtId="0" xfId="0" applyAlignment="1" applyBorder="1" applyFont="1">
      <alignment horizontal="right" vertical="center"/>
    </xf>
    <xf borderId="2" fillId="0" fontId="9" numFmtId="0" xfId="0" applyAlignment="1" applyBorder="1" applyFont="1">
      <alignment horizontal="left" vertical="center"/>
    </xf>
    <xf borderId="2" fillId="0" fontId="9" numFmtId="49" xfId="0" applyAlignment="1" applyBorder="1" applyFont="1" applyNumberFormat="1">
      <alignment horizontal="left" vertical="center"/>
    </xf>
    <xf borderId="2" fillId="4" fontId="9" numFmtId="0" xfId="0" applyAlignment="1" applyBorder="1" applyFont="1">
      <alignment horizontal="center" shrinkToFit="0" vertical="center" wrapText="1"/>
    </xf>
    <xf borderId="2" fillId="4" fontId="9" numFmtId="49" xfId="0" applyAlignment="1" applyBorder="1" applyFont="1" applyNumberFormat="1">
      <alignment vertical="center"/>
    </xf>
    <xf borderId="2" fillId="4" fontId="9" numFmtId="4" xfId="0" applyAlignment="1" applyBorder="1" applyFont="1" applyNumberFormat="1">
      <alignment horizontal="right" shrinkToFit="0" vertical="center" wrapText="1"/>
    </xf>
    <xf borderId="2" fillId="4" fontId="9" numFmtId="4" xfId="0" applyAlignment="1" applyBorder="1" applyFont="1" applyNumberFormat="1">
      <alignment horizontal="right" vertical="center"/>
    </xf>
    <xf borderId="2" fillId="4" fontId="9" numFmtId="0" xfId="0" applyAlignment="1" applyBorder="1" applyFont="1">
      <alignment horizontal="center" readingOrder="0" shrinkToFit="0" vertical="center" wrapText="1"/>
    </xf>
    <xf borderId="2" fillId="4" fontId="9" numFmtId="0" xfId="0" applyAlignment="1" applyBorder="1" applyFont="1">
      <alignment vertical="center"/>
    </xf>
    <xf borderId="0" fillId="4" fontId="9" numFmtId="0" xfId="0" applyFont="1"/>
    <xf borderId="0" fillId="4" fontId="10" numFmtId="0" xfId="0" applyFont="1"/>
    <xf borderId="2" fillId="2" fontId="7" numFmtId="0" xfId="0" applyAlignment="1" applyBorder="1" applyFont="1">
      <alignment horizontal="left" vertical="center"/>
    </xf>
    <xf borderId="2" fillId="2" fontId="7" numFmtId="0" xfId="0" applyAlignment="1" applyBorder="1" applyFont="1">
      <alignment horizontal="left" readingOrder="0" vertical="center"/>
    </xf>
    <xf borderId="2" fillId="2" fontId="9" numFmtId="0" xfId="0" applyAlignment="1" applyBorder="1" applyFont="1">
      <alignment shrinkToFit="0" vertical="center" wrapText="1"/>
    </xf>
    <xf borderId="1" fillId="0" fontId="9" numFmtId="4" xfId="0" applyAlignment="1" applyBorder="1" applyFont="1" applyNumberFormat="1">
      <alignment horizontal="right" shrinkToFit="0" vertical="center" wrapText="1"/>
    </xf>
    <xf borderId="2" fillId="4" fontId="9" numFmtId="0" xfId="0" applyAlignment="1" applyBorder="1" applyFont="1">
      <alignment horizontal="left" vertical="center"/>
    </xf>
    <xf borderId="1" fillId="4" fontId="9" numFmtId="4" xfId="0" applyAlignment="1" applyBorder="1" applyFont="1" applyNumberFormat="1">
      <alignment horizontal="right" vertical="center"/>
    </xf>
    <xf borderId="1" fillId="4" fontId="9" numFmtId="0" xfId="0" applyAlignment="1" applyBorder="1" applyFont="1">
      <alignment horizontal="center" vertical="center"/>
    </xf>
    <xf borderId="2" fillId="4" fontId="9" numFmtId="49" xfId="0" applyAlignment="1" applyBorder="1" applyFont="1" applyNumberFormat="1">
      <alignment horizontal="left" vertical="center"/>
    </xf>
    <xf borderId="1" fillId="0" fontId="9" numFmtId="3" xfId="0" applyAlignment="1" applyBorder="1" applyFont="1" applyNumberFormat="1">
      <alignment horizontal="center" shrinkToFit="0" vertical="center" wrapText="1"/>
    </xf>
    <xf borderId="1" fillId="0" fontId="9" numFmtId="4" xfId="0" applyAlignment="1" applyBorder="1" applyFont="1" applyNumberFormat="1">
      <alignment horizontal="center" vertical="center"/>
    </xf>
    <xf borderId="1" fillId="0" fontId="9" numFmtId="4" xfId="0" applyAlignment="1" applyBorder="1" applyFont="1" applyNumberFormat="1">
      <alignment horizontal="right" vertical="center"/>
    </xf>
    <xf borderId="2" fillId="4" fontId="7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vertical="center"/>
    </xf>
    <xf borderId="0" fillId="0" fontId="9" numFmtId="0" xfId="0" applyAlignment="1" applyFont="1">
      <alignment vertical="center"/>
    </xf>
    <xf borderId="0" fillId="0" fontId="9" numFmtId="0" xfId="0" applyAlignment="1" applyFont="1">
      <alignment horizontal="right"/>
    </xf>
    <xf borderId="0" fillId="0" fontId="9" numFmtId="4" xfId="0" applyAlignment="1" applyFont="1" applyNumberFormat="1">
      <alignment horizontal="right"/>
    </xf>
    <xf borderId="0" fillId="0" fontId="9" numFmtId="164" xfId="0" applyFont="1" applyNumberFormat="1"/>
    <xf borderId="0" fillId="0" fontId="9" numFmtId="0" xfId="0" applyAlignment="1" applyFont="1">
      <alignment horizontal="center" shrinkToFit="0" wrapText="1"/>
    </xf>
    <xf borderId="0" fillId="0" fontId="12" numFmtId="0" xfId="0" applyAlignment="1" applyFont="1">
      <alignment readingOrder="0" vertical="center"/>
    </xf>
    <xf borderId="8" fillId="0" fontId="7" numFmtId="165" xfId="0" applyAlignment="1" applyBorder="1" applyFont="1" applyNumberFormat="1">
      <alignment horizontal="right"/>
    </xf>
    <xf borderId="8" fillId="0" fontId="8" numFmtId="0" xfId="0" applyBorder="1" applyFont="1"/>
    <xf borderId="6" fillId="0" fontId="7" numFmtId="0" xfId="0" applyAlignment="1" applyBorder="1" applyFont="1">
      <alignment vertical="center"/>
    </xf>
    <xf borderId="6" fillId="0" fontId="9" numFmtId="0" xfId="0" applyAlignment="1" applyBorder="1" applyFont="1">
      <alignment vertical="center"/>
    </xf>
    <xf borderId="9" fillId="0" fontId="7" numFmtId="164" xfId="0" applyAlignment="1" applyBorder="1" applyFont="1" applyNumberFormat="1">
      <alignment horizontal="right"/>
    </xf>
    <xf borderId="10" fillId="0" fontId="8" numFmtId="0" xfId="0" applyBorder="1" applyFont="1"/>
    <xf borderId="11" fillId="0" fontId="8" numFmtId="0" xfId="0" applyBorder="1" applyFont="1"/>
    <xf borderId="0" fillId="0" fontId="9" numFmtId="0" xfId="0" applyAlignment="1" applyFont="1">
      <alignment horizontal="left"/>
    </xf>
    <xf borderId="2" fillId="0" fontId="7" numFmtId="0" xfId="0" applyAlignment="1" applyBorder="1" applyFont="1">
      <alignment vertical="center"/>
    </xf>
    <xf borderId="3" fillId="0" fontId="7" numFmtId="164" xfId="0" applyAlignment="1" applyBorder="1" applyFont="1" applyNumberFormat="1">
      <alignment horizontal="right"/>
    </xf>
    <xf borderId="0" fillId="0" fontId="9" numFmtId="164" xfId="0" applyAlignment="1" applyFont="1" applyNumberFormat="1">
      <alignment horizontal="center"/>
    </xf>
    <xf borderId="0" fillId="0" fontId="13" numFmtId="0" xfId="0" applyAlignment="1" applyFont="1">
      <alignment vertical="center"/>
    </xf>
    <xf borderId="0" fillId="0" fontId="14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14" numFmtId="4" xfId="0" applyAlignment="1" applyFont="1" applyNumberFormat="1">
      <alignment horizontal="left" readingOrder="0"/>
    </xf>
    <xf borderId="0" fillId="0" fontId="2" numFmtId="4" xfId="0" applyAlignment="1" applyFont="1" applyNumberFormat="1">
      <alignment horizontal="right"/>
    </xf>
    <xf borderId="0" fillId="0" fontId="2" numFmtId="164" xfId="0" applyFont="1" applyNumberFormat="1"/>
    <xf borderId="0" fillId="0" fontId="14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4" numFmtId="0" xfId="0" applyAlignment="1" applyFont="1">
      <alignment shrinkToFit="0" vertical="bottom" wrapText="0"/>
    </xf>
    <xf borderId="0" fillId="0" fontId="15" numFmtId="0" xfId="0" applyFont="1"/>
    <xf borderId="0" fillId="0" fontId="2" numFmtId="0" xfId="0" applyAlignment="1" applyFont="1">
      <alignment horizontal="right"/>
    </xf>
    <xf borderId="0" fillId="0" fontId="2" numFmtId="0" xfId="0" applyAlignment="1" applyFont="1">
      <alignment horizontal="center" shrinkToFit="0" wrapText="1"/>
    </xf>
    <xf borderId="0" fillId="0" fontId="14" numFmtId="0" xfId="0" applyAlignment="1" applyFont="1">
      <alignment horizontal="left" vertical="bottom"/>
    </xf>
    <xf borderId="0" fillId="0" fontId="2" numFmtId="4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shrinkToFit="0" vertical="bottom" wrapText="0"/>
    </xf>
    <xf borderId="0" fillId="0" fontId="0" numFmtId="0" xfId="0" applyFont="1"/>
    <xf borderId="0" fillId="0" fontId="16" numFmtId="0" xfId="0" applyFont="1"/>
    <xf borderId="0" fillId="0" fontId="10" numFmtId="0" xfId="0" applyAlignment="1" applyFont="1">
      <alignment horizontal="right"/>
    </xf>
    <xf borderId="0" fillId="0" fontId="17" numFmtId="4" xfId="0" applyAlignment="1" applyFont="1" applyNumberFormat="1">
      <alignment horizontal="right"/>
    </xf>
    <xf borderId="0" fillId="0" fontId="10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9.75"/>
    <col customWidth="1" min="3" max="3" width="54.25"/>
    <col customWidth="1" min="4" max="4" width="13.88"/>
    <col customWidth="1" min="5" max="5" width="12.0"/>
    <col customWidth="1" min="6" max="6" width="11.75"/>
    <col customWidth="1" min="7" max="7" width="23.25"/>
    <col customWidth="1" min="8" max="8" width="17.0"/>
    <col customWidth="1" min="9" max="13" width="7.63"/>
    <col customWidth="1" min="14" max="34" width="0.38"/>
    <col customWidth="1" min="35" max="35" width="22.63"/>
    <col customWidth="1" min="36" max="37" width="7.63"/>
  </cols>
  <sheetData>
    <row r="1">
      <c r="A1" s="1" t="s">
        <v>0</v>
      </c>
      <c r="AJ1" s="2"/>
      <c r="AK1" s="2"/>
    </row>
    <row r="2">
      <c r="A2" s="3" t="s">
        <v>1</v>
      </c>
      <c r="AJ2" s="2"/>
      <c r="AK2" s="2"/>
    </row>
    <row r="3">
      <c r="A3" s="4"/>
      <c r="AJ3" s="2"/>
      <c r="AK3" s="2"/>
    </row>
    <row r="4">
      <c r="A4" s="5" t="s">
        <v>2</v>
      </c>
      <c r="H4" s="6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8"/>
      <c r="AJ4" s="2"/>
      <c r="AK4" s="2"/>
    </row>
    <row r="5">
      <c r="A5" s="9"/>
      <c r="B5" s="7"/>
      <c r="C5" s="7"/>
      <c r="D5" s="10"/>
      <c r="E5" s="11"/>
      <c r="F5" s="12"/>
      <c r="G5" s="13"/>
      <c r="H5" s="13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2"/>
      <c r="AK5" s="2"/>
    </row>
    <row r="6">
      <c r="A6" s="5" t="s">
        <v>3</v>
      </c>
      <c r="H6" s="14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2"/>
      <c r="AK6" s="2"/>
    </row>
    <row r="7">
      <c r="A7" s="9" t="s">
        <v>4</v>
      </c>
      <c r="B7" s="7"/>
      <c r="C7" s="7"/>
      <c r="D7" s="15"/>
      <c r="E7" s="16"/>
      <c r="F7" s="17"/>
      <c r="G7" s="14"/>
      <c r="H7" s="14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2"/>
      <c r="AK7" s="2"/>
    </row>
    <row r="8" ht="30.75" customHeight="1">
      <c r="A8" s="18" t="s">
        <v>5</v>
      </c>
      <c r="B8" s="18" t="s">
        <v>6</v>
      </c>
      <c r="C8" s="18" t="s">
        <v>7</v>
      </c>
      <c r="D8" s="19" t="s">
        <v>8</v>
      </c>
      <c r="E8" s="20" t="s">
        <v>9</v>
      </c>
      <c r="F8" s="21" t="s">
        <v>10</v>
      </c>
      <c r="G8" s="18" t="s">
        <v>11</v>
      </c>
      <c r="H8" s="18" t="s">
        <v>12</v>
      </c>
      <c r="I8" s="22" t="s">
        <v>13</v>
      </c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4"/>
      <c r="AJ8" s="25"/>
      <c r="AK8" s="25"/>
    </row>
    <row r="9" ht="30.75" customHeight="1">
      <c r="A9" s="26"/>
      <c r="B9" s="26"/>
      <c r="C9" s="26"/>
      <c r="D9" s="27" t="s">
        <v>14</v>
      </c>
      <c r="E9" s="26"/>
      <c r="F9" s="26"/>
      <c r="G9" s="26"/>
      <c r="H9" s="26"/>
      <c r="I9" s="27" t="s">
        <v>15</v>
      </c>
      <c r="J9" s="27" t="s">
        <v>16</v>
      </c>
      <c r="K9" s="27" t="s">
        <v>17</v>
      </c>
      <c r="L9" s="19" t="s">
        <v>18</v>
      </c>
      <c r="M9" s="19" t="s">
        <v>19</v>
      </c>
      <c r="N9" s="27" t="s">
        <v>20</v>
      </c>
      <c r="O9" s="27" t="s">
        <v>21</v>
      </c>
      <c r="P9" s="27" t="s">
        <v>22</v>
      </c>
      <c r="Q9" s="27" t="s">
        <v>23</v>
      </c>
      <c r="R9" s="27" t="s">
        <v>24</v>
      </c>
      <c r="S9" s="27" t="s">
        <v>25</v>
      </c>
      <c r="T9" s="27" t="s">
        <v>26</v>
      </c>
      <c r="U9" s="27" t="s">
        <v>27</v>
      </c>
      <c r="V9" s="27" t="s">
        <v>28</v>
      </c>
      <c r="W9" s="27" t="s">
        <v>29</v>
      </c>
      <c r="X9" s="27" t="s">
        <v>30</v>
      </c>
      <c r="Y9" s="27" t="s">
        <v>31</v>
      </c>
      <c r="Z9" s="27" t="s">
        <v>32</v>
      </c>
      <c r="AA9" s="27" t="s">
        <v>33</v>
      </c>
      <c r="AB9" s="27" t="s">
        <v>34</v>
      </c>
      <c r="AC9" s="27" t="s">
        <v>35</v>
      </c>
      <c r="AD9" s="27" t="s">
        <v>36</v>
      </c>
      <c r="AE9" s="27" t="s">
        <v>37</v>
      </c>
      <c r="AF9" s="27" t="s">
        <v>38</v>
      </c>
      <c r="AG9" s="27" t="s">
        <v>39</v>
      </c>
      <c r="AH9" s="27" t="s">
        <v>40</v>
      </c>
      <c r="AI9" s="27" t="s">
        <v>41</v>
      </c>
      <c r="AJ9" s="25"/>
      <c r="AK9" s="25"/>
    </row>
    <row r="10">
      <c r="A10" s="28" t="s">
        <v>42</v>
      </c>
      <c r="B10" s="28" t="s">
        <v>43</v>
      </c>
      <c r="C10" s="28" t="s">
        <v>44</v>
      </c>
      <c r="D10" s="28" t="s">
        <v>45</v>
      </c>
      <c r="E10" s="29" t="s">
        <v>46</v>
      </c>
      <c r="F10" s="30" t="s">
        <v>47</v>
      </c>
      <c r="G10" s="28" t="s">
        <v>48</v>
      </c>
      <c r="H10" s="28" t="s">
        <v>49</v>
      </c>
      <c r="I10" s="28" t="s">
        <v>50</v>
      </c>
      <c r="J10" s="28" t="s">
        <v>51</v>
      </c>
      <c r="K10" s="28" t="s">
        <v>52</v>
      </c>
      <c r="L10" s="28" t="s">
        <v>53</v>
      </c>
      <c r="M10" s="28" t="s">
        <v>54</v>
      </c>
      <c r="N10" s="28" t="s">
        <v>55</v>
      </c>
      <c r="O10" s="28" t="s">
        <v>56</v>
      </c>
      <c r="P10" s="28" t="s">
        <v>57</v>
      </c>
      <c r="Q10" s="28" t="s">
        <v>58</v>
      </c>
      <c r="R10" s="28" t="s">
        <v>59</v>
      </c>
      <c r="S10" s="28" t="s">
        <v>60</v>
      </c>
      <c r="T10" s="28" t="s">
        <v>61</v>
      </c>
      <c r="U10" s="28" t="s">
        <v>62</v>
      </c>
      <c r="V10" s="28" t="s">
        <v>63</v>
      </c>
      <c r="W10" s="28" t="s">
        <v>64</v>
      </c>
      <c r="X10" s="28" t="s">
        <v>65</v>
      </c>
      <c r="Y10" s="28" t="s">
        <v>66</v>
      </c>
      <c r="Z10" s="28" t="s">
        <v>67</v>
      </c>
      <c r="AA10" s="28" t="s">
        <v>68</v>
      </c>
      <c r="AB10" s="28" t="s">
        <v>69</v>
      </c>
      <c r="AC10" s="28" t="s">
        <v>70</v>
      </c>
      <c r="AD10" s="28" t="s">
        <v>71</v>
      </c>
      <c r="AE10" s="28" t="s">
        <v>72</v>
      </c>
      <c r="AF10" s="28" t="s">
        <v>73</v>
      </c>
      <c r="AG10" s="28" t="s">
        <v>74</v>
      </c>
      <c r="AH10" s="28" t="s">
        <v>75</v>
      </c>
      <c r="AI10" s="28" t="s">
        <v>76</v>
      </c>
      <c r="AJ10" s="25"/>
      <c r="AK10" s="25"/>
    </row>
    <row r="11">
      <c r="A11" s="31" t="s">
        <v>77</v>
      </c>
      <c r="B11" s="32"/>
      <c r="C11" s="33" t="s">
        <v>78</v>
      </c>
      <c r="D11" s="34"/>
      <c r="E11" s="35"/>
      <c r="F11" s="36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25"/>
      <c r="AK11" s="25"/>
    </row>
    <row r="12">
      <c r="A12" s="38"/>
      <c r="B12" s="39"/>
      <c r="C12" s="39" t="s">
        <v>79</v>
      </c>
      <c r="D12" s="40" t="s">
        <v>80</v>
      </c>
      <c r="E12" s="41">
        <v>1900.0</v>
      </c>
      <c r="F12" s="41">
        <f>E12*25</f>
        <v>47500</v>
      </c>
      <c r="G12" s="42" t="s">
        <v>81</v>
      </c>
      <c r="H12" s="43" t="s">
        <v>82</v>
      </c>
      <c r="I12" s="44">
        <v>25.0</v>
      </c>
      <c r="J12" s="40"/>
      <c r="K12" s="40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6"/>
      <c r="AK12" s="46"/>
      <c r="AL12" s="47"/>
      <c r="AM12" s="47"/>
    </row>
    <row r="13">
      <c r="A13" s="38"/>
      <c r="B13" s="39"/>
      <c r="C13" s="39" t="s">
        <v>83</v>
      </c>
      <c r="D13" s="40" t="s">
        <v>80</v>
      </c>
      <c r="E13" s="41">
        <v>700.0</v>
      </c>
      <c r="F13" s="41">
        <f>E13*65</f>
        <v>45500</v>
      </c>
      <c r="G13" s="42" t="s">
        <v>81</v>
      </c>
      <c r="H13" s="43" t="s">
        <v>82</v>
      </c>
      <c r="I13" s="44">
        <v>38.0</v>
      </c>
      <c r="J13" s="40">
        <f>65-I13</f>
        <v>27</v>
      </c>
      <c r="K13" s="40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6"/>
      <c r="AK13" s="46"/>
      <c r="AL13" s="47"/>
      <c r="AM13" s="47"/>
    </row>
    <row r="14">
      <c r="A14" s="38"/>
      <c r="B14" s="40"/>
      <c r="C14" s="39" t="s">
        <v>84</v>
      </c>
      <c r="D14" s="40" t="s">
        <v>80</v>
      </c>
      <c r="E14" s="41">
        <v>49900.0</v>
      </c>
      <c r="F14" s="41">
        <f>E14*2</f>
        <v>99800</v>
      </c>
      <c r="G14" s="48" t="s">
        <v>85</v>
      </c>
      <c r="H14" s="40" t="s">
        <v>82</v>
      </c>
      <c r="I14" s="44">
        <v>2.0</v>
      </c>
      <c r="J14" s="40"/>
      <c r="K14" s="40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6"/>
      <c r="AK14" s="46"/>
      <c r="AL14" s="47"/>
      <c r="AM14" s="47"/>
    </row>
    <row r="15" ht="33.0" customHeight="1">
      <c r="A15" s="38"/>
      <c r="B15" s="49"/>
      <c r="C15" s="50" t="s">
        <v>86</v>
      </c>
      <c r="D15" s="40" t="s">
        <v>80</v>
      </c>
      <c r="E15" s="41">
        <v>49900.0</v>
      </c>
      <c r="F15" s="41">
        <f>E15*1</f>
        <v>49900</v>
      </c>
      <c r="G15" s="48" t="s">
        <v>85</v>
      </c>
      <c r="H15" s="40" t="s">
        <v>82</v>
      </c>
      <c r="I15" s="44">
        <v>1.0</v>
      </c>
      <c r="J15" s="40"/>
      <c r="K15" s="40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6"/>
      <c r="AK15" s="46"/>
      <c r="AL15" s="47"/>
      <c r="AM15" s="47"/>
    </row>
    <row r="16">
      <c r="A16" s="38"/>
      <c r="B16" s="51" t="s">
        <v>87</v>
      </c>
      <c r="C16" s="50" t="s">
        <v>88</v>
      </c>
      <c r="D16" s="52" t="s">
        <v>89</v>
      </c>
      <c r="E16" s="53">
        <v>6000.0</v>
      </c>
      <c r="F16" s="54">
        <f>(E16*15)+(E17*9)+(E18*9)+(E19*9)</f>
        <v>265500</v>
      </c>
      <c r="G16" s="55" t="s">
        <v>85</v>
      </c>
      <c r="H16" s="52" t="s">
        <v>82</v>
      </c>
      <c r="I16" s="44">
        <v>5.0</v>
      </c>
      <c r="J16" s="40">
        <v>5.0</v>
      </c>
      <c r="K16" s="40">
        <v>5.0</v>
      </c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6"/>
      <c r="AK16" s="46"/>
      <c r="AL16" s="47"/>
      <c r="AM16" s="47"/>
    </row>
    <row r="17">
      <c r="A17" s="38"/>
      <c r="B17" s="51" t="s">
        <v>90</v>
      </c>
      <c r="C17" s="56" t="s">
        <v>91</v>
      </c>
      <c r="D17" s="57"/>
      <c r="E17" s="53">
        <v>6500.0</v>
      </c>
      <c r="F17" s="57"/>
      <c r="G17" s="57"/>
      <c r="H17" s="57"/>
      <c r="I17" s="44">
        <v>3.0</v>
      </c>
      <c r="J17" s="40">
        <v>3.0</v>
      </c>
      <c r="K17" s="40">
        <v>3.0</v>
      </c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6"/>
      <c r="AK17" s="46"/>
      <c r="AL17" s="47"/>
      <c r="AM17" s="47"/>
    </row>
    <row r="18">
      <c r="A18" s="38"/>
      <c r="B18" s="51" t="s">
        <v>92</v>
      </c>
      <c r="C18" s="56" t="s">
        <v>93</v>
      </c>
      <c r="D18" s="57"/>
      <c r="E18" s="53">
        <v>6500.0</v>
      </c>
      <c r="F18" s="57"/>
      <c r="G18" s="57"/>
      <c r="H18" s="57"/>
      <c r="I18" s="44">
        <v>3.0</v>
      </c>
      <c r="J18" s="40">
        <v>3.0</v>
      </c>
      <c r="K18" s="40">
        <v>3.0</v>
      </c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6"/>
      <c r="AK18" s="46"/>
      <c r="AL18" s="47"/>
      <c r="AM18" s="47"/>
    </row>
    <row r="19">
      <c r="A19" s="38"/>
      <c r="B19" s="51" t="s">
        <v>94</v>
      </c>
      <c r="C19" s="56" t="s">
        <v>95</v>
      </c>
      <c r="D19" s="26"/>
      <c r="E19" s="53">
        <v>6500.0</v>
      </c>
      <c r="F19" s="26"/>
      <c r="G19" s="26"/>
      <c r="H19" s="26"/>
      <c r="I19" s="44">
        <v>3.0</v>
      </c>
      <c r="J19" s="40">
        <v>3.0</v>
      </c>
      <c r="K19" s="40">
        <v>3.0</v>
      </c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6"/>
      <c r="AK19" s="46"/>
      <c r="AL19" s="47"/>
      <c r="AM19" s="47"/>
    </row>
    <row r="20">
      <c r="A20" s="58"/>
      <c r="B20" s="59"/>
      <c r="C20" s="60" t="s">
        <v>96</v>
      </c>
      <c r="D20" s="52" t="s">
        <v>80</v>
      </c>
      <c r="E20" s="61">
        <v>5000.0</v>
      </c>
      <c r="F20" s="62">
        <v>82800.0</v>
      </c>
      <c r="G20" s="63" t="s">
        <v>81</v>
      </c>
      <c r="H20" s="64" t="s">
        <v>82</v>
      </c>
      <c r="I20" s="64"/>
      <c r="J20" s="64">
        <v>6.0</v>
      </c>
      <c r="K20" s="64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25"/>
      <c r="AK20" s="25"/>
    </row>
    <row r="21">
      <c r="A21" s="58"/>
      <c r="B21" s="59"/>
      <c r="C21" s="60" t="s">
        <v>97</v>
      </c>
      <c r="D21" s="57"/>
      <c r="E21" s="61">
        <v>800.0</v>
      </c>
      <c r="F21" s="57"/>
      <c r="G21" s="57"/>
      <c r="H21" s="66" t="s">
        <v>82</v>
      </c>
      <c r="I21" s="64">
        <v>4.0</v>
      </c>
      <c r="J21" s="64"/>
      <c r="K21" s="64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25"/>
      <c r="AK21" s="25"/>
    </row>
    <row r="22">
      <c r="A22" s="58"/>
      <c r="B22" s="59"/>
      <c r="C22" s="60" t="s">
        <v>98</v>
      </c>
      <c r="D22" s="57"/>
      <c r="E22" s="61">
        <v>3000.0</v>
      </c>
      <c r="F22" s="57"/>
      <c r="G22" s="57"/>
      <c r="H22" s="26"/>
      <c r="I22" s="64">
        <v>4.0</v>
      </c>
      <c r="J22" s="64"/>
      <c r="K22" s="64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25"/>
      <c r="AK22" s="25"/>
    </row>
    <row r="23">
      <c r="A23" s="58"/>
      <c r="B23" s="59"/>
      <c r="C23" s="60" t="s">
        <v>99</v>
      </c>
      <c r="D23" s="57"/>
      <c r="E23" s="61">
        <v>7500.0</v>
      </c>
      <c r="F23" s="57"/>
      <c r="G23" s="57"/>
      <c r="H23" s="64" t="s">
        <v>82</v>
      </c>
      <c r="I23" s="64">
        <v>4.0</v>
      </c>
      <c r="J23" s="64"/>
      <c r="K23" s="64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25"/>
      <c r="AK23" s="25"/>
    </row>
    <row r="24">
      <c r="A24" s="58"/>
      <c r="B24" s="59"/>
      <c r="C24" s="60" t="s">
        <v>100</v>
      </c>
      <c r="D24" s="57"/>
      <c r="E24" s="61">
        <v>2000.0</v>
      </c>
      <c r="F24" s="57"/>
      <c r="G24" s="26"/>
      <c r="H24" s="64" t="s">
        <v>82</v>
      </c>
      <c r="I24" s="58">
        <v>1.0</v>
      </c>
      <c r="J24" s="64"/>
      <c r="K24" s="64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25"/>
      <c r="AK24" s="25"/>
    </row>
    <row r="25">
      <c r="A25" s="58"/>
      <c r="B25" s="60"/>
      <c r="C25" s="60" t="s">
        <v>101</v>
      </c>
      <c r="D25" s="26"/>
      <c r="E25" s="61">
        <v>4000.0</v>
      </c>
      <c r="F25" s="26"/>
      <c r="G25" s="58"/>
      <c r="H25" s="64" t="s">
        <v>82</v>
      </c>
      <c r="I25" s="58">
        <v>1.0</v>
      </c>
      <c r="J25" s="64"/>
      <c r="K25" s="64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25"/>
      <c r="AK25" s="25"/>
    </row>
    <row r="26">
      <c r="A26" s="31" t="s">
        <v>102</v>
      </c>
      <c r="B26" s="67"/>
      <c r="C26" s="68" t="s">
        <v>103</v>
      </c>
      <c r="D26" s="69"/>
      <c r="E26" s="70"/>
      <c r="F26" s="71"/>
      <c r="G26" s="72"/>
      <c r="H26" s="69"/>
      <c r="I26" s="73"/>
      <c r="J26" s="69"/>
      <c r="K26" s="69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25"/>
      <c r="AK26" s="25"/>
    </row>
    <row r="27">
      <c r="A27" s="58"/>
      <c r="B27" s="60"/>
      <c r="C27" s="60" t="s">
        <v>104</v>
      </c>
      <c r="D27" s="52" t="s">
        <v>80</v>
      </c>
      <c r="E27" s="61">
        <v>40000.0</v>
      </c>
      <c r="F27" s="62">
        <v>180000.0</v>
      </c>
      <c r="G27" s="75" t="s">
        <v>85</v>
      </c>
      <c r="H27" s="76" t="s">
        <v>105</v>
      </c>
      <c r="I27" s="64"/>
      <c r="J27" s="64">
        <v>3.0</v>
      </c>
      <c r="K27" s="64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25"/>
      <c r="AK27" s="25"/>
    </row>
    <row r="28">
      <c r="A28" s="58"/>
      <c r="B28" s="60"/>
      <c r="C28" s="60" t="s">
        <v>106</v>
      </c>
      <c r="D28" s="26"/>
      <c r="E28" s="61">
        <v>30000.0</v>
      </c>
      <c r="F28" s="26"/>
      <c r="G28" s="26"/>
      <c r="H28" s="26"/>
      <c r="I28" s="64"/>
      <c r="J28" s="64">
        <v>2.0</v>
      </c>
      <c r="K28" s="64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25"/>
      <c r="AK28" s="25"/>
    </row>
    <row r="29">
      <c r="A29" s="58"/>
      <c r="B29" s="60"/>
      <c r="C29" s="60" t="s">
        <v>107</v>
      </c>
      <c r="D29" s="40" t="s">
        <v>108</v>
      </c>
      <c r="E29" s="61">
        <v>300000.0</v>
      </c>
      <c r="F29" s="77">
        <f>E29*2</f>
        <v>600000</v>
      </c>
      <c r="G29" s="78"/>
      <c r="H29" s="79" t="s">
        <v>105</v>
      </c>
      <c r="I29" s="58">
        <v>2.0</v>
      </c>
      <c r="J29" s="64"/>
      <c r="K29" s="64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25"/>
      <c r="AK29" s="25"/>
    </row>
    <row r="30">
      <c r="A30" s="31" t="s">
        <v>109</v>
      </c>
      <c r="B30" s="32"/>
      <c r="C30" s="33" t="s">
        <v>110</v>
      </c>
      <c r="D30" s="80"/>
      <c r="E30" s="35"/>
      <c r="F30" s="36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25"/>
      <c r="AK30" s="25"/>
    </row>
    <row r="31">
      <c r="A31" s="58"/>
      <c r="B31" s="81"/>
      <c r="C31" s="81" t="s">
        <v>111</v>
      </c>
      <c r="D31" s="40" t="s">
        <v>80</v>
      </c>
      <c r="E31" s="77">
        <v>15000.0</v>
      </c>
      <c r="F31" s="77">
        <f>E31*30</f>
        <v>450000</v>
      </c>
      <c r="G31" s="42" t="s">
        <v>112</v>
      </c>
      <c r="H31" s="64" t="s">
        <v>82</v>
      </c>
      <c r="I31" s="64">
        <v>30.0</v>
      </c>
      <c r="J31" s="64"/>
      <c r="K31" s="64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25"/>
      <c r="AK31" s="25"/>
    </row>
    <row r="32">
      <c r="A32" s="31" t="s">
        <v>113</v>
      </c>
      <c r="B32" s="32"/>
      <c r="C32" s="33" t="s">
        <v>114</v>
      </c>
      <c r="D32" s="80"/>
      <c r="E32" s="35"/>
      <c r="F32" s="36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25"/>
      <c r="AK32" s="25"/>
    </row>
    <row r="33" ht="42.75" customHeight="1">
      <c r="A33" s="58"/>
      <c r="B33" s="82"/>
      <c r="C33" s="82" t="s">
        <v>115</v>
      </c>
      <c r="D33" s="58" t="s">
        <v>116</v>
      </c>
      <c r="E33" s="61">
        <v>5000.0</v>
      </c>
      <c r="F33" s="77">
        <f>E33*5</f>
        <v>25000</v>
      </c>
      <c r="G33" s="42" t="s">
        <v>117</v>
      </c>
      <c r="H33" s="64" t="s">
        <v>82</v>
      </c>
      <c r="I33" s="64">
        <v>1.0</v>
      </c>
      <c r="J33" s="64">
        <v>2.0</v>
      </c>
      <c r="K33" s="64">
        <v>2.0</v>
      </c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25"/>
      <c r="AK33" s="25"/>
    </row>
    <row r="34" ht="15.75" customHeight="1">
      <c r="A34" s="58"/>
      <c r="B34" s="60"/>
      <c r="C34" s="60" t="s">
        <v>118</v>
      </c>
      <c r="D34" s="58" t="s">
        <v>119</v>
      </c>
      <c r="E34" s="61">
        <v>200.0</v>
      </c>
      <c r="F34" s="77">
        <f>E34*4</f>
        <v>800</v>
      </c>
      <c r="G34" s="42" t="s">
        <v>120</v>
      </c>
      <c r="H34" s="64" t="s">
        <v>82</v>
      </c>
      <c r="I34" s="64">
        <v>1.0</v>
      </c>
      <c r="J34" s="64">
        <v>1.0</v>
      </c>
      <c r="K34" s="64">
        <v>2.0</v>
      </c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25"/>
      <c r="AK34" s="25"/>
    </row>
    <row r="35">
      <c r="A35" s="31" t="s">
        <v>121</v>
      </c>
      <c r="B35" s="32"/>
      <c r="C35" s="33" t="s">
        <v>122</v>
      </c>
      <c r="D35" s="80"/>
      <c r="E35" s="35"/>
      <c r="F35" s="36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25"/>
      <c r="AK35" s="25"/>
    </row>
    <row r="36">
      <c r="A36" s="58"/>
      <c r="B36" s="60"/>
      <c r="C36" s="60" t="s">
        <v>123</v>
      </c>
      <c r="D36" s="40" t="s">
        <v>80</v>
      </c>
      <c r="E36" s="61">
        <v>5000.0</v>
      </c>
      <c r="F36" s="77">
        <f>E36*2</f>
        <v>10000</v>
      </c>
      <c r="G36" s="42" t="s">
        <v>81</v>
      </c>
      <c r="H36" s="64" t="s">
        <v>82</v>
      </c>
      <c r="I36" s="58"/>
      <c r="J36" s="64">
        <v>2.0</v>
      </c>
      <c r="K36" s="64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25"/>
      <c r="AK36" s="25"/>
    </row>
    <row r="37">
      <c r="A37" s="58"/>
      <c r="B37" s="60"/>
      <c r="C37" s="60" t="s">
        <v>124</v>
      </c>
      <c r="D37" s="40" t="s">
        <v>80</v>
      </c>
      <c r="E37" s="61">
        <v>26000.0</v>
      </c>
      <c r="F37" s="77">
        <f t="shared" ref="F37:F38" si="1">E37*4</f>
        <v>104000</v>
      </c>
      <c r="G37" s="42" t="s">
        <v>81</v>
      </c>
      <c r="H37" s="64" t="s">
        <v>82</v>
      </c>
      <c r="I37" s="58"/>
      <c r="J37" s="64">
        <v>4.0</v>
      </c>
      <c r="K37" s="64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/>
      <c r="AJ37" s="25"/>
      <c r="AK37" s="25"/>
    </row>
    <row r="38">
      <c r="A38" s="58"/>
      <c r="B38" s="60"/>
      <c r="C38" s="60" t="s">
        <v>125</v>
      </c>
      <c r="D38" s="40" t="s">
        <v>80</v>
      </c>
      <c r="E38" s="61">
        <v>7000.0</v>
      </c>
      <c r="F38" s="77">
        <f t="shared" si="1"/>
        <v>28000</v>
      </c>
      <c r="G38" s="42" t="s">
        <v>81</v>
      </c>
      <c r="H38" s="64" t="s">
        <v>82</v>
      </c>
      <c r="I38" s="58"/>
      <c r="J38" s="64">
        <v>4.0</v>
      </c>
      <c r="K38" s="64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25"/>
      <c r="AK38" s="25"/>
    </row>
    <row r="39">
      <c r="A39" s="31" t="s">
        <v>126</v>
      </c>
      <c r="B39" s="32"/>
      <c r="C39" s="33" t="s">
        <v>127</v>
      </c>
      <c r="D39" s="69"/>
      <c r="E39" s="35"/>
      <c r="F39" s="36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25"/>
      <c r="AK39" s="25"/>
    </row>
    <row r="40" ht="15.75" customHeight="1">
      <c r="A40" s="83"/>
      <c r="B40" s="84"/>
      <c r="C40" s="84" t="s">
        <v>128</v>
      </c>
      <c r="D40" s="44" t="s">
        <v>80</v>
      </c>
      <c r="E40" s="85">
        <v>100.0</v>
      </c>
      <c r="F40" s="86">
        <f>E40*105</f>
        <v>10500</v>
      </c>
      <c r="G40" s="87" t="s">
        <v>129</v>
      </c>
      <c r="H40" s="64" t="s">
        <v>82</v>
      </c>
      <c r="I40" s="44">
        <v>35.0</v>
      </c>
      <c r="J40" s="44">
        <v>35.0</v>
      </c>
      <c r="K40" s="44">
        <v>35.0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9"/>
      <c r="AK40" s="89"/>
      <c r="AL40" s="90"/>
      <c r="AM40" s="90"/>
    </row>
    <row r="41" ht="15.75" customHeight="1">
      <c r="A41" s="58"/>
      <c r="B41" s="60"/>
      <c r="C41" s="60" t="s">
        <v>130</v>
      </c>
      <c r="D41" s="58" t="s">
        <v>108</v>
      </c>
      <c r="E41" s="61">
        <v>10000.0</v>
      </c>
      <c r="F41" s="77">
        <f>E41*2</f>
        <v>20000</v>
      </c>
      <c r="G41" s="42" t="s">
        <v>131</v>
      </c>
      <c r="H41" s="64" t="s">
        <v>82</v>
      </c>
      <c r="I41" s="64"/>
      <c r="J41" s="64">
        <v>2.0</v>
      </c>
      <c r="K41" s="64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5"/>
      <c r="AJ41" s="25"/>
      <c r="AK41" s="25"/>
    </row>
    <row r="42" ht="15.75" customHeight="1">
      <c r="A42" s="31" t="s">
        <v>132</v>
      </c>
      <c r="B42" s="91"/>
      <c r="C42" s="92" t="s">
        <v>133</v>
      </c>
      <c r="D42" s="69"/>
      <c r="E42" s="71"/>
      <c r="F42" s="74"/>
      <c r="G42" s="93"/>
      <c r="H42" s="69"/>
      <c r="I42" s="69"/>
      <c r="J42" s="69"/>
      <c r="K42" s="69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25"/>
      <c r="AK42" s="25"/>
    </row>
    <row r="43" ht="15.75" customHeight="1">
      <c r="A43" s="58"/>
      <c r="B43" s="81"/>
      <c r="C43" s="81" t="s">
        <v>134</v>
      </c>
      <c r="D43" s="40" t="s">
        <v>80</v>
      </c>
      <c r="E43" s="61">
        <v>500.0</v>
      </c>
      <c r="F43" s="61">
        <f>E43*20</f>
        <v>10000</v>
      </c>
      <c r="G43" s="42" t="s">
        <v>81</v>
      </c>
      <c r="H43" s="64" t="s">
        <v>82</v>
      </c>
      <c r="I43" s="64"/>
      <c r="J43" s="64">
        <v>20.0</v>
      </c>
      <c r="K43" s="64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/>
      <c r="AE43" s="65"/>
      <c r="AF43" s="65"/>
      <c r="AG43" s="65"/>
      <c r="AH43" s="65"/>
      <c r="AI43" s="65"/>
      <c r="AJ43" s="25"/>
      <c r="AK43" s="25"/>
    </row>
    <row r="44" ht="15.75" customHeight="1">
      <c r="A44" s="58"/>
      <c r="B44" s="81"/>
      <c r="C44" s="81" t="s">
        <v>135</v>
      </c>
      <c r="D44" s="52" t="s">
        <v>80</v>
      </c>
      <c r="E44" s="61">
        <v>5000.0</v>
      </c>
      <c r="F44" s="94">
        <f>(E44*3)+(E45*20)</f>
        <v>55000</v>
      </c>
      <c r="G44" s="63" t="s">
        <v>81</v>
      </c>
      <c r="H44" s="64" t="s">
        <v>82</v>
      </c>
      <c r="I44" s="64"/>
      <c r="J44" s="64">
        <v>3.0</v>
      </c>
      <c r="K44" s="64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5"/>
      <c r="AJ44" s="25"/>
      <c r="AK44" s="25"/>
    </row>
    <row r="45" ht="15.75" customHeight="1">
      <c r="A45" s="58"/>
      <c r="B45" s="81"/>
      <c r="C45" s="81" t="s">
        <v>136</v>
      </c>
      <c r="D45" s="26"/>
      <c r="E45" s="61">
        <v>2000.0</v>
      </c>
      <c r="F45" s="26"/>
      <c r="G45" s="26"/>
      <c r="H45" s="64" t="s">
        <v>82</v>
      </c>
      <c r="I45" s="64"/>
      <c r="J45" s="64">
        <v>20.0</v>
      </c>
      <c r="K45" s="64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5"/>
      <c r="AC45" s="65"/>
      <c r="AD45" s="65"/>
      <c r="AE45" s="65"/>
      <c r="AF45" s="65"/>
      <c r="AG45" s="65"/>
      <c r="AH45" s="65"/>
      <c r="AI45" s="65"/>
      <c r="AJ45" s="25"/>
      <c r="AK45" s="25"/>
    </row>
    <row r="46" ht="15.75" customHeight="1">
      <c r="A46" s="58"/>
      <c r="B46" s="60"/>
      <c r="C46" s="60" t="s">
        <v>137</v>
      </c>
      <c r="D46" s="52" t="s">
        <v>80</v>
      </c>
      <c r="E46" s="61">
        <v>5000.0</v>
      </c>
      <c r="F46" s="62">
        <v>51000.0</v>
      </c>
      <c r="G46" s="63" t="s">
        <v>81</v>
      </c>
      <c r="H46" s="64" t="s">
        <v>82</v>
      </c>
      <c r="I46" s="64">
        <v>3.0</v>
      </c>
      <c r="J46" s="64"/>
      <c r="K46" s="64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5"/>
      <c r="AJ46" s="25"/>
      <c r="AK46" s="25"/>
    </row>
    <row r="47" ht="15.75" customHeight="1">
      <c r="A47" s="58"/>
      <c r="B47" s="60"/>
      <c r="C47" s="60" t="s">
        <v>138</v>
      </c>
      <c r="D47" s="57"/>
      <c r="E47" s="61">
        <v>2000.0</v>
      </c>
      <c r="F47" s="57"/>
      <c r="G47" s="57"/>
      <c r="H47" s="64" t="s">
        <v>82</v>
      </c>
      <c r="I47" s="64">
        <v>3.0</v>
      </c>
      <c r="J47" s="64"/>
      <c r="K47" s="64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5"/>
      <c r="AC47" s="65"/>
      <c r="AD47" s="65"/>
      <c r="AE47" s="65"/>
      <c r="AF47" s="65"/>
      <c r="AG47" s="65"/>
      <c r="AH47" s="65"/>
      <c r="AI47" s="65"/>
      <c r="AJ47" s="25"/>
      <c r="AK47" s="25"/>
    </row>
    <row r="48" ht="15.75" customHeight="1">
      <c r="A48" s="58"/>
      <c r="B48" s="60"/>
      <c r="C48" s="60" t="s">
        <v>139</v>
      </c>
      <c r="D48" s="26"/>
      <c r="E48" s="61">
        <v>5000.0</v>
      </c>
      <c r="F48" s="26"/>
      <c r="G48" s="26"/>
      <c r="H48" s="64" t="s">
        <v>82</v>
      </c>
      <c r="I48" s="64">
        <v>6.0</v>
      </c>
      <c r="J48" s="64"/>
      <c r="K48" s="64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5"/>
      <c r="AJ48" s="25"/>
      <c r="AK48" s="25"/>
    </row>
    <row r="49" ht="15.75" customHeight="1">
      <c r="A49" s="58"/>
      <c r="B49" s="60"/>
      <c r="C49" s="60" t="s">
        <v>140</v>
      </c>
      <c r="D49" s="58" t="s">
        <v>108</v>
      </c>
      <c r="E49" s="61">
        <v>700000.0</v>
      </c>
      <c r="F49" s="77">
        <f>E49*2</f>
        <v>1400000</v>
      </c>
      <c r="G49" s="42" t="s">
        <v>141</v>
      </c>
      <c r="H49" s="64" t="s">
        <v>82</v>
      </c>
      <c r="I49" s="64"/>
      <c r="J49" s="64">
        <v>2.0</v>
      </c>
      <c r="K49" s="64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F49" s="65"/>
      <c r="AG49" s="65"/>
      <c r="AH49" s="65"/>
      <c r="AI49" s="65"/>
      <c r="AJ49" s="25"/>
      <c r="AK49" s="25"/>
    </row>
    <row r="50" ht="15.75" customHeight="1">
      <c r="A50" s="31" t="s">
        <v>142</v>
      </c>
      <c r="B50" s="91"/>
      <c r="C50" s="92" t="s">
        <v>143</v>
      </c>
      <c r="D50" s="80"/>
      <c r="E50" s="71"/>
      <c r="F50" s="74"/>
      <c r="G50" s="93"/>
      <c r="H50" s="69"/>
      <c r="I50" s="69"/>
      <c r="J50" s="69"/>
      <c r="K50" s="69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25"/>
      <c r="AK50" s="25"/>
    </row>
    <row r="51" ht="15.75" customHeight="1">
      <c r="A51" s="83"/>
      <c r="B51" s="95"/>
      <c r="C51" s="95" t="s">
        <v>144</v>
      </c>
      <c r="D51" s="52" t="s">
        <v>80</v>
      </c>
      <c r="E51" s="85">
        <v>1500.0</v>
      </c>
      <c r="F51" s="96">
        <f>(E51*30)+(E52*32)+(E53*12)+(E54*28)+(E55*22)+(E56*16)+(E57*10)+(E58*25)</f>
        <v>195900</v>
      </c>
      <c r="G51" s="63" t="s">
        <v>85</v>
      </c>
      <c r="H51" s="97" t="s">
        <v>82</v>
      </c>
      <c r="I51" s="44">
        <v>30.0</v>
      </c>
      <c r="J51" s="44"/>
      <c r="K51" s="44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9"/>
      <c r="AK51" s="89"/>
      <c r="AL51" s="90"/>
      <c r="AM51" s="90"/>
    </row>
    <row r="52" ht="15.75" customHeight="1">
      <c r="A52" s="83"/>
      <c r="B52" s="84"/>
      <c r="C52" s="84" t="s">
        <v>145</v>
      </c>
      <c r="D52" s="57"/>
      <c r="E52" s="85">
        <v>2000.0</v>
      </c>
      <c r="F52" s="57"/>
      <c r="G52" s="57"/>
      <c r="H52" s="57"/>
      <c r="I52" s="44">
        <v>32.0</v>
      </c>
      <c r="J52" s="44"/>
      <c r="K52" s="44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9"/>
      <c r="AK52" s="89"/>
      <c r="AL52" s="90"/>
      <c r="AM52" s="90"/>
    </row>
    <row r="53" ht="15.75" customHeight="1">
      <c r="A53" s="83"/>
      <c r="B53" s="98"/>
      <c r="C53" s="98" t="s">
        <v>146</v>
      </c>
      <c r="D53" s="57"/>
      <c r="E53" s="85">
        <v>2200.0</v>
      </c>
      <c r="F53" s="57"/>
      <c r="G53" s="57"/>
      <c r="H53" s="57"/>
      <c r="I53" s="44">
        <v>12.0</v>
      </c>
      <c r="J53" s="44"/>
      <c r="K53" s="44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9"/>
      <c r="AK53" s="89"/>
      <c r="AL53" s="90"/>
      <c r="AM53" s="90"/>
    </row>
    <row r="54" ht="15.75" customHeight="1">
      <c r="A54" s="83"/>
      <c r="B54" s="95"/>
      <c r="C54" s="95" t="s">
        <v>147</v>
      </c>
      <c r="D54" s="57"/>
      <c r="E54" s="85">
        <v>1200.0</v>
      </c>
      <c r="F54" s="57"/>
      <c r="G54" s="57"/>
      <c r="H54" s="57"/>
      <c r="I54" s="44">
        <v>28.0</v>
      </c>
      <c r="J54" s="44"/>
      <c r="K54" s="44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9"/>
      <c r="AK54" s="89"/>
      <c r="AL54" s="90"/>
      <c r="AM54" s="90"/>
    </row>
    <row r="55" ht="15.75" customHeight="1">
      <c r="A55" s="83"/>
      <c r="B55" s="95"/>
      <c r="C55" s="95" t="s">
        <v>148</v>
      </c>
      <c r="D55" s="57"/>
      <c r="E55" s="85">
        <v>300.0</v>
      </c>
      <c r="F55" s="57"/>
      <c r="G55" s="57"/>
      <c r="H55" s="57"/>
      <c r="I55" s="44">
        <v>22.0</v>
      </c>
      <c r="J55" s="44"/>
      <c r="K55" s="44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9"/>
      <c r="AK55" s="89"/>
      <c r="AL55" s="90"/>
      <c r="AM55" s="90"/>
    </row>
    <row r="56" ht="15.75" customHeight="1">
      <c r="A56" s="83"/>
      <c r="B56" s="95"/>
      <c r="C56" s="95" t="s">
        <v>149</v>
      </c>
      <c r="D56" s="57"/>
      <c r="E56" s="85">
        <v>300.0</v>
      </c>
      <c r="F56" s="57"/>
      <c r="G56" s="57"/>
      <c r="H56" s="57"/>
      <c r="I56" s="44">
        <v>16.0</v>
      </c>
      <c r="J56" s="44"/>
      <c r="K56" s="44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9"/>
      <c r="AK56" s="89"/>
      <c r="AL56" s="90"/>
      <c r="AM56" s="90"/>
    </row>
    <row r="57" ht="15.75" customHeight="1">
      <c r="A57" s="83"/>
      <c r="B57" s="95"/>
      <c r="C57" s="95" t="s">
        <v>150</v>
      </c>
      <c r="D57" s="57"/>
      <c r="E57" s="85">
        <v>300.0</v>
      </c>
      <c r="F57" s="57"/>
      <c r="G57" s="57"/>
      <c r="H57" s="57"/>
      <c r="I57" s="44">
        <v>10.0</v>
      </c>
      <c r="J57" s="44"/>
      <c r="K57" s="44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9"/>
      <c r="AK57" s="89"/>
      <c r="AL57" s="90"/>
      <c r="AM57" s="90"/>
    </row>
    <row r="58" ht="15.75" customHeight="1">
      <c r="A58" s="83"/>
      <c r="B58" s="95"/>
      <c r="C58" s="95" t="s">
        <v>151</v>
      </c>
      <c r="D58" s="26"/>
      <c r="E58" s="85">
        <v>500.0</v>
      </c>
      <c r="F58" s="26"/>
      <c r="G58" s="26"/>
      <c r="H58" s="26"/>
      <c r="I58" s="44">
        <v>25.0</v>
      </c>
      <c r="J58" s="44"/>
      <c r="K58" s="44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9"/>
      <c r="AK58" s="89"/>
      <c r="AL58" s="90"/>
      <c r="AM58" s="90"/>
    </row>
    <row r="59">
      <c r="A59" s="58"/>
      <c r="B59" s="82"/>
      <c r="C59" s="82" t="s">
        <v>152</v>
      </c>
      <c r="D59" s="99" t="s">
        <v>80</v>
      </c>
      <c r="E59" s="61">
        <v>14500.0</v>
      </c>
      <c r="F59" s="100">
        <f>(E59*12)+(E60*60)+(E61*16)+(E62*60)+(E63*20)+(E64*6)+(E65*16)</f>
        <v>266200</v>
      </c>
      <c r="G59" s="63" t="s">
        <v>85</v>
      </c>
      <c r="H59" s="52" t="s">
        <v>82</v>
      </c>
      <c r="I59" s="64">
        <v>12.0</v>
      </c>
      <c r="J59" s="64"/>
      <c r="K59" s="64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  <c r="AB59" s="65"/>
      <c r="AC59" s="65"/>
      <c r="AD59" s="65"/>
      <c r="AE59" s="65"/>
      <c r="AF59" s="65"/>
      <c r="AG59" s="65"/>
      <c r="AH59" s="65"/>
      <c r="AI59" s="65"/>
      <c r="AJ59" s="25"/>
      <c r="AK59" s="25"/>
    </row>
    <row r="60">
      <c r="A60" s="58"/>
      <c r="B60" s="60"/>
      <c r="C60" s="60" t="s">
        <v>153</v>
      </c>
      <c r="D60" s="57"/>
      <c r="E60" s="61">
        <v>50.0</v>
      </c>
      <c r="F60" s="57"/>
      <c r="G60" s="57"/>
      <c r="H60" s="57"/>
      <c r="I60" s="64">
        <v>60.0</v>
      </c>
      <c r="J60" s="64"/>
      <c r="K60" s="64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25"/>
      <c r="AK60" s="25"/>
    </row>
    <row r="61">
      <c r="A61" s="58"/>
      <c r="B61" s="60"/>
      <c r="C61" s="60" t="s">
        <v>154</v>
      </c>
      <c r="D61" s="57"/>
      <c r="E61" s="61">
        <v>550.0</v>
      </c>
      <c r="F61" s="57"/>
      <c r="G61" s="57"/>
      <c r="H61" s="57"/>
      <c r="I61" s="64">
        <v>16.0</v>
      </c>
      <c r="J61" s="64"/>
      <c r="K61" s="64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5"/>
      <c r="AJ61" s="25"/>
      <c r="AK61" s="25"/>
    </row>
    <row r="62">
      <c r="A62" s="58"/>
      <c r="B62" s="60"/>
      <c r="C62" s="60" t="s">
        <v>155</v>
      </c>
      <c r="D62" s="57"/>
      <c r="E62" s="61">
        <v>40.0</v>
      </c>
      <c r="F62" s="57"/>
      <c r="G62" s="57"/>
      <c r="H62" s="57"/>
      <c r="I62" s="64">
        <v>200.0</v>
      </c>
      <c r="J62" s="64"/>
      <c r="K62" s="64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25"/>
      <c r="AK62" s="25"/>
    </row>
    <row r="63">
      <c r="A63" s="58"/>
      <c r="B63" s="60"/>
      <c r="C63" s="60" t="s">
        <v>156</v>
      </c>
      <c r="D63" s="57"/>
      <c r="E63" s="61">
        <v>500.0</v>
      </c>
      <c r="F63" s="57"/>
      <c r="G63" s="57"/>
      <c r="H63" s="57"/>
      <c r="I63" s="64">
        <v>20.0</v>
      </c>
      <c r="J63" s="64"/>
      <c r="K63" s="64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  <c r="AD63" s="65"/>
      <c r="AE63" s="65"/>
      <c r="AF63" s="65"/>
      <c r="AG63" s="65"/>
      <c r="AH63" s="65"/>
      <c r="AI63" s="65"/>
      <c r="AJ63" s="25"/>
      <c r="AK63" s="25"/>
    </row>
    <row r="64">
      <c r="A64" s="58"/>
      <c r="B64" s="60"/>
      <c r="C64" s="60" t="s">
        <v>157</v>
      </c>
      <c r="D64" s="57"/>
      <c r="E64" s="61">
        <v>2000.0</v>
      </c>
      <c r="F64" s="57"/>
      <c r="G64" s="57"/>
      <c r="H64" s="57"/>
      <c r="I64" s="64">
        <v>6.0</v>
      </c>
      <c r="J64" s="64"/>
      <c r="K64" s="64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25"/>
      <c r="AK64" s="25"/>
    </row>
    <row r="65">
      <c r="A65" s="58"/>
      <c r="B65" s="60"/>
      <c r="C65" s="60" t="s">
        <v>158</v>
      </c>
      <c r="D65" s="26"/>
      <c r="E65" s="61">
        <v>3500.0</v>
      </c>
      <c r="F65" s="26"/>
      <c r="G65" s="26"/>
      <c r="H65" s="26"/>
      <c r="I65" s="64">
        <v>16.0</v>
      </c>
      <c r="J65" s="64"/>
      <c r="K65" s="64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5"/>
      <c r="AD65" s="65"/>
      <c r="AE65" s="65"/>
      <c r="AF65" s="65"/>
      <c r="AG65" s="65"/>
      <c r="AH65" s="65"/>
      <c r="AI65" s="65"/>
      <c r="AJ65" s="25"/>
      <c r="AK65" s="25"/>
    </row>
    <row r="66">
      <c r="A66" s="58"/>
      <c r="B66" s="60"/>
      <c r="C66" s="60" t="s">
        <v>159</v>
      </c>
      <c r="D66" s="40" t="s">
        <v>80</v>
      </c>
      <c r="E66" s="61">
        <v>35500.0</v>
      </c>
      <c r="F66" s="77">
        <f t="shared" ref="F66:F68" si="2">E66*1</f>
        <v>35500</v>
      </c>
      <c r="G66" s="42" t="s">
        <v>81</v>
      </c>
      <c r="H66" s="64" t="s">
        <v>82</v>
      </c>
      <c r="I66" s="64"/>
      <c r="J66" s="64">
        <v>1.0</v>
      </c>
      <c r="K66" s="64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25"/>
      <c r="AK66" s="25"/>
    </row>
    <row r="67" ht="15.75" customHeight="1">
      <c r="A67" s="58"/>
      <c r="B67" s="81"/>
      <c r="C67" s="81" t="s">
        <v>160</v>
      </c>
      <c r="D67" s="40" t="s">
        <v>80</v>
      </c>
      <c r="E67" s="61">
        <v>6500.0</v>
      </c>
      <c r="F67" s="77">
        <f t="shared" si="2"/>
        <v>6500</v>
      </c>
      <c r="G67" s="42" t="s">
        <v>81</v>
      </c>
      <c r="H67" s="64" t="s">
        <v>82</v>
      </c>
      <c r="I67" s="64"/>
      <c r="J67" s="64">
        <v>1.0</v>
      </c>
      <c r="K67" s="64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  <c r="AB67" s="65"/>
      <c r="AC67" s="65"/>
      <c r="AD67" s="65"/>
      <c r="AE67" s="65"/>
      <c r="AF67" s="65"/>
      <c r="AG67" s="65"/>
      <c r="AH67" s="65"/>
      <c r="AI67" s="65"/>
      <c r="AJ67" s="25"/>
      <c r="AK67" s="25"/>
    </row>
    <row r="68" ht="15.75" customHeight="1">
      <c r="A68" s="58"/>
      <c r="B68" s="81"/>
      <c r="C68" s="81" t="s">
        <v>161</v>
      </c>
      <c r="D68" s="40" t="s">
        <v>80</v>
      </c>
      <c r="E68" s="61">
        <v>4000.0</v>
      </c>
      <c r="F68" s="77">
        <f t="shared" si="2"/>
        <v>4000</v>
      </c>
      <c r="G68" s="42" t="s">
        <v>81</v>
      </c>
      <c r="H68" s="64" t="s">
        <v>82</v>
      </c>
      <c r="I68" s="64"/>
      <c r="J68" s="64">
        <v>1.0</v>
      </c>
      <c r="K68" s="64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25"/>
      <c r="AK68" s="25"/>
    </row>
    <row r="69" ht="32.25" customHeight="1">
      <c r="A69" s="58"/>
      <c r="B69" s="81"/>
      <c r="C69" s="81" t="s">
        <v>162</v>
      </c>
      <c r="D69" s="40" t="s">
        <v>80</v>
      </c>
      <c r="E69" s="61">
        <v>50.0</v>
      </c>
      <c r="F69" s="77">
        <f t="shared" ref="F69:F70" si="3">E69*3000</f>
        <v>150000</v>
      </c>
      <c r="G69" s="42" t="s">
        <v>85</v>
      </c>
      <c r="H69" s="64" t="s">
        <v>82</v>
      </c>
      <c r="I69" s="64">
        <v>3000.0</v>
      </c>
      <c r="J69" s="64"/>
      <c r="K69" s="64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  <c r="AB69" s="65"/>
      <c r="AC69" s="65"/>
      <c r="AD69" s="65"/>
      <c r="AE69" s="65"/>
      <c r="AF69" s="65"/>
      <c r="AG69" s="65"/>
      <c r="AH69" s="65"/>
      <c r="AI69" s="65"/>
      <c r="AJ69" s="25"/>
      <c r="AK69" s="25"/>
    </row>
    <row r="70">
      <c r="A70" s="58"/>
      <c r="B70" s="81"/>
      <c r="C70" s="81" t="s">
        <v>163</v>
      </c>
      <c r="D70" s="40" t="s">
        <v>80</v>
      </c>
      <c r="E70" s="61">
        <v>50.0</v>
      </c>
      <c r="F70" s="77">
        <f t="shared" si="3"/>
        <v>150000</v>
      </c>
      <c r="G70" s="42" t="s">
        <v>85</v>
      </c>
      <c r="H70" s="64" t="s">
        <v>82</v>
      </c>
      <c r="I70" s="64">
        <v>3000.0</v>
      </c>
      <c r="J70" s="64"/>
      <c r="K70" s="64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5"/>
      <c r="AJ70" s="25"/>
      <c r="AK70" s="25"/>
    </row>
    <row r="71">
      <c r="A71" s="58"/>
      <c r="B71" s="81"/>
      <c r="C71" s="81" t="s">
        <v>164</v>
      </c>
      <c r="D71" s="40" t="s">
        <v>80</v>
      </c>
      <c r="E71" s="61">
        <v>200.0</v>
      </c>
      <c r="F71" s="77">
        <f t="shared" ref="F71:F72" si="4">E71*300</f>
        <v>60000</v>
      </c>
      <c r="G71" s="42" t="s">
        <v>85</v>
      </c>
      <c r="H71" s="64" t="s">
        <v>82</v>
      </c>
      <c r="I71" s="64">
        <v>300.0</v>
      </c>
      <c r="J71" s="64"/>
      <c r="K71" s="64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  <c r="AB71" s="65"/>
      <c r="AC71" s="65"/>
      <c r="AD71" s="65"/>
      <c r="AE71" s="65"/>
      <c r="AF71" s="65"/>
      <c r="AG71" s="65"/>
      <c r="AH71" s="65"/>
      <c r="AI71" s="65"/>
      <c r="AJ71" s="25"/>
      <c r="AK71" s="25"/>
    </row>
    <row r="72">
      <c r="A72" s="58"/>
      <c r="B72" s="81"/>
      <c r="C72" s="81" t="s">
        <v>165</v>
      </c>
      <c r="D72" s="40" t="s">
        <v>80</v>
      </c>
      <c r="E72" s="61">
        <v>50.0</v>
      </c>
      <c r="F72" s="77">
        <f t="shared" si="4"/>
        <v>15000</v>
      </c>
      <c r="G72" s="42" t="s">
        <v>117</v>
      </c>
      <c r="H72" s="64" t="s">
        <v>82</v>
      </c>
      <c r="I72" s="64">
        <v>300.0</v>
      </c>
      <c r="J72" s="64"/>
      <c r="K72" s="64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65"/>
      <c r="AJ72" s="25"/>
      <c r="AK72" s="25"/>
    </row>
    <row r="73">
      <c r="A73" s="58"/>
      <c r="B73" s="81"/>
      <c r="C73" s="81" t="s">
        <v>166</v>
      </c>
      <c r="D73" s="40" t="s">
        <v>80</v>
      </c>
      <c r="E73" s="61">
        <v>110.0</v>
      </c>
      <c r="F73" s="77">
        <f>E73*1000</f>
        <v>110000</v>
      </c>
      <c r="G73" s="42" t="s">
        <v>85</v>
      </c>
      <c r="H73" s="64" t="s">
        <v>82</v>
      </c>
      <c r="I73" s="64">
        <v>1000.0</v>
      </c>
      <c r="J73" s="64"/>
      <c r="K73" s="64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  <c r="AB73" s="65"/>
      <c r="AC73" s="65"/>
      <c r="AD73" s="65"/>
      <c r="AE73" s="65"/>
      <c r="AF73" s="65"/>
      <c r="AG73" s="65"/>
      <c r="AH73" s="65"/>
      <c r="AI73" s="65"/>
      <c r="AJ73" s="25"/>
      <c r="AK73" s="25"/>
    </row>
    <row r="74" ht="15.75" customHeight="1">
      <c r="A74" s="58"/>
      <c r="B74" s="79" t="s">
        <v>167</v>
      </c>
      <c r="C74" s="81" t="s">
        <v>168</v>
      </c>
      <c r="D74" s="52" t="s">
        <v>80</v>
      </c>
      <c r="E74" s="61">
        <v>8000.0</v>
      </c>
      <c r="F74" s="101">
        <f>(E74*9)+(E75*130)+(E76*180)+(E77*50)+(E78*38)+(E79*50)</f>
        <v>936000</v>
      </c>
      <c r="G74" s="63" t="s">
        <v>85</v>
      </c>
      <c r="H74" s="76" t="s">
        <v>169</v>
      </c>
      <c r="I74" s="64">
        <v>9.0</v>
      </c>
      <c r="J74" s="64"/>
      <c r="K74" s="64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65"/>
      <c r="AJ74" s="25"/>
      <c r="AK74" s="25"/>
    </row>
    <row r="75" ht="15.75" customHeight="1">
      <c r="A75" s="58"/>
      <c r="B75" s="79" t="s">
        <v>170</v>
      </c>
      <c r="C75" s="81" t="s">
        <v>171</v>
      </c>
      <c r="D75" s="57"/>
      <c r="E75" s="61">
        <v>3000.0</v>
      </c>
      <c r="F75" s="57"/>
      <c r="G75" s="57"/>
      <c r="H75" s="57"/>
      <c r="I75" s="64">
        <v>130.0</v>
      </c>
      <c r="J75" s="64"/>
      <c r="K75" s="64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  <c r="AB75" s="65"/>
      <c r="AC75" s="65"/>
      <c r="AD75" s="65"/>
      <c r="AE75" s="65"/>
      <c r="AF75" s="65"/>
      <c r="AG75" s="65"/>
      <c r="AH75" s="65"/>
      <c r="AI75" s="65"/>
      <c r="AJ75" s="25"/>
      <c r="AK75" s="25"/>
    </row>
    <row r="76" ht="15.75" customHeight="1">
      <c r="A76" s="58"/>
      <c r="B76" s="79" t="s">
        <v>172</v>
      </c>
      <c r="C76" s="81" t="s">
        <v>173</v>
      </c>
      <c r="D76" s="57"/>
      <c r="E76" s="61">
        <v>350.0</v>
      </c>
      <c r="F76" s="57"/>
      <c r="G76" s="57"/>
      <c r="H76" s="57"/>
      <c r="I76" s="64">
        <v>180.0</v>
      </c>
      <c r="J76" s="64"/>
      <c r="K76" s="64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25"/>
      <c r="AK76" s="25"/>
    </row>
    <row r="77" ht="15.75" customHeight="1">
      <c r="A77" s="58"/>
      <c r="B77" s="64"/>
      <c r="C77" s="81" t="s">
        <v>174</v>
      </c>
      <c r="D77" s="57"/>
      <c r="E77" s="61">
        <v>700.0</v>
      </c>
      <c r="F77" s="57"/>
      <c r="G77" s="57"/>
      <c r="H77" s="57"/>
      <c r="I77" s="64">
        <v>50.0</v>
      </c>
      <c r="J77" s="64"/>
      <c r="K77" s="64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  <c r="AB77" s="65"/>
      <c r="AC77" s="65"/>
      <c r="AD77" s="65"/>
      <c r="AE77" s="65"/>
      <c r="AF77" s="65"/>
      <c r="AG77" s="65"/>
      <c r="AH77" s="65"/>
      <c r="AI77" s="65"/>
      <c r="AJ77" s="25"/>
      <c r="AK77" s="25"/>
    </row>
    <row r="78" ht="15.75" customHeight="1">
      <c r="A78" s="58"/>
      <c r="B78" s="79" t="s">
        <v>175</v>
      </c>
      <c r="C78" s="81" t="s">
        <v>176</v>
      </c>
      <c r="D78" s="57"/>
      <c r="E78" s="61">
        <v>9500.0</v>
      </c>
      <c r="F78" s="57"/>
      <c r="G78" s="57"/>
      <c r="H78" s="57"/>
      <c r="I78" s="64">
        <v>38.0</v>
      </c>
      <c r="J78" s="64"/>
      <c r="K78" s="64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  <c r="AJ78" s="25"/>
      <c r="AK78" s="25"/>
    </row>
    <row r="79" ht="15.75" customHeight="1">
      <c r="A79" s="58"/>
      <c r="B79" s="79" t="s">
        <v>177</v>
      </c>
      <c r="C79" s="81" t="s">
        <v>178</v>
      </c>
      <c r="D79" s="26"/>
      <c r="E79" s="61">
        <v>300.0</v>
      </c>
      <c r="F79" s="26"/>
      <c r="G79" s="26"/>
      <c r="H79" s="26"/>
      <c r="I79" s="64">
        <v>50.0</v>
      </c>
      <c r="J79" s="64"/>
      <c r="K79" s="64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  <c r="AB79" s="65"/>
      <c r="AC79" s="65"/>
      <c r="AD79" s="65"/>
      <c r="AE79" s="65"/>
      <c r="AF79" s="65"/>
      <c r="AG79" s="65"/>
      <c r="AH79" s="65"/>
      <c r="AI79" s="65"/>
      <c r="AJ79" s="25"/>
      <c r="AK79" s="25"/>
    </row>
    <row r="80" ht="15.75" customHeight="1">
      <c r="A80" s="58"/>
      <c r="B80" s="64"/>
      <c r="C80" s="81" t="s">
        <v>179</v>
      </c>
      <c r="D80" s="40" t="s">
        <v>80</v>
      </c>
      <c r="E80" s="61">
        <v>650.0</v>
      </c>
      <c r="F80" s="77">
        <f>E80*50</f>
        <v>32500</v>
      </c>
      <c r="G80" s="42" t="s">
        <v>81</v>
      </c>
      <c r="H80" s="64" t="s">
        <v>82</v>
      </c>
      <c r="I80" s="64">
        <v>50.0</v>
      </c>
      <c r="J80" s="64"/>
      <c r="K80" s="64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  <c r="AJ80" s="25"/>
      <c r="AK80" s="25"/>
    </row>
    <row r="81" ht="15.75" customHeight="1">
      <c r="A81" s="31" t="s">
        <v>180</v>
      </c>
      <c r="B81" s="91"/>
      <c r="C81" s="92" t="s">
        <v>181</v>
      </c>
      <c r="D81" s="80"/>
      <c r="E81" s="71"/>
      <c r="F81" s="74"/>
      <c r="G81" s="93"/>
      <c r="H81" s="69"/>
      <c r="I81" s="69"/>
      <c r="J81" s="69"/>
      <c r="K81" s="69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  <c r="AA81" s="74"/>
      <c r="AB81" s="74"/>
      <c r="AC81" s="74"/>
      <c r="AD81" s="74"/>
      <c r="AE81" s="74"/>
      <c r="AF81" s="74"/>
      <c r="AG81" s="74"/>
      <c r="AH81" s="74"/>
      <c r="AI81" s="74"/>
      <c r="AJ81" s="25"/>
      <c r="AK81" s="25"/>
    </row>
    <row r="82" ht="15.75" customHeight="1">
      <c r="A82" s="58"/>
      <c r="B82" s="81"/>
      <c r="C82" s="81" t="s">
        <v>182</v>
      </c>
      <c r="D82" s="64" t="s">
        <v>116</v>
      </c>
      <c r="E82" s="61">
        <v>3000.0</v>
      </c>
      <c r="F82" s="61">
        <f>E82*5</f>
        <v>15000</v>
      </c>
      <c r="G82" s="87" t="s">
        <v>129</v>
      </c>
      <c r="H82" s="64" t="s">
        <v>82</v>
      </c>
      <c r="I82" s="64">
        <v>1.0</v>
      </c>
      <c r="J82" s="64">
        <v>1.0</v>
      </c>
      <c r="K82" s="64">
        <v>3.0</v>
      </c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65"/>
      <c r="AH82" s="65"/>
      <c r="AI82" s="65"/>
      <c r="AJ82" s="25"/>
      <c r="AK82" s="25"/>
    </row>
    <row r="83" ht="15.75" customHeight="1">
      <c r="A83" s="31" t="s">
        <v>183</v>
      </c>
      <c r="B83" s="91"/>
      <c r="C83" s="91" t="s">
        <v>184</v>
      </c>
      <c r="D83" s="80"/>
      <c r="E83" s="71"/>
      <c r="F83" s="74"/>
      <c r="G83" s="93"/>
      <c r="H83" s="69"/>
      <c r="I83" s="69"/>
      <c r="J83" s="69"/>
      <c r="K83" s="69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  <c r="AA83" s="74"/>
      <c r="AB83" s="74"/>
      <c r="AC83" s="74"/>
      <c r="AD83" s="74"/>
      <c r="AE83" s="74"/>
      <c r="AF83" s="74"/>
      <c r="AG83" s="74"/>
      <c r="AH83" s="74"/>
      <c r="AI83" s="74"/>
      <c r="AJ83" s="25"/>
      <c r="AK83" s="25"/>
    </row>
    <row r="84" ht="15.75" customHeight="1">
      <c r="A84" s="58"/>
      <c r="B84" s="81"/>
      <c r="C84" s="81" t="s">
        <v>185</v>
      </c>
      <c r="D84" s="40" t="s">
        <v>80</v>
      </c>
      <c r="E84" s="61">
        <v>2500.0</v>
      </c>
      <c r="F84" s="61">
        <f>E84*1</f>
        <v>2500</v>
      </c>
      <c r="G84" s="87" t="s">
        <v>129</v>
      </c>
      <c r="H84" s="64" t="s">
        <v>82</v>
      </c>
      <c r="I84" s="64">
        <v>1.0</v>
      </c>
      <c r="J84" s="64"/>
      <c r="K84" s="64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25"/>
      <c r="AK84" s="25"/>
    </row>
    <row r="85" ht="15.75" customHeight="1">
      <c r="A85" s="58"/>
      <c r="B85" s="81"/>
      <c r="C85" s="81" t="s">
        <v>186</v>
      </c>
      <c r="D85" s="64" t="s">
        <v>108</v>
      </c>
      <c r="E85" s="61">
        <v>250.0</v>
      </c>
      <c r="F85" s="61">
        <f>E85*2</f>
        <v>500</v>
      </c>
      <c r="G85" s="42" t="s">
        <v>120</v>
      </c>
      <c r="H85" s="64" t="s">
        <v>82</v>
      </c>
      <c r="I85" s="64">
        <v>2.0</v>
      </c>
      <c r="J85" s="64"/>
      <c r="K85" s="64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D85" s="65"/>
      <c r="AE85" s="65"/>
      <c r="AF85" s="65"/>
      <c r="AG85" s="65"/>
      <c r="AH85" s="65"/>
      <c r="AI85" s="65"/>
      <c r="AJ85" s="25"/>
      <c r="AK85" s="25"/>
    </row>
    <row r="86" ht="15.75" customHeight="1">
      <c r="A86" s="31" t="s">
        <v>187</v>
      </c>
      <c r="B86" s="91"/>
      <c r="C86" s="92" t="s">
        <v>188</v>
      </c>
      <c r="D86" s="80"/>
      <c r="E86" s="71"/>
      <c r="F86" s="74"/>
      <c r="G86" s="93"/>
      <c r="H86" s="69"/>
      <c r="I86" s="69"/>
      <c r="J86" s="69"/>
      <c r="K86" s="69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  <c r="AB86" s="74"/>
      <c r="AC86" s="74"/>
      <c r="AD86" s="74"/>
      <c r="AE86" s="74"/>
      <c r="AF86" s="74"/>
      <c r="AG86" s="74"/>
      <c r="AH86" s="74"/>
      <c r="AI86" s="74"/>
      <c r="AJ86" s="25"/>
      <c r="AK86" s="25"/>
    </row>
    <row r="87" ht="15.75" customHeight="1">
      <c r="A87" s="58"/>
      <c r="B87" s="81"/>
      <c r="C87" s="81" t="s">
        <v>189</v>
      </c>
      <c r="D87" s="40" t="s">
        <v>80</v>
      </c>
      <c r="E87" s="61">
        <v>3000000.0</v>
      </c>
      <c r="F87" s="61">
        <f t="shared" ref="F87:F88" si="5">E87*1</f>
        <v>3000000</v>
      </c>
      <c r="G87" s="58" t="s">
        <v>190</v>
      </c>
      <c r="H87" s="79" t="s">
        <v>169</v>
      </c>
      <c r="I87" s="64"/>
      <c r="J87" s="64">
        <v>1.0</v>
      </c>
      <c r="K87" s="64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5"/>
      <c r="AE87" s="65"/>
      <c r="AF87" s="65"/>
      <c r="AG87" s="65"/>
      <c r="AH87" s="65"/>
      <c r="AI87" s="65"/>
      <c r="AJ87" s="25"/>
      <c r="AK87" s="25"/>
    </row>
    <row r="88">
      <c r="A88" s="83"/>
      <c r="B88" s="95"/>
      <c r="C88" s="95" t="s">
        <v>191</v>
      </c>
      <c r="D88" s="40" t="s">
        <v>80</v>
      </c>
      <c r="E88" s="85">
        <v>200000.0</v>
      </c>
      <c r="F88" s="85">
        <f t="shared" si="5"/>
        <v>200000</v>
      </c>
      <c r="G88" s="87" t="s">
        <v>85</v>
      </c>
      <c r="H88" s="64" t="s">
        <v>82</v>
      </c>
      <c r="I88" s="44">
        <v>1.0</v>
      </c>
      <c r="J88" s="44"/>
      <c r="K88" s="44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9"/>
      <c r="AK88" s="89"/>
      <c r="AL88" s="90"/>
      <c r="AM88" s="90"/>
    </row>
    <row r="89">
      <c r="A89" s="83"/>
      <c r="B89" s="95"/>
      <c r="C89" s="95" t="s">
        <v>192</v>
      </c>
      <c r="D89" s="40" t="s">
        <v>80</v>
      </c>
      <c r="E89" s="85">
        <v>125000.0</v>
      </c>
      <c r="F89" s="85">
        <f>E89*2</f>
        <v>250000</v>
      </c>
      <c r="G89" s="87" t="s">
        <v>85</v>
      </c>
      <c r="H89" s="64" t="s">
        <v>82</v>
      </c>
      <c r="I89" s="44">
        <v>2.0</v>
      </c>
      <c r="J89" s="44"/>
      <c r="K89" s="44"/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9"/>
      <c r="AK89" s="89"/>
      <c r="AL89" s="90"/>
      <c r="AM89" s="90"/>
    </row>
    <row r="90">
      <c r="A90" s="102"/>
      <c r="B90" s="95"/>
      <c r="C90" s="95" t="s">
        <v>193</v>
      </c>
      <c r="D90" s="40" t="s">
        <v>80</v>
      </c>
      <c r="E90" s="85">
        <v>155000.0</v>
      </c>
      <c r="F90" s="85">
        <f>E90*5</f>
        <v>775000</v>
      </c>
      <c r="G90" s="87" t="s">
        <v>85</v>
      </c>
      <c r="H90" s="64" t="s">
        <v>82</v>
      </c>
      <c r="I90" s="44">
        <v>5.0</v>
      </c>
      <c r="J90" s="44"/>
      <c r="K90" s="44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9"/>
      <c r="AK90" s="89"/>
      <c r="AL90" s="90"/>
      <c r="AM90" s="90"/>
    </row>
    <row r="91" ht="15.75" customHeight="1">
      <c r="A91" s="103"/>
      <c r="B91" s="104"/>
      <c r="C91" s="104"/>
      <c r="D91" s="105"/>
      <c r="E91" s="106"/>
      <c r="F91" s="107"/>
      <c r="G91" s="108"/>
      <c r="H91" s="108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"/>
      <c r="AK91" s="2"/>
    </row>
    <row r="92" ht="15.75" customHeight="1">
      <c r="A92" s="109" t="s">
        <v>194</v>
      </c>
      <c r="B92" s="104"/>
      <c r="C92" s="104"/>
      <c r="D92" s="110">
        <f>sum(F12:F90)</f>
        <v>9739900</v>
      </c>
      <c r="E92" s="111"/>
      <c r="F92" s="111"/>
      <c r="G92" s="108"/>
      <c r="H92" s="108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"/>
      <c r="AK92" s="2"/>
    </row>
    <row r="93" ht="15.75" hidden="1" customHeight="1">
      <c r="A93" s="112" t="s">
        <v>195</v>
      </c>
      <c r="B93" s="113"/>
      <c r="C93" s="113"/>
      <c r="D93" s="114">
        <f>PRODUCT(D92,0.1)</f>
        <v>973990</v>
      </c>
      <c r="E93" s="115"/>
      <c r="F93" s="116"/>
      <c r="G93" s="108"/>
      <c r="H93" s="108"/>
      <c r="I93" s="117"/>
      <c r="K93" s="117"/>
      <c r="AH93" s="117"/>
      <c r="AI93" s="25"/>
      <c r="AJ93" s="2"/>
      <c r="AK93" s="2"/>
    </row>
    <row r="94" ht="15.75" hidden="1" customHeight="1">
      <c r="A94" s="118" t="s">
        <v>196</v>
      </c>
      <c r="B94" s="65"/>
      <c r="C94" s="65"/>
      <c r="D94" s="119">
        <f>PRODUCT(D92,0.1)</f>
        <v>973990</v>
      </c>
      <c r="E94" s="23"/>
      <c r="F94" s="24"/>
      <c r="G94" s="108"/>
      <c r="H94" s="108"/>
      <c r="I94" s="25"/>
      <c r="J94" s="25"/>
      <c r="K94" s="120"/>
      <c r="AH94" s="120"/>
      <c r="AI94" s="25"/>
      <c r="AJ94" s="2"/>
      <c r="AK94" s="2"/>
    </row>
    <row r="95" ht="15.75" hidden="1" customHeight="1">
      <c r="A95" s="118" t="s">
        <v>197</v>
      </c>
      <c r="B95" s="65"/>
      <c r="C95" s="65"/>
      <c r="D95" s="119">
        <f>SUM(D92:F94)</f>
        <v>11687880</v>
      </c>
      <c r="E95" s="23"/>
      <c r="F95" s="24"/>
      <c r="G95" s="108"/>
      <c r="H95" s="108"/>
      <c r="I95" s="25"/>
      <c r="J95" s="25"/>
      <c r="K95" s="120"/>
      <c r="AH95" s="120"/>
      <c r="AI95" s="25"/>
      <c r="AJ95" s="2"/>
      <c r="AK95" s="2"/>
    </row>
    <row r="96" ht="15.75" customHeight="1">
      <c r="A96" s="103"/>
      <c r="B96" s="104"/>
      <c r="C96" s="104"/>
      <c r="D96" s="105"/>
      <c r="E96" s="106"/>
      <c r="F96" s="107"/>
      <c r="G96" s="108"/>
      <c r="H96" s="108"/>
      <c r="I96" s="25"/>
      <c r="J96" s="25"/>
      <c r="K96" s="120"/>
      <c r="AH96" s="120"/>
      <c r="AI96" s="25"/>
      <c r="AJ96" s="2"/>
      <c r="AK96" s="2"/>
    </row>
    <row r="97" ht="15.75" customHeight="1">
      <c r="A97" s="121" t="s">
        <v>198</v>
      </c>
      <c r="B97" s="104"/>
      <c r="C97" s="104"/>
      <c r="D97" s="105"/>
      <c r="E97" s="106"/>
      <c r="F97" s="107"/>
      <c r="G97" s="108"/>
      <c r="H97" s="108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"/>
      <c r="AK97" s="2"/>
    </row>
    <row r="98" ht="15.75" customHeight="1">
      <c r="A98" s="104"/>
      <c r="B98" s="104"/>
      <c r="C98" s="104"/>
      <c r="D98" s="105"/>
      <c r="E98" s="106"/>
      <c r="F98" s="107"/>
      <c r="G98" s="108"/>
      <c r="H98" s="108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"/>
      <c r="AK98" s="2"/>
    </row>
    <row r="99" ht="15.75" customHeight="1">
      <c r="A99" s="122" t="s">
        <v>199</v>
      </c>
      <c r="B99" s="123"/>
      <c r="C99" s="123"/>
      <c r="D99" s="124" t="s">
        <v>200</v>
      </c>
      <c r="E99" s="125"/>
      <c r="F99" s="126"/>
      <c r="G99" s="127" t="s">
        <v>201</v>
      </c>
      <c r="H99" s="128"/>
      <c r="I99" s="128"/>
      <c r="J99" s="129" t="s">
        <v>202</v>
      </c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130"/>
    </row>
    <row r="100" ht="15.75" customHeight="1">
      <c r="A100" s="122"/>
      <c r="B100" s="123"/>
      <c r="C100" s="123"/>
      <c r="D100" s="131"/>
      <c r="E100" s="125"/>
      <c r="F100" s="126"/>
      <c r="G100" s="132"/>
      <c r="H100" s="13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130"/>
      <c r="AK100" s="130"/>
    </row>
    <row r="101" ht="15.75" customHeight="1">
      <c r="A101" s="123"/>
      <c r="B101" s="123"/>
      <c r="C101" s="123"/>
      <c r="D101" s="131"/>
      <c r="E101" s="125"/>
      <c r="F101" s="126"/>
      <c r="G101" s="132"/>
      <c r="H101" s="13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130"/>
      <c r="AK101" s="130"/>
    </row>
    <row r="102" ht="15.75" customHeight="1">
      <c r="A102" s="133" t="s">
        <v>203</v>
      </c>
      <c r="D102" s="129" t="s">
        <v>204</v>
      </c>
      <c r="E102" s="134"/>
      <c r="F102" s="135"/>
      <c r="G102" s="127" t="s">
        <v>205</v>
      </c>
      <c r="H102" s="128"/>
      <c r="I102" s="128"/>
      <c r="J102" s="129" t="s">
        <v>206</v>
      </c>
      <c r="K102" s="128"/>
      <c r="L102" s="128"/>
      <c r="M102" s="128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 ht="15.0" customHeight="1">
      <c r="A103" s="136" t="s">
        <v>207</v>
      </c>
      <c r="D103" s="137" t="s">
        <v>208</v>
      </c>
      <c r="E103" s="134"/>
      <c r="F103" s="135"/>
      <c r="G103" s="128" t="s">
        <v>209</v>
      </c>
      <c r="H103" s="128"/>
      <c r="I103" s="128"/>
      <c r="J103" s="137" t="s">
        <v>210</v>
      </c>
      <c r="K103" s="128"/>
      <c r="L103" s="128"/>
      <c r="M103" s="128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130"/>
      <c r="AK103" s="130"/>
    </row>
    <row r="104" ht="15.75" customHeight="1">
      <c r="A104" s="2"/>
      <c r="B104" s="2"/>
      <c r="C104" s="2"/>
      <c r="D104" s="128"/>
      <c r="E104" s="134"/>
      <c r="F104" s="135"/>
      <c r="G104" s="128"/>
      <c r="H104" s="128"/>
      <c r="I104" s="128"/>
      <c r="J104" s="128"/>
      <c r="K104" s="128"/>
      <c r="L104" s="128"/>
      <c r="M104" s="128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 ht="15.75" customHeight="1">
      <c r="A105" s="2" t="s">
        <v>211</v>
      </c>
      <c r="B105" s="2"/>
      <c r="C105" s="2"/>
      <c r="D105" s="137" t="s">
        <v>212</v>
      </c>
      <c r="E105" s="134"/>
      <c r="F105" s="135"/>
      <c r="G105" s="128" t="s">
        <v>212</v>
      </c>
      <c r="H105" s="128"/>
      <c r="I105" s="128"/>
      <c r="J105" s="137" t="s">
        <v>212</v>
      </c>
      <c r="K105" s="128"/>
      <c r="L105" s="128"/>
      <c r="M105" s="128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 ht="15.75" customHeight="1">
      <c r="A106" s="138"/>
      <c r="B106" s="138"/>
      <c r="C106" s="138"/>
      <c r="D106" s="137"/>
      <c r="E106" s="134"/>
      <c r="F106" s="135"/>
      <c r="G106" s="128"/>
      <c r="H106" s="128"/>
      <c r="I106" s="128"/>
      <c r="J106" s="137"/>
      <c r="K106" s="128"/>
      <c r="L106" s="128"/>
      <c r="M106" s="128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</row>
    <row r="107" ht="15.75" customHeight="1">
      <c r="A107" s="138"/>
      <c r="B107" s="138"/>
      <c r="C107" s="138"/>
      <c r="D107" s="131"/>
      <c r="E107" s="125"/>
      <c r="F107" s="126"/>
      <c r="G107" s="132"/>
      <c r="H107" s="13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</row>
    <row r="108" ht="15.75" customHeight="1">
      <c r="A108" s="139"/>
      <c r="B108" s="139"/>
      <c r="C108" s="139"/>
      <c r="D108" s="105"/>
      <c r="E108" s="106"/>
      <c r="F108" s="107"/>
      <c r="G108" s="108"/>
      <c r="H108" s="108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</row>
    <row r="109" ht="15.75" customHeight="1">
      <c r="A109" s="139"/>
      <c r="B109" s="139"/>
      <c r="C109" s="139"/>
      <c r="D109" s="105"/>
      <c r="E109" s="106"/>
      <c r="F109" s="107"/>
      <c r="G109" s="108"/>
      <c r="H109" s="108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</row>
    <row r="110" ht="15.75" customHeight="1">
      <c r="D110" s="131"/>
      <c r="E110" s="125"/>
      <c r="F110" s="126"/>
      <c r="G110" s="132"/>
      <c r="H110" s="13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</row>
    <row r="111" ht="15.75" customHeight="1">
      <c r="D111" s="131"/>
      <c r="E111" s="125"/>
      <c r="F111" s="126"/>
      <c r="G111" s="132"/>
      <c r="H111" s="13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</row>
    <row r="112" ht="15.75" customHeight="1">
      <c r="D112" s="131"/>
      <c r="E112" s="125"/>
      <c r="F112" s="126"/>
      <c r="G112" s="132"/>
      <c r="H112" s="13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</row>
    <row r="113" ht="15.75" customHeight="1">
      <c r="D113" s="131"/>
      <c r="E113" s="125"/>
      <c r="F113" s="126"/>
      <c r="G113" s="132"/>
      <c r="H113" s="13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</row>
    <row r="114" ht="15.75" customHeight="1">
      <c r="D114" s="131"/>
      <c r="E114" s="125"/>
      <c r="F114" s="126"/>
      <c r="G114" s="132"/>
      <c r="H114" s="13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</row>
    <row r="115" ht="15.75" customHeight="1">
      <c r="D115" s="131"/>
      <c r="E115" s="125"/>
      <c r="F115" s="126"/>
      <c r="G115" s="132"/>
      <c r="H115" s="13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</row>
    <row r="116" ht="15.75" customHeight="1">
      <c r="D116" s="131"/>
      <c r="E116" s="125"/>
      <c r="F116" s="126"/>
      <c r="G116" s="132"/>
      <c r="H116" s="13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</row>
    <row r="117" ht="15.75" customHeight="1">
      <c r="D117" s="131"/>
      <c r="E117" s="125"/>
      <c r="F117" s="126"/>
      <c r="G117" s="132"/>
      <c r="H117" s="13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</row>
    <row r="118" ht="15.75" customHeight="1">
      <c r="D118" s="140"/>
      <c r="E118" s="141"/>
      <c r="H118" s="142"/>
    </row>
    <row r="119" ht="15.75" customHeight="1">
      <c r="D119" s="140"/>
      <c r="E119" s="141"/>
      <c r="H119" s="142"/>
    </row>
    <row r="120" ht="15.75" customHeight="1">
      <c r="D120" s="140"/>
      <c r="E120" s="141"/>
      <c r="H120" s="142"/>
    </row>
    <row r="121" ht="15.75" customHeight="1">
      <c r="D121" s="140"/>
      <c r="E121" s="141"/>
      <c r="H121" s="142"/>
    </row>
    <row r="122" ht="15.75" customHeight="1">
      <c r="D122" s="140"/>
      <c r="E122" s="141"/>
      <c r="H122" s="142"/>
    </row>
    <row r="123" ht="15.75" customHeight="1">
      <c r="D123" s="140"/>
      <c r="E123" s="141"/>
      <c r="H123" s="142"/>
    </row>
    <row r="124" ht="15.75" customHeight="1">
      <c r="D124" s="140"/>
      <c r="E124" s="141"/>
      <c r="H124" s="142"/>
    </row>
    <row r="125" ht="15.75" customHeight="1">
      <c r="D125" s="140"/>
      <c r="E125" s="141"/>
      <c r="H125" s="142"/>
    </row>
    <row r="126" ht="15.75" customHeight="1">
      <c r="D126" s="140"/>
      <c r="E126" s="141"/>
      <c r="H126" s="142"/>
    </row>
    <row r="127" ht="15.75" customHeight="1">
      <c r="D127" s="140"/>
      <c r="E127" s="141"/>
      <c r="H127" s="142"/>
    </row>
    <row r="128" ht="15.75" customHeight="1">
      <c r="D128" s="140"/>
      <c r="E128" s="141"/>
      <c r="H128" s="142"/>
    </row>
    <row r="129" ht="15.75" customHeight="1">
      <c r="D129" s="140"/>
      <c r="E129" s="141"/>
      <c r="H129" s="142"/>
    </row>
    <row r="130" ht="15.75" customHeight="1">
      <c r="D130" s="140"/>
      <c r="E130" s="141"/>
      <c r="H130" s="142"/>
    </row>
    <row r="131" ht="15.75" customHeight="1">
      <c r="D131" s="140"/>
      <c r="E131" s="141"/>
      <c r="H131" s="142"/>
    </row>
    <row r="132" ht="15.75" customHeight="1">
      <c r="D132" s="140"/>
      <c r="E132" s="141"/>
      <c r="H132" s="142"/>
    </row>
    <row r="133" ht="15.75" customHeight="1">
      <c r="D133" s="140"/>
      <c r="E133" s="141"/>
      <c r="H133" s="142"/>
    </row>
    <row r="134" ht="15.75" customHeight="1">
      <c r="D134" s="140"/>
      <c r="E134" s="141"/>
      <c r="H134" s="142"/>
    </row>
    <row r="135" ht="15.75" customHeight="1">
      <c r="D135" s="140"/>
      <c r="E135" s="141"/>
      <c r="H135" s="142"/>
    </row>
    <row r="136" ht="15.75" customHeight="1">
      <c r="D136" s="140"/>
      <c r="E136" s="141"/>
      <c r="H136" s="142"/>
    </row>
    <row r="137" ht="15.75" customHeight="1">
      <c r="D137" s="140"/>
      <c r="E137" s="141"/>
      <c r="H137" s="142"/>
    </row>
    <row r="138" ht="15.75" customHeight="1">
      <c r="D138" s="140"/>
      <c r="E138" s="141"/>
      <c r="H138" s="142"/>
    </row>
    <row r="139" ht="15.75" customHeight="1">
      <c r="D139" s="140"/>
      <c r="E139" s="141"/>
      <c r="H139" s="142"/>
    </row>
    <row r="140" ht="15.75" customHeight="1">
      <c r="D140" s="140"/>
      <c r="E140" s="141"/>
      <c r="H140" s="142"/>
    </row>
    <row r="141" ht="15.75" customHeight="1">
      <c r="D141" s="140"/>
      <c r="E141" s="141"/>
      <c r="H141" s="142"/>
    </row>
    <row r="142" ht="15.75" customHeight="1">
      <c r="D142" s="140"/>
      <c r="E142" s="141"/>
      <c r="H142" s="142"/>
    </row>
    <row r="143" ht="15.75" customHeight="1">
      <c r="D143" s="140"/>
      <c r="E143" s="141"/>
      <c r="H143" s="142"/>
    </row>
    <row r="144" ht="15.75" customHeight="1">
      <c r="D144" s="140"/>
      <c r="E144" s="141"/>
      <c r="H144" s="142"/>
    </row>
    <row r="145" ht="15.75" customHeight="1">
      <c r="D145" s="140"/>
      <c r="E145" s="141"/>
      <c r="H145" s="142"/>
    </row>
    <row r="146" ht="15.75" customHeight="1">
      <c r="D146" s="140"/>
      <c r="E146" s="141"/>
      <c r="H146" s="142"/>
    </row>
    <row r="147" ht="15.75" customHeight="1">
      <c r="D147" s="140"/>
      <c r="E147" s="141"/>
      <c r="H147" s="142"/>
    </row>
    <row r="148" ht="15.75" customHeight="1">
      <c r="D148" s="140"/>
      <c r="E148" s="141"/>
      <c r="H148" s="142"/>
    </row>
    <row r="149" ht="15.75" customHeight="1">
      <c r="D149" s="140"/>
      <c r="E149" s="141"/>
      <c r="H149" s="142"/>
    </row>
    <row r="150" ht="15.75" customHeight="1">
      <c r="D150" s="140"/>
      <c r="E150" s="141"/>
      <c r="H150" s="142"/>
    </row>
    <row r="151" ht="15.75" customHeight="1">
      <c r="D151" s="140"/>
      <c r="E151" s="141"/>
      <c r="H151" s="142"/>
    </row>
    <row r="152" ht="15.75" customHeight="1">
      <c r="D152" s="140"/>
      <c r="E152" s="141"/>
      <c r="H152" s="142"/>
    </row>
    <row r="153" ht="15.75" customHeight="1">
      <c r="D153" s="140"/>
      <c r="E153" s="141"/>
      <c r="H153" s="142"/>
    </row>
    <row r="154" ht="15.75" customHeight="1">
      <c r="D154" s="140"/>
      <c r="E154" s="141"/>
      <c r="H154" s="142"/>
    </row>
    <row r="155" ht="15.75" customHeight="1">
      <c r="D155" s="140"/>
      <c r="E155" s="141"/>
      <c r="H155" s="142"/>
    </row>
    <row r="156" ht="15.75" customHeight="1">
      <c r="D156" s="140"/>
      <c r="E156" s="141"/>
      <c r="H156" s="142"/>
    </row>
    <row r="157" ht="15.75" customHeight="1">
      <c r="D157" s="140"/>
      <c r="E157" s="141"/>
      <c r="H157" s="142"/>
    </row>
    <row r="158" ht="15.75" customHeight="1">
      <c r="D158" s="140"/>
      <c r="E158" s="141"/>
      <c r="H158" s="142"/>
    </row>
    <row r="159" ht="15.75" customHeight="1">
      <c r="D159" s="140"/>
      <c r="E159" s="141"/>
      <c r="H159" s="142"/>
    </row>
    <row r="160" ht="15.75" customHeight="1">
      <c r="D160" s="140"/>
      <c r="E160" s="141"/>
      <c r="H160" s="142"/>
    </row>
    <row r="161" ht="15.75" customHeight="1">
      <c r="D161" s="140"/>
      <c r="E161" s="141"/>
      <c r="H161" s="142"/>
    </row>
    <row r="162" ht="15.75" customHeight="1">
      <c r="D162" s="140"/>
      <c r="E162" s="141"/>
      <c r="H162" s="142"/>
    </row>
    <row r="163" ht="15.75" customHeight="1">
      <c r="D163" s="140"/>
      <c r="E163" s="141"/>
      <c r="H163" s="142"/>
    </row>
    <row r="164" ht="15.75" customHeight="1">
      <c r="D164" s="140"/>
      <c r="E164" s="141"/>
      <c r="H164" s="142"/>
    </row>
    <row r="165" ht="15.75" customHeight="1">
      <c r="D165" s="140"/>
      <c r="E165" s="141"/>
      <c r="H165" s="142"/>
    </row>
    <row r="166" ht="15.75" customHeight="1">
      <c r="D166" s="140"/>
      <c r="E166" s="141"/>
      <c r="H166" s="142"/>
    </row>
    <row r="167" ht="15.75" customHeight="1">
      <c r="D167" s="140"/>
      <c r="E167" s="141"/>
      <c r="H167" s="142"/>
    </row>
    <row r="168" ht="15.75" customHeight="1">
      <c r="D168" s="140"/>
      <c r="E168" s="141"/>
      <c r="H168" s="142"/>
    </row>
    <row r="169" ht="15.75" customHeight="1">
      <c r="D169" s="140"/>
      <c r="E169" s="141"/>
      <c r="H169" s="142"/>
    </row>
    <row r="170" ht="15.75" customHeight="1">
      <c r="D170" s="140"/>
      <c r="E170" s="141"/>
      <c r="H170" s="142"/>
    </row>
    <row r="171" ht="15.75" customHeight="1">
      <c r="D171" s="140"/>
      <c r="E171" s="141"/>
      <c r="H171" s="142"/>
    </row>
    <row r="172" ht="15.75" customHeight="1">
      <c r="D172" s="140"/>
      <c r="E172" s="141"/>
      <c r="H172" s="142"/>
    </row>
    <row r="173" ht="15.75" customHeight="1">
      <c r="D173" s="140"/>
      <c r="E173" s="141"/>
      <c r="H173" s="142"/>
    </row>
    <row r="174" ht="15.75" customHeight="1">
      <c r="D174" s="140"/>
      <c r="E174" s="141"/>
      <c r="H174" s="142"/>
    </row>
    <row r="175" ht="15.75" customHeight="1">
      <c r="D175" s="140"/>
      <c r="E175" s="141"/>
      <c r="H175" s="142"/>
    </row>
    <row r="176" ht="15.75" customHeight="1">
      <c r="D176" s="140"/>
      <c r="E176" s="141"/>
      <c r="H176" s="142"/>
    </row>
    <row r="177" ht="15.75" customHeight="1">
      <c r="D177" s="140"/>
      <c r="E177" s="141"/>
      <c r="H177" s="142"/>
    </row>
    <row r="178" ht="15.75" customHeight="1">
      <c r="D178" s="140"/>
      <c r="E178" s="141"/>
      <c r="H178" s="142"/>
    </row>
    <row r="179" ht="15.75" customHeight="1">
      <c r="D179" s="140"/>
      <c r="E179" s="141"/>
      <c r="H179" s="142"/>
    </row>
    <row r="180" ht="15.75" customHeight="1">
      <c r="D180" s="140"/>
      <c r="E180" s="141"/>
      <c r="H180" s="142"/>
    </row>
    <row r="181" ht="15.75" customHeight="1">
      <c r="D181" s="140"/>
      <c r="E181" s="141"/>
      <c r="H181" s="142"/>
    </row>
    <row r="182" ht="15.75" customHeight="1">
      <c r="D182" s="140"/>
      <c r="E182" s="141"/>
      <c r="H182" s="142"/>
    </row>
    <row r="183" ht="15.75" customHeight="1">
      <c r="D183" s="140"/>
      <c r="E183" s="141"/>
      <c r="H183" s="142"/>
    </row>
    <row r="184" ht="15.75" customHeight="1">
      <c r="D184" s="140"/>
      <c r="E184" s="141"/>
      <c r="H184" s="142"/>
    </row>
    <row r="185" ht="15.75" customHeight="1">
      <c r="D185" s="140"/>
      <c r="E185" s="141"/>
      <c r="H185" s="142"/>
    </row>
    <row r="186" ht="15.75" customHeight="1">
      <c r="D186" s="140"/>
      <c r="E186" s="141"/>
      <c r="H186" s="142"/>
    </row>
    <row r="187" ht="15.75" customHeight="1">
      <c r="D187" s="140"/>
      <c r="E187" s="141"/>
      <c r="H187" s="142"/>
    </row>
    <row r="188" ht="15.75" customHeight="1">
      <c r="D188" s="140"/>
      <c r="E188" s="141"/>
      <c r="H188" s="142"/>
    </row>
    <row r="189" ht="15.75" customHeight="1">
      <c r="D189" s="140"/>
      <c r="E189" s="141"/>
      <c r="H189" s="142"/>
    </row>
    <row r="190" ht="15.75" customHeight="1">
      <c r="D190" s="140"/>
      <c r="E190" s="141"/>
      <c r="H190" s="142"/>
    </row>
    <row r="191" ht="15.75" customHeight="1">
      <c r="D191" s="140"/>
      <c r="E191" s="141"/>
      <c r="H191" s="142"/>
    </row>
    <row r="192" ht="15.75" customHeight="1">
      <c r="D192" s="140"/>
      <c r="E192" s="141"/>
      <c r="H192" s="142"/>
    </row>
    <row r="193" ht="15.75" customHeight="1">
      <c r="D193" s="140"/>
      <c r="E193" s="141"/>
      <c r="H193" s="142"/>
    </row>
    <row r="194" ht="15.75" customHeight="1">
      <c r="D194" s="140"/>
      <c r="E194" s="141"/>
      <c r="H194" s="142"/>
    </row>
    <row r="195" ht="15.75" customHeight="1">
      <c r="D195" s="140"/>
      <c r="E195" s="141"/>
      <c r="H195" s="142"/>
    </row>
    <row r="196" ht="15.75" customHeight="1">
      <c r="D196" s="140"/>
      <c r="E196" s="141"/>
      <c r="H196" s="142"/>
    </row>
    <row r="197" ht="15.75" customHeight="1">
      <c r="D197" s="140"/>
      <c r="E197" s="141"/>
      <c r="H197" s="142"/>
    </row>
    <row r="198" ht="15.75" customHeight="1">
      <c r="D198" s="140"/>
      <c r="E198" s="141"/>
      <c r="H198" s="142"/>
    </row>
    <row r="199" ht="15.75" customHeight="1">
      <c r="D199" s="140"/>
      <c r="E199" s="141"/>
      <c r="H199" s="142"/>
    </row>
    <row r="200" ht="15.75" customHeight="1">
      <c r="D200" s="140"/>
      <c r="E200" s="141"/>
      <c r="H200" s="142"/>
    </row>
    <row r="201" ht="15.75" customHeight="1">
      <c r="D201" s="140"/>
      <c r="E201" s="141"/>
      <c r="H201" s="142"/>
    </row>
    <row r="202" ht="15.75" customHeight="1">
      <c r="D202" s="140"/>
      <c r="E202" s="141"/>
      <c r="H202" s="142"/>
    </row>
    <row r="203" ht="15.75" customHeight="1">
      <c r="D203" s="140"/>
      <c r="E203" s="141"/>
      <c r="H203" s="142"/>
    </row>
    <row r="204" ht="15.75" customHeight="1">
      <c r="D204" s="140"/>
      <c r="E204" s="141"/>
      <c r="H204" s="142"/>
    </row>
    <row r="205" ht="15.75" customHeight="1">
      <c r="D205" s="140"/>
      <c r="E205" s="141"/>
      <c r="H205" s="142"/>
    </row>
    <row r="206" ht="15.75" customHeight="1">
      <c r="D206" s="140"/>
      <c r="E206" s="141"/>
      <c r="H206" s="142"/>
    </row>
    <row r="207" ht="15.75" customHeight="1">
      <c r="D207" s="140"/>
      <c r="E207" s="141"/>
      <c r="H207" s="142"/>
    </row>
    <row r="208" ht="15.75" customHeight="1">
      <c r="D208" s="140"/>
      <c r="E208" s="141"/>
      <c r="H208" s="142"/>
    </row>
    <row r="209" ht="15.75" customHeight="1">
      <c r="D209" s="140"/>
      <c r="E209" s="141"/>
      <c r="H209" s="142"/>
    </row>
    <row r="210" ht="15.75" customHeight="1">
      <c r="D210" s="140"/>
      <c r="E210" s="141"/>
      <c r="H210" s="142"/>
    </row>
    <row r="211" ht="15.75" customHeight="1">
      <c r="D211" s="140"/>
      <c r="E211" s="141"/>
      <c r="H211" s="142"/>
    </row>
    <row r="212" ht="15.75" customHeight="1">
      <c r="D212" s="140"/>
      <c r="E212" s="141"/>
      <c r="H212" s="142"/>
    </row>
    <row r="213" ht="15.75" customHeight="1">
      <c r="D213" s="140"/>
      <c r="E213" s="141"/>
      <c r="H213" s="142"/>
    </row>
    <row r="214" ht="15.75" customHeight="1">
      <c r="D214" s="140"/>
      <c r="E214" s="141"/>
      <c r="H214" s="142"/>
    </row>
    <row r="215" ht="15.75" customHeight="1">
      <c r="D215" s="140"/>
      <c r="E215" s="141"/>
      <c r="H215" s="142"/>
    </row>
    <row r="216" ht="15.75" customHeight="1">
      <c r="D216" s="140"/>
      <c r="E216" s="141"/>
      <c r="H216" s="142"/>
    </row>
    <row r="217" ht="15.75" customHeight="1">
      <c r="D217" s="140"/>
      <c r="E217" s="141"/>
      <c r="H217" s="142"/>
    </row>
    <row r="218" ht="15.75" customHeight="1">
      <c r="D218" s="140"/>
      <c r="E218" s="141"/>
      <c r="H218" s="142"/>
    </row>
    <row r="219" ht="15.75" customHeight="1">
      <c r="D219" s="140"/>
      <c r="E219" s="141"/>
      <c r="H219" s="142"/>
    </row>
    <row r="220" ht="15.75" customHeight="1">
      <c r="D220" s="140"/>
      <c r="E220" s="141"/>
      <c r="H220" s="142"/>
    </row>
    <row r="221" ht="15.75" customHeight="1">
      <c r="D221" s="140"/>
      <c r="E221" s="141"/>
      <c r="H221" s="142"/>
    </row>
    <row r="222" ht="15.75" customHeight="1">
      <c r="D222" s="140"/>
      <c r="E222" s="141"/>
      <c r="H222" s="142"/>
    </row>
    <row r="223" ht="15.75" customHeight="1">
      <c r="D223" s="140"/>
      <c r="E223" s="141"/>
      <c r="H223" s="142"/>
    </row>
    <row r="224" ht="15.75" customHeight="1">
      <c r="D224" s="140"/>
      <c r="E224" s="141"/>
      <c r="H224" s="142"/>
    </row>
    <row r="225" ht="15.75" customHeight="1">
      <c r="D225" s="140"/>
      <c r="E225" s="141"/>
      <c r="H225" s="142"/>
    </row>
    <row r="226" ht="15.75" customHeight="1">
      <c r="D226" s="140"/>
      <c r="E226" s="141"/>
      <c r="H226" s="142"/>
    </row>
    <row r="227" ht="15.75" customHeight="1">
      <c r="D227" s="140"/>
      <c r="E227" s="141"/>
      <c r="H227" s="142"/>
    </row>
    <row r="228" ht="15.75" customHeight="1">
      <c r="D228" s="140"/>
      <c r="E228" s="141"/>
      <c r="H228" s="142"/>
    </row>
    <row r="229" ht="15.75" customHeight="1">
      <c r="D229" s="140"/>
      <c r="E229" s="141"/>
      <c r="H229" s="142"/>
    </row>
    <row r="230" ht="15.75" customHeight="1">
      <c r="D230" s="140"/>
      <c r="E230" s="141"/>
      <c r="H230" s="142"/>
    </row>
    <row r="231" ht="15.75" customHeight="1">
      <c r="D231" s="140"/>
      <c r="E231" s="141"/>
      <c r="H231" s="142"/>
    </row>
    <row r="232" ht="15.75" customHeight="1">
      <c r="D232" s="140"/>
      <c r="E232" s="141"/>
      <c r="H232" s="142"/>
    </row>
    <row r="233" ht="15.75" customHeight="1">
      <c r="D233" s="140"/>
      <c r="E233" s="141"/>
      <c r="H233" s="142"/>
    </row>
    <row r="234" ht="15.75" customHeight="1">
      <c r="D234" s="140"/>
      <c r="E234" s="141"/>
      <c r="H234" s="142"/>
    </row>
    <row r="235" ht="15.75" customHeight="1">
      <c r="D235" s="140"/>
      <c r="E235" s="141"/>
      <c r="H235" s="142"/>
    </row>
    <row r="236" ht="15.75" customHeight="1">
      <c r="D236" s="140"/>
      <c r="E236" s="141"/>
      <c r="H236" s="142"/>
    </row>
    <row r="237" ht="15.75" customHeight="1">
      <c r="D237" s="140"/>
      <c r="E237" s="141"/>
      <c r="H237" s="142"/>
    </row>
    <row r="238" ht="15.75" customHeight="1">
      <c r="D238" s="140"/>
      <c r="E238" s="141"/>
      <c r="H238" s="142"/>
    </row>
    <row r="239" ht="15.75" customHeight="1">
      <c r="D239" s="140"/>
      <c r="E239" s="141"/>
      <c r="H239" s="142"/>
    </row>
    <row r="240" ht="15.75" customHeight="1">
      <c r="D240" s="140"/>
      <c r="E240" s="141"/>
      <c r="H240" s="142"/>
    </row>
    <row r="241" ht="15.75" customHeight="1">
      <c r="D241" s="140"/>
      <c r="E241" s="141"/>
      <c r="H241" s="142"/>
    </row>
    <row r="242" ht="15.75" customHeight="1">
      <c r="D242" s="140"/>
      <c r="E242" s="141"/>
      <c r="H242" s="142"/>
    </row>
    <row r="243" ht="15.75" customHeight="1">
      <c r="D243" s="140"/>
      <c r="E243" s="141"/>
      <c r="H243" s="142"/>
    </row>
    <row r="244" ht="15.75" customHeight="1">
      <c r="D244" s="140"/>
      <c r="E244" s="141"/>
      <c r="H244" s="142"/>
    </row>
    <row r="245" ht="15.75" customHeight="1">
      <c r="D245" s="140"/>
      <c r="E245" s="141"/>
      <c r="H245" s="142"/>
    </row>
    <row r="246" ht="15.75" customHeight="1">
      <c r="D246" s="140"/>
      <c r="E246" s="141"/>
      <c r="H246" s="142"/>
    </row>
    <row r="247" ht="15.75" customHeight="1">
      <c r="D247" s="140"/>
      <c r="E247" s="141"/>
      <c r="H247" s="142"/>
    </row>
    <row r="248" ht="15.75" customHeight="1">
      <c r="D248" s="140"/>
      <c r="E248" s="141"/>
      <c r="H248" s="142"/>
    </row>
    <row r="249" ht="15.75" customHeight="1">
      <c r="D249" s="140"/>
      <c r="E249" s="141"/>
      <c r="H249" s="142"/>
    </row>
    <row r="250" ht="15.75" customHeight="1">
      <c r="D250" s="140"/>
      <c r="E250" s="141"/>
      <c r="H250" s="142"/>
    </row>
    <row r="251" ht="15.75" customHeight="1">
      <c r="D251" s="140"/>
      <c r="E251" s="141"/>
      <c r="H251" s="142"/>
    </row>
    <row r="252" ht="15.75" customHeight="1">
      <c r="D252" s="140"/>
      <c r="E252" s="141"/>
      <c r="H252" s="142"/>
    </row>
    <row r="253" ht="15.75" customHeight="1">
      <c r="D253" s="140"/>
      <c r="E253" s="141"/>
      <c r="H253" s="142"/>
    </row>
    <row r="254" ht="15.75" customHeight="1">
      <c r="D254" s="140"/>
      <c r="E254" s="141"/>
      <c r="H254" s="142"/>
    </row>
    <row r="255" ht="15.75" customHeight="1">
      <c r="D255" s="140"/>
      <c r="E255" s="141"/>
      <c r="H255" s="142"/>
    </row>
    <row r="256" ht="15.75" customHeight="1">
      <c r="D256" s="140"/>
      <c r="E256" s="141"/>
      <c r="H256" s="142"/>
    </row>
    <row r="257" ht="15.75" customHeight="1">
      <c r="D257" s="140"/>
      <c r="E257" s="141"/>
      <c r="H257" s="142"/>
    </row>
    <row r="258" ht="15.75" customHeight="1">
      <c r="D258" s="140"/>
      <c r="E258" s="141"/>
      <c r="H258" s="142"/>
    </row>
    <row r="259" ht="15.75" customHeight="1">
      <c r="D259" s="140"/>
      <c r="E259" s="141"/>
      <c r="H259" s="142"/>
    </row>
    <row r="260" ht="15.75" customHeight="1">
      <c r="D260" s="140"/>
      <c r="E260" s="141"/>
      <c r="H260" s="142"/>
    </row>
    <row r="261" ht="15.75" customHeight="1">
      <c r="D261" s="140"/>
      <c r="E261" s="141"/>
      <c r="H261" s="142"/>
    </row>
    <row r="262" ht="15.75" customHeight="1">
      <c r="D262" s="140"/>
      <c r="E262" s="141"/>
      <c r="H262" s="142"/>
    </row>
    <row r="263" ht="15.75" customHeight="1">
      <c r="D263" s="140"/>
      <c r="E263" s="141"/>
      <c r="H263" s="142"/>
    </row>
    <row r="264" ht="15.75" customHeight="1">
      <c r="D264" s="140"/>
      <c r="E264" s="141"/>
      <c r="H264" s="142"/>
    </row>
    <row r="265" ht="15.75" customHeight="1">
      <c r="D265" s="140"/>
      <c r="E265" s="141"/>
      <c r="H265" s="142"/>
    </row>
    <row r="266" ht="15.75" customHeight="1">
      <c r="D266" s="140"/>
      <c r="E266" s="141"/>
      <c r="H266" s="142"/>
    </row>
    <row r="267" ht="15.75" customHeight="1">
      <c r="D267" s="140"/>
      <c r="E267" s="141"/>
      <c r="H267" s="142"/>
    </row>
    <row r="268" ht="15.75" customHeight="1">
      <c r="D268" s="140"/>
      <c r="E268" s="141"/>
      <c r="H268" s="142"/>
    </row>
    <row r="269" ht="15.75" customHeight="1">
      <c r="D269" s="140"/>
      <c r="E269" s="141"/>
      <c r="H269" s="142"/>
    </row>
    <row r="270" ht="15.75" customHeight="1">
      <c r="D270" s="140"/>
      <c r="E270" s="141"/>
      <c r="H270" s="142"/>
    </row>
    <row r="271" ht="15.75" customHeight="1">
      <c r="D271" s="140"/>
      <c r="E271" s="141"/>
      <c r="H271" s="142"/>
    </row>
    <row r="272" ht="15.75" customHeight="1">
      <c r="D272" s="140"/>
      <c r="E272" s="141"/>
      <c r="H272" s="142"/>
    </row>
    <row r="273" ht="15.75" customHeight="1">
      <c r="D273" s="140"/>
      <c r="E273" s="141"/>
      <c r="H273" s="142"/>
    </row>
    <row r="274" ht="15.75" customHeight="1">
      <c r="D274" s="140"/>
      <c r="E274" s="141"/>
      <c r="H274" s="142"/>
    </row>
    <row r="275" ht="15.75" customHeight="1">
      <c r="D275" s="140"/>
      <c r="E275" s="141"/>
      <c r="H275" s="142"/>
    </row>
    <row r="276" ht="15.75" customHeight="1">
      <c r="D276" s="140"/>
      <c r="E276" s="141"/>
      <c r="H276" s="142"/>
    </row>
    <row r="277" ht="15.75" customHeight="1">
      <c r="D277" s="140"/>
      <c r="E277" s="141"/>
      <c r="H277" s="142"/>
    </row>
    <row r="278" ht="15.75" customHeight="1">
      <c r="D278" s="140"/>
      <c r="E278" s="141"/>
      <c r="H278" s="142"/>
    </row>
    <row r="279" ht="15.75" customHeight="1">
      <c r="D279" s="140"/>
      <c r="E279" s="141"/>
      <c r="H279" s="142"/>
    </row>
    <row r="280" ht="15.75" customHeight="1">
      <c r="D280" s="140"/>
      <c r="E280" s="141"/>
      <c r="H280" s="142"/>
    </row>
    <row r="281" ht="15.75" customHeight="1">
      <c r="D281" s="140"/>
      <c r="E281" s="141"/>
      <c r="H281" s="142"/>
    </row>
    <row r="282" ht="15.75" customHeight="1">
      <c r="D282" s="140"/>
      <c r="E282" s="141"/>
      <c r="H282" s="142"/>
    </row>
    <row r="283" ht="15.75" customHeight="1">
      <c r="D283" s="140"/>
      <c r="E283" s="141"/>
      <c r="H283" s="142"/>
    </row>
    <row r="284" ht="15.75" customHeight="1">
      <c r="D284" s="140"/>
      <c r="E284" s="141"/>
      <c r="H284" s="142"/>
    </row>
    <row r="285" ht="15.75" customHeight="1">
      <c r="D285" s="140"/>
      <c r="E285" s="141"/>
      <c r="H285" s="142"/>
    </row>
    <row r="286" ht="15.75" customHeight="1">
      <c r="D286" s="140"/>
      <c r="E286" s="141"/>
      <c r="H286" s="142"/>
    </row>
    <row r="287" ht="15.75" customHeight="1">
      <c r="D287" s="140"/>
      <c r="E287" s="141"/>
      <c r="H287" s="142"/>
    </row>
    <row r="288" ht="15.75" customHeight="1">
      <c r="D288" s="140"/>
      <c r="E288" s="141"/>
      <c r="H288" s="142"/>
    </row>
    <row r="289" ht="15.75" customHeight="1">
      <c r="D289" s="140"/>
      <c r="E289" s="141"/>
      <c r="H289" s="142"/>
    </row>
    <row r="290" ht="15.75" customHeight="1">
      <c r="D290" s="140"/>
      <c r="E290" s="141"/>
      <c r="H290" s="142"/>
    </row>
    <row r="291" ht="15.75" customHeight="1">
      <c r="D291" s="140"/>
      <c r="E291" s="141"/>
      <c r="H291" s="142"/>
    </row>
    <row r="292" ht="15.75" customHeight="1">
      <c r="D292" s="140"/>
      <c r="E292" s="141"/>
      <c r="H292" s="142"/>
    </row>
    <row r="293" ht="15.75" customHeight="1">
      <c r="D293" s="140"/>
      <c r="E293" s="141"/>
      <c r="H293" s="142"/>
    </row>
    <row r="294" ht="15.75" customHeight="1">
      <c r="D294" s="140"/>
      <c r="E294" s="141"/>
      <c r="H294" s="142"/>
    </row>
    <row r="295" ht="15.75" customHeight="1">
      <c r="D295" s="140"/>
      <c r="E295" s="141"/>
      <c r="H295" s="142"/>
    </row>
    <row r="296" ht="15.75" customHeight="1">
      <c r="D296" s="140"/>
      <c r="E296" s="141"/>
      <c r="H296" s="142"/>
    </row>
    <row r="297" ht="15.75" customHeight="1">
      <c r="D297" s="140"/>
      <c r="E297" s="141"/>
      <c r="H297" s="142"/>
    </row>
    <row r="298" ht="15.75" customHeight="1">
      <c r="D298" s="140"/>
      <c r="E298" s="141"/>
      <c r="H298" s="142"/>
    </row>
    <row r="299" ht="15.75" customHeight="1">
      <c r="D299" s="140"/>
      <c r="E299" s="141"/>
      <c r="H299" s="142"/>
    </row>
    <row r="300" ht="15.75" customHeight="1">
      <c r="D300" s="140"/>
      <c r="E300" s="141"/>
      <c r="H300" s="142"/>
    </row>
    <row r="301" ht="15.75" customHeight="1">
      <c r="D301" s="140"/>
      <c r="E301" s="141"/>
      <c r="H301" s="142"/>
    </row>
    <row r="302" ht="15.75" customHeight="1">
      <c r="D302" s="140"/>
      <c r="E302" s="141"/>
      <c r="H302" s="142"/>
    </row>
    <row r="303" ht="15.75" customHeight="1">
      <c r="D303" s="140"/>
      <c r="E303" s="141"/>
      <c r="H303" s="142"/>
    </row>
    <row r="304" ht="15.75" customHeight="1">
      <c r="D304" s="140"/>
      <c r="E304" s="141"/>
      <c r="H304" s="142"/>
    </row>
    <row r="305" ht="15.75" customHeight="1">
      <c r="D305" s="140"/>
      <c r="E305" s="141"/>
      <c r="H305" s="142"/>
    </row>
    <row r="306" ht="15.75" customHeight="1">
      <c r="D306" s="140"/>
      <c r="H306" s="142"/>
    </row>
    <row r="307" ht="15.75" customHeight="1">
      <c r="D307" s="140"/>
      <c r="H307" s="142"/>
    </row>
    <row r="308" ht="15.75" customHeight="1">
      <c r="D308" s="140"/>
      <c r="H308" s="142"/>
    </row>
    <row r="309" ht="15.75" customHeight="1">
      <c r="D309" s="140"/>
      <c r="H309" s="142"/>
    </row>
    <row r="310" ht="15.75" customHeight="1">
      <c r="D310" s="140"/>
      <c r="H310" s="142"/>
    </row>
    <row r="311" ht="15.75" customHeight="1">
      <c r="D311" s="140"/>
      <c r="H311" s="142"/>
    </row>
    <row r="312" ht="15.75" customHeight="1">
      <c r="D312" s="140"/>
      <c r="H312" s="142"/>
    </row>
    <row r="313" ht="15.75" customHeight="1">
      <c r="D313" s="140"/>
      <c r="H313" s="142"/>
    </row>
    <row r="314" ht="15.75" customHeight="1">
      <c r="D314" s="140"/>
      <c r="H314" s="142"/>
    </row>
    <row r="315" ht="15.75" customHeight="1">
      <c r="D315" s="140"/>
      <c r="H315" s="142"/>
    </row>
    <row r="316" ht="15.75" customHeight="1">
      <c r="D316" s="140"/>
      <c r="H316" s="142"/>
    </row>
    <row r="317" ht="15.75" customHeight="1">
      <c r="D317" s="140"/>
      <c r="H317" s="142"/>
    </row>
    <row r="318" ht="15.75" customHeight="1">
      <c r="D318" s="140"/>
      <c r="H318" s="142"/>
    </row>
    <row r="319" ht="15.75" customHeight="1">
      <c r="D319" s="140"/>
      <c r="H319" s="142"/>
    </row>
    <row r="320" ht="15.75" customHeight="1">
      <c r="D320" s="140"/>
      <c r="H320" s="142"/>
    </row>
    <row r="321" ht="15.75" customHeight="1">
      <c r="D321" s="140"/>
      <c r="H321" s="142"/>
    </row>
    <row r="322" ht="15.75" customHeight="1">
      <c r="D322" s="140"/>
      <c r="H322" s="142"/>
    </row>
    <row r="323" ht="15.75" customHeight="1">
      <c r="D323" s="140"/>
      <c r="H323" s="142"/>
    </row>
    <row r="324" ht="15.75" customHeight="1">
      <c r="D324" s="140"/>
      <c r="H324" s="142"/>
    </row>
    <row r="325" ht="15.75" customHeight="1">
      <c r="D325" s="140"/>
      <c r="H325" s="142"/>
    </row>
    <row r="326" ht="15.75" customHeight="1">
      <c r="D326" s="140"/>
      <c r="H326" s="142"/>
    </row>
    <row r="327" ht="15.75" customHeight="1">
      <c r="D327" s="140"/>
      <c r="H327" s="142"/>
    </row>
    <row r="328" ht="15.75" customHeight="1">
      <c r="D328" s="140"/>
      <c r="H328" s="142"/>
    </row>
    <row r="329" ht="15.75" customHeight="1">
      <c r="D329" s="140"/>
      <c r="H329" s="142"/>
    </row>
    <row r="330" ht="15.75" customHeight="1">
      <c r="D330" s="140"/>
      <c r="H330" s="142"/>
    </row>
    <row r="331" ht="15.75" customHeight="1">
      <c r="D331" s="140"/>
      <c r="H331" s="142"/>
    </row>
    <row r="332" ht="15.75" customHeight="1">
      <c r="D332" s="140"/>
      <c r="H332" s="142"/>
    </row>
    <row r="333" ht="15.75" customHeight="1">
      <c r="D333" s="140"/>
      <c r="H333" s="142"/>
    </row>
    <row r="334" ht="15.75" customHeight="1">
      <c r="D334" s="140"/>
      <c r="H334" s="142"/>
    </row>
    <row r="335" ht="15.75" customHeight="1">
      <c r="D335" s="140"/>
      <c r="H335" s="142"/>
    </row>
    <row r="336" ht="15.75" customHeight="1">
      <c r="D336" s="140"/>
      <c r="H336" s="142"/>
    </row>
    <row r="337" ht="15.75" customHeight="1">
      <c r="D337" s="140"/>
      <c r="H337" s="142"/>
    </row>
    <row r="338" ht="15.75" customHeight="1">
      <c r="D338" s="140"/>
      <c r="H338" s="142"/>
    </row>
    <row r="339" ht="15.75" customHeight="1">
      <c r="D339" s="140"/>
      <c r="H339" s="142"/>
    </row>
    <row r="340" ht="15.75" customHeight="1">
      <c r="D340" s="140"/>
      <c r="H340" s="142"/>
    </row>
    <row r="341" ht="15.75" customHeight="1">
      <c r="D341" s="140"/>
      <c r="H341" s="142"/>
    </row>
    <row r="342" ht="15.75" customHeight="1">
      <c r="D342" s="140"/>
      <c r="H342" s="142"/>
    </row>
    <row r="343" ht="15.75" customHeight="1">
      <c r="D343" s="140"/>
      <c r="H343" s="142"/>
    </row>
    <row r="344" ht="15.75" customHeight="1">
      <c r="D344" s="140"/>
      <c r="H344" s="142"/>
    </row>
    <row r="345" ht="15.75" customHeight="1">
      <c r="D345" s="140"/>
      <c r="H345" s="142"/>
    </row>
    <row r="346" ht="15.75" customHeight="1">
      <c r="D346" s="140"/>
      <c r="H346" s="142"/>
    </row>
    <row r="347" ht="15.75" customHeight="1">
      <c r="D347" s="140"/>
      <c r="H347" s="142"/>
    </row>
    <row r="348" ht="15.75" customHeight="1">
      <c r="D348" s="140"/>
      <c r="H348" s="142"/>
    </row>
    <row r="349" ht="15.75" customHeight="1">
      <c r="D349" s="140"/>
      <c r="H349" s="142"/>
    </row>
    <row r="350" ht="15.75" customHeight="1">
      <c r="D350" s="140"/>
      <c r="H350" s="142"/>
    </row>
    <row r="351" ht="15.75" customHeight="1">
      <c r="D351" s="140"/>
      <c r="H351" s="142"/>
    </row>
    <row r="352" ht="15.75" customHeight="1">
      <c r="D352" s="140"/>
      <c r="H352" s="142"/>
    </row>
    <row r="353" ht="15.75" customHeight="1">
      <c r="D353" s="140"/>
      <c r="H353" s="142"/>
    </row>
    <row r="354" ht="15.75" customHeight="1">
      <c r="D354" s="140"/>
      <c r="H354" s="142"/>
    </row>
    <row r="355" ht="15.75" customHeight="1">
      <c r="D355" s="140"/>
      <c r="H355" s="142"/>
    </row>
    <row r="356" ht="15.75" customHeight="1">
      <c r="D356" s="140"/>
      <c r="H356" s="142"/>
    </row>
    <row r="357" ht="15.75" customHeight="1">
      <c r="D357" s="140"/>
      <c r="H357" s="142"/>
    </row>
    <row r="358" ht="15.75" customHeight="1">
      <c r="D358" s="140"/>
      <c r="H358" s="142"/>
    </row>
    <row r="359" ht="15.75" customHeight="1">
      <c r="D359" s="140"/>
      <c r="H359" s="142"/>
    </row>
    <row r="360" ht="15.75" customHeight="1">
      <c r="D360" s="140"/>
      <c r="H360" s="142"/>
    </row>
    <row r="361" ht="15.75" customHeight="1">
      <c r="D361" s="140"/>
      <c r="H361" s="142"/>
    </row>
    <row r="362" ht="15.75" customHeight="1">
      <c r="D362" s="140"/>
      <c r="H362" s="142"/>
    </row>
    <row r="363" ht="15.75" customHeight="1">
      <c r="D363" s="140"/>
      <c r="H363" s="142"/>
    </row>
    <row r="364" ht="15.75" customHeight="1">
      <c r="D364" s="140"/>
      <c r="H364" s="142"/>
    </row>
    <row r="365" ht="15.75" customHeight="1">
      <c r="D365" s="140"/>
      <c r="H365" s="142"/>
    </row>
    <row r="366" ht="15.75" customHeight="1">
      <c r="D366" s="140"/>
      <c r="H366" s="142"/>
    </row>
    <row r="367" ht="15.75" customHeight="1">
      <c r="D367" s="140"/>
      <c r="H367" s="142"/>
    </row>
    <row r="368" ht="15.75" customHeight="1">
      <c r="D368" s="140"/>
      <c r="H368" s="142"/>
    </row>
    <row r="369" ht="15.75" customHeight="1">
      <c r="D369" s="140"/>
      <c r="H369" s="142"/>
    </row>
    <row r="370" ht="15.75" customHeight="1">
      <c r="D370" s="140"/>
      <c r="H370" s="142"/>
    </row>
    <row r="371" ht="15.75" customHeight="1">
      <c r="D371" s="140"/>
      <c r="H371" s="142"/>
    </row>
    <row r="372" ht="15.75" customHeight="1">
      <c r="D372" s="140"/>
      <c r="H372" s="142"/>
    </row>
    <row r="373" ht="15.75" customHeight="1">
      <c r="D373" s="140"/>
      <c r="H373" s="142"/>
    </row>
    <row r="374" ht="15.75" customHeight="1">
      <c r="D374" s="140"/>
      <c r="H374" s="142"/>
    </row>
    <row r="375" ht="15.75" customHeight="1">
      <c r="D375" s="140"/>
      <c r="H375" s="142"/>
    </row>
    <row r="376" ht="15.75" customHeight="1">
      <c r="D376" s="140"/>
      <c r="H376" s="142"/>
    </row>
    <row r="377" ht="15.75" customHeight="1">
      <c r="D377" s="140"/>
      <c r="H377" s="142"/>
    </row>
    <row r="378" ht="15.75" customHeight="1">
      <c r="D378" s="140"/>
      <c r="H378" s="142"/>
    </row>
    <row r="379" ht="15.75" customHeight="1">
      <c r="D379" s="140"/>
      <c r="H379" s="142"/>
    </row>
    <row r="380" ht="15.75" customHeight="1">
      <c r="D380" s="140"/>
      <c r="H380" s="142"/>
    </row>
    <row r="381" ht="15.75" customHeight="1">
      <c r="D381" s="140"/>
      <c r="H381" s="142"/>
    </row>
    <row r="382" ht="15.75" customHeight="1">
      <c r="D382" s="140"/>
      <c r="H382" s="142"/>
    </row>
    <row r="383" ht="15.75" customHeight="1">
      <c r="D383" s="140"/>
      <c r="H383" s="142"/>
    </row>
    <row r="384" ht="15.75" customHeight="1">
      <c r="D384" s="140"/>
      <c r="H384" s="142"/>
    </row>
    <row r="385" ht="15.75" customHeight="1">
      <c r="D385" s="140"/>
      <c r="H385" s="142"/>
    </row>
    <row r="386" ht="15.75" customHeight="1">
      <c r="D386" s="140"/>
      <c r="H386" s="142"/>
    </row>
    <row r="387" ht="15.75" customHeight="1">
      <c r="D387" s="140"/>
      <c r="H387" s="142"/>
    </row>
    <row r="388" ht="15.75" customHeight="1">
      <c r="D388" s="140"/>
      <c r="H388" s="142"/>
    </row>
    <row r="389" ht="15.75" customHeight="1">
      <c r="D389" s="140"/>
      <c r="H389" s="142"/>
    </row>
    <row r="390" ht="15.75" customHeight="1">
      <c r="D390" s="140"/>
      <c r="H390" s="142"/>
    </row>
    <row r="391" ht="15.75" customHeight="1">
      <c r="D391" s="140"/>
      <c r="H391" s="142"/>
    </row>
    <row r="392" ht="15.75" customHeight="1">
      <c r="D392" s="140"/>
      <c r="H392" s="142"/>
    </row>
    <row r="393" ht="15.75" customHeight="1">
      <c r="D393" s="140"/>
      <c r="H393" s="142"/>
    </row>
    <row r="394" ht="15.75" customHeight="1">
      <c r="D394" s="140"/>
      <c r="H394" s="142"/>
    </row>
    <row r="395" ht="15.75" customHeight="1">
      <c r="D395" s="140"/>
      <c r="H395" s="142"/>
    </row>
    <row r="396" ht="15.75" customHeight="1">
      <c r="D396" s="140"/>
      <c r="H396" s="142"/>
    </row>
    <row r="397" ht="15.75" customHeight="1">
      <c r="D397" s="140"/>
      <c r="H397" s="142"/>
    </row>
    <row r="398" ht="15.75" customHeight="1">
      <c r="D398" s="140"/>
      <c r="H398" s="142"/>
    </row>
    <row r="399" ht="15.75" customHeight="1">
      <c r="D399" s="140"/>
      <c r="H399" s="142"/>
    </row>
    <row r="400" ht="15.75" customHeight="1">
      <c r="D400" s="140"/>
      <c r="H400" s="142"/>
    </row>
    <row r="401" ht="15.75" customHeight="1">
      <c r="D401" s="140"/>
      <c r="H401" s="142"/>
    </row>
    <row r="402" ht="15.75" customHeight="1">
      <c r="D402" s="140"/>
      <c r="H402" s="142"/>
    </row>
    <row r="403" ht="15.75" customHeight="1">
      <c r="D403" s="140"/>
      <c r="H403" s="142"/>
    </row>
    <row r="404" ht="15.75" customHeight="1">
      <c r="D404" s="140"/>
      <c r="H404" s="142"/>
    </row>
    <row r="405" ht="15.75" customHeight="1">
      <c r="D405" s="140"/>
      <c r="H405" s="142"/>
    </row>
    <row r="406" ht="15.75" customHeight="1">
      <c r="D406" s="140"/>
      <c r="H406" s="142"/>
    </row>
    <row r="407" ht="15.75" customHeight="1">
      <c r="D407" s="140"/>
      <c r="H407" s="142"/>
    </row>
    <row r="408" ht="15.75" customHeight="1">
      <c r="D408" s="140"/>
      <c r="H408" s="142"/>
    </row>
    <row r="409" ht="15.75" customHeight="1">
      <c r="D409" s="140"/>
      <c r="H409" s="142"/>
    </row>
    <row r="410" ht="15.75" customHeight="1">
      <c r="D410" s="140"/>
      <c r="H410" s="142"/>
    </row>
    <row r="411" ht="15.75" customHeight="1">
      <c r="D411" s="140"/>
      <c r="H411" s="142"/>
    </row>
    <row r="412" ht="15.75" customHeight="1">
      <c r="D412" s="140"/>
      <c r="H412" s="142"/>
    </row>
    <row r="413" ht="15.75" customHeight="1">
      <c r="D413" s="140"/>
      <c r="H413" s="142"/>
    </row>
    <row r="414" ht="15.75" customHeight="1">
      <c r="D414" s="140"/>
      <c r="H414" s="142"/>
    </row>
    <row r="415" ht="15.75" customHeight="1">
      <c r="D415" s="140"/>
      <c r="H415" s="142"/>
    </row>
    <row r="416" ht="15.75" customHeight="1">
      <c r="D416" s="140"/>
      <c r="H416" s="142"/>
    </row>
    <row r="417" ht="15.75" customHeight="1">
      <c r="D417" s="140"/>
      <c r="H417" s="142"/>
    </row>
    <row r="418" ht="15.75" customHeight="1">
      <c r="D418" s="140"/>
      <c r="H418" s="142"/>
    </row>
    <row r="419" ht="15.75" customHeight="1">
      <c r="D419" s="140"/>
      <c r="H419" s="142"/>
    </row>
    <row r="420" ht="15.75" customHeight="1">
      <c r="D420" s="140"/>
      <c r="H420" s="142"/>
    </row>
    <row r="421" ht="15.75" customHeight="1">
      <c r="D421" s="140"/>
      <c r="H421" s="142"/>
    </row>
    <row r="422" ht="15.75" customHeight="1">
      <c r="D422" s="140"/>
      <c r="H422" s="142"/>
    </row>
    <row r="423" ht="15.75" customHeight="1">
      <c r="D423" s="140"/>
      <c r="H423" s="142"/>
    </row>
    <row r="424" ht="15.75" customHeight="1">
      <c r="D424" s="140"/>
      <c r="H424" s="142"/>
    </row>
    <row r="425" ht="15.75" customHeight="1">
      <c r="D425" s="140"/>
      <c r="H425" s="142"/>
    </row>
    <row r="426" ht="15.75" customHeight="1">
      <c r="D426" s="140"/>
      <c r="H426" s="142"/>
    </row>
    <row r="427" ht="15.75" customHeight="1">
      <c r="D427" s="140"/>
      <c r="H427" s="142"/>
    </row>
    <row r="428" ht="15.75" customHeight="1">
      <c r="D428" s="140"/>
      <c r="H428" s="142"/>
    </row>
    <row r="429" ht="15.75" customHeight="1">
      <c r="D429" s="140"/>
      <c r="H429" s="142"/>
    </row>
    <row r="430" ht="15.75" customHeight="1">
      <c r="D430" s="140"/>
      <c r="H430" s="142"/>
    </row>
    <row r="431" ht="15.75" customHeight="1">
      <c r="D431" s="140"/>
      <c r="H431" s="142"/>
    </row>
    <row r="432" ht="15.75" customHeight="1">
      <c r="D432" s="140"/>
      <c r="H432" s="142"/>
    </row>
    <row r="433" ht="15.75" customHeight="1">
      <c r="D433" s="140"/>
      <c r="H433" s="142"/>
    </row>
    <row r="434" ht="15.75" customHeight="1">
      <c r="D434" s="140"/>
      <c r="H434" s="142"/>
    </row>
    <row r="435" ht="15.75" customHeight="1">
      <c r="D435" s="140"/>
      <c r="H435" s="142"/>
    </row>
    <row r="436" ht="15.75" customHeight="1">
      <c r="D436" s="140"/>
      <c r="H436" s="142"/>
    </row>
    <row r="437" ht="15.75" customHeight="1">
      <c r="D437" s="140"/>
      <c r="H437" s="142"/>
    </row>
    <row r="438" ht="15.75" customHeight="1">
      <c r="D438" s="140"/>
      <c r="H438" s="142"/>
    </row>
    <row r="439" ht="15.75" customHeight="1">
      <c r="D439" s="140"/>
      <c r="H439" s="142"/>
    </row>
    <row r="440" ht="15.75" customHeight="1">
      <c r="D440" s="140"/>
      <c r="H440" s="142"/>
    </row>
    <row r="441" ht="15.75" customHeight="1">
      <c r="D441" s="140"/>
      <c r="H441" s="142"/>
    </row>
    <row r="442" ht="15.75" customHeight="1">
      <c r="D442" s="140"/>
      <c r="H442" s="142"/>
    </row>
    <row r="443" ht="15.75" customHeight="1">
      <c r="D443" s="140"/>
      <c r="H443" s="142"/>
    </row>
    <row r="444" ht="15.75" customHeight="1">
      <c r="D444" s="140"/>
      <c r="H444" s="142"/>
    </row>
    <row r="445" ht="15.75" customHeight="1">
      <c r="D445" s="140"/>
      <c r="H445" s="142"/>
    </row>
    <row r="446" ht="15.75" customHeight="1">
      <c r="D446" s="140"/>
      <c r="H446" s="142"/>
    </row>
    <row r="447" ht="15.75" customHeight="1">
      <c r="D447" s="140"/>
      <c r="H447" s="142"/>
    </row>
    <row r="448" ht="15.75" customHeight="1">
      <c r="D448" s="140"/>
      <c r="H448" s="142"/>
    </row>
    <row r="449" ht="15.75" customHeight="1">
      <c r="D449" s="140"/>
      <c r="H449" s="142"/>
    </row>
    <row r="450" ht="15.75" customHeight="1">
      <c r="D450" s="140"/>
      <c r="H450" s="142"/>
    </row>
    <row r="451" ht="15.75" customHeight="1">
      <c r="D451" s="140"/>
      <c r="H451" s="142"/>
    </row>
    <row r="452" ht="15.75" customHeight="1">
      <c r="D452" s="140"/>
      <c r="H452" s="142"/>
    </row>
    <row r="453" ht="15.75" customHeight="1">
      <c r="D453" s="140"/>
      <c r="H453" s="142"/>
    </row>
    <row r="454" ht="15.75" customHeight="1">
      <c r="D454" s="140"/>
      <c r="H454" s="142"/>
    </row>
    <row r="455" ht="15.75" customHeight="1">
      <c r="D455" s="140"/>
      <c r="H455" s="142"/>
    </row>
    <row r="456" ht="15.75" customHeight="1">
      <c r="D456" s="140"/>
      <c r="H456" s="142"/>
    </row>
    <row r="457" ht="15.75" customHeight="1">
      <c r="D457" s="140"/>
      <c r="H457" s="142"/>
    </row>
    <row r="458" ht="15.75" customHeight="1">
      <c r="D458" s="140"/>
      <c r="H458" s="142"/>
    </row>
    <row r="459" ht="15.75" customHeight="1">
      <c r="D459" s="140"/>
      <c r="H459" s="142"/>
    </row>
    <row r="460" ht="15.75" customHeight="1">
      <c r="D460" s="140"/>
      <c r="H460" s="142"/>
    </row>
    <row r="461" ht="15.75" customHeight="1">
      <c r="D461" s="140"/>
      <c r="H461" s="142"/>
    </row>
    <row r="462" ht="15.75" customHeight="1">
      <c r="D462" s="140"/>
      <c r="H462" s="142"/>
    </row>
    <row r="463" ht="15.75" customHeight="1">
      <c r="D463" s="140"/>
      <c r="H463" s="142"/>
    </row>
    <row r="464" ht="15.75" customHeight="1">
      <c r="D464" s="140"/>
      <c r="H464" s="142"/>
    </row>
    <row r="465" ht="15.75" customHeight="1">
      <c r="D465" s="140"/>
      <c r="H465" s="142"/>
    </row>
    <row r="466" ht="15.75" customHeight="1">
      <c r="D466" s="140"/>
      <c r="H466" s="142"/>
    </row>
    <row r="467" ht="15.75" customHeight="1">
      <c r="D467" s="140"/>
      <c r="H467" s="142"/>
    </row>
    <row r="468" ht="15.75" customHeight="1">
      <c r="D468" s="140"/>
      <c r="H468" s="142"/>
    </row>
    <row r="469" ht="15.75" customHeight="1">
      <c r="D469" s="140"/>
      <c r="H469" s="142"/>
    </row>
    <row r="470" ht="15.75" customHeight="1">
      <c r="D470" s="140"/>
      <c r="H470" s="142"/>
    </row>
    <row r="471" ht="15.75" customHeight="1">
      <c r="D471" s="140"/>
      <c r="H471" s="142"/>
    </row>
    <row r="472" ht="15.75" customHeight="1">
      <c r="D472" s="140"/>
      <c r="H472" s="142"/>
    </row>
    <row r="473" ht="15.75" customHeight="1">
      <c r="D473" s="140"/>
      <c r="H473" s="142"/>
    </row>
    <row r="474" ht="15.75" customHeight="1">
      <c r="D474" s="140"/>
      <c r="H474" s="142"/>
    </row>
    <row r="475" ht="15.75" customHeight="1">
      <c r="D475" s="140"/>
      <c r="H475" s="142"/>
    </row>
    <row r="476" ht="15.75" customHeight="1">
      <c r="D476" s="140"/>
      <c r="H476" s="142"/>
    </row>
    <row r="477" ht="15.75" customHeight="1">
      <c r="D477" s="140"/>
      <c r="H477" s="142"/>
    </row>
    <row r="478" ht="15.75" customHeight="1">
      <c r="D478" s="140"/>
      <c r="H478" s="142"/>
    </row>
    <row r="479" ht="15.75" customHeight="1">
      <c r="D479" s="140"/>
      <c r="H479" s="142"/>
    </row>
    <row r="480" ht="15.75" customHeight="1">
      <c r="D480" s="140"/>
      <c r="H480" s="142"/>
    </row>
    <row r="481" ht="15.75" customHeight="1">
      <c r="D481" s="140"/>
      <c r="H481" s="142"/>
    </row>
    <row r="482" ht="15.75" customHeight="1">
      <c r="D482" s="140"/>
      <c r="H482" s="142"/>
    </row>
    <row r="483" ht="15.75" customHeight="1">
      <c r="D483" s="140"/>
      <c r="H483" s="142"/>
    </row>
    <row r="484" ht="15.75" customHeight="1">
      <c r="D484" s="140"/>
      <c r="H484" s="142"/>
    </row>
    <row r="485" ht="15.75" customHeight="1">
      <c r="D485" s="140"/>
      <c r="H485" s="142"/>
    </row>
    <row r="486" ht="15.75" customHeight="1">
      <c r="D486" s="140"/>
      <c r="H486" s="142"/>
    </row>
    <row r="487" ht="15.75" customHeight="1">
      <c r="D487" s="140"/>
      <c r="H487" s="142"/>
    </row>
    <row r="488" ht="15.75" customHeight="1">
      <c r="D488" s="140"/>
      <c r="H488" s="142"/>
    </row>
    <row r="489" ht="15.75" customHeight="1">
      <c r="D489" s="140"/>
      <c r="H489" s="142"/>
    </row>
    <row r="490" ht="15.75" customHeight="1">
      <c r="D490" s="140"/>
      <c r="H490" s="142"/>
    </row>
    <row r="491" ht="15.75" customHeight="1">
      <c r="D491" s="140"/>
      <c r="H491" s="142"/>
    </row>
    <row r="492" ht="15.75" customHeight="1">
      <c r="D492" s="140"/>
      <c r="H492" s="142"/>
    </row>
    <row r="493" ht="15.75" customHeight="1">
      <c r="D493" s="140"/>
      <c r="H493" s="142"/>
    </row>
    <row r="494" ht="15.75" customHeight="1">
      <c r="D494" s="140"/>
      <c r="H494" s="142"/>
    </row>
    <row r="495" ht="15.75" customHeight="1">
      <c r="D495" s="140"/>
      <c r="H495" s="142"/>
    </row>
    <row r="496" ht="15.75" customHeight="1">
      <c r="D496" s="140"/>
      <c r="H496" s="142"/>
    </row>
    <row r="497" ht="15.75" customHeight="1">
      <c r="D497" s="140"/>
      <c r="H497" s="142"/>
    </row>
    <row r="498" ht="15.75" customHeight="1">
      <c r="D498" s="140"/>
      <c r="H498" s="142"/>
    </row>
    <row r="499" ht="15.75" customHeight="1">
      <c r="D499" s="140"/>
      <c r="H499" s="142"/>
    </row>
    <row r="500" ht="15.75" customHeight="1">
      <c r="D500" s="140"/>
      <c r="H500" s="142"/>
    </row>
    <row r="501" ht="15.75" customHeight="1">
      <c r="D501" s="140"/>
      <c r="H501" s="142"/>
    </row>
    <row r="502" ht="15.75" customHeight="1">
      <c r="D502" s="140"/>
      <c r="H502" s="142"/>
    </row>
    <row r="503" ht="15.75" customHeight="1">
      <c r="D503" s="140"/>
      <c r="H503" s="142"/>
    </row>
    <row r="504" ht="15.75" customHeight="1">
      <c r="D504" s="140"/>
      <c r="H504" s="142"/>
    </row>
    <row r="505" ht="15.75" customHeight="1">
      <c r="D505" s="140"/>
      <c r="H505" s="142"/>
    </row>
    <row r="506" ht="15.75" customHeight="1">
      <c r="D506" s="140"/>
      <c r="H506" s="142"/>
    </row>
    <row r="507" ht="15.75" customHeight="1">
      <c r="D507" s="140"/>
      <c r="H507" s="142"/>
    </row>
    <row r="508" ht="15.75" customHeight="1">
      <c r="D508" s="140"/>
      <c r="H508" s="142"/>
    </row>
    <row r="509" ht="15.75" customHeight="1">
      <c r="D509" s="140"/>
      <c r="H509" s="142"/>
    </row>
    <row r="510" ht="15.75" customHeight="1">
      <c r="D510" s="140"/>
      <c r="H510" s="142"/>
    </row>
    <row r="511" ht="15.75" customHeight="1">
      <c r="D511" s="140"/>
      <c r="H511" s="142"/>
    </row>
    <row r="512" ht="15.75" customHeight="1">
      <c r="D512" s="140"/>
      <c r="H512" s="142"/>
    </row>
    <row r="513" ht="15.75" customHeight="1">
      <c r="D513" s="140"/>
      <c r="H513" s="142"/>
    </row>
    <row r="514" ht="15.75" customHeight="1">
      <c r="D514" s="140"/>
      <c r="H514" s="142"/>
    </row>
    <row r="515" ht="15.75" customHeight="1">
      <c r="D515" s="140"/>
      <c r="H515" s="142"/>
    </row>
    <row r="516" ht="15.75" customHeight="1">
      <c r="D516" s="140"/>
      <c r="H516" s="142"/>
    </row>
    <row r="517" ht="15.75" customHeight="1">
      <c r="D517" s="140"/>
      <c r="H517" s="142"/>
    </row>
    <row r="518" ht="15.75" customHeight="1">
      <c r="D518" s="140"/>
      <c r="H518" s="142"/>
    </row>
    <row r="519" ht="15.75" customHeight="1">
      <c r="D519" s="140"/>
      <c r="H519" s="142"/>
    </row>
    <row r="520" ht="15.75" customHeight="1">
      <c r="D520" s="140"/>
      <c r="H520" s="142"/>
    </row>
    <row r="521" ht="15.75" customHeight="1">
      <c r="D521" s="140"/>
      <c r="H521" s="142"/>
    </row>
    <row r="522" ht="15.75" customHeight="1">
      <c r="D522" s="140"/>
      <c r="H522" s="142"/>
    </row>
    <row r="523" ht="15.75" customHeight="1">
      <c r="D523" s="140"/>
      <c r="H523" s="142"/>
    </row>
    <row r="524" ht="15.75" customHeight="1">
      <c r="D524" s="140"/>
      <c r="H524" s="142"/>
    </row>
    <row r="525" ht="15.75" customHeight="1">
      <c r="D525" s="140"/>
      <c r="H525" s="142"/>
    </row>
    <row r="526" ht="15.75" customHeight="1">
      <c r="D526" s="140"/>
      <c r="H526" s="142"/>
    </row>
    <row r="527" ht="15.75" customHeight="1">
      <c r="D527" s="140"/>
      <c r="H527" s="142"/>
    </row>
    <row r="528" ht="15.75" customHeight="1">
      <c r="D528" s="140"/>
      <c r="H528" s="142"/>
    </row>
    <row r="529" ht="15.75" customHeight="1">
      <c r="D529" s="140"/>
      <c r="H529" s="142"/>
    </row>
    <row r="530" ht="15.75" customHeight="1">
      <c r="D530" s="140"/>
      <c r="H530" s="142"/>
    </row>
    <row r="531" ht="15.75" customHeight="1">
      <c r="D531" s="140"/>
      <c r="H531" s="142"/>
    </row>
    <row r="532" ht="15.75" customHeight="1">
      <c r="D532" s="140"/>
      <c r="H532" s="142"/>
    </row>
    <row r="533" ht="15.75" customHeight="1">
      <c r="D533" s="140"/>
      <c r="H533" s="142"/>
    </row>
    <row r="534" ht="15.75" customHeight="1">
      <c r="D534" s="140"/>
      <c r="H534" s="142"/>
    </row>
    <row r="535" ht="15.75" customHeight="1">
      <c r="D535" s="140"/>
      <c r="H535" s="142"/>
    </row>
    <row r="536" ht="15.75" customHeight="1">
      <c r="D536" s="140"/>
      <c r="H536" s="142"/>
    </row>
    <row r="537" ht="15.75" customHeight="1">
      <c r="D537" s="140"/>
      <c r="H537" s="142"/>
    </row>
    <row r="538" ht="15.75" customHeight="1">
      <c r="D538" s="140"/>
      <c r="H538" s="142"/>
    </row>
    <row r="539" ht="15.75" customHeight="1">
      <c r="D539" s="140"/>
      <c r="H539" s="142"/>
    </row>
    <row r="540" ht="15.75" customHeight="1">
      <c r="D540" s="140"/>
      <c r="H540" s="142"/>
    </row>
    <row r="541" ht="15.75" customHeight="1">
      <c r="D541" s="140"/>
      <c r="H541" s="142"/>
    </row>
    <row r="542" ht="15.75" customHeight="1">
      <c r="D542" s="140"/>
      <c r="H542" s="142"/>
    </row>
    <row r="543" ht="15.75" customHeight="1">
      <c r="D543" s="140"/>
      <c r="H543" s="142"/>
    </row>
    <row r="544" ht="15.75" customHeight="1">
      <c r="D544" s="140"/>
      <c r="H544" s="142"/>
    </row>
    <row r="545" ht="15.75" customHeight="1">
      <c r="D545" s="140"/>
      <c r="H545" s="142"/>
    </row>
    <row r="546" ht="15.75" customHeight="1">
      <c r="D546" s="140"/>
      <c r="H546" s="142"/>
    </row>
    <row r="547" ht="15.75" customHeight="1">
      <c r="D547" s="140"/>
      <c r="H547" s="142"/>
    </row>
    <row r="548" ht="15.75" customHeight="1">
      <c r="D548" s="140"/>
      <c r="H548" s="142"/>
    </row>
    <row r="549" ht="15.75" customHeight="1">
      <c r="D549" s="140"/>
      <c r="H549" s="142"/>
    </row>
    <row r="550" ht="15.75" customHeight="1">
      <c r="D550" s="140"/>
      <c r="H550" s="142"/>
    </row>
    <row r="551" ht="15.75" customHeight="1">
      <c r="D551" s="140"/>
      <c r="H551" s="142"/>
    </row>
    <row r="552" ht="15.75" customHeight="1">
      <c r="D552" s="140"/>
      <c r="H552" s="142"/>
    </row>
    <row r="553" ht="15.75" customHeight="1">
      <c r="D553" s="140"/>
      <c r="H553" s="142"/>
    </row>
    <row r="554" ht="15.75" customHeight="1">
      <c r="D554" s="140"/>
      <c r="H554" s="142"/>
    </row>
    <row r="555" ht="15.75" customHeight="1">
      <c r="D555" s="140"/>
      <c r="H555" s="142"/>
    </row>
    <row r="556" ht="15.75" customHeight="1">
      <c r="D556" s="140"/>
      <c r="H556" s="142"/>
    </row>
    <row r="557" ht="15.75" customHeight="1">
      <c r="D557" s="140"/>
      <c r="H557" s="142"/>
    </row>
    <row r="558" ht="15.75" customHeight="1">
      <c r="D558" s="140"/>
      <c r="H558" s="142"/>
    </row>
    <row r="559" ht="15.75" customHeight="1">
      <c r="D559" s="140"/>
      <c r="H559" s="142"/>
    </row>
    <row r="560" ht="15.75" customHeight="1">
      <c r="D560" s="140"/>
      <c r="H560" s="142"/>
    </row>
    <row r="561" ht="15.75" customHeight="1">
      <c r="D561" s="140"/>
      <c r="H561" s="142"/>
    </row>
    <row r="562" ht="15.75" customHeight="1">
      <c r="D562" s="140"/>
      <c r="H562" s="142"/>
    </row>
    <row r="563" ht="15.75" customHeight="1">
      <c r="D563" s="140"/>
      <c r="H563" s="142"/>
    </row>
    <row r="564" ht="15.75" customHeight="1">
      <c r="D564" s="140"/>
      <c r="H564" s="142"/>
    </row>
    <row r="565" ht="15.75" customHeight="1">
      <c r="D565" s="140"/>
      <c r="H565" s="142"/>
    </row>
    <row r="566" ht="15.75" customHeight="1">
      <c r="D566" s="140"/>
      <c r="H566" s="142"/>
    </row>
    <row r="567" ht="15.75" customHeight="1">
      <c r="D567" s="140"/>
      <c r="H567" s="142"/>
    </row>
    <row r="568" ht="15.75" customHeight="1">
      <c r="D568" s="140"/>
      <c r="H568" s="142"/>
    </row>
    <row r="569" ht="15.75" customHeight="1">
      <c r="D569" s="140"/>
      <c r="H569" s="142"/>
    </row>
    <row r="570" ht="15.75" customHeight="1">
      <c r="D570" s="140"/>
      <c r="H570" s="142"/>
    </row>
    <row r="571" ht="15.75" customHeight="1">
      <c r="D571" s="140"/>
      <c r="H571" s="142"/>
    </row>
    <row r="572" ht="15.75" customHeight="1">
      <c r="D572" s="140"/>
      <c r="H572" s="142"/>
    </row>
    <row r="573" ht="15.75" customHeight="1">
      <c r="D573" s="140"/>
      <c r="H573" s="142"/>
    </row>
    <row r="574" ht="15.75" customHeight="1">
      <c r="D574" s="140"/>
      <c r="H574" s="142"/>
    </row>
    <row r="575" ht="15.75" customHeight="1">
      <c r="D575" s="140"/>
      <c r="H575" s="142"/>
    </row>
    <row r="576" ht="15.75" customHeight="1">
      <c r="D576" s="140"/>
      <c r="H576" s="142"/>
    </row>
    <row r="577" ht="15.75" customHeight="1">
      <c r="D577" s="140"/>
      <c r="H577" s="142"/>
    </row>
    <row r="578" ht="15.75" customHeight="1">
      <c r="D578" s="140"/>
      <c r="H578" s="142"/>
    </row>
    <row r="579" ht="15.75" customHeight="1">
      <c r="D579" s="140"/>
      <c r="H579" s="142"/>
    </row>
    <row r="580" ht="15.75" customHeight="1">
      <c r="D580" s="140"/>
      <c r="H580" s="142"/>
    </row>
    <row r="581" ht="15.75" customHeight="1">
      <c r="D581" s="140"/>
      <c r="H581" s="142"/>
    </row>
    <row r="582" ht="15.75" customHeight="1">
      <c r="D582" s="140"/>
      <c r="H582" s="142"/>
    </row>
    <row r="583" ht="15.75" customHeight="1">
      <c r="D583" s="140"/>
      <c r="H583" s="142"/>
    </row>
    <row r="584" ht="15.75" customHeight="1">
      <c r="D584" s="140"/>
      <c r="H584" s="142"/>
    </row>
    <row r="585" ht="15.75" customHeight="1">
      <c r="D585" s="140"/>
      <c r="H585" s="142"/>
    </row>
    <row r="586" ht="15.75" customHeight="1">
      <c r="D586" s="140"/>
      <c r="H586" s="142"/>
    </row>
    <row r="587" ht="15.75" customHeight="1">
      <c r="D587" s="140"/>
      <c r="H587" s="142"/>
    </row>
    <row r="588" ht="15.75" customHeight="1">
      <c r="D588" s="140"/>
      <c r="H588" s="142"/>
    </row>
    <row r="589" ht="15.75" customHeight="1">
      <c r="D589" s="140"/>
      <c r="H589" s="142"/>
    </row>
    <row r="590" ht="15.75" customHeight="1">
      <c r="D590" s="140"/>
      <c r="H590" s="142"/>
    </row>
    <row r="591" ht="15.75" customHeight="1">
      <c r="D591" s="140"/>
      <c r="H591" s="142"/>
    </row>
    <row r="592" ht="15.75" customHeight="1">
      <c r="D592" s="140"/>
      <c r="H592" s="142"/>
    </row>
    <row r="593" ht="15.75" customHeight="1">
      <c r="D593" s="140"/>
      <c r="H593" s="142"/>
    </row>
    <row r="594" ht="15.75" customHeight="1">
      <c r="D594" s="140"/>
      <c r="H594" s="142"/>
    </row>
    <row r="595" ht="15.75" customHeight="1">
      <c r="D595" s="140"/>
      <c r="H595" s="142"/>
    </row>
    <row r="596" ht="15.75" customHeight="1">
      <c r="D596" s="140"/>
      <c r="H596" s="142"/>
    </row>
    <row r="597" ht="15.75" customHeight="1">
      <c r="D597" s="140"/>
      <c r="H597" s="142"/>
    </row>
    <row r="598" ht="15.75" customHeight="1">
      <c r="D598" s="140"/>
      <c r="H598" s="142"/>
    </row>
    <row r="599" ht="15.75" customHeight="1">
      <c r="D599" s="140"/>
      <c r="H599" s="142"/>
    </row>
    <row r="600" ht="15.75" customHeight="1">
      <c r="D600" s="140"/>
      <c r="H600" s="142"/>
    </row>
    <row r="601" ht="15.75" customHeight="1">
      <c r="D601" s="140"/>
      <c r="H601" s="142"/>
    </row>
    <row r="602" ht="15.75" customHeight="1">
      <c r="D602" s="140"/>
      <c r="H602" s="142"/>
    </row>
    <row r="603" ht="15.75" customHeight="1">
      <c r="D603" s="140"/>
      <c r="H603" s="142"/>
    </row>
    <row r="604" ht="15.75" customHeight="1">
      <c r="D604" s="140"/>
      <c r="H604" s="142"/>
    </row>
    <row r="605" ht="15.75" customHeight="1">
      <c r="D605" s="140"/>
      <c r="H605" s="142"/>
    </row>
    <row r="606" ht="15.75" customHeight="1">
      <c r="D606" s="140"/>
      <c r="H606" s="142"/>
    </row>
    <row r="607" ht="15.75" customHeight="1">
      <c r="D607" s="140"/>
      <c r="H607" s="142"/>
    </row>
    <row r="608" ht="15.75" customHeight="1">
      <c r="D608" s="140"/>
      <c r="H608" s="142"/>
    </row>
    <row r="609" ht="15.75" customHeight="1">
      <c r="D609" s="140"/>
      <c r="H609" s="142"/>
    </row>
    <row r="610" ht="15.75" customHeight="1">
      <c r="D610" s="140"/>
      <c r="H610" s="142"/>
    </row>
    <row r="611" ht="15.75" customHeight="1">
      <c r="D611" s="140"/>
      <c r="H611" s="142"/>
    </row>
    <row r="612" ht="15.75" customHeight="1">
      <c r="D612" s="140"/>
      <c r="H612" s="142"/>
    </row>
    <row r="613" ht="15.75" customHeight="1">
      <c r="D613" s="140"/>
      <c r="H613" s="142"/>
    </row>
    <row r="614" ht="15.75" customHeight="1">
      <c r="D614" s="140"/>
      <c r="H614" s="142"/>
    </row>
    <row r="615" ht="15.75" customHeight="1">
      <c r="D615" s="140"/>
      <c r="H615" s="142"/>
    </row>
    <row r="616" ht="15.75" customHeight="1">
      <c r="D616" s="140"/>
      <c r="H616" s="142"/>
    </row>
    <row r="617" ht="15.75" customHeight="1">
      <c r="D617" s="140"/>
      <c r="H617" s="142"/>
    </row>
    <row r="618" ht="15.75" customHeight="1">
      <c r="D618" s="140"/>
      <c r="H618" s="142"/>
    </row>
    <row r="619" ht="15.75" customHeight="1">
      <c r="D619" s="140"/>
      <c r="H619" s="142"/>
    </row>
    <row r="620" ht="15.75" customHeight="1">
      <c r="D620" s="140"/>
      <c r="H620" s="142"/>
    </row>
    <row r="621" ht="15.75" customHeight="1">
      <c r="D621" s="140"/>
      <c r="H621" s="142"/>
    </row>
    <row r="622" ht="15.75" customHeight="1">
      <c r="D622" s="140"/>
      <c r="H622" s="142"/>
    </row>
    <row r="623" ht="15.75" customHeight="1">
      <c r="D623" s="140"/>
      <c r="H623" s="142"/>
    </row>
    <row r="624" ht="15.75" customHeight="1">
      <c r="D624" s="140"/>
      <c r="H624" s="142"/>
    </row>
    <row r="625" ht="15.75" customHeight="1">
      <c r="D625" s="140"/>
      <c r="H625" s="142"/>
    </row>
    <row r="626" ht="15.75" customHeight="1">
      <c r="D626" s="140"/>
      <c r="H626" s="142"/>
    </row>
    <row r="627" ht="15.75" customHeight="1">
      <c r="D627" s="140"/>
      <c r="H627" s="142"/>
    </row>
    <row r="628" ht="15.75" customHeight="1">
      <c r="D628" s="140"/>
      <c r="H628" s="142"/>
    </row>
    <row r="629" ht="15.75" customHeight="1">
      <c r="D629" s="140"/>
      <c r="H629" s="142"/>
    </row>
    <row r="630" ht="15.75" customHeight="1">
      <c r="D630" s="140"/>
      <c r="H630" s="142"/>
    </row>
    <row r="631" ht="15.75" customHeight="1">
      <c r="D631" s="140"/>
      <c r="H631" s="142"/>
    </row>
    <row r="632" ht="15.75" customHeight="1">
      <c r="D632" s="140"/>
      <c r="H632" s="142"/>
    </row>
    <row r="633" ht="15.75" customHeight="1">
      <c r="D633" s="140"/>
      <c r="H633" s="142"/>
    </row>
    <row r="634" ht="15.75" customHeight="1">
      <c r="D634" s="140"/>
      <c r="H634" s="142"/>
    </row>
    <row r="635" ht="15.75" customHeight="1">
      <c r="D635" s="140"/>
      <c r="H635" s="142"/>
    </row>
    <row r="636" ht="15.75" customHeight="1">
      <c r="D636" s="140"/>
      <c r="H636" s="142"/>
    </row>
    <row r="637" ht="15.75" customHeight="1">
      <c r="D637" s="140"/>
      <c r="H637" s="142"/>
    </row>
    <row r="638" ht="15.75" customHeight="1">
      <c r="D638" s="140"/>
      <c r="H638" s="142"/>
    </row>
    <row r="639" ht="15.75" customHeight="1">
      <c r="D639" s="140"/>
      <c r="H639" s="142"/>
    </row>
    <row r="640" ht="15.75" customHeight="1">
      <c r="D640" s="140"/>
      <c r="H640" s="142"/>
    </row>
    <row r="641" ht="15.75" customHeight="1">
      <c r="D641" s="140"/>
      <c r="H641" s="142"/>
    </row>
    <row r="642" ht="15.75" customHeight="1">
      <c r="D642" s="140"/>
      <c r="H642" s="142"/>
    </row>
    <row r="643" ht="15.75" customHeight="1">
      <c r="D643" s="140"/>
      <c r="H643" s="142"/>
    </row>
    <row r="644" ht="15.75" customHeight="1">
      <c r="D644" s="140"/>
      <c r="H644" s="142"/>
    </row>
    <row r="645" ht="15.75" customHeight="1">
      <c r="D645" s="140"/>
      <c r="H645" s="142"/>
    </row>
    <row r="646" ht="15.75" customHeight="1">
      <c r="D646" s="140"/>
      <c r="H646" s="142"/>
    </row>
    <row r="647" ht="15.75" customHeight="1">
      <c r="D647" s="140"/>
      <c r="H647" s="142"/>
    </row>
    <row r="648" ht="15.75" customHeight="1">
      <c r="D648" s="140"/>
      <c r="H648" s="142"/>
    </row>
    <row r="649" ht="15.75" customHeight="1">
      <c r="D649" s="140"/>
      <c r="H649" s="142"/>
    </row>
    <row r="650" ht="15.75" customHeight="1">
      <c r="D650" s="140"/>
      <c r="H650" s="142"/>
    </row>
    <row r="651" ht="15.75" customHeight="1">
      <c r="D651" s="140"/>
      <c r="H651" s="142"/>
    </row>
    <row r="652" ht="15.75" customHeight="1">
      <c r="D652" s="140"/>
      <c r="H652" s="142"/>
    </row>
    <row r="653" ht="15.75" customHeight="1">
      <c r="D653" s="140"/>
      <c r="H653" s="142"/>
    </row>
    <row r="654" ht="15.75" customHeight="1">
      <c r="D654" s="140"/>
      <c r="H654" s="142"/>
    </row>
    <row r="655" ht="15.75" customHeight="1">
      <c r="D655" s="140"/>
      <c r="H655" s="142"/>
    </row>
    <row r="656" ht="15.75" customHeight="1">
      <c r="D656" s="140"/>
      <c r="H656" s="142"/>
    </row>
    <row r="657" ht="15.75" customHeight="1">
      <c r="D657" s="140"/>
      <c r="H657" s="142"/>
    </row>
    <row r="658" ht="15.75" customHeight="1">
      <c r="D658" s="140"/>
      <c r="H658" s="142"/>
    </row>
    <row r="659" ht="15.75" customHeight="1">
      <c r="D659" s="140"/>
      <c r="H659" s="142"/>
    </row>
    <row r="660" ht="15.75" customHeight="1">
      <c r="D660" s="140"/>
      <c r="H660" s="142"/>
    </row>
    <row r="661" ht="15.75" customHeight="1">
      <c r="D661" s="140"/>
      <c r="H661" s="142"/>
    </row>
    <row r="662" ht="15.75" customHeight="1">
      <c r="D662" s="140"/>
      <c r="H662" s="142"/>
    </row>
    <row r="663" ht="15.75" customHeight="1">
      <c r="D663" s="140"/>
      <c r="H663" s="142"/>
    </row>
    <row r="664" ht="15.75" customHeight="1">
      <c r="D664" s="140"/>
      <c r="H664" s="142"/>
    </row>
    <row r="665" ht="15.75" customHeight="1">
      <c r="D665" s="140"/>
      <c r="H665" s="142"/>
    </row>
    <row r="666" ht="15.75" customHeight="1">
      <c r="D666" s="140"/>
      <c r="H666" s="142"/>
    </row>
    <row r="667" ht="15.75" customHeight="1">
      <c r="D667" s="140"/>
      <c r="H667" s="142"/>
    </row>
    <row r="668" ht="15.75" customHeight="1">
      <c r="D668" s="140"/>
      <c r="H668" s="142"/>
    </row>
    <row r="669" ht="15.75" customHeight="1">
      <c r="D669" s="140"/>
      <c r="H669" s="142"/>
    </row>
    <row r="670" ht="15.75" customHeight="1">
      <c r="D670" s="140"/>
      <c r="H670" s="142"/>
    </row>
    <row r="671" ht="15.75" customHeight="1">
      <c r="D671" s="140"/>
      <c r="H671" s="142"/>
    </row>
    <row r="672" ht="15.75" customHeight="1">
      <c r="D672" s="140"/>
      <c r="H672" s="142"/>
    </row>
    <row r="673" ht="15.75" customHeight="1">
      <c r="D673" s="140"/>
      <c r="H673" s="142"/>
    </row>
    <row r="674" ht="15.75" customHeight="1">
      <c r="D674" s="140"/>
      <c r="H674" s="142"/>
    </row>
    <row r="675" ht="15.75" customHeight="1">
      <c r="D675" s="140"/>
      <c r="H675" s="142"/>
    </row>
    <row r="676" ht="15.75" customHeight="1">
      <c r="D676" s="140"/>
      <c r="H676" s="142"/>
    </row>
    <row r="677" ht="15.75" customHeight="1">
      <c r="D677" s="140"/>
      <c r="H677" s="142"/>
    </row>
    <row r="678" ht="15.75" customHeight="1">
      <c r="D678" s="140"/>
      <c r="H678" s="142"/>
    </row>
    <row r="679" ht="15.75" customHeight="1">
      <c r="D679" s="140"/>
      <c r="H679" s="142"/>
    </row>
    <row r="680" ht="15.75" customHeight="1">
      <c r="D680" s="140"/>
      <c r="H680" s="142"/>
    </row>
    <row r="681" ht="15.75" customHeight="1">
      <c r="D681" s="140"/>
      <c r="H681" s="142"/>
    </row>
    <row r="682" ht="15.75" customHeight="1">
      <c r="D682" s="140"/>
      <c r="H682" s="142"/>
    </row>
    <row r="683" ht="15.75" customHeight="1">
      <c r="D683" s="140"/>
      <c r="H683" s="142"/>
    </row>
    <row r="684" ht="15.75" customHeight="1">
      <c r="D684" s="140"/>
      <c r="H684" s="142"/>
    </row>
    <row r="685" ht="15.75" customHeight="1">
      <c r="D685" s="140"/>
      <c r="H685" s="142"/>
    </row>
    <row r="686" ht="15.75" customHeight="1">
      <c r="D686" s="140"/>
      <c r="H686" s="142"/>
    </row>
    <row r="687" ht="15.75" customHeight="1">
      <c r="D687" s="140"/>
      <c r="H687" s="142"/>
    </row>
    <row r="688" ht="15.75" customHeight="1">
      <c r="D688" s="140"/>
      <c r="H688" s="142"/>
    </row>
    <row r="689" ht="15.75" customHeight="1">
      <c r="D689" s="140"/>
      <c r="H689" s="142"/>
    </row>
    <row r="690" ht="15.75" customHeight="1">
      <c r="D690" s="140"/>
      <c r="H690" s="142"/>
    </row>
    <row r="691" ht="15.75" customHeight="1">
      <c r="D691" s="140"/>
      <c r="H691" s="142"/>
    </row>
    <row r="692" ht="15.75" customHeight="1">
      <c r="D692" s="140"/>
      <c r="H692" s="142"/>
    </row>
    <row r="693" ht="15.75" customHeight="1">
      <c r="D693" s="140"/>
      <c r="H693" s="142"/>
    </row>
    <row r="694" ht="15.75" customHeight="1">
      <c r="D694" s="140"/>
      <c r="H694" s="142"/>
    </row>
    <row r="695" ht="15.75" customHeight="1">
      <c r="D695" s="140"/>
      <c r="H695" s="142"/>
    </row>
    <row r="696" ht="15.75" customHeight="1">
      <c r="D696" s="140"/>
      <c r="H696" s="142"/>
    </row>
    <row r="697" ht="15.75" customHeight="1">
      <c r="D697" s="140"/>
      <c r="H697" s="142"/>
    </row>
    <row r="698" ht="15.75" customHeight="1">
      <c r="D698" s="140"/>
      <c r="H698" s="142"/>
    </row>
    <row r="699" ht="15.75" customHeight="1">
      <c r="D699" s="140"/>
      <c r="H699" s="142"/>
    </row>
    <row r="700" ht="15.75" customHeight="1">
      <c r="D700" s="140"/>
      <c r="H700" s="142"/>
    </row>
    <row r="701" ht="15.75" customHeight="1">
      <c r="D701" s="140"/>
      <c r="H701" s="142"/>
    </row>
    <row r="702" ht="15.75" customHeight="1">
      <c r="D702" s="140"/>
      <c r="H702" s="142"/>
    </row>
    <row r="703" ht="15.75" customHeight="1">
      <c r="D703" s="140"/>
      <c r="H703" s="142"/>
    </row>
    <row r="704" ht="15.75" customHeight="1">
      <c r="D704" s="140"/>
      <c r="H704" s="142"/>
    </row>
    <row r="705" ht="15.75" customHeight="1">
      <c r="D705" s="140"/>
      <c r="H705" s="142"/>
    </row>
    <row r="706" ht="15.75" customHeight="1">
      <c r="D706" s="140"/>
      <c r="H706" s="142"/>
    </row>
    <row r="707" ht="15.75" customHeight="1">
      <c r="D707" s="140"/>
      <c r="H707" s="142"/>
    </row>
    <row r="708" ht="15.75" customHeight="1">
      <c r="D708" s="140"/>
      <c r="H708" s="142"/>
    </row>
    <row r="709" ht="15.75" customHeight="1">
      <c r="D709" s="140"/>
      <c r="H709" s="142"/>
    </row>
    <row r="710" ht="15.75" customHeight="1">
      <c r="D710" s="140"/>
      <c r="H710" s="142"/>
    </row>
    <row r="711" ht="15.75" customHeight="1">
      <c r="D711" s="140"/>
      <c r="H711" s="142"/>
    </row>
    <row r="712" ht="15.75" customHeight="1">
      <c r="D712" s="140"/>
      <c r="H712" s="142"/>
    </row>
    <row r="713" ht="15.75" customHeight="1">
      <c r="D713" s="140"/>
      <c r="H713" s="142"/>
    </row>
    <row r="714" ht="15.75" customHeight="1">
      <c r="D714" s="140"/>
      <c r="H714" s="142"/>
    </row>
    <row r="715" ht="15.75" customHeight="1">
      <c r="D715" s="140"/>
      <c r="H715" s="142"/>
    </row>
    <row r="716" ht="15.75" customHeight="1">
      <c r="D716" s="140"/>
      <c r="H716" s="142"/>
    </row>
    <row r="717" ht="15.75" customHeight="1">
      <c r="D717" s="140"/>
      <c r="H717" s="142"/>
    </row>
    <row r="718" ht="15.75" customHeight="1">
      <c r="D718" s="140"/>
      <c r="H718" s="142"/>
    </row>
    <row r="719" ht="15.75" customHeight="1">
      <c r="D719" s="140"/>
      <c r="H719" s="142"/>
    </row>
    <row r="720" ht="15.75" customHeight="1">
      <c r="D720" s="140"/>
      <c r="H720" s="142"/>
    </row>
    <row r="721" ht="15.75" customHeight="1">
      <c r="D721" s="140"/>
      <c r="H721" s="142"/>
    </row>
    <row r="722" ht="15.75" customHeight="1">
      <c r="D722" s="140"/>
      <c r="H722" s="142"/>
    </row>
    <row r="723" ht="15.75" customHeight="1">
      <c r="D723" s="140"/>
      <c r="H723" s="142"/>
    </row>
    <row r="724" ht="15.75" customHeight="1">
      <c r="D724" s="140"/>
      <c r="H724" s="142"/>
    </row>
    <row r="725" ht="15.75" customHeight="1">
      <c r="D725" s="140"/>
      <c r="H725" s="142"/>
    </row>
    <row r="726" ht="15.75" customHeight="1">
      <c r="D726" s="140"/>
      <c r="H726" s="142"/>
    </row>
    <row r="727" ht="15.75" customHeight="1">
      <c r="D727" s="140"/>
      <c r="H727" s="142"/>
    </row>
    <row r="728" ht="15.75" customHeight="1">
      <c r="D728" s="140"/>
      <c r="H728" s="142"/>
    </row>
    <row r="729" ht="15.75" customHeight="1">
      <c r="D729" s="140"/>
      <c r="H729" s="142"/>
    </row>
    <row r="730" ht="15.75" customHeight="1">
      <c r="D730" s="140"/>
      <c r="H730" s="142"/>
    </row>
    <row r="731" ht="15.75" customHeight="1">
      <c r="D731" s="140"/>
      <c r="H731" s="142"/>
    </row>
    <row r="732" ht="15.75" customHeight="1">
      <c r="D732" s="140"/>
      <c r="H732" s="142"/>
    </row>
    <row r="733" ht="15.75" customHeight="1">
      <c r="D733" s="140"/>
      <c r="H733" s="142"/>
    </row>
    <row r="734" ht="15.75" customHeight="1">
      <c r="D734" s="140"/>
      <c r="H734" s="142"/>
    </row>
    <row r="735" ht="15.75" customHeight="1">
      <c r="D735" s="140"/>
      <c r="H735" s="142"/>
    </row>
    <row r="736" ht="15.75" customHeight="1">
      <c r="D736" s="140"/>
      <c r="H736" s="142"/>
    </row>
    <row r="737" ht="15.75" customHeight="1">
      <c r="D737" s="140"/>
      <c r="H737" s="142"/>
    </row>
    <row r="738" ht="15.75" customHeight="1">
      <c r="D738" s="140"/>
      <c r="H738" s="142"/>
    </row>
    <row r="739" ht="15.75" customHeight="1">
      <c r="D739" s="140"/>
      <c r="H739" s="142"/>
    </row>
    <row r="740" ht="15.75" customHeight="1">
      <c r="D740" s="140"/>
      <c r="H740" s="142"/>
    </row>
    <row r="741" ht="15.75" customHeight="1">
      <c r="D741" s="140"/>
      <c r="H741" s="142"/>
    </row>
    <row r="742" ht="15.75" customHeight="1">
      <c r="D742" s="140"/>
      <c r="H742" s="142"/>
    </row>
    <row r="743" ht="15.75" customHeight="1">
      <c r="D743" s="140"/>
      <c r="H743" s="142"/>
    </row>
    <row r="744" ht="15.75" customHeight="1">
      <c r="D744" s="140"/>
      <c r="H744" s="142"/>
    </row>
    <row r="745" ht="15.75" customHeight="1">
      <c r="D745" s="140"/>
      <c r="H745" s="142"/>
    </row>
    <row r="746" ht="15.75" customHeight="1">
      <c r="D746" s="140"/>
      <c r="H746" s="142"/>
    </row>
    <row r="747" ht="15.75" customHeight="1">
      <c r="D747" s="140"/>
      <c r="H747" s="142"/>
    </row>
    <row r="748" ht="15.75" customHeight="1">
      <c r="D748" s="140"/>
      <c r="H748" s="142"/>
    </row>
    <row r="749" ht="15.75" customHeight="1">
      <c r="D749" s="140"/>
      <c r="H749" s="142"/>
    </row>
    <row r="750" ht="15.75" customHeight="1">
      <c r="D750" s="140"/>
      <c r="H750" s="142"/>
    </row>
    <row r="751" ht="15.75" customHeight="1">
      <c r="D751" s="140"/>
      <c r="H751" s="142"/>
    </row>
    <row r="752" ht="15.75" customHeight="1">
      <c r="D752" s="140"/>
      <c r="H752" s="142"/>
    </row>
    <row r="753" ht="15.75" customHeight="1">
      <c r="D753" s="140"/>
      <c r="H753" s="142"/>
    </row>
    <row r="754" ht="15.75" customHeight="1">
      <c r="D754" s="140"/>
      <c r="H754" s="142"/>
    </row>
    <row r="755" ht="15.75" customHeight="1">
      <c r="D755" s="140"/>
      <c r="H755" s="142"/>
    </row>
    <row r="756" ht="15.75" customHeight="1">
      <c r="D756" s="140"/>
      <c r="H756" s="142"/>
    </row>
    <row r="757" ht="15.75" customHeight="1">
      <c r="D757" s="140"/>
      <c r="H757" s="142"/>
    </row>
    <row r="758" ht="15.75" customHeight="1">
      <c r="D758" s="140"/>
      <c r="H758" s="142"/>
    </row>
    <row r="759" ht="15.75" customHeight="1">
      <c r="D759" s="140"/>
      <c r="H759" s="142"/>
    </row>
    <row r="760" ht="15.75" customHeight="1">
      <c r="D760" s="140"/>
      <c r="H760" s="142"/>
    </row>
    <row r="761" ht="15.75" customHeight="1">
      <c r="D761" s="140"/>
      <c r="H761" s="142"/>
    </row>
    <row r="762" ht="15.75" customHeight="1">
      <c r="D762" s="140"/>
      <c r="H762" s="142"/>
    </row>
    <row r="763" ht="15.75" customHeight="1">
      <c r="D763" s="140"/>
      <c r="H763" s="142"/>
    </row>
    <row r="764" ht="15.75" customHeight="1">
      <c r="D764" s="140"/>
      <c r="H764" s="142"/>
    </row>
    <row r="765" ht="15.75" customHeight="1">
      <c r="D765" s="140"/>
      <c r="H765" s="142"/>
    </row>
    <row r="766" ht="15.75" customHeight="1">
      <c r="D766" s="140"/>
      <c r="H766" s="142"/>
    </row>
    <row r="767" ht="15.75" customHeight="1">
      <c r="D767" s="140"/>
      <c r="H767" s="142"/>
    </row>
    <row r="768" ht="15.75" customHeight="1">
      <c r="D768" s="140"/>
      <c r="H768" s="142"/>
    </row>
    <row r="769" ht="15.75" customHeight="1">
      <c r="D769" s="140"/>
      <c r="H769" s="142"/>
    </row>
    <row r="770" ht="15.75" customHeight="1">
      <c r="D770" s="140"/>
      <c r="H770" s="142"/>
    </row>
    <row r="771" ht="15.75" customHeight="1">
      <c r="D771" s="140"/>
      <c r="H771" s="142"/>
    </row>
    <row r="772" ht="15.75" customHeight="1">
      <c r="D772" s="140"/>
      <c r="H772" s="142"/>
    </row>
    <row r="773" ht="15.75" customHeight="1">
      <c r="D773" s="140"/>
      <c r="H773" s="142"/>
    </row>
    <row r="774" ht="15.75" customHeight="1">
      <c r="D774" s="140"/>
      <c r="H774" s="142"/>
    </row>
    <row r="775" ht="15.75" customHeight="1">
      <c r="D775" s="140"/>
      <c r="H775" s="142"/>
    </row>
    <row r="776" ht="15.75" customHeight="1">
      <c r="D776" s="140"/>
      <c r="H776" s="142"/>
    </row>
    <row r="777" ht="15.75" customHeight="1">
      <c r="D777" s="140"/>
      <c r="H777" s="142"/>
    </row>
    <row r="778" ht="15.75" customHeight="1">
      <c r="D778" s="140"/>
      <c r="H778" s="142"/>
    </row>
    <row r="779" ht="15.75" customHeight="1">
      <c r="D779" s="140"/>
      <c r="H779" s="142"/>
    </row>
    <row r="780" ht="15.75" customHeight="1">
      <c r="D780" s="140"/>
      <c r="H780" s="142"/>
    </row>
    <row r="781" ht="15.75" customHeight="1">
      <c r="D781" s="140"/>
      <c r="H781" s="142"/>
    </row>
    <row r="782" ht="15.75" customHeight="1">
      <c r="D782" s="140"/>
      <c r="H782" s="142"/>
    </row>
    <row r="783" ht="15.75" customHeight="1">
      <c r="D783" s="140"/>
      <c r="H783" s="142"/>
    </row>
    <row r="784" ht="15.75" customHeight="1">
      <c r="D784" s="140"/>
      <c r="H784" s="142"/>
    </row>
    <row r="785" ht="15.75" customHeight="1">
      <c r="D785" s="140"/>
      <c r="H785" s="142"/>
    </row>
    <row r="786" ht="15.75" customHeight="1">
      <c r="D786" s="140"/>
      <c r="H786" s="142"/>
    </row>
    <row r="787" ht="15.75" customHeight="1">
      <c r="D787" s="140"/>
      <c r="H787" s="142"/>
    </row>
    <row r="788" ht="15.75" customHeight="1">
      <c r="D788" s="140"/>
      <c r="H788" s="142"/>
    </row>
    <row r="789" ht="15.75" customHeight="1">
      <c r="D789" s="140"/>
      <c r="H789" s="142"/>
    </row>
    <row r="790" ht="15.75" customHeight="1">
      <c r="D790" s="140"/>
      <c r="H790" s="142"/>
    </row>
    <row r="791" ht="15.75" customHeight="1">
      <c r="D791" s="140"/>
      <c r="H791" s="142"/>
    </row>
    <row r="792" ht="15.75" customHeight="1">
      <c r="D792" s="140"/>
      <c r="H792" s="142"/>
    </row>
    <row r="793" ht="15.75" customHeight="1">
      <c r="D793" s="140"/>
      <c r="H793" s="142"/>
    </row>
    <row r="794" ht="15.75" customHeight="1">
      <c r="D794" s="140"/>
      <c r="H794" s="142"/>
    </row>
    <row r="795" ht="15.75" customHeight="1">
      <c r="D795" s="140"/>
      <c r="H795" s="142"/>
    </row>
    <row r="796" ht="15.75" customHeight="1">
      <c r="D796" s="140"/>
      <c r="H796" s="142"/>
    </row>
    <row r="797" ht="15.75" customHeight="1">
      <c r="D797" s="140"/>
      <c r="H797" s="142"/>
    </row>
    <row r="798" ht="15.75" customHeight="1">
      <c r="D798" s="140"/>
      <c r="H798" s="142"/>
    </row>
    <row r="799" ht="15.75" customHeight="1">
      <c r="D799" s="140"/>
      <c r="H799" s="142"/>
    </row>
    <row r="800" ht="15.75" customHeight="1">
      <c r="D800" s="140"/>
      <c r="H800" s="142"/>
    </row>
    <row r="801" ht="15.75" customHeight="1">
      <c r="D801" s="140"/>
      <c r="H801" s="142"/>
    </row>
    <row r="802" ht="15.75" customHeight="1">
      <c r="D802" s="140"/>
      <c r="H802" s="142"/>
    </row>
    <row r="803" ht="15.75" customHeight="1">
      <c r="D803" s="140"/>
      <c r="H803" s="142"/>
    </row>
    <row r="804" ht="15.75" customHeight="1">
      <c r="D804" s="140"/>
      <c r="H804" s="142"/>
    </row>
    <row r="805" ht="15.75" customHeight="1">
      <c r="D805" s="140"/>
      <c r="H805" s="142"/>
    </row>
    <row r="806" ht="15.75" customHeight="1">
      <c r="D806" s="140"/>
      <c r="H806" s="142"/>
    </row>
    <row r="807" ht="15.75" customHeight="1">
      <c r="D807" s="140"/>
      <c r="H807" s="142"/>
    </row>
    <row r="808" ht="15.75" customHeight="1">
      <c r="D808" s="140"/>
      <c r="H808" s="142"/>
    </row>
    <row r="809" ht="15.75" customHeight="1">
      <c r="D809" s="140"/>
      <c r="H809" s="142"/>
    </row>
    <row r="810" ht="15.75" customHeight="1">
      <c r="D810" s="140"/>
      <c r="H810" s="142"/>
    </row>
    <row r="811" ht="15.75" customHeight="1">
      <c r="D811" s="140"/>
      <c r="H811" s="142"/>
    </row>
    <row r="812" ht="15.75" customHeight="1">
      <c r="D812" s="140"/>
      <c r="H812" s="142"/>
    </row>
    <row r="813" ht="15.75" customHeight="1">
      <c r="D813" s="140"/>
      <c r="H813" s="142"/>
    </row>
    <row r="814" ht="15.75" customHeight="1">
      <c r="D814" s="140"/>
      <c r="H814" s="142"/>
    </row>
    <row r="815" ht="15.75" customHeight="1">
      <c r="D815" s="140"/>
      <c r="H815" s="142"/>
    </row>
    <row r="816" ht="15.75" customHeight="1">
      <c r="D816" s="140"/>
      <c r="H816" s="142"/>
    </row>
    <row r="817" ht="15.75" customHeight="1">
      <c r="D817" s="140"/>
      <c r="H817" s="142"/>
    </row>
    <row r="818" ht="15.75" customHeight="1">
      <c r="D818" s="140"/>
      <c r="H818" s="142"/>
    </row>
    <row r="819" ht="15.75" customHeight="1">
      <c r="D819" s="140"/>
      <c r="H819" s="142"/>
    </row>
    <row r="820" ht="15.75" customHeight="1">
      <c r="D820" s="140"/>
      <c r="H820" s="142"/>
    </row>
    <row r="821" ht="15.75" customHeight="1">
      <c r="D821" s="140"/>
      <c r="H821" s="142"/>
    </row>
    <row r="822" ht="15.75" customHeight="1">
      <c r="D822" s="140"/>
      <c r="H822" s="142"/>
    </row>
    <row r="823" ht="15.75" customHeight="1">
      <c r="D823" s="140"/>
      <c r="H823" s="142"/>
    </row>
    <row r="824" ht="15.75" customHeight="1">
      <c r="D824" s="140"/>
      <c r="H824" s="142"/>
    </row>
    <row r="825" ht="15.75" customHeight="1">
      <c r="D825" s="140"/>
      <c r="H825" s="142"/>
    </row>
    <row r="826" ht="15.75" customHeight="1">
      <c r="D826" s="140"/>
      <c r="H826" s="142"/>
    </row>
    <row r="827" ht="15.75" customHeight="1">
      <c r="D827" s="140"/>
      <c r="H827" s="142"/>
    </row>
    <row r="828" ht="15.75" customHeight="1">
      <c r="D828" s="140"/>
      <c r="H828" s="142"/>
    </row>
    <row r="829" ht="15.75" customHeight="1">
      <c r="D829" s="140"/>
      <c r="H829" s="142"/>
    </row>
    <row r="830" ht="15.75" customHeight="1">
      <c r="D830" s="140"/>
      <c r="H830" s="142"/>
    </row>
    <row r="831" ht="15.75" customHeight="1">
      <c r="D831" s="140"/>
      <c r="H831" s="142"/>
    </row>
    <row r="832" ht="15.75" customHeight="1">
      <c r="D832" s="140"/>
      <c r="H832" s="142"/>
    </row>
    <row r="833" ht="15.75" customHeight="1">
      <c r="D833" s="140"/>
      <c r="H833" s="142"/>
    </row>
    <row r="834" ht="15.75" customHeight="1">
      <c r="D834" s="140"/>
      <c r="H834" s="142"/>
    </row>
    <row r="835" ht="15.75" customHeight="1">
      <c r="D835" s="140"/>
      <c r="H835" s="142"/>
    </row>
    <row r="836" ht="15.75" customHeight="1">
      <c r="D836" s="140"/>
      <c r="H836" s="142"/>
    </row>
    <row r="837" ht="15.75" customHeight="1">
      <c r="D837" s="140"/>
      <c r="H837" s="142"/>
    </row>
    <row r="838" ht="15.75" customHeight="1">
      <c r="D838" s="140"/>
      <c r="H838" s="142"/>
    </row>
    <row r="839" ht="15.75" customHeight="1">
      <c r="D839" s="140"/>
      <c r="H839" s="142"/>
    </row>
    <row r="840" ht="15.75" customHeight="1">
      <c r="D840" s="140"/>
      <c r="H840" s="142"/>
    </row>
    <row r="841" ht="15.75" customHeight="1">
      <c r="D841" s="140"/>
      <c r="H841" s="142"/>
    </row>
    <row r="842" ht="15.75" customHeight="1">
      <c r="D842" s="140"/>
      <c r="H842" s="142"/>
    </row>
    <row r="843" ht="15.75" customHeight="1">
      <c r="D843" s="140"/>
      <c r="H843" s="142"/>
    </row>
    <row r="844" ht="15.75" customHeight="1">
      <c r="D844" s="140"/>
      <c r="H844" s="142"/>
    </row>
    <row r="845" ht="15.75" customHeight="1">
      <c r="D845" s="140"/>
      <c r="H845" s="142"/>
    </row>
    <row r="846" ht="15.75" customHeight="1">
      <c r="D846" s="140"/>
      <c r="H846" s="142"/>
    </row>
    <row r="847" ht="15.75" customHeight="1">
      <c r="D847" s="140"/>
      <c r="H847" s="142"/>
    </row>
    <row r="848" ht="15.75" customHeight="1">
      <c r="D848" s="140"/>
      <c r="H848" s="142"/>
    </row>
    <row r="849" ht="15.75" customHeight="1">
      <c r="D849" s="140"/>
      <c r="H849" s="142"/>
    </row>
    <row r="850" ht="15.75" customHeight="1">
      <c r="D850" s="140"/>
      <c r="H850" s="142"/>
    </row>
    <row r="851" ht="15.75" customHeight="1">
      <c r="D851" s="140"/>
      <c r="H851" s="142"/>
    </row>
    <row r="852" ht="15.75" customHeight="1">
      <c r="D852" s="140"/>
      <c r="H852" s="142"/>
    </row>
    <row r="853" ht="15.75" customHeight="1">
      <c r="D853" s="140"/>
      <c r="H853" s="142"/>
    </row>
    <row r="854" ht="15.75" customHeight="1">
      <c r="D854" s="140"/>
      <c r="H854" s="142"/>
    </row>
    <row r="855" ht="15.75" customHeight="1">
      <c r="D855" s="140"/>
      <c r="H855" s="142"/>
    </row>
    <row r="856" ht="15.75" customHeight="1">
      <c r="D856" s="140"/>
      <c r="H856" s="142"/>
    </row>
    <row r="857" ht="15.75" customHeight="1">
      <c r="D857" s="140"/>
      <c r="H857" s="142"/>
    </row>
    <row r="858" ht="15.75" customHeight="1">
      <c r="D858" s="140"/>
      <c r="H858" s="142"/>
    </row>
    <row r="859" ht="15.75" customHeight="1">
      <c r="D859" s="140"/>
      <c r="H859" s="142"/>
    </row>
    <row r="860" ht="15.75" customHeight="1">
      <c r="D860" s="140"/>
      <c r="H860" s="142"/>
    </row>
    <row r="861" ht="15.75" customHeight="1">
      <c r="D861" s="140"/>
      <c r="H861" s="142"/>
    </row>
    <row r="862" ht="15.75" customHeight="1">
      <c r="D862" s="140"/>
      <c r="H862" s="142"/>
    </row>
    <row r="863" ht="15.75" customHeight="1">
      <c r="D863" s="140"/>
      <c r="H863" s="142"/>
    </row>
    <row r="864" ht="15.75" customHeight="1">
      <c r="D864" s="140"/>
      <c r="H864" s="142"/>
    </row>
    <row r="865" ht="15.75" customHeight="1">
      <c r="D865" s="140"/>
      <c r="H865" s="142"/>
    </row>
    <row r="866" ht="15.75" customHeight="1">
      <c r="D866" s="140"/>
      <c r="H866" s="142"/>
    </row>
    <row r="867" ht="15.75" customHeight="1">
      <c r="D867" s="140"/>
      <c r="H867" s="142"/>
    </row>
    <row r="868" ht="15.75" customHeight="1">
      <c r="D868" s="140"/>
      <c r="H868" s="142"/>
    </row>
    <row r="869" ht="15.75" customHeight="1">
      <c r="D869" s="140"/>
      <c r="H869" s="142"/>
    </row>
    <row r="870" ht="15.75" customHeight="1">
      <c r="D870" s="140"/>
      <c r="H870" s="142"/>
    </row>
    <row r="871" ht="15.75" customHeight="1">
      <c r="D871" s="140"/>
      <c r="H871" s="142"/>
    </row>
    <row r="872" ht="15.75" customHeight="1">
      <c r="D872" s="140"/>
      <c r="H872" s="142"/>
    </row>
    <row r="873" ht="15.75" customHeight="1">
      <c r="D873" s="140"/>
      <c r="H873" s="142"/>
    </row>
    <row r="874" ht="15.75" customHeight="1">
      <c r="D874" s="140"/>
      <c r="H874" s="142"/>
    </row>
    <row r="875" ht="15.75" customHeight="1">
      <c r="D875" s="140"/>
      <c r="H875" s="142"/>
    </row>
    <row r="876" ht="15.75" customHeight="1">
      <c r="D876" s="140"/>
      <c r="H876" s="142"/>
    </row>
    <row r="877" ht="15.75" customHeight="1">
      <c r="D877" s="140"/>
      <c r="H877" s="142"/>
    </row>
    <row r="878" ht="15.75" customHeight="1">
      <c r="D878" s="140"/>
      <c r="H878" s="142"/>
    </row>
    <row r="879" ht="15.75" customHeight="1">
      <c r="D879" s="140"/>
      <c r="H879" s="142"/>
    </row>
    <row r="880" ht="15.75" customHeight="1">
      <c r="D880" s="140"/>
      <c r="H880" s="142"/>
    </row>
    <row r="881" ht="15.75" customHeight="1">
      <c r="D881" s="140"/>
      <c r="H881" s="142"/>
    </row>
    <row r="882" ht="15.75" customHeight="1">
      <c r="D882" s="140"/>
      <c r="H882" s="142"/>
    </row>
    <row r="883" ht="15.75" customHeight="1">
      <c r="D883" s="140"/>
      <c r="H883" s="142"/>
    </row>
    <row r="884" ht="15.75" customHeight="1">
      <c r="D884" s="140"/>
      <c r="H884" s="142"/>
    </row>
    <row r="885" ht="15.75" customHeight="1">
      <c r="D885" s="140"/>
      <c r="H885" s="142"/>
    </row>
    <row r="886" ht="15.75" customHeight="1">
      <c r="D886" s="140"/>
      <c r="H886" s="142"/>
    </row>
    <row r="887" ht="15.75" customHeight="1">
      <c r="D887" s="140"/>
      <c r="H887" s="142"/>
    </row>
    <row r="888" ht="15.75" customHeight="1">
      <c r="D888" s="140"/>
      <c r="H888" s="142"/>
    </row>
    <row r="889" ht="15.75" customHeight="1">
      <c r="D889" s="140"/>
      <c r="H889" s="142"/>
    </row>
    <row r="890" ht="15.75" customHeight="1">
      <c r="D890" s="140"/>
      <c r="H890" s="142"/>
    </row>
    <row r="891" ht="15.75" customHeight="1">
      <c r="D891" s="140"/>
      <c r="H891" s="142"/>
    </row>
    <row r="892" ht="15.75" customHeight="1">
      <c r="D892" s="140"/>
      <c r="H892" s="142"/>
    </row>
    <row r="893" ht="15.75" customHeight="1">
      <c r="D893" s="140"/>
      <c r="H893" s="142"/>
    </row>
    <row r="894" ht="15.75" customHeight="1">
      <c r="D894" s="140"/>
      <c r="H894" s="142"/>
    </row>
    <row r="895" ht="15.75" customHeight="1">
      <c r="D895" s="140"/>
      <c r="H895" s="142"/>
    </row>
    <row r="896" ht="15.75" customHeight="1">
      <c r="D896" s="140"/>
      <c r="H896" s="142"/>
    </row>
    <row r="897" ht="15.75" customHeight="1">
      <c r="D897" s="140"/>
      <c r="H897" s="142"/>
    </row>
    <row r="898" ht="15.75" customHeight="1">
      <c r="D898" s="140"/>
      <c r="H898" s="142"/>
    </row>
    <row r="899" ht="15.75" customHeight="1">
      <c r="D899" s="140"/>
      <c r="H899" s="142"/>
    </row>
    <row r="900" ht="15.75" customHeight="1">
      <c r="D900" s="140"/>
      <c r="H900" s="142"/>
    </row>
    <row r="901" ht="15.75" customHeight="1">
      <c r="D901" s="140"/>
      <c r="H901" s="142"/>
    </row>
    <row r="902" ht="15.75" customHeight="1">
      <c r="D902" s="140"/>
      <c r="H902" s="142"/>
    </row>
    <row r="903" ht="15.75" customHeight="1">
      <c r="D903" s="140"/>
      <c r="H903" s="142"/>
    </row>
    <row r="904" ht="15.75" customHeight="1">
      <c r="D904" s="140"/>
      <c r="H904" s="142"/>
    </row>
    <row r="905" ht="15.75" customHeight="1">
      <c r="D905" s="140"/>
      <c r="H905" s="142"/>
    </row>
    <row r="906" ht="15.75" customHeight="1">
      <c r="D906" s="140"/>
      <c r="H906" s="142"/>
    </row>
    <row r="907" ht="15.75" customHeight="1">
      <c r="D907" s="140"/>
      <c r="H907" s="142"/>
    </row>
    <row r="908" ht="15.75" customHeight="1">
      <c r="D908" s="140"/>
      <c r="H908" s="142"/>
    </row>
    <row r="909" ht="15.75" customHeight="1">
      <c r="D909" s="140"/>
      <c r="H909" s="142"/>
    </row>
    <row r="910" ht="15.75" customHeight="1">
      <c r="D910" s="140"/>
      <c r="H910" s="142"/>
    </row>
    <row r="911" ht="15.75" customHeight="1">
      <c r="D911" s="140"/>
      <c r="H911" s="142"/>
    </row>
    <row r="912" ht="15.75" customHeight="1">
      <c r="D912" s="140"/>
      <c r="H912" s="142"/>
    </row>
    <row r="913" ht="15.75" customHeight="1">
      <c r="D913" s="140"/>
      <c r="H913" s="142"/>
    </row>
    <row r="914" ht="15.75" customHeight="1">
      <c r="D914" s="140"/>
      <c r="H914" s="142"/>
    </row>
    <row r="915" ht="15.75" customHeight="1">
      <c r="D915" s="140"/>
      <c r="H915" s="142"/>
    </row>
    <row r="916" ht="15.75" customHeight="1">
      <c r="D916" s="140"/>
      <c r="H916" s="142"/>
    </row>
    <row r="917" ht="15.75" customHeight="1">
      <c r="D917" s="140"/>
      <c r="H917" s="142"/>
    </row>
    <row r="918" ht="15.75" customHeight="1">
      <c r="D918" s="140"/>
      <c r="H918" s="142"/>
    </row>
    <row r="919" ht="15.75" customHeight="1">
      <c r="D919" s="140"/>
      <c r="H919" s="142"/>
    </row>
    <row r="920" ht="15.75" customHeight="1">
      <c r="D920" s="140"/>
      <c r="H920" s="142"/>
    </row>
    <row r="921" ht="15.75" customHeight="1">
      <c r="D921" s="140"/>
      <c r="H921" s="142"/>
    </row>
    <row r="922" ht="15.75" customHeight="1">
      <c r="D922" s="140"/>
      <c r="H922" s="142"/>
    </row>
    <row r="923" ht="15.75" customHeight="1">
      <c r="D923" s="140"/>
      <c r="H923" s="142"/>
    </row>
    <row r="924" ht="15.75" customHeight="1">
      <c r="D924" s="140"/>
      <c r="H924" s="142"/>
    </row>
    <row r="925" ht="15.75" customHeight="1">
      <c r="D925" s="140"/>
      <c r="H925" s="142"/>
    </row>
    <row r="926" ht="15.75" customHeight="1">
      <c r="D926" s="140"/>
      <c r="H926" s="142"/>
    </row>
    <row r="927" ht="15.75" customHeight="1">
      <c r="D927" s="140"/>
      <c r="H927" s="142"/>
    </row>
    <row r="928" ht="15.75" customHeight="1">
      <c r="D928" s="140"/>
      <c r="H928" s="142"/>
    </row>
    <row r="929" ht="15.75" customHeight="1">
      <c r="D929" s="140"/>
      <c r="H929" s="142"/>
    </row>
    <row r="930" ht="15.75" customHeight="1">
      <c r="D930" s="140"/>
      <c r="H930" s="142"/>
    </row>
    <row r="931" ht="15.75" customHeight="1">
      <c r="D931" s="140"/>
      <c r="H931" s="142"/>
    </row>
    <row r="932" ht="15.75" customHeight="1">
      <c r="D932" s="140"/>
      <c r="H932" s="142"/>
    </row>
    <row r="933" ht="15.75" customHeight="1">
      <c r="D933" s="140"/>
      <c r="H933" s="142"/>
    </row>
    <row r="934" ht="15.75" customHeight="1">
      <c r="D934" s="140"/>
      <c r="H934" s="142"/>
    </row>
    <row r="935" ht="15.75" customHeight="1">
      <c r="D935" s="140"/>
      <c r="H935" s="142"/>
    </row>
    <row r="936" ht="15.75" customHeight="1">
      <c r="D936" s="140"/>
      <c r="H936" s="142"/>
    </row>
    <row r="937" ht="15.75" customHeight="1">
      <c r="D937" s="140"/>
      <c r="H937" s="142"/>
    </row>
    <row r="938" ht="15.75" customHeight="1">
      <c r="D938" s="140"/>
      <c r="H938" s="142"/>
    </row>
    <row r="939" ht="15.75" customHeight="1">
      <c r="D939" s="140"/>
      <c r="H939" s="142"/>
    </row>
    <row r="940" ht="15.75" customHeight="1">
      <c r="D940" s="140"/>
      <c r="H940" s="142"/>
    </row>
    <row r="941" ht="15.75" customHeight="1">
      <c r="D941" s="140"/>
      <c r="H941" s="142"/>
    </row>
    <row r="942" ht="15.75" customHeight="1">
      <c r="D942" s="140"/>
      <c r="H942" s="142"/>
    </row>
    <row r="943" ht="15.75" customHeight="1">
      <c r="D943" s="140"/>
      <c r="H943" s="142"/>
    </row>
    <row r="944" ht="15.75" customHeight="1">
      <c r="D944" s="140"/>
      <c r="H944" s="142"/>
    </row>
    <row r="945" ht="15.75" customHeight="1">
      <c r="D945" s="140"/>
      <c r="H945" s="142"/>
    </row>
    <row r="946" ht="15.75" customHeight="1">
      <c r="D946" s="140"/>
      <c r="H946" s="142"/>
    </row>
    <row r="947" ht="15.75" customHeight="1">
      <c r="D947" s="140"/>
      <c r="H947" s="142"/>
    </row>
    <row r="948" ht="15.75" customHeight="1">
      <c r="D948" s="140"/>
      <c r="H948" s="142"/>
    </row>
    <row r="949" ht="15.75" customHeight="1">
      <c r="D949" s="140"/>
      <c r="H949" s="142"/>
    </row>
    <row r="950" ht="15.75" customHeight="1">
      <c r="D950" s="140"/>
      <c r="H950" s="142"/>
    </row>
    <row r="951" ht="15.75" customHeight="1">
      <c r="D951" s="140"/>
      <c r="H951" s="142"/>
    </row>
    <row r="952" ht="15.75" customHeight="1">
      <c r="D952" s="140"/>
      <c r="H952" s="142"/>
    </row>
    <row r="953" ht="15.75" customHeight="1">
      <c r="D953" s="140"/>
      <c r="H953" s="142"/>
    </row>
    <row r="954" ht="15.75" customHeight="1">
      <c r="D954" s="140"/>
      <c r="H954" s="142"/>
    </row>
    <row r="955" ht="15.75" customHeight="1">
      <c r="D955" s="140"/>
      <c r="H955" s="142"/>
    </row>
    <row r="956" ht="15.75" customHeight="1">
      <c r="D956" s="140"/>
      <c r="H956" s="142"/>
    </row>
    <row r="957" ht="15.75" customHeight="1">
      <c r="D957" s="140"/>
      <c r="H957" s="142"/>
    </row>
    <row r="958" ht="15.75" customHeight="1">
      <c r="D958" s="140"/>
      <c r="H958" s="142"/>
    </row>
    <row r="959" ht="15.75" customHeight="1">
      <c r="D959" s="140"/>
      <c r="H959" s="142"/>
    </row>
    <row r="960" ht="15.75" customHeight="1">
      <c r="D960" s="140"/>
      <c r="H960" s="142"/>
    </row>
    <row r="961" ht="15.75" customHeight="1">
      <c r="D961" s="140"/>
      <c r="H961" s="142"/>
    </row>
    <row r="962" ht="15.75" customHeight="1">
      <c r="D962" s="140"/>
      <c r="H962" s="142"/>
    </row>
    <row r="963" ht="15.75" customHeight="1">
      <c r="D963" s="140"/>
      <c r="H963" s="142"/>
    </row>
    <row r="964" ht="15.75" customHeight="1">
      <c r="D964" s="140"/>
      <c r="H964" s="142"/>
    </row>
    <row r="965" ht="15.75" customHeight="1">
      <c r="D965" s="140"/>
      <c r="H965" s="142"/>
    </row>
    <row r="966" ht="15.75" customHeight="1">
      <c r="D966" s="140"/>
      <c r="H966" s="142"/>
    </row>
    <row r="967" ht="15.75" customHeight="1">
      <c r="D967" s="140"/>
      <c r="H967" s="142"/>
    </row>
    <row r="968" ht="15.75" customHeight="1">
      <c r="D968" s="140"/>
      <c r="H968" s="142"/>
    </row>
    <row r="969" ht="15.75" customHeight="1">
      <c r="D969" s="140"/>
      <c r="H969" s="142"/>
    </row>
    <row r="970" ht="15.75" customHeight="1">
      <c r="D970" s="140"/>
      <c r="H970" s="142"/>
    </row>
    <row r="971" ht="15.75" customHeight="1">
      <c r="D971" s="140"/>
      <c r="H971" s="142"/>
    </row>
    <row r="972" ht="15.75" customHeight="1">
      <c r="D972" s="140"/>
      <c r="H972" s="142"/>
    </row>
    <row r="973" ht="15.75" customHeight="1">
      <c r="D973" s="140"/>
      <c r="H973" s="142"/>
    </row>
    <row r="974" ht="15.75" customHeight="1">
      <c r="D974" s="140"/>
      <c r="H974" s="142"/>
    </row>
    <row r="975" ht="15.75" customHeight="1">
      <c r="D975" s="140"/>
      <c r="H975" s="142"/>
    </row>
    <row r="976" ht="15.75" customHeight="1">
      <c r="D976" s="140"/>
      <c r="H976" s="142"/>
    </row>
    <row r="977" ht="15.75" customHeight="1">
      <c r="D977" s="140"/>
      <c r="H977" s="142"/>
    </row>
    <row r="978" ht="15.75" customHeight="1">
      <c r="D978" s="140"/>
      <c r="H978" s="142"/>
    </row>
    <row r="979" ht="15.75" customHeight="1">
      <c r="D979" s="140"/>
      <c r="H979" s="142"/>
    </row>
    <row r="980" ht="15.75" customHeight="1">
      <c r="D980" s="140"/>
      <c r="H980" s="142"/>
    </row>
    <row r="981" ht="15.75" customHeight="1">
      <c r="D981" s="140"/>
      <c r="H981" s="142"/>
    </row>
    <row r="982" ht="15.75" customHeight="1">
      <c r="D982" s="140"/>
      <c r="H982" s="142"/>
    </row>
    <row r="983" ht="15.75" customHeight="1">
      <c r="D983" s="140"/>
      <c r="H983" s="142"/>
    </row>
    <row r="984" ht="15.75" customHeight="1">
      <c r="D984" s="140"/>
      <c r="H984" s="142"/>
    </row>
    <row r="985" ht="15.75" customHeight="1">
      <c r="D985" s="140"/>
      <c r="H985" s="142"/>
    </row>
    <row r="986" ht="15.75" customHeight="1">
      <c r="D986" s="140"/>
      <c r="H986" s="142"/>
    </row>
    <row r="987" ht="15.75" customHeight="1">
      <c r="D987" s="140"/>
      <c r="H987" s="142"/>
    </row>
    <row r="988" ht="15.75" customHeight="1">
      <c r="D988" s="140"/>
      <c r="H988" s="142"/>
    </row>
    <row r="989" ht="15.75" customHeight="1">
      <c r="D989" s="140"/>
      <c r="H989" s="142"/>
    </row>
    <row r="990" ht="15.75" customHeight="1">
      <c r="D990" s="140"/>
      <c r="H990" s="142"/>
    </row>
    <row r="991" ht="15.75" customHeight="1">
      <c r="D991" s="140"/>
      <c r="H991" s="142"/>
    </row>
    <row r="992" ht="15.75" customHeight="1">
      <c r="D992" s="140"/>
      <c r="H992" s="142"/>
    </row>
    <row r="993" ht="15.75" customHeight="1">
      <c r="D993" s="140"/>
      <c r="H993" s="142"/>
    </row>
    <row r="994" ht="15.75" customHeight="1">
      <c r="D994" s="140"/>
      <c r="H994" s="142"/>
    </row>
    <row r="995" ht="15.75" customHeight="1">
      <c r="D995" s="140"/>
      <c r="H995" s="142"/>
    </row>
    <row r="996" ht="15.75" customHeight="1">
      <c r="D996" s="140"/>
      <c r="H996" s="142"/>
    </row>
    <row r="997" ht="15.75" customHeight="1">
      <c r="D997" s="140"/>
      <c r="H997" s="142"/>
    </row>
    <row r="998" ht="15.75" customHeight="1">
      <c r="D998" s="140"/>
      <c r="H998" s="142"/>
    </row>
    <row r="999" ht="15.75" customHeight="1">
      <c r="D999" s="140"/>
      <c r="H999" s="142"/>
    </row>
    <row r="1000" ht="15.75" customHeight="1">
      <c r="D1000" s="140"/>
      <c r="H1000" s="142"/>
    </row>
    <row r="1001" ht="15.75" customHeight="1">
      <c r="D1001" s="140"/>
      <c r="H1001" s="142"/>
    </row>
    <row r="1002" ht="15.75" customHeight="1">
      <c r="D1002" s="140"/>
      <c r="H1002" s="142"/>
    </row>
    <row r="1003" ht="15.75" customHeight="1">
      <c r="D1003" s="140"/>
      <c r="H1003" s="142"/>
    </row>
    <row r="1004" ht="15.75" customHeight="1">
      <c r="D1004" s="140"/>
      <c r="H1004" s="142"/>
    </row>
    <row r="1005" ht="15.75" customHeight="1">
      <c r="D1005" s="140"/>
      <c r="H1005" s="142"/>
    </row>
    <row r="1006" ht="15.75" customHeight="1">
      <c r="D1006" s="140"/>
      <c r="H1006" s="142"/>
    </row>
    <row r="1007" ht="15.75" customHeight="1">
      <c r="D1007" s="140"/>
      <c r="H1007" s="142"/>
    </row>
    <row r="1008" ht="15.75" customHeight="1">
      <c r="D1008" s="140"/>
      <c r="H1008" s="142"/>
    </row>
    <row r="1009" ht="15.75" customHeight="1">
      <c r="D1009" s="140"/>
      <c r="H1009" s="142"/>
    </row>
    <row r="1010" ht="15.75" customHeight="1">
      <c r="D1010" s="140"/>
      <c r="H1010" s="142"/>
    </row>
    <row r="1011" ht="15.75" customHeight="1">
      <c r="D1011" s="140"/>
      <c r="H1011" s="142"/>
    </row>
    <row r="1012" ht="15.75" customHeight="1">
      <c r="D1012" s="140"/>
      <c r="H1012" s="142"/>
    </row>
    <row r="1013" ht="15.75" customHeight="1">
      <c r="D1013" s="140"/>
      <c r="H1013" s="142"/>
    </row>
  </sheetData>
  <mergeCells count="54">
    <mergeCell ref="D94:F94"/>
    <mergeCell ref="D95:F95"/>
    <mergeCell ref="A102:C102"/>
    <mergeCell ref="A103:C103"/>
    <mergeCell ref="K95:AG95"/>
    <mergeCell ref="K96:AG96"/>
    <mergeCell ref="G74:G79"/>
    <mergeCell ref="H74:H79"/>
    <mergeCell ref="D92:F92"/>
    <mergeCell ref="D93:F93"/>
    <mergeCell ref="I93:J93"/>
    <mergeCell ref="K93:AG93"/>
    <mergeCell ref="K94:AG94"/>
    <mergeCell ref="G20:G24"/>
    <mergeCell ref="G27:G28"/>
    <mergeCell ref="D44:D45"/>
    <mergeCell ref="F44:F45"/>
    <mergeCell ref="D46:D48"/>
    <mergeCell ref="G46:G48"/>
    <mergeCell ref="G51:G58"/>
    <mergeCell ref="D20:D25"/>
    <mergeCell ref="D27:D28"/>
    <mergeCell ref="G44:G45"/>
    <mergeCell ref="F8:F9"/>
    <mergeCell ref="G8:G9"/>
    <mergeCell ref="H8:H9"/>
    <mergeCell ref="I8:AI8"/>
    <mergeCell ref="A1:AI1"/>
    <mergeCell ref="A2:AI2"/>
    <mergeCell ref="A3:AI3"/>
    <mergeCell ref="A4:G4"/>
    <mergeCell ref="A6:G6"/>
    <mergeCell ref="A8:A9"/>
    <mergeCell ref="B8:B9"/>
    <mergeCell ref="C8:C9"/>
    <mergeCell ref="E8:E9"/>
    <mergeCell ref="D16:D19"/>
    <mergeCell ref="F16:F19"/>
    <mergeCell ref="G16:G19"/>
    <mergeCell ref="H16:H19"/>
    <mergeCell ref="H21:H22"/>
    <mergeCell ref="D51:D58"/>
    <mergeCell ref="D59:D65"/>
    <mergeCell ref="D74:D79"/>
    <mergeCell ref="F46:F48"/>
    <mergeCell ref="F51:F58"/>
    <mergeCell ref="H51:H58"/>
    <mergeCell ref="F59:F65"/>
    <mergeCell ref="G59:G65"/>
    <mergeCell ref="H59:H65"/>
    <mergeCell ref="F74:F79"/>
    <mergeCell ref="F20:F25"/>
    <mergeCell ref="F27:F28"/>
    <mergeCell ref="H27:H28"/>
  </mergeCells>
  <printOptions/>
  <pageMargins bottom="0.6" footer="0.0" header="0.0" left="0.7" right="0.36" top="0.27999999999999997"/>
  <pageSetup fitToHeight="0" paperSize="14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2024-01-03T07:55:13Z</dcterms:created>
  <dc:creator>ptridost47@gmail.com</dc:creator>
</cp:coreProperties>
</file>