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xr:revisionPtr revIDLastSave="0" documentId="13_ncr:1_{9ADC124B-916B-4D6C-AA59-97306FC8D557}" xr6:coauthVersionLast="47" xr6:coauthVersionMax="47" xr10:uidLastSave="{00000000-0000-0000-0000-000000000000}"/>
  <bookViews>
    <workbookView xWindow="105" yWindow="1110" windowWidth="28695" windowHeight="14370" xr2:uid="{00000000-000D-0000-FFFF-FFFF00000000}"/>
  </bookViews>
  <sheets>
    <sheet name="PPMP FRONTIER-NTFIH" sheetId="1" r:id="rId1"/>
    <sheet name="PPMP Sample 1 (2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MzWMxuhdszOS0LJMCcWsT4xzuxq0MQGADoDC/w3w6aE="/>
    </ext>
  </extLst>
</workbook>
</file>

<file path=xl/calcChain.xml><?xml version="1.0" encoding="utf-8"?>
<calcChain xmlns="http://schemas.openxmlformats.org/spreadsheetml/2006/main">
  <c r="E17" i="1" l="1"/>
  <c r="E13" i="1"/>
  <c r="E14" i="1"/>
  <c r="E15" i="1"/>
  <c r="E12" i="1"/>
  <c r="E20" i="1"/>
  <c r="E19" i="1"/>
  <c r="C81" i="2"/>
  <c r="C80" i="2"/>
  <c r="C82" i="2" s="1"/>
  <c r="D60" i="2"/>
  <c r="D59" i="2"/>
  <c r="D58" i="2"/>
  <c r="D57" i="2"/>
  <c r="D56" i="2"/>
  <c r="D55" i="2"/>
  <c r="D54" i="2"/>
  <c r="D53" i="2"/>
  <c r="D52" i="2"/>
  <c r="D51" i="2"/>
  <c r="D50" i="2"/>
  <c r="D49" i="2"/>
  <c r="D46" i="2"/>
  <c r="D45" i="2"/>
  <c r="D44" i="2"/>
  <c r="D43" i="2"/>
  <c r="D42" i="2"/>
  <c r="D41" i="2"/>
  <c r="D40" i="2"/>
  <c r="D39" i="2"/>
  <c r="D38" i="2"/>
  <c r="D37" i="2"/>
  <c r="D36" i="2"/>
  <c r="D35" i="2"/>
  <c r="D33" i="2"/>
  <c r="D32" i="2"/>
  <c r="D31" i="2"/>
  <c r="D30" i="2"/>
  <c r="D29" i="2"/>
  <c r="D28" i="2"/>
  <c r="D27" i="2"/>
  <c r="D26" i="2"/>
  <c r="D25" i="2"/>
  <c r="D24" i="2"/>
  <c r="D23" i="2"/>
  <c r="D21" i="2"/>
  <c r="D20" i="2"/>
  <c r="D19" i="2"/>
  <c r="D18" i="2"/>
  <c r="D17" i="2"/>
  <c r="D16" i="2"/>
  <c r="D15" i="2"/>
  <c r="D14" i="2"/>
  <c r="D13" i="2"/>
  <c r="D12" i="2"/>
  <c r="D11" i="2"/>
  <c r="U9" i="2"/>
  <c r="U9" i="1"/>
  <c r="C41" i="1" l="1"/>
  <c r="C43" i="1" s="1"/>
  <c r="C42" i="1" l="1"/>
  <c r="C4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48" authorId="0" shapeId="0" xr:uid="{00000000-0006-0000-0000-000001000000}">
      <text>
        <r>
          <rPr>
            <sz val="11"/>
            <color theme="1"/>
            <rFont val="Arial"/>
            <scheme val="minor"/>
          </rPr>
          <t>======
ID#AAAA-ZHBewo
upmnih    (2021-04-08 04:25:07)
Prepared by: Project Staff/ Research Associate</t>
        </r>
      </text>
    </comment>
    <comment ref="C48" authorId="0" shapeId="0" xr:uid="{00000000-0006-0000-0000-000002000000}">
      <text>
        <r>
          <rPr>
            <sz val="11"/>
            <color theme="1"/>
            <rFont val="Arial"/>
            <scheme val="minor"/>
          </rPr>
          <t>======
ID#AAAA-ZHBewc
upmnih    (2021-04-08 04:25:07)
Submitted by: Project Leader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62RA/OHaVHI8OjFHb7PK4Dce/4Q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86" authorId="0" shapeId="0" xr:uid="{00000000-0006-0000-0100-000001000000}">
      <text>
        <r>
          <rPr>
            <sz val="11"/>
            <color theme="1"/>
            <rFont val="Arial"/>
            <scheme val="minor"/>
          </rPr>
          <t>======
ID#AAAA-ZHBewk
upmnih    (2021-04-08 04:25:07)
Prepared by: Project Staff/ Research Associate</t>
        </r>
      </text>
    </comment>
    <comment ref="C86" authorId="0" shapeId="0" xr:uid="{00000000-0006-0000-0100-000002000000}">
      <text>
        <r>
          <rPr>
            <sz val="11"/>
            <color theme="1"/>
            <rFont val="Arial"/>
            <scheme val="minor"/>
          </rPr>
          <t>======
ID#AAAA-ZHBewg
upmnih    (2021-04-08 04:25:07)
Submitted by: Project Leader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KktP35TkiWIOEeCnOvhi9BAHN0g=="/>
    </ext>
  </extLst>
</comments>
</file>

<file path=xl/sharedStrings.xml><?xml version="1.0" encoding="utf-8"?>
<sst xmlns="http://schemas.openxmlformats.org/spreadsheetml/2006/main" count="267" uniqueCount="144">
  <si>
    <t xml:space="preserve">  PROJECT PROCUREMENT MANAGEMENT PLAN (PPMP) 2024</t>
  </si>
  <si>
    <t>For 1st Quarter of CY 2024</t>
  </si>
  <si>
    <t>END-USER/UNIT: RDD-NFUS</t>
  </si>
  <si>
    <t>Projects, Programs and Activities (PAPs)</t>
  </si>
  <si>
    <t>CODE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</si>
  <si>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</si>
  <si>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</si>
  <si>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</si>
  <si>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</si>
  <si>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</si>
  <si>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</si>
  <si>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</si>
  <si>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</si>
  <si>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Jan</t>
  </si>
  <si>
    <t>Feb</t>
  </si>
  <si>
    <t>Mar</t>
  </si>
  <si>
    <t>PR No.</t>
  </si>
  <si>
    <t>RFQ No.</t>
  </si>
  <si>
    <t>PhilGEPS Reference No.</t>
  </si>
  <si>
    <t>AOC No.</t>
  </si>
  <si>
    <t>PO No.</t>
  </si>
  <si>
    <t>COA Received Date</t>
  </si>
  <si>
    <t>NTP No.</t>
  </si>
  <si>
    <t>IAR No.</t>
  </si>
  <si>
    <t>ICS/PAR No.</t>
  </si>
  <si>
    <t>RIS/RSMI No.</t>
  </si>
  <si>
    <t>REMARKS</t>
  </si>
  <si>
    <t>Office Supplies</t>
  </si>
  <si>
    <t>Shopping</t>
  </si>
  <si>
    <t>1 lot</t>
  </si>
  <si>
    <t>10 boxes</t>
  </si>
  <si>
    <t>10 packs</t>
  </si>
  <si>
    <t>Other Supplies</t>
  </si>
  <si>
    <t>20 packs</t>
  </si>
  <si>
    <t>Laboratory Supplies</t>
  </si>
  <si>
    <t>10 pieces</t>
  </si>
  <si>
    <t>Sterile gauze, individually wrapped</t>
  </si>
  <si>
    <t>Small Value Procurement</t>
  </si>
  <si>
    <t>5 pieces</t>
  </si>
  <si>
    <t>Other Professional Services (OPS)</t>
  </si>
  <si>
    <t>Capital Outlay (Equipment)</t>
  </si>
  <si>
    <t>Office Equipment</t>
  </si>
  <si>
    <t>Laboratory Equipment</t>
  </si>
  <si>
    <t>&lt;-- INSERT ROW IF NEEDED</t>
  </si>
  <si>
    <t>TOTAL BUDGET:</t>
  </si>
  <si>
    <t>+ 10% Provision for Inflation</t>
  </si>
  <si>
    <t xml:space="preserve">+ 10% Contingency  </t>
  </si>
  <si>
    <t xml:space="preserve">TOTAL ESTIMATED BUDGET:  </t>
  </si>
  <si>
    <t>NOTE:      Technical Specifications for each Item/Project being proposed shall be submitted as part of the PPMP</t>
  </si>
  <si>
    <t>Prepared by:</t>
  </si>
  <si>
    <t>Reviewed by:</t>
  </si>
  <si>
    <t>Recommending Approval:</t>
  </si>
  <si>
    <t>Approved by:</t>
  </si>
  <si>
    <t>MARILOU G. AGUSTIN</t>
  </si>
  <si>
    <t>MERLITA R. ODI</t>
  </si>
  <si>
    <t>JULIUS L. LEAÑO JR., Ph.D.</t>
  </si>
  <si>
    <t>Project Leader</t>
  </si>
  <si>
    <t>Head, Property, Procurement and General Services Section</t>
  </si>
  <si>
    <t>Head, Budget and Treasury Section</t>
  </si>
  <si>
    <t>Director IV</t>
  </si>
  <si>
    <t>Date: ______________________</t>
  </si>
  <si>
    <t>(Sample Only)</t>
  </si>
  <si>
    <t>Charged to: Digitalization of Philippine Textiles to Protect and Sustain the Handloom Weaving Sector</t>
  </si>
  <si>
    <t>32gb OTG flashdrive</t>
  </si>
  <si>
    <t>80 pieces</t>
  </si>
  <si>
    <t>16GB microSD card</t>
  </si>
  <si>
    <t>Powerbank</t>
  </si>
  <si>
    <t>External hard drive, 1TB</t>
  </si>
  <si>
    <t>Wireless mouse</t>
  </si>
  <si>
    <t>Binder Clip 4 per pack black</t>
  </si>
  <si>
    <t>Binder clip 2 per pack black</t>
  </si>
  <si>
    <t>15 packs</t>
  </si>
  <si>
    <t>Paper clip vinyl coated assorted 100s</t>
  </si>
  <si>
    <t>5 packs</t>
  </si>
  <si>
    <t>Envelope document 5/pack</t>
  </si>
  <si>
    <t>Envelope expanding with elastic, legal</t>
  </si>
  <si>
    <t>30 packs</t>
  </si>
  <si>
    <t>Sticky flags</t>
  </si>
  <si>
    <t>Highlighter (yellow)</t>
  </si>
  <si>
    <t>Glue stick</t>
  </si>
  <si>
    <t>Long brown envelope</t>
  </si>
  <si>
    <t>50 packs</t>
  </si>
  <si>
    <t>Clearbook, long</t>
  </si>
  <si>
    <t>15 pieces</t>
  </si>
  <si>
    <t>Spray paint</t>
  </si>
  <si>
    <t>1 piece</t>
  </si>
  <si>
    <t>All in one laser printer</t>
  </si>
  <si>
    <t>3 units</t>
  </si>
  <si>
    <t>Certificate paper</t>
  </si>
  <si>
    <t>100 pieces</t>
  </si>
  <si>
    <t>ID and ID laces</t>
  </si>
  <si>
    <t>Manila paper</t>
  </si>
  <si>
    <t>50 pieces</t>
  </si>
  <si>
    <t>USB to VGA/HDMI adapter for Macbook</t>
  </si>
  <si>
    <t>USB to VGA/HDMI adapter for other laptops</t>
  </si>
  <si>
    <t>A4 paper/500 pcs/ream</t>
  </si>
  <si>
    <t>30 reams</t>
  </si>
  <si>
    <t>Paper shredder</t>
  </si>
  <si>
    <t>Black ink for printer</t>
  </si>
  <si>
    <t>8 carts</t>
  </si>
  <si>
    <t>Colored ink for printer</t>
  </si>
  <si>
    <t>Metal fasteners</t>
  </si>
  <si>
    <t>3 packs</t>
  </si>
  <si>
    <t>Folder for A4 size documents, 10 pcs per pack</t>
  </si>
  <si>
    <t>Blue sign pens</t>
  </si>
  <si>
    <t>20 pieces</t>
  </si>
  <si>
    <t>Regular pens</t>
  </si>
  <si>
    <t>Permanent markers</t>
  </si>
  <si>
    <t>Transparent tape</t>
  </si>
  <si>
    <t>Stapler</t>
  </si>
  <si>
    <t>3 pieces</t>
  </si>
  <si>
    <t>Staple wires</t>
  </si>
  <si>
    <t>Correction tape</t>
  </si>
  <si>
    <t>Scissors</t>
  </si>
  <si>
    <t>Machining of components H1</t>
  </si>
  <si>
    <t>4 units</t>
  </si>
  <si>
    <t>Machining of components H2</t>
  </si>
  <si>
    <t>Machining of component M</t>
  </si>
  <si>
    <t>8 units</t>
  </si>
  <si>
    <t>Disposable ABR electrodes</t>
  </si>
  <si>
    <t>300 units</t>
  </si>
  <si>
    <t>Disposable snap electrodes</t>
  </si>
  <si>
    <t>100 units</t>
  </si>
  <si>
    <t>Skin prep gel</t>
  </si>
  <si>
    <t>Neurodiagnostic Conductive Electrode Paste</t>
  </si>
  <si>
    <t xml:space="preserve">4 units </t>
  </si>
  <si>
    <t>Gold/silver electrode</t>
  </si>
  <si>
    <t>6 units</t>
  </si>
  <si>
    <t>70% Isopropyl alcohol</t>
  </si>
  <si>
    <t>10 units</t>
  </si>
  <si>
    <t>Micropore tape 1in</t>
  </si>
  <si>
    <t>6 boxes</t>
  </si>
  <si>
    <t>Alcohol swab</t>
  </si>
  <si>
    <t>________________________</t>
  </si>
  <si>
    <t xml:space="preserve">Charged to: Regeneration of Spent Liquor in Bamboo Textile Fiber (BTF) Production Towards   Circularity and Efficiency in BTF Processing </t>
  </si>
  <si>
    <t>none</t>
  </si>
  <si>
    <t>ENGR. RONALD S. PECHERA</t>
  </si>
  <si>
    <t>4 samples Density, ASTM D4052/ASTM D1298</t>
  </si>
  <si>
    <t>4 samples Turbidity, Turbidimetry</t>
  </si>
  <si>
    <t>2 pcs Lavatory Faucet - Single Hole; Lever Type</t>
  </si>
  <si>
    <t>2 pcs Sink Faucet - Gooseneck Type, Brass or Stainless Steel</t>
  </si>
  <si>
    <t>2 pcs Regular Wall Type Faucet, Brass or Stainless Steel</t>
  </si>
  <si>
    <t>2 pcs Wash Basin Connection Pipe</t>
  </si>
  <si>
    <t>5 boxes pH testing strips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</si>
</sst>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23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b/>
      <sz val="12"/>
      <color theme="1"/>
      <name val="Arial"/>
    </font>
    <font>
      <sz val="11"/>
      <color theme="1"/>
      <name val="Arial"/>
    </font>
    <font>
      <b/>
      <sz val="11"/>
      <color rgb="FFFF0000"/>
      <name val="Arial"/>
    </font>
    <font>
      <b/>
      <i/>
      <sz val="12"/>
      <color theme="1"/>
      <name val="Arial"/>
    </font>
    <font>
      <i/>
      <sz val="12"/>
      <color theme="1"/>
      <name val="Arial"/>
    </font>
    <font>
      <b/>
      <sz val="9"/>
      <color theme="1"/>
      <name val="Arial"/>
    </font>
    <font>
      <b/>
      <sz val="10"/>
      <color theme="1"/>
      <name val="Arial"/>
    </font>
    <font>
      <sz val="11"/>
      <name val="Arial"/>
    </font>
    <font>
      <sz val="9"/>
      <color theme="1"/>
      <name val="Arial"/>
    </font>
    <font>
      <b/>
      <sz val="11"/>
      <color theme="1"/>
      <name val="Arial"/>
    </font>
    <font>
      <sz val="10"/>
      <color theme="1"/>
      <name val="Arial"/>
    </font>
    <font>
      <b/>
      <u/>
      <sz val="9"/>
      <color theme="1"/>
      <name val="Arial"/>
    </font>
    <font>
      <b/>
      <sz val="8"/>
      <color theme="1"/>
      <name val="Arial"/>
    </font>
    <font>
      <u/>
      <sz val="8"/>
      <color theme="1"/>
      <name val="Arial"/>
    </font>
    <font>
      <b/>
      <u/>
      <sz val="10"/>
      <color theme="1"/>
      <name val="Arial"/>
    </font>
    <font>
      <sz val="11"/>
      <color theme="1"/>
      <name val="Calibri"/>
    </font>
    <font>
      <b/>
      <sz val="10"/>
      <color theme="1"/>
      <name val="Verdana"/>
    </font>
    <font>
      <sz val="10"/>
      <color theme="1"/>
      <name val="Calibri"/>
    </font>
    <font>
      <sz val="10"/>
      <color theme="1"/>
      <name val="Verdana"/>
    </font>
    <font>
      <b/>
      <u/>
      <sz val="10"/>
      <color theme="1"/>
      <name val="Arial"/>
    </font>
    <font>
      <sz val="11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B7B7B7"/>
        <bgColor rgb="FFB7B7B7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59999389629810485"/>
        <bgColor rgb="FFFCE5CD"/>
      </patternFill>
    </fill>
    <fill>
      <patternFill patternType="solid">
        <fgColor theme="0"/>
        <bgColor rgb="FFFFE599"/>
      </patternFill>
    </fill>
    <fill>
      <patternFill patternType="solid">
        <fgColor theme="9" tint="0.39997558519241921"/>
        <bgColor rgb="FFFFD966"/>
      </patternFill>
    </fill>
    <fill>
      <patternFill patternType="solid">
        <fgColor theme="8" tint="-0.249977111117893"/>
        <bgColor rgb="FFDD7E6B"/>
      </patternFill>
    </fill>
  </fills>
  <borders count="35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3">
    <xf numFmtId="0" fontId="0" fillId="0" borderId="0" xfId="0"/>
    <xf numFmtId="0" fontId="3" fillId="0" borderId="0" xfId="0" applyFont="1"/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4" fontId="3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  <xf numFmtId="4" fontId="3" fillId="0" borderId="0" xfId="0" applyNumberFormat="1" applyFont="1" applyAlignment="1">
      <alignment horizontal="right"/>
    </xf>
    <xf numFmtId="164" fontId="3" fillId="0" borderId="0" xfId="0" applyNumberFormat="1" applyFont="1"/>
    <xf numFmtId="0" fontId="3" fillId="0" borderId="0" xfId="0" applyFont="1" applyAlignment="1">
      <alignment horizontal="center" wrapText="1"/>
    </xf>
    <xf numFmtId="0" fontId="7" fillId="0" borderId="3" xfId="0" applyFont="1" applyBorder="1" applyAlignment="1">
      <alignment horizontal="center" vertical="center" wrapText="1"/>
    </xf>
    <xf numFmtId="0" fontId="10" fillId="0" borderId="0" xfId="0" applyFont="1"/>
    <xf numFmtId="0" fontId="7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10" fillId="0" borderId="11" xfId="0" applyFont="1" applyBorder="1"/>
    <xf numFmtId="0" fontId="7" fillId="0" borderId="12" xfId="0" applyFont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left" vertical="center" wrapText="1"/>
    </xf>
    <xf numFmtId="0" fontId="7" fillId="2" borderId="13" xfId="0" applyFont="1" applyFill="1" applyBorder="1" applyAlignment="1">
      <alignment horizontal="center" vertical="center" wrapText="1"/>
    </xf>
    <xf numFmtId="4" fontId="7" fillId="2" borderId="13" xfId="0" applyNumberFormat="1" applyFont="1" applyFill="1" applyBorder="1" applyAlignment="1">
      <alignment horizontal="right" vertical="center" wrapText="1"/>
    </xf>
    <xf numFmtId="164" fontId="7" fillId="2" borderId="13" xfId="0" applyNumberFormat="1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3" fillId="0" borderId="16" xfId="0" applyFont="1" applyBorder="1"/>
    <xf numFmtId="0" fontId="3" fillId="0" borderId="15" xfId="0" applyFont="1" applyBorder="1"/>
    <xf numFmtId="0" fontId="3" fillId="0" borderId="15" xfId="0" applyFont="1" applyBorder="1" applyAlignment="1">
      <alignment horizontal="left" vertical="center"/>
    </xf>
    <xf numFmtId="0" fontId="3" fillId="0" borderId="17" xfId="0" applyFont="1" applyBorder="1" applyAlignment="1">
      <alignment horizontal="center" vertical="center" wrapText="1"/>
    </xf>
    <xf numFmtId="4" fontId="3" fillId="0" borderId="17" xfId="0" applyNumberFormat="1" applyFont="1" applyBorder="1" applyAlignment="1">
      <alignment horizontal="right" vertical="center" wrapText="1"/>
    </xf>
    <xf numFmtId="0" fontId="3" fillId="0" borderId="17" xfId="0" applyFont="1" applyBorder="1" applyAlignment="1">
      <alignment horizontal="center"/>
    </xf>
    <xf numFmtId="4" fontId="3" fillId="0" borderId="17" xfId="0" applyNumberFormat="1" applyFont="1" applyBorder="1" applyAlignment="1">
      <alignment horizontal="right"/>
    </xf>
    <xf numFmtId="0" fontId="11" fillId="0" borderId="19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20" xfId="0" applyFont="1" applyBorder="1"/>
    <xf numFmtId="0" fontId="3" fillId="0" borderId="16" xfId="0" applyFont="1" applyBorder="1" applyAlignment="1">
      <alignment horizontal="center"/>
    </xf>
    <xf numFmtId="4" fontId="3" fillId="0" borderId="16" xfId="0" applyNumberFormat="1" applyFont="1" applyBorder="1" applyAlignment="1">
      <alignment horizontal="right"/>
    </xf>
    <xf numFmtId="4" fontId="3" fillId="0" borderId="16" xfId="0" applyNumberFormat="1" applyFont="1" applyBorder="1" applyAlignment="1">
      <alignment horizontal="right" vertical="center" wrapText="1"/>
    </xf>
    <xf numFmtId="0" fontId="7" fillId="0" borderId="19" xfId="0" applyFont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left" vertical="center" wrapText="1"/>
    </xf>
    <xf numFmtId="0" fontId="7" fillId="2" borderId="23" xfId="0" applyFont="1" applyFill="1" applyBorder="1" applyAlignment="1">
      <alignment horizontal="center" vertical="center" wrapText="1"/>
    </xf>
    <xf numFmtId="4" fontId="3" fillId="0" borderId="16" xfId="0" applyNumberFormat="1" applyFont="1" applyBorder="1" applyAlignment="1">
      <alignment horizontal="right" wrapText="1"/>
    </xf>
    <xf numFmtId="4" fontId="3" fillId="0" borderId="15" xfId="0" applyNumberFormat="1" applyFont="1" applyBorder="1" applyAlignment="1">
      <alignment horizontal="right" wrapText="1"/>
    </xf>
    <xf numFmtId="49" fontId="3" fillId="0" borderId="15" xfId="0" applyNumberFormat="1" applyFont="1" applyBorder="1"/>
    <xf numFmtId="0" fontId="3" fillId="0" borderId="24" xfId="0" applyFont="1" applyBorder="1"/>
    <xf numFmtId="49" fontId="11" fillId="2" borderId="20" xfId="0" applyNumberFormat="1" applyFont="1" applyFill="1" applyBorder="1"/>
    <xf numFmtId="0" fontId="3" fillId="2" borderId="20" xfId="0" applyFont="1" applyFill="1" applyBorder="1"/>
    <xf numFmtId="4" fontId="3" fillId="2" borderId="20" xfId="0" applyNumberFormat="1" applyFont="1" applyFill="1" applyBorder="1"/>
    <xf numFmtId="164" fontId="3" fillId="2" borderId="20" xfId="0" applyNumberFormat="1" applyFont="1" applyFill="1" applyBorder="1"/>
    <xf numFmtId="0" fontId="3" fillId="2" borderId="16" xfId="0" applyFont="1" applyFill="1" applyBorder="1"/>
    <xf numFmtId="0" fontId="3" fillId="3" borderId="20" xfId="0" applyFont="1" applyFill="1" applyBorder="1"/>
    <xf numFmtId="4" fontId="3" fillId="3" borderId="20" xfId="0" applyNumberFormat="1" applyFont="1" applyFill="1" applyBorder="1"/>
    <xf numFmtId="164" fontId="3" fillId="3" borderId="20" xfId="0" applyNumberFormat="1" applyFont="1" applyFill="1" applyBorder="1"/>
    <xf numFmtId="164" fontId="3" fillId="0" borderId="17" xfId="0" applyNumberFormat="1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left" vertical="center"/>
    </xf>
    <xf numFmtId="164" fontId="3" fillId="0" borderId="16" xfId="0" applyNumberFormat="1" applyFont="1" applyBorder="1" applyAlignment="1">
      <alignment horizontal="center" vertical="center" wrapText="1"/>
    </xf>
    <xf numFmtId="0" fontId="11" fillId="2" borderId="26" xfId="0" applyFont="1" applyFill="1" applyBorder="1" applyAlignment="1">
      <alignment horizontal="left" vertical="center"/>
    </xf>
    <xf numFmtId="4" fontId="3" fillId="2" borderId="16" xfId="0" applyNumberFormat="1" applyFont="1" applyFill="1" applyBorder="1" applyAlignment="1">
      <alignment horizontal="right"/>
    </xf>
    <xf numFmtId="0" fontId="7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164" fontId="3" fillId="0" borderId="28" xfId="0" applyNumberFormat="1" applyFont="1" applyBorder="1"/>
    <xf numFmtId="0" fontId="13" fillId="0" borderId="0" xfId="0" applyFont="1" applyAlignment="1">
      <alignment vertical="center"/>
    </xf>
    <xf numFmtId="0" fontId="7" fillId="0" borderId="15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10" fillId="0" borderId="0" xfId="0" applyFont="1" applyAlignment="1">
      <alignment horizontal="left"/>
    </xf>
    <xf numFmtId="0" fontId="7" fillId="0" borderId="16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12" fillId="0" borderId="0" xfId="0" applyFont="1"/>
    <xf numFmtId="164" fontId="12" fillId="0" borderId="0" xfId="0" applyNumberFormat="1" applyFont="1" applyAlignment="1">
      <alignment horizont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 wrapText="1"/>
    </xf>
    <xf numFmtId="4" fontId="8" fillId="0" borderId="0" xfId="0" applyNumberFormat="1" applyFont="1" applyAlignment="1">
      <alignment horizontal="right" vertical="center" wrapText="1"/>
    </xf>
    <xf numFmtId="4" fontId="12" fillId="0" borderId="0" xfId="0" applyNumberFormat="1" applyFont="1" applyAlignment="1">
      <alignment horizontal="right"/>
    </xf>
    <xf numFmtId="0" fontId="8" fillId="0" borderId="0" xfId="0" applyFont="1" applyAlignment="1">
      <alignment wrapText="1"/>
    </xf>
    <xf numFmtId="0" fontId="3" fillId="0" borderId="0" xfId="0" applyFont="1" applyAlignment="1">
      <alignment horizontal="left"/>
    </xf>
    <xf numFmtId="4" fontId="17" fillId="0" borderId="0" xfId="0" applyNumberFormat="1" applyFont="1" applyAlignment="1">
      <alignment horizontal="right"/>
    </xf>
    <xf numFmtId="0" fontId="18" fillId="0" borderId="0" xfId="0" applyFont="1" applyAlignment="1">
      <alignment horizontal="left" vertical="center" wrapText="1"/>
    </xf>
    <xf numFmtId="0" fontId="19" fillId="0" borderId="0" xfId="0" applyFont="1"/>
    <xf numFmtId="0" fontId="18" fillId="0" borderId="0" xfId="0" applyFont="1" applyAlignment="1">
      <alignment wrapText="1"/>
    </xf>
    <xf numFmtId="0" fontId="20" fillId="0" borderId="0" xfId="0" applyFont="1"/>
    <xf numFmtId="0" fontId="7" fillId="2" borderId="3" xfId="0" applyFont="1" applyFill="1" applyBorder="1" applyAlignment="1">
      <alignment horizontal="left" vertical="center" wrapText="1"/>
    </xf>
    <xf numFmtId="49" fontId="3" fillId="0" borderId="15" xfId="0" applyNumberFormat="1" applyFont="1" applyBorder="1" applyAlignment="1">
      <alignment horizontal="left" vertical="center"/>
    </xf>
    <xf numFmtId="0" fontId="3" fillId="0" borderId="17" xfId="0" applyFont="1" applyBorder="1" applyAlignment="1">
      <alignment horizontal="right" vertical="center" wrapText="1"/>
    </xf>
    <xf numFmtId="0" fontId="11" fillId="4" borderId="12" xfId="0" applyFont="1" applyFill="1" applyBorder="1" applyAlignment="1">
      <alignment horizontal="center" vertical="center" wrapText="1"/>
    </xf>
    <xf numFmtId="49" fontId="3" fillId="4" borderId="16" xfId="0" applyNumberFormat="1" applyFont="1" applyFill="1" applyBorder="1"/>
    <xf numFmtId="0" fontId="3" fillId="4" borderId="16" xfId="0" applyFont="1" applyFill="1" applyBorder="1" applyAlignment="1">
      <alignment horizontal="center"/>
    </xf>
    <xf numFmtId="4" fontId="3" fillId="4" borderId="16" xfId="0" applyNumberFormat="1" applyFont="1" applyFill="1" applyBorder="1" applyAlignment="1">
      <alignment horizontal="right" wrapText="1"/>
    </xf>
    <xf numFmtId="0" fontId="3" fillId="4" borderId="16" xfId="0" applyFont="1" applyFill="1" applyBorder="1"/>
    <xf numFmtId="0" fontId="10" fillId="4" borderId="0" xfId="0" applyFont="1" applyFill="1"/>
    <xf numFmtId="0" fontId="3" fillId="4" borderId="0" xfId="0" applyFont="1" applyFill="1"/>
    <xf numFmtId="0" fontId="0" fillId="4" borderId="0" xfId="0" applyFill="1"/>
    <xf numFmtId="4" fontId="3" fillId="4" borderId="20" xfId="0" applyNumberFormat="1" applyFont="1" applyFill="1" applyBorder="1" applyAlignment="1">
      <alignment horizontal="right" wrapText="1"/>
    </xf>
    <xf numFmtId="4" fontId="3" fillId="4" borderId="25" xfId="0" applyNumberFormat="1" applyFont="1" applyFill="1" applyBorder="1" applyAlignment="1">
      <alignment horizontal="right" wrapText="1"/>
    </xf>
    <xf numFmtId="0" fontId="3" fillId="4" borderId="20" xfId="0" applyFont="1" applyFill="1" applyBorder="1"/>
    <xf numFmtId="0" fontId="3" fillId="4" borderId="20" xfId="0" applyFont="1" applyFill="1" applyBorder="1" applyAlignment="1">
      <alignment horizontal="right"/>
    </xf>
    <xf numFmtId="0" fontId="3" fillId="4" borderId="25" xfId="0" applyFont="1" applyFill="1" applyBorder="1"/>
    <xf numFmtId="0" fontId="3" fillId="4" borderId="25" xfId="0" applyFont="1" applyFill="1" applyBorder="1" applyAlignment="1">
      <alignment horizontal="right"/>
    </xf>
    <xf numFmtId="4" fontId="3" fillId="0" borderId="26" xfId="0" applyNumberFormat="1" applyFont="1" applyBorder="1" applyAlignment="1">
      <alignment horizontal="right" wrapText="1"/>
    </xf>
    <xf numFmtId="0" fontId="3" fillId="4" borderId="31" xfId="0" applyFont="1" applyFill="1" applyBorder="1"/>
    <xf numFmtId="0" fontId="3" fillId="4" borderId="32" xfId="0" applyFont="1" applyFill="1" applyBorder="1"/>
    <xf numFmtId="0" fontId="11" fillId="3" borderId="23" xfId="0" applyFont="1" applyFill="1" applyBorder="1"/>
    <xf numFmtId="0" fontId="11" fillId="3" borderId="25" xfId="0" applyFont="1" applyFill="1" applyBorder="1"/>
    <xf numFmtId="164" fontId="3" fillId="6" borderId="20" xfId="0" applyNumberFormat="1" applyFont="1" applyFill="1" applyBorder="1" applyAlignment="1">
      <alignment horizontal="center" wrapText="1"/>
    </xf>
    <xf numFmtId="164" fontId="3" fillId="7" borderId="17" xfId="0" applyNumberFormat="1" applyFont="1" applyFill="1" applyBorder="1" applyAlignment="1">
      <alignment horizontal="center" vertical="center" wrapText="1"/>
    </xf>
    <xf numFmtId="0" fontId="22" fillId="0" borderId="21" xfId="0" applyFont="1" applyBorder="1" applyAlignment="1">
      <alignment wrapText="1"/>
    </xf>
    <xf numFmtId="0" fontId="22" fillId="0" borderId="21" xfId="0" applyFont="1" applyBorder="1"/>
    <xf numFmtId="164" fontId="3" fillId="8" borderId="17" xfId="0" applyNumberFormat="1" applyFont="1" applyFill="1" applyBorder="1" applyAlignment="1">
      <alignment horizontal="center" vertical="center" wrapText="1"/>
    </xf>
    <xf numFmtId="164" fontId="3" fillId="9" borderId="17" xfId="0" applyNumberFormat="1" applyFont="1" applyFill="1" applyBorder="1" applyAlignment="1">
      <alignment horizontal="center" vertical="center" wrapText="1"/>
    </xf>
    <xf numFmtId="0" fontId="1" fillId="0" borderId="30" xfId="0" applyFont="1" applyBorder="1" applyAlignment="1">
      <alignment vertical="top" wrapText="1"/>
    </xf>
    <xf numFmtId="0" fontId="1" fillId="5" borderId="30" xfId="0" applyFont="1" applyFill="1" applyBorder="1" applyAlignment="1">
      <alignment wrapText="1"/>
    </xf>
    <xf numFmtId="0" fontId="2" fillId="0" borderId="0" xfId="0" applyFont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7" fillId="0" borderId="1" xfId="0" applyFont="1" applyBorder="1" applyAlignment="1">
      <alignment horizontal="center" vertical="center" wrapText="1"/>
    </xf>
    <xf numFmtId="0" fontId="9" fillId="0" borderId="7" xfId="0" applyFont="1" applyBorder="1"/>
    <xf numFmtId="0" fontId="7" fillId="0" borderId="2" xfId="0" applyFont="1" applyBorder="1" applyAlignment="1">
      <alignment horizontal="center" vertical="center" wrapText="1"/>
    </xf>
    <xf numFmtId="0" fontId="9" fillId="0" borderId="8" xfId="0" applyFont="1" applyBorder="1"/>
    <xf numFmtId="4" fontId="7" fillId="0" borderId="2" xfId="0" applyNumberFormat="1" applyFont="1" applyBorder="1" applyAlignment="1">
      <alignment horizontal="center" vertical="center" wrapText="1"/>
    </xf>
    <xf numFmtId="164" fontId="7" fillId="0" borderId="2" xfId="0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9" fillId="0" borderId="5" xfId="0" applyFont="1" applyBorder="1"/>
    <xf numFmtId="0" fontId="9" fillId="0" borderId="6" xfId="0" applyFont="1" applyBorder="1"/>
    <xf numFmtId="0" fontId="8" fillId="0" borderId="2" xfId="0" applyFont="1" applyBorder="1" applyAlignment="1">
      <alignment horizontal="center" vertical="center" wrapText="1"/>
    </xf>
    <xf numFmtId="164" fontId="20" fillId="0" borderId="0" xfId="0" applyNumberFormat="1" applyFont="1" applyAlignment="1">
      <alignment horizontal="left" vertical="center" wrapText="1"/>
    </xf>
    <xf numFmtId="0" fontId="10" fillId="0" borderId="0" xfId="0" applyFont="1" applyAlignment="1">
      <alignment horizontal="left"/>
    </xf>
    <xf numFmtId="164" fontId="12" fillId="0" borderId="0" xfId="0" applyNumberFormat="1" applyFont="1" applyAlignment="1">
      <alignment horizontal="center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wrapText="1"/>
    </xf>
    <xf numFmtId="0" fontId="12" fillId="0" borderId="0" xfId="0" applyFont="1" applyAlignment="1">
      <alignment vertical="center" wrapText="1"/>
    </xf>
    <xf numFmtId="0" fontId="12" fillId="0" borderId="0" xfId="0" applyFont="1" applyAlignment="1">
      <alignment horizontal="left" vertical="center" wrapText="1"/>
    </xf>
    <xf numFmtId="0" fontId="3" fillId="0" borderId="0" xfId="0" applyFont="1"/>
    <xf numFmtId="0" fontId="22" fillId="4" borderId="33" xfId="0" applyFont="1" applyFill="1" applyBorder="1" applyAlignment="1">
      <alignment horizontal="center" vertical="center" wrapText="1"/>
    </xf>
    <xf numFmtId="0" fontId="22" fillId="4" borderId="34" xfId="0" applyFont="1" applyFill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18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wrapText="1"/>
    </xf>
    <xf numFmtId="0" fontId="7" fillId="0" borderId="21" xfId="0" applyFont="1" applyBorder="1" applyAlignment="1">
      <alignment horizontal="left" vertical="center" wrapText="1"/>
    </xf>
    <xf numFmtId="0" fontId="9" fillId="0" borderId="27" xfId="0" applyFont="1" applyBorder="1"/>
    <xf numFmtId="0" fontId="9" fillId="0" borderId="20" xfId="0" applyFont="1" applyBorder="1"/>
    <xf numFmtId="164" fontId="2" fillId="0" borderId="0" xfId="0" applyNumberFormat="1" applyFont="1" applyAlignment="1">
      <alignment horizontal="center"/>
    </xf>
    <xf numFmtId="164" fontId="2" fillId="0" borderId="22" xfId="0" applyNumberFormat="1" applyFont="1" applyBorder="1" applyAlignment="1">
      <alignment horizontal="center"/>
    </xf>
    <xf numFmtId="0" fontId="9" fillId="0" borderId="29" xfId="0" applyFont="1" applyBorder="1"/>
    <xf numFmtId="0" fontId="9" fillId="0" borderId="25" xfId="0" applyFont="1" applyBorder="1"/>
    <xf numFmtId="164" fontId="2" fillId="0" borderId="21" xfId="0" applyNumberFormat="1" applyFont="1" applyBorder="1" applyAlignment="1">
      <alignment horizontal="center"/>
    </xf>
    <xf numFmtId="0" fontId="16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86"/>
  <sheetViews>
    <sheetView tabSelected="1" workbookViewId="0">
      <pane ySplit="9" topLeftCell="A10" activePane="bottomLeft" state="frozen"/>
      <selection pane="bottomLeft" activeCell="F15" sqref="F15"/>
    </sheetView>
  </sheetViews>
  <sheetFormatPr defaultColWidth="12.625" defaultRowHeight="15" customHeight="1" x14ac:dyDescent="0.2"/>
  <cols>
    <col min="1" max="1" width="7.625" customWidth="1"/>
    <col min="2" max="2" width="51.75" customWidth="1"/>
    <col min="3" max="3" width="11.625" customWidth="1"/>
    <col min="5" max="5" width="13.25" customWidth="1"/>
    <col min="6" max="6" width="31" customWidth="1"/>
    <col min="7" max="7" width="10.375" customWidth="1"/>
    <col min="8" max="12" width="7.625" customWidth="1"/>
    <col min="13" max="13" width="11.375" customWidth="1"/>
    <col min="14" max="15" width="7.625" customWidth="1"/>
    <col min="16" max="16" width="10.25" customWidth="1"/>
    <col min="17" max="17" width="9.25" customWidth="1"/>
    <col min="18" max="18" width="7.625" customWidth="1"/>
    <col min="19" max="19" width="9.5" customWidth="1"/>
    <col min="20" max="21" width="9.875" customWidth="1"/>
    <col min="22" max="22" width="22.625" customWidth="1"/>
    <col min="23" max="24" width="7.625" customWidth="1"/>
  </cols>
  <sheetData>
    <row r="1" spans="1:26" ht="15.75" x14ac:dyDescent="0.2">
      <c r="A1" s="113" t="s">
        <v>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"/>
      <c r="X1" s="1"/>
      <c r="Y1" s="1"/>
      <c r="Z1" s="1"/>
    </row>
    <row r="2" spans="1:26" ht="14.25" x14ac:dyDescent="0.2">
      <c r="A2" s="115" t="s">
        <v>1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"/>
      <c r="X2" s="1"/>
      <c r="Y2" s="1"/>
      <c r="Z2" s="1"/>
    </row>
    <row r="3" spans="1:26" x14ac:dyDescent="0.25">
      <c r="A3" s="116"/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4"/>
      <c r="V3" s="114"/>
      <c r="W3" s="1"/>
      <c r="X3" s="1"/>
      <c r="Y3" s="1"/>
      <c r="Z3" s="1"/>
    </row>
    <row r="4" spans="1:26" x14ac:dyDescent="0.2">
      <c r="A4" s="2" t="s">
        <v>2</v>
      </c>
      <c r="B4" s="3"/>
      <c r="C4" s="3"/>
      <c r="D4" s="4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1"/>
      <c r="W4" s="1"/>
      <c r="X4" s="1"/>
      <c r="Y4" s="1"/>
      <c r="Z4" s="1"/>
    </row>
    <row r="5" spans="1:26" x14ac:dyDescent="0.2">
      <c r="A5" s="5"/>
      <c r="B5" s="3"/>
      <c r="C5" s="1"/>
      <c r="D5" s="6"/>
      <c r="E5" s="7"/>
      <c r="F5" s="8"/>
      <c r="G5" s="8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">
      <c r="A6" s="2" t="s">
        <v>134</v>
      </c>
      <c r="B6" s="3"/>
      <c r="C6" s="1"/>
      <c r="D6" s="6"/>
      <c r="E6" s="7"/>
      <c r="F6" s="8"/>
      <c r="G6" s="8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">
      <c r="A7" s="5" t="s">
        <v>3</v>
      </c>
      <c r="B7" s="3"/>
      <c r="C7" s="1"/>
      <c r="D7" s="6"/>
      <c r="E7" s="7"/>
      <c r="F7" s="8"/>
      <c r="G7" s="8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2.5" customHeight="1" x14ac:dyDescent="0.2">
      <c r="A8" s="117" t="s">
        <v>4</v>
      </c>
      <c r="B8" s="119" t="s">
        <v>5</v>
      </c>
      <c r="C8" s="9" t="s">
        <v>6</v>
      </c>
      <c r="D8" s="121" t="s">
        <v>7</v>
      </c>
      <c r="E8" s="122" t="s">
        <v>8</v>
      </c>
      <c r="F8" s="126" t="s">
        <v>9</v>
      </c>
      <c r="G8" s="119" t="s">
        <v>10</v>
      </c>
      <c r="H8" s="123" t="s">
        <v>11</v>
      </c>
      <c r="I8" s="124"/>
      <c r="J8" s="124"/>
      <c r="K8" s="124"/>
      <c r="L8" s="124"/>
      <c r="M8" s="124"/>
      <c r="N8" s="124"/>
      <c r="O8" s="124"/>
      <c r="P8" s="124"/>
      <c r="Q8" s="124"/>
      <c r="R8" s="124"/>
      <c r="S8" s="124"/>
      <c r="T8" s="124"/>
      <c r="U8" s="124"/>
      <c r="V8" s="125"/>
      <c r="W8" s="10"/>
      <c r="X8" s="10"/>
      <c r="Y8" s="1"/>
      <c r="Z8" s="1"/>
    </row>
    <row r="9" spans="1:26" ht="38.25" x14ac:dyDescent="0.2">
      <c r="A9" s="118"/>
      <c r="B9" s="120"/>
      <c r="C9" s="11" t="s">
        <v>12</v>
      </c>
      <c r="D9" s="120"/>
      <c r="E9" s="120"/>
      <c r="F9" s="120"/>
      <c r="G9" s="120"/>
      <c r="H9" s="12" t="s">
        <v>13</v>
      </c>
      <c r="I9" s="12" t="s">
        <v>14</v>
      </c>
      <c r="J9" s="12" t="s">
        <v>15</v>
      </c>
      <c r="K9" s="12" t="s">
        <v>16</v>
      </c>
      <c r="L9" s="12" t="s">
        <v>17</v>
      </c>
      <c r="M9" s="12" t="s">
        <v>18</v>
      </c>
      <c r="N9" s="12" t="s">
        <v>19</v>
      </c>
      <c r="O9" s="12" t="s">
        <v>20</v>
      </c>
      <c r="P9" s="12" t="s">
        <v>21</v>
      </c>
      <c r="Q9" s="12" t="s">
        <v>22</v>
      </c>
      <c r="R9" s="12" t="s">
        <v>23</v>
      </c>
      <c r="S9" s="12" t="s">
        <v>24</v>
      </c>
      <c r="T9" s="12" t="s">
        <v>25</v>
      </c>
      <c r="U9" s="13" t="str">
        <f>$V$9</f>
        <v>REMARKS</v>
      </c>
      <c r="V9" s="13" t="s">
        <v>26</v>
      </c>
      <c r="W9" s="14"/>
      <c r="X9" s="10"/>
      <c r="Y9" s="1"/>
      <c r="Z9" s="1"/>
    </row>
    <row r="10" spans="1:26" x14ac:dyDescent="0.2">
      <c r="A10" s="15"/>
      <c r="B10" s="16" t="s">
        <v>27</v>
      </c>
      <c r="C10" s="17"/>
      <c r="D10" s="18"/>
      <c r="E10" s="19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1"/>
      <c r="V10" s="22"/>
      <c r="W10" s="10"/>
      <c r="X10" s="10"/>
      <c r="Y10" s="1"/>
      <c r="Z10" s="1"/>
    </row>
    <row r="11" spans="1:26" ht="15.75" customHeight="1" x14ac:dyDescent="0.2">
      <c r="A11" s="37"/>
      <c r="B11" s="38" t="s">
        <v>32</v>
      </c>
      <c r="C11" s="39"/>
      <c r="D11" s="18"/>
      <c r="E11" s="19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1"/>
      <c r="V11" s="22"/>
      <c r="W11" s="10"/>
      <c r="X11" s="10"/>
      <c r="Y11" s="1"/>
      <c r="Z11" s="1"/>
    </row>
    <row r="12" spans="1:26" ht="15.75" customHeight="1" x14ac:dyDescent="0.2">
      <c r="A12" s="31"/>
      <c r="B12" s="107" t="s">
        <v>139</v>
      </c>
      <c r="C12" s="137" t="s">
        <v>29</v>
      </c>
      <c r="D12" s="40">
        <v>3000</v>
      </c>
      <c r="E12" s="109">
        <f>2*D12</f>
        <v>6000</v>
      </c>
      <c r="F12" s="33"/>
      <c r="G12" s="24"/>
      <c r="H12" s="24"/>
      <c r="I12" s="24">
        <v>2</v>
      </c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10"/>
      <c r="X12" s="10"/>
      <c r="Y12" s="1"/>
      <c r="Z12" s="1"/>
    </row>
    <row r="13" spans="1:26" ht="15.75" customHeight="1" x14ac:dyDescent="0.2">
      <c r="A13" s="31"/>
      <c r="B13" s="108" t="s">
        <v>140</v>
      </c>
      <c r="C13" s="138"/>
      <c r="D13" s="100">
        <v>2500</v>
      </c>
      <c r="E13" s="109">
        <f t="shared" ref="E13:E15" si="0">2*D13</f>
        <v>5000</v>
      </c>
      <c r="F13" s="33"/>
      <c r="G13" s="24"/>
      <c r="H13" s="24"/>
      <c r="I13" s="24">
        <v>2</v>
      </c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10"/>
      <c r="X13" s="10"/>
      <c r="Y13" s="1"/>
      <c r="Z13" s="1"/>
    </row>
    <row r="14" spans="1:26" ht="15.75" customHeight="1" x14ac:dyDescent="0.2">
      <c r="A14" s="31"/>
      <c r="B14" s="107" t="s">
        <v>141</v>
      </c>
      <c r="C14" s="138"/>
      <c r="D14" s="100">
        <v>1500</v>
      </c>
      <c r="E14" s="109">
        <f t="shared" si="0"/>
        <v>3000</v>
      </c>
      <c r="F14" s="33"/>
      <c r="G14" s="24"/>
      <c r="H14" s="24"/>
      <c r="I14" s="24">
        <v>2</v>
      </c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10"/>
      <c r="X14" s="10"/>
      <c r="Y14" s="1"/>
      <c r="Z14" s="1"/>
    </row>
    <row r="15" spans="1:26" ht="15.75" customHeight="1" x14ac:dyDescent="0.2">
      <c r="A15" s="31"/>
      <c r="B15" s="107" t="s">
        <v>142</v>
      </c>
      <c r="C15" s="139"/>
      <c r="D15" s="41">
        <v>2000</v>
      </c>
      <c r="E15" s="109">
        <f t="shared" si="0"/>
        <v>4000</v>
      </c>
      <c r="F15" s="33"/>
      <c r="G15" s="24"/>
      <c r="H15" s="24"/>
      <c r="I15" s="24">
        <v>2</v>
      </c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10"/>
      <c r="X15" s="10"/>
      <c r="Y15" s="1"/>
      <c r="Z15" s="1"/>
    </row>
    <row r="16" spans="1:26" ht="15.75" customHeight="1" x14ac:dyDescent="0.25">
      <c r="A16" s="43"/>
      <c r="B16" s="44" t="s">
        <v>34</v>
      </c>
      <c r="C16" s="45"/>
      <c r="D16" s="46"/>
      <c r="E16" s="47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1"/>
      <c r="X16" s="1"/>
      <c r="Y16" s="1"/>
      <c r="Z16" s="1"/>
    </row>
    <row r="17" spans="1:26" s="93" customFormat="1" ht="15.75" customHeight="1" x14ac:dyDescent="0.2">
      <c r="A17" s="86"/>
      <c r="B17" s="87" t="s">
        <v>143</v>
      </c>
      <c r="C17" s="88" t="s">
        <v>29</v>
      </c>
      <c r="D17" s="89">
        <v>4000</v>
      </c>
      <c r="E17" s="110">
        <f>D17*5</f>
        <v>20000</v>
      </c>
      <c r="F17" s="90"/>
      <c r="G17" s="90"/>
      <c r="H17" s="90"/>
      <c r="I17" s="90">
        <v>5</v>
      </c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1"/>
      <c r="X17" s="91"/>
      <c r="Y17" s="92"/>
      <c r="Z17" s="92"/>
    </row>
    <row r="18" spans="1:26" ht="15.75" customHeight="1" x14ac:dyDescent="0.25">
      <c r="A18" s="43"/>
      <c r="B18" s="103" t="s">
        <v>39</v>
      </c>
      <c r="C18" s="49"/>
      <c r="D18" s="50"/>
      <c r="E18" s="51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1"/>
      <c r="X18" s="1"/>
      <c r="Y18" s="1"/>
      <c r="Z18" s="1"/>
    </row>
    <row r="19" spans="1:26" s="93" customFormat="1" ht="14.25" x14ac:dyDescent="0.2">
      <c r="A19" s="101"/>
      <c r="B19" s="111" t="s">
        <v>137</v>
      </c>
      <c r="C19" s="135" t="s">
        <v>29</v>
      </c>
      <c r="D19" s="94">
        <v>1000</v>
      </c>
      <c r="E19" s="105">
        <f>4*D19</f>
        <v>4000</v>
      </c>
      <c r="F19" s="96"/>
      <c r="G19" s="96"/>
      <c r="H19" s="97"/>
      <c r="I19" s="96">
        <v>4</v>
      </c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2"/>
      <c r="X19" s="92"/>
      <c r="Y19" s="92"/>
      <c r="Z19" s="92"/>
    </row>
    <row r="20" spans="1:26" s="93" customFormat="1" ht="14.25" x14ac:dyDescent="0.2">
      <c r="A20" s="102"/>
      <c r="B20" s="112" t="s">
        <v>138</v>
      </c>
      <c r="C20" s="136"/>
      <c r="D20" s="95">
        <v>500</v>
      </c>
      <c r="E20" s="105">
        <f>4*D20</f>
        <v>2000</v>
      </c>
      <c r="F20" s="98"/>
      <c r="G20" s="98"/>
      <c r="H20" s="99"/>
      <c r="I20" s="98">
        <v>4</v>
      </c>
      <c r="J20" s="98"/>
      <c r="K20" s="98"/>
      <c r="L20" s="98"/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92"/>
      <c r="X20" s="92"/>
      <c r="Y20" s="92"/>
      <c r="Z20" s="92"/>
    </row>
    <row r="21" spans="1:26" ht="15.75" customHeight="1" x14ac:dyDescent="0.25">
      <c r="A21" s="43"/>
      <c r="B21" s="104" t="s">
        <v>40</v>
      </c>
      <c r="C21" s="49"/>
      <c r="D21" s="50"/>
      <c r="E21" s="51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1"/>
      <c r="X21" s="1"/>
      <c r="Y21" s="1"/>
      <c r="Z21" s="1"/>
    </row>
    <row r="22" spans="1:26" ht="15.75" customHeight="1" x14ac:dyDescent="0.2">
      <c r="A22" s="23"/>
      <c r="B22" s="26" t="s">
        <v>135</v>
      </c>
      <c r="C22" s="27"/>
      <c r="D22" s="28"/>
      <c r="E22" s="106"/>
      <c r="F22" s="25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10"/>
      <c r="X22" s="10"/>
      <c r="Y22" s="1"/>
      <c r="Z22" s="1"/>
    </row>
    <row r="23" spans="1:26" ht="15.75" hidden="1" customHeight="1" x14ac:dyDescent="0.2">
      <c r="A23" s="23"/>
      <c r="B23" s="26"/>
      <c r="C23" s="27"/>
      <c r="D23" s="28"/>
      <c r="E23" s="52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10"/>
      <c r="X23" s="10"/>
      <c r="Y23" s="1"/>
      <c r="Z23" s="1"/>
    </row>
    <row r="24" spans="1:26" ht="15.75" hidden="1" customHeight="1" x14ac:dyDescent="0.2">
      <c r="A24" s="23"/>
      <c r="B24" s="26"/>
      <c r="C24" s="27"/>
      <c r="D24" s="28"/>
      <c r="E24" s="52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10"/>
      <c r="X24" s="10"/>
      <c r="Y24" s="1"/>
      <c r="Z24" s="1"/>
    </row>
    <row r="25" spans="1:26" ht="15.75" hidden="1" customHeight="1" x14ac:dyDescent="0.2">
      <c r="A25" s="23"/>
      <c r="B25" s="26"/>
      <c r="C25" s="27"/>
      <c r="D25" s="28"/>
      <c r="E25" s="52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10"/>
      <c r="X25" s="10"/>
      <c r="Y25" s="1"/>
      <c r="Z25" s="1"/>
    </row>
    <row r="26" spans="1:26" ht="15.75" hidden="1" customHeight="1" x14ac:dyDescent="0.2">
      <c r="A26" s="23"/>
      <c r="B26" s="26"/>
      <c r="C26" s="27"/>
      <c r="D26" s="28"/>
      <c r="E26" s="52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10"/>
      <c r="X26" s="10"/>
      <c r="Y26" s="1"/>
      <c r="Z26" s="1"/>
    </row>
    <row r="27" spans="1:26" ht="15.75" hidden="1" customHeight="1" x14ac:dyDescent="0.2">
      <c r="A27" s="23"/>
      <c r="B27" s="26"/>
      <c r="C27" s="27"/>
      <c r="D27" s="28"/>
      <c r="E27" s="52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10"/>
      <c r="X27" s="10"/>
      <c r="Y27" s="1"/>
      <c r="Z27" s="1"/>
    </row>
    <row r="28" spans="1:26" ht="15.75" hidden="1" customHeight="1" x14ac:dyDescent="0.2">
      <c r="A28" s="23"/>
      <c r="B28" s="26"/>
      <c r="C28" s="27"/>
      <c r="D28" s="28"/>
      <c r="E28" s="52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10"/>
      <c r="X28" s="10"/>
      <c r="Y28" s="1"/>
      <c r="Z28" s="1"/>
    </row>
    <row r="29" spans="1:26" ht="15.75" hidden="1" customHeight="1" x14ac:dyDescent="0.2">
      <c r="A29" s="53"/>
      <c r="B29" s="54"/>
      <c r="C29" s="32"/>
      <c r="D29" s="36"/>
      <c r="E29" s="55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10"/>
      <c r="X29" s="10"/>
      <c r="Y29" s="1"/>
      <c r="Z29" s="1"/>
    </row>
    <row r="30" spans="1:26" ht="15.75" hidden="1" customHeight="1" x14ac:dyDescent="0.2">
      <c r="A30" s="23"/>
      <c r="B30" s="56" t="s">
        <v>41</v>
      </c>
      <c r="C30" s="48"/>
      <c r="D30" s="57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10"/>
      <c r="X30" s="10"/>
      <c r="Y30" s="1"/>
      <c r="Z30" s="1"/>
    </row>
    <row r="31" spans="1:26" ht="15.75" hidden="1" customHeight="1" x14ac:dyDescent="0.2">
      <c r="A31" s="23"/>
      <c r="B31" s="26"/>
      <c r="C31" s="27"/>
      <c r="D31" s="28"/>
      <c r="E31" s="52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10"/>
      <c r="X31" s="10"/>
      <c r="Y31" s="1"/>
      <c r="Z31" s="1"/>
    </row>
    <row r="32" spans="1:26" ht="15.75" hidden="1" customHeight="1" x14ac:dyDescent="0.2">
      <c r="A32" s="23"/>
      <c r="B32" s="26"/>
      <c r="C32" s="27"/>
      <c r="D32" s="28"/>
      <c r="E32" s="52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10"/>
      <c r="X32" s="10"/>
      <c r="Y32" s="1"/>
      <c r="Z32" s="1"/>
    </row>
    <row r="33" spans="1:26" ht="15.75" hidden="1" customHeight="1" x14ac:dyDescent="0.2">
      <c r="A33" s="23"/>
      <c r="B33" s="26"/>
      <c r="C33" s="27"/>
      <c r="D33" s="28"/>
      <c r="E33" s="52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10"/>
      <c r="X33" s="10"/>
      <c r="Y33" s="1"/>
      <c r="Z33" s="1"/>
    </row>
    <row r="34" spans="1:26" ht="15.75" hidden="1" customHeight="1" x14ac:dyDescent="0.2">
      <c r="A34" s="23"/>
      <c r="B34" s="26"/>
      <c r="C34" s="27"/>
      <c r="D34" s="28"/>
      <c r="E34" s="52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10"/>
      <c r="X34" s="10"/>
      <c r="Y34" s="1"/>
      <c r="Z34" s="1"/>
    </row>
    <row r="35" spans="1:26" ht="15.75" hidden="1" customHeight="1" x14ac:dyDescent="0.2">
      <c r="A35" s="23"/>
      <c r="B35" s="56" t="s">
        <v>42</v>
      </c>
      <c r="C35" s="48"/>
      <c r="D35" s="57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10"/>
      <c r="X35" s="10"/>
      <c r="Y35" s="1"/>
      <c r="Z35" s="1"/>
    </row>
    <row r="36" spans="1:26" ht="15.75" hidden="1" customHeight="1" x14ac:dyDescent="0.2">
      <c r="A36" s="23"/>
      <c r="B36" s="26"/>
      <c r="C36" s="27"/>
      <c r="D36" s="28"/>
      <c r="E36" s="52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10"/>
      <c r="X36" s="10"/>
      <c r="Y36" s="1"/>
      <c r="Z36" s="1"/>
    </row>
    <row r="37" spans="1:26" ht="15.75" hidden="1" customHeight="1" x14ac:dyDescent="0.2">
      <c r="A37" s="23"/>
      <c r="B37" s="26"/>
      <c r="C37" s="27"/>
      <c r="D37" s="28"/>
      <c r="E37" s="52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10"/>
      <c r="X37" s="10"/>
      <c r="Y37" s="1"/>
      <c r="Z37" s="1"/>
    </row>
    <row r="38" spans="1:26" ht="15.75" hidden="1" customHeight="1" x14ac:dyDescent="0.2">
      <c r="A38" s="23"/>
      <c r="B38" s="26"/>
      <c r="C38" s="27"/>
      <c r="D38" s="28"/>
      <c r="E38" s="52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10"/>
      <c r="X38" s="10"/>
      <c r="Y38" s="1"/>
      <c r="Z38" s="1"/>
    </row>
    <row r="39" spans="1:26" ht="15.75" customHeight="1" x14ac:dyDescent="0.2">
      <c r="A39" s="53"/>
      <c r="B39" s="142" t="s">
        <v>43</v>
      </c>
      <c r="C39" s="143"/>
      <c r="D39" s="143"/>
      <c r="E39" s="143"/>
      <c r="F39" s="143"/>
      <c r="G39" s="143"/>
      <c r="H39" s="143"/>
      <c r="I39" s="14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10"/>
      <c r="X39" s="10"/>
      <c r="Y39" s="1"/>
      <c r="Z39" s="1"/>
    </row>
    <row r="40" spans="1:26" ht="15.75" customHeight="1" x14ac:dyDescent="0.2">
      <c r="A40" s="58"/>
      <c r="B40" s="59"/>
      <c r="C40" s="1"/>
      <c r="D40" s="6"/>
      <c r="E40" s="60"/>
      <c r="F40" s="8"/>
      <c r="G40" s="8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61" t="s">
        <v>44</v>
      </c>
      <c r="B41" s="3"/>
      <c r="C41" s="145">
        <f>SUM(E11:E22)</f>
        <v>44000</v>
      </c>
      <c r="D41" s="114"/>
      <c r="E41" s="114"/>
      <c r="F41" s="8"/>
      <c r="G41" s="8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hidden="1" customHeight="1" x14ac:dyDescent="0.25">
      <c r="A42" s="62" t="s">
        <v>45</v>
      </c>
      <c r="B42" s="63"/>
      <c r="C42" s="146">
        <f>PRODUCT(C41,0.1)</f>
        <v>4400</v>
      </c>
      <c r="D42" s="147"/>
      <c r="E42" s="148"/>
      <c r="F42" s="8"/>
      <c r="G42" s="8"/>
      <c r="H42" s="128"/>
      <c r="I42" s="114"/>
      <c r="J42" s="128"/>
      <c r="K42" s="114"/>
      <c r="L42" s="114"/>
      <c r="M42" s="114"/>
      <c r="N42" s="114"/>
      <c r="O42" s="114"/>
      <c r="P42" s="114"/>
      <c r="Q42" s="114"/>
      <c r="R42" s="114"/>
      <c r="S42" s="114"/>
      <c r="T42" s="114"/>
      <c r="U42" s="64"/>
      <c r="V42" s="1"/>
      <c r="W42" s="1"/>
      <c r="X42" s="1"/>
      <c r="Y42" s="1"/>
      <c r="Z42" s="1"/>
    </row>
    <row r="43" spans="1:26" ht="15.75" hidden="1" customHeight="1" x14ac:dyDescent="0.25">
      <c r="A43" s="65" t="s">
        <v>46</v>
      </c>
      <c r="B43" s="66"/>
      <c r="C43" s="149">
        <f>PRODUCT(C41,0.1)</f>
        <v>4400</v>
      </c>
      <c r="D43" s="143"/>
      <c r="E43" s="144"/>
      <c r="F43" s="8"/>
      <c r="G43" s="8"/>
      <c r="H43" s="67"/>
      <c r="I43" s="67"/>
      <c r="J43" s="129"/>
      <c r="K43" s="114"/>
      <c r="L43" s="114"/>
      <c r="M43" s="114"/>
      <c r="N43" s="114"/>
      <c r="O43" s="114"/>
      <c r="P43" s="114"/>
      <c r="Q43" s="114"/>
      <c r="R43" s="114"/>
      <c r="S43" s="114"/>
      <c r="T43" s="114"/>
      <c r="U43" s="68"/>
      <c r="V43" s="1"/>
      <c r="W43" s="1"/>
      <c r="X43" s="1"/>
      <c r="Y43" s="1"/>
      <c r="Z43" s="1"/>
    </row>
    <row r="44" spans="1:26" ht="15.75" hidden="1" customHeight="1" x14ac:dyDescent="0.25">
      <c r="A44" s="65" t="s">
        <v>47</v>
      </c>
      <c r="B44" s="66"/>
      <c r="C44" s="149">
        <f>SUM(C41:E43)</f>
        <v>52800</v>
      </c>
      <c r="D44" s="143"/>
      <c r="E44" s="144"/>
      <c r="F44" s="8"/>
      <c r="G44" s="8"/>
      <c r="H44" s="67"/>
      <c r="I44" s="67"/>
      <c r="J44" s="129"/>
      <c r="K44" s="114"/>
      <c r="L44" s="114"/>
      <c r="M44" s="114"/>
      <c r="N44" s="114"/>
      <c r="O44" s="114"/>
      <c r="P44" s="114"/>
      <c r="Q44" s="114"/>
      <c r="R44" s="114"/>
      <c r="S44" s="114"/>
      <c r="T44" s="114"/>
      <c r="U44" s="68"/>
      <c r="V44" s="1"/>
      <c r="W44" s="1"/>
      <c r="X44" s="1"/>
      <c r="Y44" s="1"/>
      <c r="Z44" s="1"/>
    </row>
    <row r="45" spans="1:26" ht="15.75" customHeight="1" x14ac:dyDescent="0.2">
      <c r="A45" s="69"/>
      <c r="B45" s="3"/>
      <c r="C45" s="1"/>
      <c r="D45" s="6"/>
      <c r="E45" s="7"/>
      <c r="F45" s="8"/>
      <c r="G45" s="8"/>
      <c r="H45" s="67"/>
      <c r="I45" s="67"/>
      <c r="J45" s="129"/>
      <c r="K45" s="114"/>
      <c r="L45" s="114"/>
      <c r="M45" s="114"/>
      <c r="N45" s="114"/>
      <c r="O45" s="114"/>
      <c r="P45" s="114"/>
      <c r="Q45" s="114"/>
      <c r="R45" s="114"/>
      <c r="S45" s="114"/>
      <c r="T45" s="114"/>
      <c r="U45" s="68"/>
      <c r="V45" s="1"/>
      <c r="W45" s="1"/>
      <c r="X45" s="1"/>
      <c r="Y45" s="1"/>
      <c r="Z45" s="1"/>
    </row>
    <row r="46" spans="1:26" ht="15.75" customHeight="1" x14ac:dyDescent="0.2">
      <c r="A46" s="70" t="s">
        <v>48</v>
      </c>
      <c r="B46" s="3"/>
      <c r="C46" s="1"/>
      <c r="D46" s="6"/>
      <c r="E46" s="7"/>
      <c r="F46" s="8"/>
      <c r="G46" s="8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71"/>
      <c r="B47" s="3"/>
      <c r="C47" s="1"/>
      <c r="D47" s="6"/>
      <c r="E47" s="7"/>
      <c r="F47" s="8"/>
      <c r="G47" s="8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72" t="s">
        <v>49</v>
      </c>
      <c r="B48" s="59"/>
      <c r="C48" s="130" t="s">
        <v>50</v>
      </c>
      <c r="D48" s="114"/>
      <c r="E48" s="114"/>
      <c r="F48" s="67"/>
      <c r="G48" s="67"/>
      <c r="H48" s="1"/>
      <c r="I48" s="130" t="s">
        <v>51</v>
      </c>
      <c r="J48" s="114"/>
      <c r="K48" s="114"/>
      <c r="L48" s="114"/>
      <c r="M48" s="114"/>
      <c r="N48" s="114"/>
      <c r="O48" s="1"/>
      <c r="P48" s="1"/>
      <c r="Q48" s="130" t="s">
        <v>52</v>
      </c>
      <c r="R48" s="114"/>
      <c r="S48" s="114"/>
      <c r="T48" s="114"/>
      <c r="U48" s="1"/>
      <c r="V48" s="134"/>
      <c r="W48" s="114"/>
      <c r="X48" s="67"/>
      <c r="Y48" s="1"/>
      <c r="Z48" s="1"/>
    </row>
    <row r="49" spans="1:26" ht="15.75" customHeight="1" x14ac:dyDescent="0.2">
      <c r="A49" s="72"/>
      <c r="B49" s="59"/>
      <c r="C49" s="73"/>
      <c r="D49" s="74"/>
      <c r="E49" s="73"/>
      <c r="F49" s="67"/>
      <c r="G49" s="67"/>
      <c r="H49" s="1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67"/>
      <c r="X49" s="67"/>
      <c r="Y49" s="1"/>
      <c r="Z49" s="1"/>
    </row>
    <row r="50" spans="1:26" ht="15.75" customHeight="1" x14ac:dyDescent="0.2">
      <c r="A50" s="59"/>
      <c r="B50" s="59"/>
      <c r="C50" s="67"/>
      <c r="D50" s="75"/>
      <c r="E50" s="76"/>
      <c r="F50" s="67"/>
      <c r="G50" s="67"/>
      <c r="H50" s="1"/>
      <c r="I50" s="67"/>
      <c r="J50" s="76"/>
      <c r="K50" s="76"/>
      <c r="L50" s="76"/>
      <c r="M50" s="76"/>
      <c r="N50" s="76"/>
      <c r="O50" s="76"/>
      <c r="P50" s="76"/>
      <c r="Q50" s="67"/>
      <c r="R50" s="76"/>
      <c r="S50" s="67"/>
      <c r="T50" s="67"/>
      <c r="U50" s="67"/>
      <c r="V50" s="67"/>
      <c r="W50" s="67"/>
      <c r="X50" s="67"/>
      <c r="Y50" s="1"/>
      <c r="Z50" s="1"/>
    </row>
    <row r="51" spans="1:26" ht="15.75" customHeight="1" x14ac:dyDescent="0.2">
      <c r="A51" s="150" t="s">
        <v>136</v>
      </c>
      <c r="B51" s="114"/>
      <c r="C51" s="131" t="s">
        <v>53</v>
      </c>
      <c r="D51" s="114"/>
      <c r="E51" s="114"/>
      <c r="F51" s="114"/>
      <c r="G51" s="1"/>
      <c r="H51" s="1"/>
      <c r="I51" s="131" t="s">
        <v>54</v>
      </c>
      <c r="J51" s="114"/>
      <c r="K51" s="114"/>
      <c r="L51" s="114"/>
      <c r="M51" s="114"/>
      <c r="N51" s="114"/>
      <c r="O51" s="1"/>
      <c r="P51" s="1"/>
      <c r="Q51" s="131" t="s">
        <v>55</v>
      </c>
      <c r="R51" s="114"/>
      <c r="S51" s="114"/>
      <c r="T51" s="114"/>
      <c r="U51" s="1"/>
      <c r="V51" s="134"/>
      <c r="W51" s="114"/>
      <c r="X51" s="114"/>
      <c r="Y51" s="1"/>
      <c r="Z51" s="1"/>
    </row>
    <row r="52" spans="1:26" ht="15" customHeight="1" x14ac:dyDescent="0.2">
      <c r="A52" s="151" t="s">
        <v>56</v>
      </c>
      <c r="B52" s="114"/>
      <c r="C52" s="133" t="s">
        <v>57</v>
      </c>
      <c r="D52" s="114"/>
      <c r="E52" s="114"/>
      <c r="F52" s="114"/>
      <c r="G52" s="77"/>
      <c r="H52" s="1"/>
      <c r="I52" s="132" t="s">
        <v>58</v>
      </c>
      <c r="J52" s="114"/>
      <c r="K52" s="114"/>
      <c r="L52" s="114"/>
      <c r="M52" s="114"/>
      <c r="N52" s="114"/>
      <c r="O52" s="1"/>
      <c r="P52" s="1"/>
      <c r="Q52" s="133" t="s">
        <v>59</v>
      </c>
      <c r="R52" s="114"/>
      <c r="S52" s="114"/>
      <c r="T52" s="114"/>
      <c r="U52" s="1"/>
      <c r="V52" s="1"/>
      <c r="W52" s="67"/>
      <c r="X52" s="67"/>
      <c r="Y52" s="1"/>
      <c r="Z52" s="1"/>
    </row>
    <row r="53" spans="1:26" ht="15.75" customHeight="1" x14ac:dyDescent="0.2">
      <c r="A53" s="1"/>
      <c r="B53" s="1"/>
      <c r="C53" s="1"/>
      <c r="D53" s="6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60</v>
      </c>
      <c r="B54" s="1"/>
      <c r="C54" s="1" t="s">
        <v>60</v>
      </c>
      <c r="D54" s="6"/>
      <c r="E54" s="1"/>
      <c r="F54" s="1"/>
      <c r="G54" s="1"/>
      <c r="H54" s="1"/>
      <c r="I54" s="1" t="s">
        <v>60</v>
      </c>
      <c r="J54" s="1"/>
      <c r="K54" s="1"/>
      <c r="L54" s="1"/>
      <c r="M54" s="1"/>
      <c r="N54" s="1"/>
      <c r="O54" s="1"/>
      <c r="P54" s="1"/>
      <c r="Q54" s="1" t="s">
        <v>60</v>
      </c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"/>
      <c r="C55" s="1"/>
      <c r="D55" s="78"/>
      <c r="E55" s="1"/>
      <c r="F55" s="1"/>
      <c r="G55" s="1"/>
      <c r="H55" s="140"/>
      <c r="I55" s="114"/>
      <c r="J55" s="114"/>
      <c r="K55" s="114"/>
      <c r="L55" s="114"/>
      <c r="M55" s="114"/>
      <c r="N55" s="114"/>
      <c r="O55" s="114"/>
      <c r="P55" s="114"/>
      <c r="Q55" s="114"/>
      <c r="R55" s="114"/>
      <c r="S55" s="114"/>
      <c r="T55" s="114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"/>
      <c r="C56" s="1"/>
      <c r="D56" s="78"/>
      <c r="E56" s="1"/>
      <c r="F56" s="1"/>
      <c r="G56" s="1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1"/>
      <c r="W56" s="1"/>
      <c r="X56" s="1"/>
      <c r="Y56" s="1"/>
      <c r="Z56" s="1"/>
    </row>
    <row r="57" spans="1:26" ht="15.75" customHeight="1" x14ac:dyDescent="0.25">
      <c r="A57" s="1"/>
      <c r="B57" s="1"/>
      <c r="C57" s="1"/>
      <c r="D57" s="78"/>
      <c r="E57" s="1"/>
      <c r="F57" s="1"/>
      <c r="G57" s="1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1"/>
      <c r="W57" s="1"/>
      <c r="X57" s="1"/>
      <c r="Y57" s="1"/>
      <c r="Z57" s="1"/>
    </row>
    <row r="58" spans="1:26" ht="15.75" customHeight="1" x14ac:dyDescent="0.25">
      <c r="A58" s="1"/>
      <c r="B58" s="1"/>
      <c r="C58" s="1"/>
      <c r="D58" s="78"/>
      <c r="E58" s="1"/>
      <c r="F58" s="1"/>
      <c r="G58" s="1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1"/>
      <c r="W58" s="1"/>
      <c r="X58" s="1"/>
      <c r="Y58" s="1"/>
      <c r="Z58" s="1"/>
    </row>
    <row r="59" spans="1:26" ht="15.75" customHeight="1" x14ac:dyDescent="0.25">
      <c r="A59" s="1"/>
      <c r="B59" s="1"/>
      <c r="C59" s="1"/>
      <c r="D59" s="78"/>
      <c r="E59" s="1"/>
      <c r="F59" s="1"/>
      <c r="G59" s="1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1"/>
      <c r="W59" s="1"/>
      <c r="X59" s="1"/>
      <c r="Y59" s="1"/>
      <c r="Z59" s="1"/>
    </row>
    <row r="60" spans="1:26" ht="15.75" customHeight="1" x14ac:dyDescent="0.25">
      <c r="A60" s="1"/>
      <c r="B60" s="1"/>
      <c r="C60" s="1"/>
      <c r="D60" s="78"/>
      <c r="E60" s="1"/>
      <c r="F60" s="1"/>
      <c r="G60" s="1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1"/>
      <c r="W60" s="1"/>
      <c r="X60" s="1"/>
      <c r="Y60" s="1"/>
      <c r="Z60" s="1"/>
    </row>
    <row r="61" spans="1:26" ht="15.75" customHeight="1" x14ac:dyDescent="0.25">
      <c r="A61" s="1"/>
      <c r="B61" s="1"/>
      <c r="C61" s="1"/>
      <c r="D61" s="78"/>
      <c r="E61" s="1"/>
      <c r="F61" s="1"/>
      <c r="G61" s="1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1"/>
      <c r="W61" s="1"/>
      <c r="X61" s="1"/>
      <c r="Y61" s="1"/>
      <c r="Z61" s="1"/>
    </row>
    <row r="62" spans="1:26" ht="15.75" customHeight="1" x14ac:dyDescent="0.25">
      <c r="A62" s="1"/>
      <c r="B62" s="1"/>
      <c r="C62" s="1"/>
      <c r="D62" s="78"/>
      <c r="E62" s="1"/>
      <c r="F62" s="1"/>
      <c r="G62" s="1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1"/>
      <c r="W62" s="1"/>
      <c r="X62" s="1"/>
      <c r="Y62" s="1"/>
      <c r="Z62" s="1"/>
    </row>
    <row r="63" spans="1:26" ht="15.75" customHeight="1" x14ac:dyDescent="0.25">
      <c r="A63" s="1"/>
      <c r="B63" s="1"/>
      <c r="C63" s="1"/>
      <c r="D63" s="78"/>
      <c r="E63" s="1"/>
      <c r="F63" s="1"/>
      <c r="G63" s="1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78"/>
      <c r="E64" s="1"/>
      <c r="F64" s="1"/>
      <c r="G64" s="1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1"/>
      <c r="W64" s="1"/>
      <c r="X64" s="1"/>
      <c r="Y64" s="1"/>
      <c r="Z64" s="1"/>
    </row>
    <row r="65" spans="1:26" ht="15.75" customHeight="1" x14ac:dyDescent="0.25">
      <c r="A65" s="1"/>
      <c r="B65" s="1"/>
      <c r="C65" s="1"/>
      <c r="D65" s="78"/>
      <c r="E65" s="1"/>
      <c r="F65" s="1"/>
      <c r="G65" s="1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78"/>
      <c r="E66" s="1"/>
      <c r="F66" s="1"/>
      <c r="G66" s="1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1"/>
      <c r="W66" s="1"/>
      <c r="X66" s="1"/>
      <c r="Y66" s="1"/>
      <c r="Z66" s="1"/>
    </row>
    <row r="67" spans="1:26" ht="15.75" customHeight="1" x14ac:dyDescent="0.25">
      <c r="A67" s="1"/>
      <c r="B67" s="1"/>
      <c r="C67" s="1"/>
      <c r="D67" s="78"/>
      <c r="E67" s="1"/>
      <c r="F67" s="1"/>
      <c r="G67" s="1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78"/>
      <c r="E68" s="1"/>
      <c r="F68" s="1"/>
      <c r="G68" s="1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78"/>
      <c r="E69" s="1"/>
      <c r="F69" s="1"/>
      <c r="G69" s="1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78"/>
      <c r="E70" s="1"/>
      <c r="F70" s="1"/>
      <c r="G70" s="1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78"/>
      <c r="E71" s="1"/>
      <c r="F71" s="1"/>
      <c r="G71" s="1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78"/>
      <c r="E72" s="1"/>
      <c r="F72" s="1"/>
      <c r="G72" s="1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1"/>
      <c r="W72" s="1"/>
      <c r="X72" s="1"/>
      <c r="Y72" s="1"/>
      <c r="Z72" s="1"/>
    </row>
    <row r="73" spans="1:26" ht="15.75" customHeight="1" x14ac:dyDescent="0.25">
      <c r="A73" s="1"/>
      <c r="B73" s="1"/>
      <c r="C73" s="1"/>
      <c r="D73" s="78"/>
      <c r="E73" s="1"/>
      <c r="F73" s="1"/>
      <c r="G73" s="1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78"/>
      <c r="E74" s="1"/>
      <c r="F74" s="1"/>
      <c r="G74" s="1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78"/>
      <c r="E75" s="1"/>
      <c r="F75" s="1"/>
      <c r="G75" s="1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78"/>
      <c r="E76" s="1"/>
      <c r="F76" s="1"/>
      <c r="G76" s="1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78"/>
      <c r="E77" s="1"/>
      <c r="F77" s="1"/>
      <c r="G77" s="1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78"/>
      <c r="E78" s="1"/>
      <c r="F78" s="1"/>
      <c r="G78" s="1"/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78"/>
      <c r="E79" s="1"/>
      <c r="F79" s="1"/>
      <c r="G79" s="1"/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78"/>
      <c r="E80" s="1"/>
      <c r="F80" s="1"/>
      <c r="G80" s="1"/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78"/>
      <c r="E81" s="1"/>
      <c r="F81" s="1"/>
      <c r="G81" s="1"/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78"/>
      <c r="E82" s="1"/>
      <c r="F82" s="1"/>
      <c r="G82" s="1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78"/>
      <c r="E83" s="1"/>
      <c r="F83" s="1"/>
      <c r="G83" s="1"/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78"/>
      <c r="E84" s="1"/>
      <c r="F84" s="1"/>
      <c r="G84" s="1"/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78"/>
      <c r="E85" s="1"/>
      <c r="F85" s="1"/>
      <c r="G85" s="1"/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78"/>
      <c r="E86" s="1"/>
      <c r="F86" s="1"/>
      <c r="G86" s="1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78"/>
      <c r="E87" s="1"/>
      <c r="F87" s="1"/>
      <c r="G87" s="1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78"/>
      <c r="E88" s="1"/>
      <c r="F88" s="1"/>
      <c r="G88" s="1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78"/>
      <c r="E89" s="1"/>
      <c r="F89" s="1"/>
      <c r="G89" s="1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78"/>
      <c r="E90" s="1"/>
      <c r="F90" s="1"/>
      <c r="G90" s="1"/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78"/>
      <c r="E91" s="1"/>
      <c r="F91" s="1"/>
      <c r="G91" s="1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78"/>
      <c r="E92" s="1"/>
      <c r="F92" s="1"/>
      <c r="G92" s="1"/>
      <c r="H92" s="80"/>
      <c r="I92" s="81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78"/>
      <c r="E93" s="1"/>
      <c r="F93" s="1"/>
      <c r="G93" s="1"/>
      <c r="H93" s="141"/>
      <c r="I93" s="114"/>
      <c r="J93" s="114"/>
      <c r="K93" s="114"/>
      <c r="L93" s="114"/>
      <c r="M93" s="114"/>
      <c r="N93" s="114"/>
      <c r="O93" s="114"/>
      <c r="P93" s="114"/>
      <c r="Q93" s="114"/>
      <c r="R93" s="114"/>
      <c r="S93" s="114"/>
      <c r="T93" s="114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78"/>
      <c r="E94" s="1"/>
      <c r="F94" s="1"/>
      <c r="G94" s="1"/>
      <c r="H94" s="127"/>
      <c r="I94" s="114"/>
      <c r="J94" s="114"/>
      <c r="K94" s="114"/>
      <c r="L94" s="114"/>
      <c r="M94" s="114"/>
      <c r="N94" s="114"/>
      <c r="O94" s="114"/>
      <c r="P94" s="114"/>
      <c r="Q94" s="114"/>
      <c r="R94" s="114"/>
      <c r="S94" s="114"/>
      <c r="T94" s="114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78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78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78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78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78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78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78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78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78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78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78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78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78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78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78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78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78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78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78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78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78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78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78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78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78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78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78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78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78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78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78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78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78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78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78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78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78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78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78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78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78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78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78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78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78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78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78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78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78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78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78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78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78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78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78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78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78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78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78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78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78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78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78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78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78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78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78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78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78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78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78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78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78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78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78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78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78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78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78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78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78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78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78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78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78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78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78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78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78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78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78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78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78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78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78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78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78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78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78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78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78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78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78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78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78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78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78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78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78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78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78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78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78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78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78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78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78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78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78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78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78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78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78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78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78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78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78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78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78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78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78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78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78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78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78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78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78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78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78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78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78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78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78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78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78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78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78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78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78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78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78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78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78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78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78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78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78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78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78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78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78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78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78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78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78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78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78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78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78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78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78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78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78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78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78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78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78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78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78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78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78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78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78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78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78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78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78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78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78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78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78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78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78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78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78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</sheetData>
  <mergeCells count="38">
    <mergeCell ref="V48:W48"/>
    <mergeCell ref="C19:C20"/>
    <mergeCell ref="C12:C15"/>
    <mergeCell ref="H55:T55"/>
    <mergeCell ref="H93:T93"/>
    <mergeCell ref="V51:X51"/>
    <mergeCell ref="B39:I39"/>
    <mergeCell ref="C41:E41"/>
    <mergeCell ref="C42:E42"/>
    <mergeCell ref="C43:E43"/>
    <mergeCell ref="C44:E44"/>
    <mergeCell ref="C48:E48"/>
    <mergeCell ref="A51:B51"/>
    <mergeCell ref="C51:F51"/>
    <mergeCell ref="A52:B52"/>
    <mergeCell ref="C52:F52"/>
    <mergeCell ref="H94:T94"/>
    <mergeCell ref="J42:T42"/>
    <mergeCell ref="J43:T43"/>
    <mergeCell ref="J44:T44"/>
    <mergeCell ref="J45:T45"/>
    <mergeCell ref="I48:N48"/>
    <mergeCell ref="Q48:T48"/>
    <mergeCell ref="I51:N51"/>
    <mergeCell ref="Q51:T51"/>
    <mergeCell ref="I52:N52"/>
    <mergeCell ref="Q52:T52"/>
    <mergeCell ref="H42:I42"/>
    <mergeCell ref="A1:V1"/>
    <mergeCell ref="A2:V2"/>
    <mergeCell ref="A3:V3"/>
    <mergeCell ref="A8:A9"/>
    <mergeCell ref="B8:B9"/>
    <mergeCell ref="D8:D9"/>
    <mergeCell ref="E8:E9"/>
    <mergeCell ref="H8:V8"/>
    <mergeCell ref="F8:F9"/>
    <mergeCell ref="G8:G9"/>
  </mergeCells>
  <pageMargins left="0.7" right="0.7" top="0.75" bottom="0.75" header="0" footer="0"/>
  <pageSetup paperSize="9" fitToHeight="0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1000"/>
  <sheetViews>
    <sheetView workbookViewId="0"/>
  </sheetViews>
  <sheetFormatPr defaultColWidth="12.625" defaultRowHeight="15" customHeight="1" x14ac:dyDescent="0.2"/>
  <cols>
    <col min="1" max="1" width="7.625" customWidth="1"/>
    <col min="2" max="2" width="36.125" customWidth="1"/>
    <col min="3" max="3" width="11.625" customWidth="1"/>
    <col min="4" max="4" width="10.125" customWidth="1"/>
    <col min="5" max="5" width="11.25" customWidth="1"/>
    <col min="6" max="6" width="23.25" customWidth="1"/>
    <col min="7" max="7" width="10.375" customWidth="1"/>
    <col min="8" max="12" width="7.625" customWidth="1"/>
    <col min="13" max="13" width="11.375" customWidth="1"/>
    <col min="14" max="15" width="7.625" customWidth="1"/>
    <col min="16" max="16" width="10.25" customWidth="1"/>
    <col min="17" max="17" width="9.25" customWidth="1"/>
    <col min="18" max="18" width="7.625" customWidth="1"/>
    <col min="19" max="19" width="9.5" customWidth="1"/>
    <col min="20" max="21" width="9.875" customWidth="1"/>
    <col min="22" max="22" width="22.625" customWidth="1"/>
    <col min="23" max="24" width="7.625" customWidth="1"/>
  </cols>
  <sheetData>
    <row r="1" spans="1:24" ht="15.75" x14ac:dyDescent="0.2">
      <c r="A1" s="113" t="s">
        <v>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"/>
      <c r="X1" s="1"/>
    </row>
    <row r="2" spans="1:24" ht="14.25" x14ac:dyDescent="0.2">
      <c r="A2" s="115" t="s">
        <v>1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"/>
      <c r="X2" s="1"/>
    </row>
    <row r="3" spans="1:24" x14ac:dyDescent="0.25">
      <c r="A3" s="116" t="s">
        <v>61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4"/>
      <c r="V3" s="114"/>
      <c r="W3" s="1"/>
      <c r="X3" s="1"/>
    </row>
    <row r="4" spans="1:24" x14ac:dyDescent="0.2">
      <c r="A4" s="2" t="s">
        <v>2</v>
      </c>
      <c r="B4" s="3"/>
      <c r="C4" s="3"/>
      <c r="D4" s="4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1"/>
      <c r="W4" s="1"/>
      <c r="X4" s="1"/>
    </row>
    <row r="5" spans="1:24" x14ac:dyDescent="0.2">
      <c r="A5" s="5"/>
      <c r="B5" s="3"/>
      <c r="C5" s="1"/>
      <c r="D5" s="6"/>
      <c r="E5" s="7"/>
      <c r="F5" s="8"/>
      <c r="G5" s="8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x14ac:dyDescent="0.2">
      <c r="A6" s="2" t="s">
        <v>62</v>
      </c>
      <c r="B6" s="3"/>
      <c r="C6" s="1"/>
      <c r="D6" s="6"/>
      <c r="E6" s="7"/>
      <c r="F6" s="8"/>
      <c r="G6" s="8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x14ac:dyDescent="0.2">
      <c r="A7" s="5" t="s">
        <v>3</v>
      </c>
      <c r="B7" s="3"/>
      <c r="C7" s="1"/>
      <c r="D7" s="6"/>
      <c r="E7" s="7"/>
      <c r="F7" s="8"/>
      <c r="G7" s="8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22.5" customHeight="1" x14ac:dyDescent="0.2">
      <c r="A8" s="117" t="s">
        <v>4</v>
      </c>
      <c r="B8" s="119" t="s">
        <v>5</v>
      </c>
      <c r="C8" s="9" t="s">
        <v>6</v>
      </c>
      <c r="D8" s="121" t="s">
        <v>7</v>
      </c>
      <c r="E8" s="122" t="s">
        <v>8</v>
      </c>
      <c r="F8" s="126" t="s">
        <v>9</v>
      </c>
      <c r="G8" s="119" t="s">
        <v>10</v>
      </c>
      <c r="H8" s="123" t="s">
        <v>11</v>
      </c>
      <c r="I8" s="124"/>
      <c r="J8" s="124"/>
      <c r="K8" s="124"/>
      <c r="L8" s="124"/>
      <c r="M8" s="124"/>
      <c r="N8" s="124"/>
      <c r="O8" s="124"/>
      <c r="P8" s="124"/>
      <c r="Q8" s="124"/>
      <c r="R8" s="124"/>
      <c r="S8" s="124"/>
      <c r="T8" s="124"/>
      <c r="U8" s="124"/>
      <c r="V8" s="125"/>
      <c r="W8" s="10"/>
      <c r="X8" s="10"/>
    </row>
    <row r="9" spans="1:24" ht="38.25" x14ac:dyDescent="0.2">
      <c r="A9" s="118"/>
      <c r="B9" s="120"/>
      <c r="C9" s="11" t="s">
        <v>12</v>
      </c>
      <c r="D9" s="120"/>
      <c r="E9" s="120"/>
      <c r="F9" s="120"/>
      <c r="G9" s="120"/>
      <c r="H9" s="12" t="s">
        <v>13</v>
      </c>
      <c r="I9" s="12" t="s">
        <v>14</v>
      </c>
      <c r="J9" s="12" t="s">
        <v>15</v>
      </c>
      <c r="K9" s="12" t="s">
        <v>16</v>
      </c>
      <c r="L9" s="12" t="s">
        <v>17</v>
      </c>
      <c r="M9" s="12" t="s">
        <v>18</v>
      </c>
      <c r="N9" s="12" t="s">
        <v>19</v>
      </c>
      <c r="O9" s="12" t="s">
        <v>20</v>
      </c>
      <c r="P9" s="12" t="s">
        <v>21</v>
      </c>
      <c r="Q9" s="12" t="s">
        <v>22</v>
      </c>
      <c r="R9" s="12" t="s">
        <v>23</v>
      </c>
      <c r="S9" s="12" t="s">
        <v>24</v>
      </c>
      <c r="T9" s="12" t="s">
        <v>25</v>
      </c>
      <c r="U9" s="13" t="str">
        <f>$V$9</f>
        <v>REMARKS</v>
      </c>
      <c r="V9" s="13" t="s">
        <v>26</v>
      </c>
      <c r="W9" s="14"/>
      <c r="X9" s="10"/>
    </row>
    <row r="10" spans="1:24" ht="14.25" x14ac:dyDescent="0.2">
      <c r="A10" s="15"/>
      <c r="B10" s="83" t="s">
        <v>27</v>
      </c>
      <c r="C10" s="17"/>
      <c r="D10" s="18"/>
      <c r="E10" s="19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1"/>
      <c r="V10" s="22"/>
      <c r="W10" s="10"/>
      <c r="X10" s="10"/>
    </row>
    <row r="11" spans="1:24" x14ac:dyDescent="0.2">
      <c r="A11" s="23"/>
      <c r="B11" s="26" t="s">
        <v>63</v>
      </c>
      <c r="C11" s="34" t="s">
        <v>64</v>
      </c>
      <c r="D11" s="35">
        <f>50000/80</f>
        <v>625</v>
      </c>
      <c r="E11" s="35">
        <v>50000</v>
      </c>
      <c r="F11" s="24" t="s">
        <v>37</v>
      </c>
      <c r="G11" s="24"/>
      <c r="H11" s="24">
        <v>80</v>
      </c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10"/>
      <c r="X11" s="10"/>
    </row>
    <row r="12" spans="1:24" x14ac:dyDescent="0.2">
      <c r="A12" s="23"/>
      <c r="B12" s="26" t="s">
        <v>65</v>
      </c>
      <c r="C12" s="29" t="s">
        <v>38</v>
      </c>
      <c r="D12" s="30">
        <f>3000/5</f>
        <v>600</v>
      </c>
      <c r="E12" s="30">
        <v>3000</v>
      </c>
      <c r="F12" s="24" t="s">
        <v>37</v>
      </c>
      <c r="G12" s="24"/>
      <c r="H12" s="24">
        <v>5</v>
      </c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10"/>
      <c r="X12" s="10"/>
    </row>
    <row r="13" spans="1:24" x14ac:dyDescent="0.2">
      <c r="A13" s="23"/>
      <c r="B13" s="42" t="s">
        <v>66</v>
      </c>
      <c r="C13" s="27" t="s">
        <v>35</v>
      </c>
      <c r="D13" s="28">
        <f>10000/10</f>
        <v>1000</v>
      </c>
      <c r="E13" s="52">
        <v>10000</v>
      </c>
      <c r="F13" s="24" t="s">
        <v>37</v>
      </c>
      <c r="G13" s="24"/>
      <c r="H13" s="24">
        <v>10</v>
      </c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10"/>
      <c r="X13" s="10"/>
    </row>
    <row r="14" spans="1:24" x14ac:dyDescent="0.2">
      <c r="A14" s="23"/>
      <c r="B14" s="84" t="s">
        <v>67</v>
      </c>
      <c r="C14" s="27" t="s">
        <v>35</v>
      </c>
      <c r="D14" s="28">
        <f>50000/10</f>
        <v>5000</v>
      </c>
      <c r="E14" s="52">
        <v>50000</v>
      </c>
      <c r="F14" s="24" t="s">
        <v>37</v>
      </c>
      <c r="G14" s="24"/>
      <c r="H14" s="24">
        <v>10</v>
      </c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10"/>
      <c r="X14" s="10"/>
    </row>
    <row r="15" spans="1:24" x14ac:dyDescent="0.2">
      <c r="A15" s="23"/>
      <c r="B15" s="84" t="s">
        <v>68</v>
      </c>
      <c r="C15" s="27" t="s">
        <v>38</v>
      </c>
      <c r="D15" s="28">
        <f>2500/5</f>
        <v>500</v>
      </c>
      <c r="E15" s="52">
        <v>2500</v>
      </c>
      <c r="F15" s="24" t="s">
        <v>37</v>
      </c>
      <c r="G15" s="24"/>
      <c r="H15" s="24">
        <v>5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10"/>
      <c r="X15" s="10"/>
    </row>
    <row r="16" spans="1:24" x14ac:dyDescent="0.2">
      <c r="A16" s="23"/>
      <c r="B16" s="42" t="s">
        <v>69</v>
      </c>
      <c r="C16" s="27" t="s">
        <v>33</v>
      </c>
      <c r="D16" s="28">
        <f>500/20</f>
        <v>25</v>
      </c>
      <c r="E16" s="52">
        <v>500</v>
      </c>
      <c r="F16" s="24" t="s">
        <v>28</v>
      </c>
      <c r="G16" s="24"/>
      <c r="H16" s="24">
        <v>20</v>
      </c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10"/>
      <c r="X16" s="10"/>
    </row>
    <row r="17" spans="1:24" x14ac:dyDescent="0.2">
      <c r="A17" s="23"/>
      <c r="B17" s="42" t="s">
        <v>70</v>
      </c>
      <c r="C17" s="27" t="s">
        <v>71</v>
      </c>
      <c r="D17" s="28">
        <f>300/15</f>
        <v>20</v>
      </c>
      <c r="E17" s="52">
        <v>300</v>
      </c>
      <c r="F17" s="24" t="s">
        <v>28</v>
      </c>
      <c r="G17" s="24"/>
      <c r="H17" s="24">
        <v>15</v>
      </c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10"/>
      <c r="X17" s="10"/>
    </row>
    <row r="18" spans="1:24" x14ac:dyDescent="0.2">
      <c r="A18" s="23"/>
      <c r="B18" s="42" t="s">
        <v>72</v>
      </c>
      <c r="C18" s="27" t="s">
        <v>73</v>
      </c>
      <c r="D18" s="28">
        <f>150/5</f>
        <v>30</v>
      </c>
      <c r="E18" s="52">
        <v>150</v>
      </c>
      <c r="F18" s="24" t="s">
        <v>28</v>
      </c>
      <c r="G18" s="24"/>
      <c r="H18" s="24">
        <v>5</v>
      </c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10"/>
      <c r="X18" s="10"/>
    </row>
    <row r="19" spans="1:24" x14ac:dyDescent="0.2">
      <c r="A19" s="23"/>
      <c r="B19" s="84" t="s">
        <v>74</v>
      </c>
      <c r="C19" s="27" t="s">
        <v>31</v>
      </c>
      <c r="D19" s="28">
        <f>300/10</f>
        <v>30</v>
      </c>
      <c r="E19" s="52">
        <v>300</v>
      </c>
      <c r="F19" s="24" t="s">
        <v>28</v>
      </c>
      <c r="G19" s="24"/>
      <c r="H19" s="24">
        <v>10</v>
      </c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10"/>
      <c r="X19" s="10"/>
    </row>
    <row r="20" spans="1:24" x14ac:dyDescent="0.2">
      <c r="A20" s="23"/>
      <c r="B20" s="42" t="s">
        <v>75</v>
      </c>
      <c r="C20" s="27" t="s">
        <v>76</v>
      </c>
      <c r="D20" s="28">
        <f>300/30</f>
        <v>10</v>
      </c>
      <c r="E20" s="52">
        <v>300</v>
      </c>
      <c r="F20" s="24" t="s">
        <v>28</v>
      </c>
      <c r="G20" s="24"/>
      <c r="H20" s="24">
        <v>30</v>
      </c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10"/>
      <c r="X20" s="10"/>
    </row>
    <row r="21" spans="1:24" ht="15.75" customHeight="1" x14ac:dyDescent="0.2">
      <c r="A21" s="23"/>
      <c r="B21" s="42" t="s">
        <v>77</v>
      </c>
      <c r="C21" s="27" t="s">
        <v>33</v>
      </c>
      <c r="D21" s="85">
        <f>2000/20</f>
        <v>100</v>
      </c>
      <c r="E21" s="52">
        <v>2000</v>
      </c>
      <c r="F21" s="24" t="s">
        <v>28</v>
      </c>
      <c r="G21" s="24"/>
      <c r="H21" s="24">
        <v>20</v>
      </c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10"/>
      <c r="X21" s="10"/>
    </row>
    <row r="22" spans="1:24" ht="15.75" customHeight="1" x14ac:dyDescent="0.2">
      <c r="A22" s="23"/>
      <c r="B22" s="84" t="s">
        <v>78</v>
      </c>
      <c r="C22" s="27" t="s">
        <v>38</v>
      </c>
      <c r="D22" s="28">
        <v>15</v>
      </c>
      <c r="E22" s="52">
        <v>75</v>
      </c>
      <c r="F22" s="24" t="s">
        <v>28</v>
      </c>
      <c r="G22" s="24"/>
      <c r="H22" s="24">
        <v>5</v>
      </c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10"/>
      <c r="X22" s="10"/>
    </row>
    <row r="23" spans="1:24" ht="15.75" customHeight="1" x14ac:dyDescent="0.2">
      <c r="A23" s="23"/>
      <c r="B23" s="84" t="s">
        <v>79</v>
      </c>
      <c r="C23" s="27" t="s">
        <v>31</v>
      </c>
      <c r="D23" s="28">
        <f>300/10</f>
        <v>30</v>
      </c>
      <c r="E23" s="52">
        <v>300</v>
      </c>
      <c r="F23" s="24" t="s">
        <v>28</v>
      </c>
      <c r="G23" s="24"/>
      <c r="H23" s="24">
        <v>10</v>
      </c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10"/>
      <c r="X23" s="10"/>
    </row>
    <row r="24" spans="1:24" ht="15.75" customHeight="1" x14ac:dyDescent="0.2">
      <c r="A24" s="23"/>
      <c r="B24" s="42" t="s">
        <v>80</v>
      </c>
      <c r="C24" s="27" t="s">
        <v>81</v>
      </c>
      <c r="D24" s="28">
        <f>1000/50</f>
        <v>20</v>
      </c>
      <c r="E24" s="52">
        <v>1000</v>
      </c>
      <c r="F24" s="24" t="s">
        <v>28</v>
      </c>
      <c r="G24" s="24"/>
      <c r="H24" s="24">
        <v>50</v>
      </c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10"/>
      <c r="X24" s="10"/>
    </row>
    <row r="25" spans="1:24" ht="15.75" customHeight="1" x14ac:dyDescent="0.2">
      <c r="A25" s="23"/>
      <c r="B25" s="42" t="s">
        <v>82</v>
      </c>
      <c r="C25" s="27" t="s">
        <v>83</v>
      </c>
      <c r="D25" s="28">
        <f>2000/15</f>
        <v>133.33333333333334</v>
      </c>
      <c r="E25" s="52">
        <v>2000</v>
      </c>
      <c r="F25" s="24" t="s">
        <v>28</v>
      </c>
      <c r="G25" s="24"/>
      <c r="H25" s="24">
        <v>15</v>
      </c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10"/>
      <c r="X25" s="10"/>
    </row>
    <row r="26" spans="1:24" ht="15.75" customHeight="1" x14ac:dyDescent="0.2">
      <c r="A26" s="23"/>
      <c r="B26" s="42" t="s">
        <v>84</v>
      </c>
      <c r="C26" s="27" t="s">
        <v>85</v>
      </c>
      <c r="D26" s="28">
        <f>1000/1</f>
        <v>1000</v>
      </c>
      <c r="E26" s="52">
        <v>1000</v>
      </c>
      <c r="F26" s="24" t="s">
        <v>37</v>
      </c>
      <c r="G26" s="24"/>
      <c r="H26" s="24"/>
      <c r="I26" s="24">
        <v>1</v>
      </c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10"/>
      <c r="X26" s="10"/>
    </row>
    <row r="27" spans="1:24" ht="15.75" customHeight="1" x14ac:dyDescent="0.2">
      <c r="A27" s="23"/>
      <c r="B27" s="42" t="s">
        <v>86</v>
      </c>
      <c r="C27" s="27" t="s">
        <v>87</v>
      </c>
      <c r="D27" s="28">
        <f>30000/3</f>
        <v>10000</v>
      </c>
      <c r="E27" s="52">
        <v>30000</v>
      </c>
      <c r="F27" s="24" t="s">
        <v>37</v>
      </c>
      <c r="G27" s="24"/>
      <c r="H27" s="24"/>
      <c r="I27" s="24">
        <v>3</v>
      </c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10"/>
      <c r="X27" s="10"/>
    </row>
    <row r="28" spans="1:24" ht="15.75" customHeight="1" x14ac:dyDescent="0.2">
      <c r="A28" s="23"/>
      <c r="B28" s="84" t="s">
        <v>88</v>
      </c>
      <c r="C28" s="27" t="s">
        <v>89</v>
      </c>
      <c r="D28" s="28">
        <f>1000/100</f>
        <v>10</v>
      </c>
      <c r="E28" s="52">
        <v>1000</v>
      </c>
      <c r="F28" s="24" t="s">
        <v>28</v>
      </c>
      <c r="G28" s="24"/>
      <c r="H28" s="24"/>
      <c r="I28" s="24">
        <v>100</v>
      </c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10"/>
      <c r="X28" s="10"/>
    </row>
    <row r="29" spans="1:24" ht="15.75" customHeight="1" x14ac:dyDescent="0.2">
      <c r="A29" s="23"/>
      <c r="B29" s="84" t="s">
        <v>90</v>
      </c>
      <c r="C29" s="27" t="s">
        <v>89</v>
      </c>
      <c r="D29" s="28">
        <f>2000/100</f>
        <v>20</v>
      </c>
      <c r="E29" s="52">
        <v>2000</v>
      </c>
      <c r="F29" s="24" t="s">
        <v>28</v>
      </c>
      <c r="G29" s="24"/>
      <c r="H29" s="24"/>
      <c r="I29" s="24">
        <v>100</v>
      </c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10"/>
      <c r="X29" s="10"/>
    </row>
    <row r="30" spans="1:24" ht="15.75" customHeight="1" x14ac:dyDescent="0.2">
      <c r="A30" s="23"/>
      <c r="B30" s="42" t="s">
        <v>91</v>
      </c>
      <c r="C30" s="27" t="s">
        <v>92</v>
      </c>
      <c r="D30" s="28">
        <f>250/50</f>
        <v>5</v>
      </c>
      <c r="E30" s="52">
        <v>250</v>
      </c>
      <c r="F30" s="24" t="s">
        <v>28</v>
      </c>
      <c r="G30" s="24"/>
      <c r="H30" s="24"/>
      <c r="I30" s="24">
        <v>50</v>
      </c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10"/>
      <c r="X30" s="10"/>
    </row>
    <row r="31" spans="1:24" ht="15.75" customHeight="1" x14ac:dyDescent="0.2">
      <c r="A31" s="23"/>
      <c r="B31" s="42" t="s">
        <v>93</v>
      </c>
      <c r="C31" s="27" t="s">
        <v>87</v>
      </c>
      <c r="D31" s="28">
        <f t="shared" ref="D31:D32" si="0">400/3</f>
        <v>133.33333333333334</v>
      </c>
      <c r="E31" s="52">
        <v>400</v>
      </c>
      <c r="F31" s="24" t="s">
        <v>37</v>
      </c>
      <c r="G31" s="24"/>
      <c r="H31" s="24"/>
      <c r="I31" s="24">
        <v>3</v>
      </c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10"/>
      <c r="X31" s="10"/>
    </row>
    <row r="32" spans="1:24" ht="15.75" customHeight="1" x14ac:dyDescent="0.2">
      <c r="A32" s="23"/>
      <c r="B32" s="42" t="s">
        <v>94</v>
      </c>
      <c r="C32" s="27" t="s">
        <v>87</v>
      </c>
      <c r="D32" s="28">
        <f t="shared" si="0"/>
        <v>133.33333333333334</v>
      </c>
      <c r="E32" s="52">
        <v>400</v>
      </c>
      <c r="F32" s="24" t="s">
        <v>37</v>
      </c>
      <c r="G32" s="24"/>
      <c r="H32" s="24"/>
      <c r="I32" s="24">
        <v>3</v>
      </c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10"/>
      <c r="X32" s="10"/>
    </row>
    <row r="33" spans="1:24" ht="15.75" customHeight="1" x14ac:dyDescent="0.2">
      <c r="A33" s="23"/>
      <c r="B33" s="42" t="s">
        <v>95</v>
      </c>
      <c r="C33" s="27" t="s">
        <v>96</v>
      </c>
      <c r="D33" s="28">
        <f>5500/30</f>
        <v>183.33333333333334</v>
      </c>
      <c r="E33" s="52">
        <v>5500</v>
      </c>
      <c r="F33" s="24" t="s">
        <v>28</v>
      </c>
      <c r="G33" s="24"/>
      <c r="H33" s="24"/>
      <c r="I33" s="24">
        <v>30</v>
      </c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10"/>
      <c r="X33" s="10"/>
    </row>
    <row r="34" spans="1:24" ht="15.75" customHeight="1" x14ac:dyDescent="0.2">
      <c r="A34" s="23"/>
      <c r="B34" s="42" t="s">
        <v>97</v>
      </c>
      <c r="C34" s="27" t="s">
        <v>85</v>
      </c>
      <c r="D34" s="28">
        <v>5000</v>
      </c>
      <c r="E34" s="52">
        <v>5000</v>
      </c>
      <c r="F34" s="24" t="s">
        <v>37</v>
      </c>
      <c r="G34" s="24"/>
      <c r="H34" s="24"/>
      <c r="I34" s="24">
        <v>1</v>
      </c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10"/>
      <c r="X34" s="10"/>
    </row>
    <row r="35" spans="1:24" ht="15.75" customHeight="1" x14ac:dyDescent="0.2">
      <c r="A35" s="23"/>
      <c r="B35" s="42" t="s">
        <v>98</v>
      </c>
      <c r="C35" s="27" t="s">
        <v>99</v>
      </c>
      <c r="D35" s="28">
        <f t="shared" ref="D35:D36" si="1">3200/8</f>
        <v>400</v>
      </c>
      <c r="E35" s="52">
        <v>3200</v>
      </c>
      <c r="F35" s="24" t="s">
        <v>28</v>
      </c>
      <c r="G35" s="24"/>
      <c r="H35" s="24"/>
      <c r="I35" s="24">
        <v>8</v>
      </c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10"/>
      <c r="X35" s="10"/>
    </row>
    <row r="36" spans="1:24" ht="15.75" customHeight="1" x14ac:dyDescent="0.2">
      <c r="A36" s="23"/>
      <c r="B36" s="42" t="s">
        <v>100</v>
      </c>
      <c r="C36" s="27" t="s">
        <v>99</v>
      </c>
      <c r="D36" s="28">
        <f t="shared" si="1"/>
        <v>400</v>
      </c>
      <c r="E36" s="52">
        <v>3200</v>
      </c>
      <c r="F36" s="24" t="s">
        <v>28</v>
      </c>
      <c r="G36" s="24"/>
      <c r="H36" s="24"/>
      <c r="I36" s="24">
        <v>8</v>
      </c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10"/>
      <c r="X36" s="10"/>
    </row>
    <row r="37" spans="1:24" ht="15.75" customHeight="1" x14ac:dyDescent="0.2">
      <c r="A37" s="23"/>
      <c r="B37" s="42" t="s">
        <v>101</v>
      </c>
      <c r="C37" s="27" t="s">
        <v>102</v>
      </c>
      <c r="D37" s="28">
        <f>200/3</f>
        <v>66.666666666666671</v>
      </c>
      <c r="E37" s="52">
        <v>200</v>
      </c>
      <c r="F37" s="24" t="s">
        <v>28</v>
      </c>
      <c r="G37" s="24"/>
      <c r="H37" s="24"/>
      <c r="I37" s="24">
        <v>3</v>
      </c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10"/>
      <c r="X37" s="10"/>
    </row>
    <row r="38" spans="1:24" ht="15.75" customHeight="1" x14ac:dyDescent="0.2">
      <c r="A38" s="23"/>
      <c r="B38" s="42" t="s">
        <v>103</v>
      </c>
      <c r="C38" s="27" t="s">
        <v>33</v>
      </c>
      <c r="D38" s="28">
        <f>1000/20</f>
        <v>50</v>
      </c>
      <c r="E38" s="52">
        <v>1000</v>
      </c>
      <c r="F38" s="24" t="s">
        <v>28</v>
      </c>
      <c r="G38" s="24"/>
      <c r="H38" s="24"/>
      <c r="I38" s="24"/>
      <c r="J38" s="24">
        <v>20</v>
      </c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10"/>
      <c r="X38" s="10"/>
    </row>
    <row r="39" spans="1:24" ht="15.75" customHeight="1" x14ac:dyDescent="0.2">
      <c r="A39" s="23"/>
      <c r="B39" s="42" t="s">
        <v>104</v>
      </c>
      <c r="C39" s="27" t="s">
        <v>105</v>
      </c>
      <c r="D39" s="28">
        <f>600/20</f>
        <v>30</v>
      </c>
      <c r="E39" s="52">
        <v>600</v>
      </c>
      <c r="F39" s="24" t="s">
        <v>28</v>
      </c>
      <c r="G39" s="24"/>
      <c r="H39" s="24"/>
      <c r="I39" s="24"/>
      <c r="J39" s="24">
        <v>20</v>
      </c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10"/>
      <c r="X39" s="10"/>
    </row>
    <row r="40" spans="1:24" ht="15.75" customHeight="1" x14ac:dyDescent="0.2">
      <c r="A40" s="23"/>
      <c r="B40" s="42" t="s">
        <v>106</v>
      </c>
      <c r="C40" s="27" t="s">
        <v>89</v>
      </c>
      <c r="D40" s="28">
        <f>1000/100</f>
        <v>10</v>
      </c>
      <c r="E40" s="52">
        <v>1000</v>
      </c>
      <c r="F40" s="24" t="s">
        <v>28</v>
      </c>
      <c r="G40" s="24"/>
      <c r="H40" s="24"/>
      <c r="I40" s="24"/>
      <c r="J40" s="24">
        <v>100</v>
      </c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10"/>
      <c r="X40" s="10"/>
    </row>
    <row r="41" spans="1:24" ht="15.75" customHeight="1" x14ac:dyDescent="0.2">
      <c r="A41" s="23"/>
      <c r="B41" s="42" t="s">
        <v>107</v>
      </c>
      <c r="C41" s="27" t="s">
        <v>92</v>
      </c>
      <c r="D41" s="28">
        <f>1000/50</f>
        <v>20</v>
      </c>
      <c r="E41" s="52">
        <v>1000</v>
      </c>
      <c r="F41" s="24" t="s">
        <v>28</v>
      </c>
      <c r="G41" s="24"/>
      <c r="H41" s="24"/>
      <c r="I41" s="24"/>
      <c r="J41" s="24">
        <v>50</v>
      </c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10"/>
      <c r="X41" s="10"/>
    </row>
    <row r="42" spans="1:24" ht="15.75" customHeight="1" x14ac:dyDescent="0.2">
      <c r="A42" s="23"/>
      <c r="B42" s="42" t="s">
        <v>108</v>
      </c>
      <c r="C42" s="27" t="s">
        <v>105</v>
      </c>
      <c r="D42" s="28">
        <f>400/20</f>
        <v>20</v>
      </c>
      <c r="E42" s="52">
        <v>400</v>
      </c>
      <c r="F42" s="24" t="s">
        <v>28</v>
      </c>
      <c r="G42" s="24"/>
      <c r="H42" s="24"/>
      <c r="I42" s="24"/>
      <c r="J42" s="24">
        <v>20</v>
      </c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10"/>
      <c r="X42" s="10"/>
    </row>
    <row r="43" spans="1:24" ht="15.75" customHeight="1" x14ac:dyDescent="0.2">
      <c r="A43" s="23"/>
      <c r="B43" s="42" t="s">
        <v>109</v>
      </c>
      <c r="C43" s="27" t="s">
        <v>110</v>
      </c>
      <c r="D43" s="28">
        <f>300/3</f>
        <v>100</v>
      </c>
      <c r="E43" s="52">
        <v>300</v>
      </c>
      <c r="F43" s="24" t="s">
        <v>28</v>
      </c>
      <c r="G43" s="24"/>
      <c r="H43" s="24"/>
      <c r="I43" s="24"/>
      <c r="J43" s="24">
        <v>3</v>
      </c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10"/>
      <c r="X43" s="10"/>
    </row>
    <row r="44" spans="1:24" ht="15.75" customHeight="1" x14ac:dyDescent="0.2">
      <c r="A44" s="23"/>
      <c r="B44" s="42" t="s">
        <v>111</v>
      </c>
      <c r="C44" s="27" t="s">
        <v>30</v>
      </c>
      <c r="D44" s="28">
        <f>500/10</f>
        <v>50</v>
      </c>
      <c r="E44" s="52">
        <v>500</v>
      </c>
      <c r="F44" s="24" t="s">
        <v>28</v>
      </c>
      <c r="G44" s="24"/>
      <c r="H44" s="24"/>
      <c r="I44" s="24"/>
      <c r="J44" s="24">
        <v>10</v>
      </c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10"/>
      <c r="X44" s="10"/>
    </row>
    <row r="45" spans="1:24" ht="15.75" customHeight="1" x14ac:dyDescent="0.2">
      <c r="A45" s="23"/>
      <c r="B45" s="42" t="s">
        <v>112</v>
      </c>
      <c r="C45" s="27" t="s">
        <v>35</v>
      </c>
      <c r="D45" s="28">
        <f t="shared" ref="D45:D46" si="2">300/10</f>
        <v>30</v>
      </c>
      <c r="E45" s="52">
        <v>300</v>
      </c>
      <c r="F45" s="24" t="s">
        <v>28</v>
      </c>
      <c r="G45" s="24"/>
      <c r="H45" s="24"/>
      <c r="I45" s="24"/>
      <c r="J45" s="24">
        <v>10</v>
      </c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10"/>
      <c r="X45" s="10"/>
    </row>
    <row r="46" spans="1:24" ht="15.75" customHeight="1" x14ac:dyDescent="0.2">
      <c r="A46" s="23"/>
      <c r="B46" s="42" t="s">
        <v>113</v>
      </c>
      <c r="C46" s="27" t="s">
        <v>35</v>
      </c>
      <c r="D46" s="28">
        <f t="shared" si="2"/>
        <v>30</v>
      </c>
      <c r="E46" s="52">
        <v>300</v>
      </c>
      <c r="F46" s="24" t="s">
        <v>28</v>
      </c>
      <c r="G46" s="24"/>
      <c r="H46" s="24"/>
      <c r="I46" s="24"/>
      <c r="J46" s="24">
        <v>10</v>
      </c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10"/>
      <c r="X46" s="10"/>
    </row>
    <row r="47" spans="1:24" ht="15.75" customHeight="1" x14ac:dyDescent="0.2">
      <c r="A47" s="23"/>
      <c r="B47" s="42"/>
      <c r="C47" s="27"/>
      <c r="D47" s="28"/>
      <c r="E47" s="52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10"/>
      <c r="X47" s="10"/>
    </row>
    <row r="48" spans="1:24" ht="15.75" customHeight="1" x14ac:dyDescent="0.2">
      <c r="A48" s="23"/>
      <c r="B48" s="56" t="s">
        <v>34</v>
      </c>
      <c r="C48" s="48"/>
      <c r="D48" s="57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10"/>
      <c r="X48" s="10"/>
    </row>
    <row r="49" spans="1:24" ht="15.75" customHeight="1" x14ac:dyDescent="0.2">
      <c r="A49" s="23"/>
      <c r="B49" s="26" t="s">
        <v>114</v>
      </c>
      <c r="C49" s="34" t="s">
        <v>115</v>
      </c>
      <c r="D49" s="28">
        <f>6560/4</f>
        <v>1640</v>
      </c>
      <c r="E49" s="35">
        <v>6560</v>
      </c>
      <c r="F49" s="24" t="s">
        <v>37</v>
      </c>
      <c r="G49" s="24"/>
      <c r="H49" s="24">
        <v>4</v>
      </c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10"/>
      <c r="X49" s="10"/>
    </row>
    <row r="50" spans="1:24" ht="15.75" customHeight="1" x14ac:dyDescent="0.2">
      <c r="A50" s="23"/>
      <c r="B50" s="42" t="s">
        <v>116</v>
      </c>
      <c r="C50" s="27" t="s">
        <v>115</v>
      </c>
      <c r="D50" s="28">
        <f>3440/4</f>
        <v>860</v>
      </c>
      <c r="E50" s="52">
        <v>3440</v>
      </c>
      <c r="F50" s="24" t="s">
        <v>37</v>
      </c>
      <c r="G50" s="24"/>
      <c r="H50" s="24">
        <v>4</v>
      </c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10"/>
      <c r="X50" s="10"/>
    </row>
    <row r="51" spans="1:24" ht="15.75" customHeight="1" x14ac:dyDescent="0.2">
      <c r="A51" s="23"/>
      <c r="B51" s="84" t="s">
        <v>117</v>
      </c>
      <c r="C51" s="27" t="s">
        <v>118</v>
      </c>
      <c r="D51" s="28">
        <f>8000/8</f>
        <v>1000</v>
      </c>
      <c r="E51" s="52">
        <v>8000</v>
      </c>
      <c r="F51" s="24" t="s">
        <v>37</v>
      </c>
      <c r="G51" s="24"/>
      <c r="H51" s="24">
        <v>8</v>
      </c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10"/>
      <c r="X51" s="10"/>
    </row>
    <row r="52" spans="1:24" ht="15.75" customHeight="1" x14ac:dyDescent="0.2">
      <c r="A52" s="23"/>
      <c r="B52" s="26" t="s">
        <v>119</v>
      </c>
      <c r="C52" s="27" t="s">
        <v>120</v>
      </c>
      <c r="D52" s="28">
        <f>15000/300</f>
        <v>50</v>
      </c>
      <c r="E52" s="52">
        <v>15000</v>
      </c>
      <c r="F52" s="24" t="s">
        <v>37</v>
      </c>
      <c r="G52" s="24"/>
      <c r="H52" s="24">
        <v>300</v>
      </c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10"/>
      <c r="X52" s="10"/>
    </row>
    <row r="53" spans="1:24" ht="15.75" customHeight="1" x14ac:dyDescent="0.2">
      <c r="A53" s="23"/>
      <c r="B53" s="26" t="s">
        <v>121</v>
      </c>
      <c r="C53" s="27" t="s">
        <v>122</v>
      </c>
      <c r="D53" s="28">
        <f>5700/100</f>
        <v>57</v>
      </c>
      <c r="E53" s="52">
        <v>5700</v>
      </c>
      <c r="F53" s="24" t="s">
        <v>37</v>
      </c>
      <c r="G53" s="24"/>
      <c r="H53" s="24">
        <v>100</v>
      </c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10"/>
      <c r="X53" s="10"/>
    </row>
    <row r="54" spans="1:24" ht="15.75" customHeight="1" x14ac:dyDescent="0.2">
      <c r="A54" s="23"/>
      <c r="B54" s="26" t="s">
        <v>123</v>
      </c>
      <c r="C54" s="27" t="s">
        <v>115</v>
      </c>
      <c r="D54" s="28">
        <f>5500/4</f>
        <v>1375</v>
      </c>
      <c r="E54" s="52">
        <v>5500</v>
      </c>
      <c r="F54" s="24" t="s">
        <v>37</v>
      </c>
      <c r="G54" s="24"/>
      <c r="H54" s="24"/>
      <c r="I54" s="24">
        <v>4</v>
      </c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10"/>
      <c r="X54" s="10"/>
    </row>
    <row r="55" spans="1:24" ht="15.75" customHeight="1" x14ac:dyDescent="0.2">
      <c r="A55" s="23"/>
      <c r="B55" s="26" t="s">
        <v>124</v>
      </c>
      <c r="C55" s="27" t="s">
        <v>125</v>
      </c>
      <c r="D55" s="28">
        <f>7200/4</f>
        <v>1800</v>
      </c>
      <c r="E55" s="52">
        <v>7200</v>
      </c>
      <c r="F55" s="24" t="s">
        <v>37</v>
      </c>
      <c r="G55" s="24"/>
      <c r="H55" s="24"/>
      <c r="I55" s="24">
        <v>4</v>
      </c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10"/>
      <c r="X55" s="10"/>
    </row>
    <row r="56" spans="1:24" ht="15.75" customHeight="1" x14ac:dyDescent="0.2">
      <c r="A56" s="23"/>
      <c r="B56" s="26" t="s">
        <v>126</v>
      </c>
      <c r="C56" s="27" t="s">
        <v>127</v>
      </c>
      <c r="D56" s="28">
        <f>8000/6</f>
        <v>1333.3333333333333</v>
      </c>
      <c r="E56" s="52">
        <v>8000</v>
      </c>
      <c r="F56" s="24" t="s">
        <v>37</v>
      </c>
      <c r="G56" s="24"/>
      <c r="H56" s="24"/>
      <c r="I56" s="24">
        <v>6</v>
      </c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10"/>
      <c r="X56" s="10"/>
    </row>
    <row r="57" spans="1:24" ht="15.75" customHeight="1" x14ac:dyDescent="0.2">
      <c r="A57" s="23"/>
      <c r="B57" s="26" t="s">
        <v>128</v>
      </c>
      <c r="C57" s="27" t="s">
        <v>129</v>
      </c>
      <c r="D57" s="28">
        <f>280/10</f>
        <v>28</v>
      </c>
      <c r="E57" s="52">
        <v>280</v>
      </c>
      <c r="F57" s="24" t="s">
        <v>37</v>
      </c>
      <c r="G57" s="24"/>
      <c r="H57" s="24"/>
      <c r="I57" s="24">
        <v>10</v>
      </c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10"/>
      <c r="X57" s="10"/>
    </row>
    <row r="58" spans="1:24" ht="15.75" customHeight="1" x14ac:dyDescent="0.2">
      <c r="A58" s="23"/>
      <c r="B58" s="26" t="s">
        <v>130</v>
      </c>
      <c r="C58" s="27" t="s">
        <v>131</v>
      </c>
      <c r="D58" s="28">
        <f>2100/6</f>
        <v>350</v>
      </c>
      <c r="E58" s="52">
        <v>2100</v>
      </c>
      <c r="F58" s="24" t="s">
        <v>37</v>
      </c>
      <c r="G58" s="24"/>
      <c r="H58" s="24"/>
      <c r="I58" s="24"/>
      <c r="J58" s="24">
        <v>6</v>
      </c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10"/>
      <c r="X58" s="10"/>
    </row>
    <row r="59" spans="1:24" ht="15.75" customHeight="1" x14ac:dyDescent="0.2">
      <c r="A59" s="23"/>
      <c r="B59" s="26" t="s">
        <v>36</v>
      </c>
      <c r="C59" s="27" t="s">
        <v>30</v>
      </c>
      <c r="D59" s="28">
        <f>3000/10</f>
        <v>300</v>
      </c>
      <c r="E59" s="52">
        <v>3000</v>
      </c>
      <c r="F59" s="24" t="s">
        <v>37</v>
      </c>
      <c r="G59" s="24"/>
      <c r="H59" s="24"/>
      <c r="I59" s="24"/>
      <c r="J59" s="24">
        <v>10</v>
      </c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10"/>
      <c r="X59" s="10"/>
    </row>
    <row r="60" spans="1:24" ht="15.75" customHeight="1" x14ac:dyDescent="0.2">
      <c r="A60" s="23"/>
      <c r="B60" s="26" t="s">
        <v>132</v>
      </c>
      <c r="C60" s="27" t="s">
        <v>131</v>
      </c>
      <c r="D60" s="28">
        <f>2400/6</f>
        <v>400</v>
      </c>
      <c r="E60" s="52">
        <v>2400</v>
      </c>
      <c r="F60" s="24" t="s">
        <v>37</v>
      </c>
      <c r="G60" s="24"/>
      <c r="H60" s="24"/>
      <c r="I60" s="24"/>
      <c r="J60" s="24">
        <v>6</v>
      </c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10"/>
      <c r="X60" s="10"/>
    </row>
    <row r="61" spans="1:24" ht="15.75" hidden="1" customHeight="1" x14ac:dyDescent="0.2">
      <c r="A61" s="23"/>
      <c r="B61" s="26"/>
      <c r="C61" s="27"/>
      <c r="D61" s="28"/>
      <c r="E61" s="52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10"/>
      <c r="X61" s="10"/>
    </row>
    <row r="62" spans="1:24" ht="15.75" hidden="1" customHeight="1" x14ac:dyDescent="0.2">
      <c r="A62" s="23"/>
      <c r="B62" s="26"/>
      <c r="C62" s="27"/>
      <c r="D62" s="28"/>
      <c r="E62" s="52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10"/>
      <c r="X62" s="10"/>
    </row>
    <row r="63" spans="1:24" ht="15.75" hidden="1" customHeight="1" x14ac:dyDescent="0.2">
      <c r="A63" s="23"/>
      <c r="B63" s="26"/>
      <c r="C63" s="27"/>
      <c r="D63" s="28"/>
      <c r="E63" s="52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10"/>
      <c r="X63" s="10"/>
    </row>
    <row r="64" spans="1:24" ht="15.75" hidden="1" customHeight="1" x14ac:dyDescent="0.2">
      <c r="A64" s="23"/>
      <c r="B64" s="26"/>
      <c r="C64" s="27"/>
      <c r="D64" s="28"/>
      <c r="E64" s="52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10"/>
      <c r="X64" s="10"/>
    </row>
    <row r="65" spans="1:24" ht="15.75" hidden="1" customHeight="1" x14ac:dyDescent="0.2">
      <c r="A65" s="23"/>
      <c r="B65" s="26"/>
      <c r="C65" s="27"/>
      <c r="D65" s="28"/>
      <c r="E65" s="52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10"/>
      <c r="X65" s="10"/>
    </row>
    <row r="66" spans="1:24" ht="15.75" hidden="1" customHeight="1" x14ac:dyDescent="0.2">
      <c r="A66" s="23"/>
      <c r="B66" s="26"/>
      <c r="C66" s="27"/>
      <c r="D66" s="28"/>
      <c r="E66" s="52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10"/>
      <c r="X66" s="10"/>
    </row>
    <row r="67" spans="1:24" ht="15.75" hidden="1" customHeight="1" x14ac:dyDescent="0.2">
      <c r="A67" s="53"/>
      <c r="B67" s="54"/>
      <c r="C67" s="32"/>
      <c r="D67" s="36"/>
      <c r="E67" s="55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10"/>
      <c r="X67" s="10"/>
    </row>
    <row r="68" spans="1:24" ht="15.75" hidden="1" customHeight="1" x14ac:dyDescent="0.2">
      <c r="A68" s="23"/>
      <c r="B68" s="56" t="s">
        <v>41</v>
      </c>
      <c r="C68" s="48"/>
      <c r="D68" s="57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10"/>
      <c r="X68" s="10"/>
    </row>
    <row r="69" spans="1:24" ht="15.75" hidden="1" customHeight="1" x14ac:dyDescent="0.2">
      <c r="A69" s="23"/>
      <c r="B69" s="26"/>
      <c r="C69" s="27"/>
      <c r="D69" s="28"/>
      <c r="E69" s="52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10"/>
      <c r="X69" s="10"/>
    </row>
    <row r="70" spans="1:24" ht="15.75" hidden="1" customHeight="1" x14ac:dyDescent="0.2">
      <c r="A70" s="23"/>
      <c r="B70" s="26"/>
      <c r="C70" s="27"/>
      <c r="D70" s="28"/>
      <c r="E70" s="52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10"/>
      <c r="X70" s="10"/>
    </row>
    <row r="71" spans="1:24" ht="15.75" hidden="1" customHeight="1" x14ac:dyDescent="0.2">
      <c r="A71" s="23"/>
      <c r="B71" s="26"/>
      <c r="C71" s="27"/>
      <c r="D71" s="28"/>
      <c r="E71" s="52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10"/>
      <c r="X71" s="10"/>
    </row>
    <row r="72" spans="1:24" ht="15.75" hidden="1" customHeight="1" x14ac:dyDescent="0.2">
      <c r="A72" s="23"/>
      <c r="B72" s="26"/>
      <c r="C72" s="27"/>
      <c r="D72" s="28"/>
      <c r="E72" s="52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10"/>
      <c r="X72" s="10"/>
    </row>
    <row r="73" spans="1:24" ht="15.75" hidden="1" customHeight="1" x14ac:dyDescent="0.2">
      <c r="A73" s="23"/>
      <c r="B73" s="56" t="s">
        <v>42</v>
      </c>
      <c r="C73" s="48"/>
      <c r="D73" s="57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10"/>
      <c r="X73" s="10"/>
    </row>
    <row r="74" spans="1:24" ht="15.75" hidden="1" customHeight="1" x14ac:dyDescent="0.2">
      <c r="A74" s="23"/>
      <c r="B74" s="26"/>
      <c r="C74" s="27"/>
      <c r="D74" s="28"/>
      <c r="E74" s="52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10"/>
      <c r="X74" s="10"/>
    </row>
    <row r="75" spans="1:24" ht="15.75" hidden="1" customHeight="1" x14ac:dyDescent="0.2">
      <c r="A75" s="23"/>
      <c r="B75" s="26"/>
      <c r="C75" s="27"/>
      <c r="D75" s="28"/>
      <c r="E75" s="52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10"/>
      <c r="X75" s="10"/>
    </row>
    <row r="76" spans="1:24" ht="15.75" hidden="1" customHeight="1" x14ac:dyDescent="0.2">
      <c r="A76" s="23"/>
      <c r="B76" s="26"/>
      <c r="C76" s="27"/>
      <c r="D76" s="28"/>
      <c r="E76" s="52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10"/>
      <c r="X76" s="10"/>
    </row>
    <row r="77" spans="1:24" ht="15.75" customHeight="1" x14ac:dyDescent="0.2">
      <c r="A77" s="53"/>
      <c r="B77" s="142" t="s">
        <v>43</v>
      </c>
      <c r="C77" s="143"/>
      <c r="D77" s="143"/>
      <c r="E77" s="143"/>
      <c r="F77" s="143"/>
      <c r="G77" s="143"/>
      <c r="H77" s="143"/>
      <c r="I77" s="14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10"/>
      <c r="X77" s="10"/>
    </row>
    <row r="78" spans="1:24" ht="15.75" customHeight="1" x14ac:dyDescent="0.2">
      <c r="A78" s="58"/>
      <c r="B78" s="59"/>
      <c r="C78" s="1"/>
      <c r="D78" s="6"/>
      <c r="E78" s="60"/>
      <c r="F78" s="8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5.75" customHeight="1" x14ac:dyDescent="0.25">
      <c r="A79" s="61" t="s">
        <v>44</v>
      </c>
      <c r="B79" s="3"/>
      <c r="C79" s="145">
        <v>247155</v>
      </c>
      <c r="D79" s="114"/>
      <c r="E79" s="114"/>
      <c r="F79" s="8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5.75" hidden="1" customHeight="1" x14ac:dyDescent="0.25">
      <c r="A80" s="62" t="s">
        <v>45</v>
      </c>
      <c r="B80" s="63"/>
      <c r="C80" s="146">
        <f>PRODUCT(C79,0.1)</f>
        <v>24715.5</v>
      </c>
      <c r="D80" s="147"/>
      <c r="E80" s="148"/>
      <c r="F80" s="8"/>
      <c r="G80" s="8"/>
      <c r="H80" s="128"/>
      <c r="I80" s="114"/>
      <c r="J80" s="128"/>
      <c r="K80" s="114"/>
      <c r="L80" s="114"/>
      <c r="M80" s="114"/>
      <c r="N80" s="114"/>
      <c r="O80" s="114"/>
      <c r="P80" s="114"/>
      <c r="Q80" s="114"/>
      <c r="R80" s="114"/>
      <c r="S80" s="114"/>
      <c r="T80" s="114"/>
      <c r="U80" s="64"/>
      <c r="V80" s="1"/>
      <c r="W80" s="1"/>
      <c r="X80" s="1"/>
    </row>
    <row r="81" spans="1:24" ht="15.75" hidden="1" customHeight="1" x14ac:dyDescent="0.25">
      <c r="A81" s="65" t="s">
        <v>46</v>
      </c>
      <c r="B81" s="66"/>
      <c r="C81" s="149">
        <f>PRODUCT(C79,0.1)</f>
        <v>24715.5</v>
      </c>
      <c r="D81" s="143"/>
      <c r="E81" s="144"/>
      <c r="F81" s="8"/>
      <c r="G81" s="8"/>
      <c r="H81" s="67"/>
      <c r="I81" s="67"/>
      <c r="J81" s="129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68"/>
      <c r="V81" s="1"/>
      <c r="W81" s="1"/>
      <c r="X81" s="1"/>
    </row>
    <row r="82" spans="1:24" ht="15.75" hidden="1" customHeight="1" x14ac:dyDescent="0.25">
      <c r="A82" s="65" t="s">
        <v>47</v>
      </c>
      <c r="B82" s="66"/>
      <c r="C82" s="149">
        <f>SUM(C79:E81)</f>
        <v>296586</v>
      </c>
      <c r="D82" s="143"/>
      <c r="E82" s="144"/>
      <c r="F82" s="8"/>
      <c r="G82" s="8"/>
      <c r="H82" s="67"/>
      <c r="I82" s="67"/>
      <c r="J82" s="129"/>
      <c r="K82" s="114"/>
      <c r="L82" s="114"/>
      <c r="M82" s="114"/>
      <c r="N82" s="114"/>
      <c r="O82" s="114"/>
      <c r="P82" s="114"/>
      <c r="Q82" s="114"/>
      <c r="R82" s="114"/>
      <c r="S82" s="114"/>
      <c r="T82" s="114"/>
      <c r="U82" s="68"/>
      <c r="V82" s="1"/>
      <c r="W82" s="1"/>
      <c r="X82" s="1"/>
    </row>
    <row r="83" spans="1:24" ht="15.75" customHeight="1" x14ac:dyDescent="0.2">
      <c r="A83" s="69"/>
      <c r="B83" s="3"/>
      <c r="C83" s="1"/>
      <c r="D83" s="6"/>
      <c r="E83" s="7"/>
      <c r="F83" s="8"/>
      <c r="G83" s="8"/>
      <c r="H83" s="67"/>
      <c r="I83" s="67"/>
      <c r="J83" s="129"/>
      <c r="K83" s="114"/>
      <c r="L83" s="114"/>
      <c r="M83" s="114"/>
      <c r="N83" s="114"/>
      <c r="O83" s="114"/>
      <c r="P83" s="114"/>
      <c r="Q83" s="114"/>
      <c r="R83" s="114"/>
      <c r="S83" s="114"/>
      <c r="T83" s="114"/>
      <c r="U83" s="68"/>
      <c r="V83" s="1"/>
      <c r="W83" s="1"/>
      <c r="X83" s="1"/>
    </row>
    <row r="84" spans="1:24" ht="15.75" customHeight="1" x14ac:dyDescent="0.2">
      <c r="A84" s="70" t="s">
        <v>48</v>
      </c>
      <c r="B84" s="3"/>
      <c r="C84" s="1"/>
      <c r="D84" s="6"/>
      <c r="E84" s="7"/>
      <c r="F84" s="8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5.75" customHeight="1" x14ac:dyDescent="0.2">
      <c r="A85" s="71"/>
      <c r="B85" s="3"/>
      <c r="C85" s="1"/>
      <c r="D85" s="6"/>
      <c r="E85" s="7"/>
      <c r="F85" s="8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5.75" customHeight="1" x14ac:dyDescent="0.2">
      <c r="A86" s="72" t="s">
        <v>49</v>
      </c>
      <c r="B86" s="59"/>
      <c r="C86" s="130" t="s">
        <v>50</v>
      </c>
      <c r="D86" s="114"/>
      <c r="E86" s="114"/>
      <c r="F86" s="67"/>
      <c r="G86" s="67"/>
      <c r="H86" s="1"/>
      <c r="I86" s="130" t="s">
        <v>51</v>
      </c>
      <c r="J86" s="114"/>
      <c r="K86" s="114"/>
      <c r="L86" s="114"/>
      <c r="M86" s="114"/>
      <c r="N86" s="114"/>
      <c r="O86" s="1"/>
      <c r="P86" s="1"/>
      <c r="Q86" s="130" t="s">
        <v>52</v>
      </c>
      <c r="R86" s="114"/>
      <c r="S86" s="114"/>
      <c r="T86" s="114"/>
      <c r="U86" s="1"/>
      <c r="V86" s="134"/>
      <c r="W86" s="114"/>
      <c r="X86" s="67"/>
    </row>
    <row r="87" spans="1:24" ht="15.75" customHeight="1" x14ac:dyDescent="0.2">
      <c r="A87" s="72"/>
      <c r="B87" s="59"/>
      <c r="C87" s="73"/>
      <c r="D87" s="74"/>
      <c r="E87" s="73"/>
      <c r="F87" s="67"/>
      <c r="G87" s="67"/>
      <c r="H87" s="1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67"/>
      <c r="X87" s="67"/>
    </row>
    <row r="88" spans="1:24" ht="15.75" customHeight="1" x14ac:dyDescent="0.2">
      <c r="A88" s="59"/>
      <c r="B88" s="59"/>
      <c r="C88" s="67"/>
      <c r="D88" s="75"/>
      <c r="E88" s="76"/>
      <c r="F88" s="67"/>
      <c r="G88" s="67"/>
      <c r="H88" s="1"/>
      <c r="I88" s="67"/>
      <c r="J88" s="76"/>
      <c r="K88" s="76"/>
      <c r="L88" s="76"/>
      <c r="M88" s="76"/>
      <c r="N88" s="76"/>
      <c r="O88" s="76"/>
      <c r="P88" s="76"/>
      <c r="Q88" s="67"/>
      <c r="R88" s="76"/>
      <c r="S88" s="67"/>
      <c r="T88" s="67"/>
      <c r="U88" s="67"/>
      <c r="V88" s="67"/>
      <c r="W88" s="67"/>
      <c r="X88" s="67"/>
    </row>
    <row r="89" spans="1:24" ht="15.75" customHeight="1" x14ac:dyDescent="0.2">
      <c r="A89" s="152" t="s">
        <v>133</v>
      </c>
      <c r="B89" s="114"/>
      <c r="C89" s="131" t="s">
        <v>53</v>
      </c>
      <c r="D89" s="114"/>
      <c r="E89" s="114"/>
      <c r="F89" s="114"/>
      <c r="G89" s="1"/>
      <c r="H89" s="1"/>
      <c r="I89" s="131" t="s">
        <v>54</v>
      </c>
      <c r="J89" s="114"/>
      <c r="K89" s="114"/>
      <c r="L89" s="114"/>
      <c r="M89" s="114"/>
      <c r="N89" s="114"/>
      <c r="O89" s="1"/>
      <c r="P89" s="1"/>
      <c r="Q89" s="131" t="s">
        <v>55</v>
      </c>
      <c r="R89" s="114"/>
      <c r="S89" s="114"/>
      <c r="T89" s="114"/>
      <c r="U89" s="1"/>
      <c r="V89" s="134"/>
      <c r="W89" s="114"/>
      <c r="X89" s="114"/>
    </row>
    <row r="90" spans="1:24" ht="15" customHeight="1" x14ac:dyDescent="0.2">
      <c r="A90" s="151" t="s">
        <v>56</v>
      </c>
      <c r="B90" s="114"/>
      <c r="C90" s="133" t="s">
        <v>57</v>
      </c>
      <c r="D90" s="114"/>
      <c r="E90" s="114"/>
      <c r="F90" s="114"/>
      <c r="G90" s="77"/>
      <c r="H90" s="1"/>
      <c r="I90" s="132" t="s">
        <v>58</v>
      </c>
      <c r="J90" s="114"/>
      <c r="K90" s="114"/>
      <c r="L90" s="114"/>
      <c r="M90" s="114"/>
      <c r="N90" s="114"/>
      <c r="O90" s="1"/>
      <c r="P90" s="1"/>
      <c r="Q90" s="133" t="s">
        <v>59</v>
      </c>
      <c r="R90" s="114"/>
      <c r="S90" s="114"/>
      <c r="T90" s="114"/>
      <c r="U90" s="1"/>
      <c r="V90" s="1"/>
      <c r="W90" s="67"/>
      <c r="X90" s="67"/>
    </row>
    <row r="91" spans="1:24" ht="15.75" customHeight="1" x14ac:dyDescent="0.2">
      <c r="A91" s="1"/>
      <c r="B91" s="1"/>
      <c r="C91" s="1"/>
      <c r="D91" s="6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5.75" customHeight="1" x14ac:dyDescent="0.2">
      <c r="A92" s="1" t="s">
        <v>60</v>
      </c>
      <c r="B92" s="1"/>
      <c r="C92" s="1" t="s">
        <v>60</v>
      </c>
      <c r="D92" s="6"/>
      <c r="E92" s="1"/>
      <c r="F92" s="1"/>
      <c r="G92" s="1"/>
      <c r="H92" s="1"/>
      <c r="I92" s="1" t="s">
        <v>60</v>
      </c>
      <c r="J92" s="1"/>
      <c r="K92" s="1"/>
      <c r="L92" s="1"/>
      <c r="M92" s="1"/>
      <c r="N92" s="1"/>
      <c r="O92" s="1"/>
      <c r="P92" s="1"/>
      <c r="Q92" s="1" t="s">
        <v>60</v>
      </c>
      <c r="R92" s="1"/>
      <c r="S92" s="1"/>
      <c r="T92" s="1"/>
      <c r="U92" s="1"/>
      <c r="V92" s="1"/>
      <c r="W92" s="1"/>
      <c r="X92" s="1"/>
    </row>
    <row r="93" spans="1:24" ht="15.75" customHeight="1" x14ac:dyDescent="0.25">
      <c r="D93" s="78"/>
      <c r="H93" s="140"/>
      <c r="I93" s="114"/>
      <c r="J93" s="114"/>
      <c r="K93" s="114"/>
      <c r="L93" s="114"/>
      <c r="M93" s="114"/>
      <c r="N93" s="114"/>
      <c r="O93" s="114"/>
      <c r="P93" s="114"/>
      <c r="Q93" s="114"/>
      <c r="R93" s="114"/>
      <c r="S93" s="114"/>
      <c r="T93" s="114"/>
    </row>
    <row r="94" spans="1:24" ht="15.75" customHeight="1" x14ac:dyDescent="0.25">
      <c r="D94" s="78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</row>
    <row r="95" spans="1:24" ht="15.75" customHeight="1" x14ac:dyDescent="0.25">
      <c r="D95" s="78"/>
      <c r="H95" s="80"/>
      <c r="I95" s="81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</row>
    <row r="96" spans="1:24" ht="15.75" customHeight="1" x14ac:dyDescent="0.25">
      <c r="D96" s="78"/>
      <c r="H96" s="141"/>
      <c r="I96" s="114"/>
      <c r="J96" s="114"/>
      <c r="K96" s="114"/>
      <c r="L96" s="114"/>
      <c r="M96" s="114"/>
      <c r="N96" s="114"/>
      <c r="O96" s="114"/>
      <c r="P96" s="114"/>
      <c r="Q96" s="114"/>
      <c r="R96" s="114"/>
      <c r="S96" s="114"/>
      <c r="T96" s="114"/>
    </row>
    <row r="97" spans="4:20" ht="15.75" customHeight="1" x14ac:dyDescent="0.25">
      <c r="D97" s="78"/>
      <c r="H97" s="127"/>
      <c r="I97" s="114"/>
      <c r="J97" s="114"/>
      <c r="K97" s="114"/>
      <c r="L97" s="114"/>
      <c r="M97" s="114"/>
      <c r="N97" s="114"/>
      <c r="O97" s="114"/>
      <c r="P97" s="114"/>
      <c r="Q97" s="114"/>
      <c r="R97" s="114"/>
      <c r="S97" s="114"/>
      <c r="T97" s="114"/>
    </row>
    <row r="98" spans="4:20" ht="15.75" customHeight="1" x14ac:dyDescent="0.25">
      <c r="D98" s="78"/>
    </row>
    <row r="99" spans="4:20" ht="15.75" customHeight="1" x14ac:dyDescent="0.25">
      <c r="D99" s="78"/>
    </row>
    <row r="100" spans="4:20" ht="15.75" customHeight="1" x14ac:dyDescent="0.25">
      <c r="D100" s="78"/>
    </row>
    <row r="101" spans="4:20" ht="15.75" customHeight="1" x14ac:dyDescent="0.25">
      <c r="D101" s="78"/>
    </row>
    <row r="102" spans="4:20" ht="15.75" customHeight="1" x14ac:dyDescent="0.25">
      <c r="D102" s="78"/>
    </row>
    <row r="103" spans="4:20" ht="15.75" customHeight="1" x14ac:dyDescent="0.25">
      <c r="D103" s="78"/>
    </row>
    <row r="104" spans="4:20" ht="15.75" customHeight="1" x14ac:dyDescent="0.25">
      <c r="D104" s="78"/>
    </row>
    <row r="105" spans="4:20" ht="15.75" customHeight="1" x14ac:dyDescent="0.25">
      <c r="D105" s="78"/>
    </row>
    <row r="106" spans="4:20" ht="15.75" customHeight="1" x14ac:dyDescent="0.25">
      <c r="D106" s="78"/>
    </row>
    <row r="107" spans="4:20" ht="15.75" customHeight="1" x14ac:dyDescent="0.25">
      <c r="D107" s="78"/>
    </row>
    <row r="108" spans="4:20" ht="15.75" customHeight="1" x14ac:dyDescent="0.25">
      <c r="D108" s="78"/>
    </row>
    <row r="109" spans="4:20" ht="15.75" customHeight="1" x14ac:dyDescent="0.25">
      <c r="D109" s="78"/>
    </row>
    <row r="110" spans="4:20" ht="15.75" customHeight="1" x14ac:dyDescent="0.25">
      <c r="D110" s="78"/>
    </row>
    <row r="111" spans="4:20" ht="15.75" customHeight="1" x14ac:dyDescent="0.25">
      <c r="D111" s="78"/>
    </row>
    <row r="112" spans="4:20" ht="15.75" customHeight="1" x14ac:dyDescent="0.25">
      <c r="D112" s="78"/>
    </row>
    <row r="113" spans="4:4" ht="15.75" customHeight="1" x14ac:dyDescent="0.25">
      <c r="D113" s="78"/>
    </row>
    <row r="114" spans="4:4" ht="15.75" customHeight="1" x14ac:dyDescent="0.25">
      <c r="D114" s="78"/>
    </row>
    <row r="115" spans="4:4" ht="15.75" customHeight="1" x14ac:dyDescent="0.25">
      <c r="D115" s="78"/>
    </row>
    <row r="116" spans="4:4" ht="15.75" customHeight="1" x14ac:dyDescent="0.25">
      <c r="D116" s="78"/>
    </row>
    <row r="117" spans="4:4" ht="15.75" customHeight="1" x14ac:dyDescent="0.25">
      <c r="D117" s="78"/>
    </row>
    <row r="118" spans="4:4" ht="15.75" customHeight="1" x14ac:dyDescent="0.25">
      <c r="D118" s="78"/>
    </row>
    <row r="119" spans="4:4" ht="15.75" customHeight="1" x14ac:dyDescent="0.25">
      <c r="D119" s="78"/>
    </row>
    <row r="120" spans="4:4" ht="15.75" customHeight="1" x14ac:dyDescent="0.25">
      <c r="D120" s="78"/>
    </row>
    <row r="121" spans="4:4" ht="15.75" customHeight="1" x14ac:dyDescent="0.25">
      <c r="D121" s="78"/>
    </row>
    <row r="122" spans="4:4" ht="15.75" customHeight="1" x14ac:dyDescent="0.25">
      <c r="D122" s="78"/>
    </row>
    <row r="123" spans="4:4" ht="15.75" customHeight="1" x14ac:dyDescent="0.25">
      <c r="D123" s="78"/>
    </row>
    <row r="124" spans="4:4" ht="15.75" customHeight="1" x14ac:dyDescent="0.25">
      <c r="D124" s="78"/>
    </row>
    <row r="125" spans="4:4" ht="15.75" customHeight="1" x14ac:dyDescent="0.25">
      <c r="D125" s="78"/>
    </row>
    <row r="126" spans="4:4" ht="15.75" customHeight="1" x14ac:dyDescent="0.25">
      <c r="D126" s="78"/>
    </row>
    <row r="127" spans="4:4" ht="15.75" customHeight="1" x14ac:dyDescent="0.25">
      <c r="D127" s="78"/>
    </row>
    <row r="128" spans="4:4" ht="15.75" customHeight="1" x14ac:dyDescent="0.25">
      <c r="D128" s="78"/>
    </row>
    <row r="129" spans="4:4" ht="15.75" customHeight="1" x14ac:dyDescent="0.25">
      <c r="D129" s="78"/>
    </row>
    <row r="130" spans="4:4" ht="15.75" customHeight="1" x14ac:dyDescent="0.25">
      <c r="D130" s="78"/>
    </row>
    <row r="131" spans="4:4" ht="15.75" customHeight="1" x14ac:dyDescent="0.25">
      <c r="D131" s="78"/>
    </row>
    <row r="132" spans="4:4" ht="15.75" customHeight="1" x14ac:dyDescent="0.25">
      <c r="D132" s="78"/>
    </row>
    <row r="133" spans="4:4" ht="15.75" customHeight="1" x14ac:dyDescent="0.25">
      <c r="D133" s="78"/>
    </row>
    <row r="134" spans="4:4" ht="15.75" customHeight="1" x14ac:dyDescent="0.25">
      <c r="D134" s="78"/>
    </row>
    <row r="135" spans="4:4" ht="15.75" customHeight="1" x14ac:dyDescent="0.25">
      <c r="D135" s="78"/>
    </row>
    <row r="136" spans="4:4" ht="15.75" customHeight="1" x14ac:dyDescent="0.25">
      <c r="D136" s="78"/>
    </row>
    <row r="137" spans="4:4" ht="15.75" customHeight="1" x14ac:dyDescent="0.25">
      <c r="D137" s="78"/>
    </row>
    <row r="138" spans="4:4" ht="15.75" customHeight="1" x14ac:dyDescent="0.25">
      <c r="D138" s="78"/>
    </row>
    <row r="139" spans="4:4" ht="15.75" customHeight="1" x14ac:dyDescent="0.25">
      <c r="D139" s="78"/>
    </row>
    <row r="140" spans="4:4" ht="15.75" customHeight="1" x14ac:dyDescent="0.25">
      <c r="D140" s="78"/>
    </row>
    <row r="141" spans="4:4" ht="15.75" customHeight="1" x14ac:dyDescent="0.25">
      <c r="D141" s="78"/>
    </row>
    <row r="142" spans="4:4" ht="15.75" customHeight="1" x14ac:dyDescent="0.25">
      <c r="D142" s="78"/>
    </row>
    <row r="143" spans="4:4" ht="15.75" customHeight="1" x14ac:dyDescent="0.25">
      <c r="D143" s="78"/>
    </row>
    <row r="144" spans="4:4" ht="15.75" customHeight="1" x14ac:dyDescent="0.25">
      <c r="D144" s="78"/>
    </row>
    <row r="145" spans="4:4" ht="15.75" customHeight="1" x14ac:dyDescent="0.25">
      <c r="D145" s="78"/>
    </row>
    <row r="146" spans="4:4" ht="15.75" customHeight="1" x14ac:dyDescent="0.25">
      <c r="D146" s="78"/>
    </row>
    <row r="147" spans="4:4" ht="15.75" customHeight="1" x14ac:dyDescent="0.25">
      <c r="D147" s="78"/>
    </row>
    <row r="148" spans="4:4" ht="15.75" customHeight="1" x14ac:dyDescent="0.25">
      <c r="D148" s="78"/>
    </row>
    <row r="149" spans="4:4" ht="15.75" customHeight="1" x14ac:dyDescent="0.25">
      <c r="D149" s="78"/>
    </row>
    <row r="150" spans="4:4" ht="15.75" customHeight="1" x14ac:dyDescent="0.25">
      <c r="D150" s="78"/>
    </row>
    <row r="151" spans="4:4" ht="15.75" customHeight="1" x14ac:dyDescent="0.25">
      <c r="D151" s="78"/>
    </row>
    <row r="152" spans="4:4" ht="15.75" customHeight="1" x14ac:dyDescent="0.25">
      <c r="D152" s="78"/>
    </row>
    <row r="153" spans="4:4" ht="15.75" customHeight="1" x14ac:dyDescent="0.25">
      <c r="D153" s="78"/>
    </row>
    <row r="154" spans="4:4" ht="15.75" customHeight="1" x14ac:dyDescent="0.25">
      <c r="D154" s="78"/>
    </row>
    <row r="155" spans="4:4" ht="15.75" customHeight="1" x14ac:dyDescent="0.25">
      <c r="D155" s="78"/>
    </row>
    <row r="156" spans="4:4" ht="15.75" customHeight="1" x14ac:dyDescent="0.25">
      <c r="D156" s="78"/>
    </row>
    <row r="157" spans="4:4" ht="15.75" customHeight="1" x14ac:dyDescent="0.25">
      <c r="D157" s="78"/>
    </row>
    <row r="158" spans="4:4" ht="15.75" customHeight="1" x14ac:dyDescent="0.25">
      <c r="D158" s="78"/>
    </row>
    <row r="159" spans="4:4" ht="15.75" customHeight="1" x14ac:dyDescent="0.25">
      <c r="D159" s="78"/>
    </row>
    <row r="160" spans="4:4" ht="15.75" customHeight="1" x14ac:dyDescent="0.25">
      <c r="D160" s="78"/>
    </row>
    <row r="161" spans="4:4" ht="15.75" customHeight="1" x14ac:dyDescent="0.25">
      <c r="D161" s="78"/>
    </row>
    <row r="162" spans="4:4" ht="15.75" customHeight="1" x14ac:dyDescent="0.25">
      <c r="D162" s="78"/>
    </row>
    <row r="163" spans="4:4" ht="15.75" customHeight="1" x14ac:dyDescent="0.25">
      <c r="D163" s="78"/>
    </row>
    <row r="164" spans="4:4" ht="15.75" customHeight="1" x14ac:dyDescent="0.25">
      <c r="D164" s="78"/>
    </row>
    <row r="165" spans="4:4" ht="15.75" customHeight="1" x14ac:dyDescent="0.25">
      <c r="D165" s="78"/>
    </row>
    <row r="166" spans="4:4" ht="15.75" customHeight="1" x14ac:dyDescent="0.25">
      <c r="D166" s="78"/>
    </row>
    <row r="167" spans="4:4" ht="15.75" customHeight="1" x14ac:dyDescent="0.25">
      <c r="D167" s="78"/>
    </row>
    <row r="168" spans="4:4" ht="15.75" customHeight="1" x14ac:dyDescent="0.25">
      <c r="D168" s="78"/>
    </row>
    <row r="169" spans="4:4" ht="15.75" customHeight="1" x14ac:dyDescent="0.25">
      <c r="D169" s="78"/>
    </row>
    <row r="170" spans="4:4" ht="15.75" customHeight="1" x14ac:dyDescent="0.25">
      <c r="D170" s="78"/>
    </row>
    <row r="171" spans="4:4" ht="15.75" customHeight="1" x14ac:dyDescent="0.25">
      <c r="D171" s="78"/>
    </row>
    <row r="172" spans="4:4" ht="15.75" customHeight="1" x14ac:dyDescent="0.25">
      <c r="D172" s="78"/>
    </row>
    <row r="173" spans="4:4" ht="15.75" customHeight="1" x14ac:dyDescent="0.25">
      <c r="D173" s="78"/>
    </row>
    <row r="174" spans="4:4" ht="15.75" customHeight="1" x14ac:dyDescent="0.25">
      <c r="D174" s="78"/>
    </row>
    <row r="175" spans="4:4" ht="15.75" customHeight="1" x14ac:dyDescent="0.25">
      <c r="D175" s="78"/>
    </row>
    <row r="176" spans="4:4" ht="15.75" customHeight="1" x14ac:dyDescent="0.25">
      <c r="D176" s="78"/>
    </row>
    <row r="177" spans="4:4" ht="15.75" customHeight="1" x14ac:dyDescent="0.25">
      <c r="D177" s="78"/>
    </row>
    <row r="178" spans="4:4" ht="15.75" customHeight="1" x14ac:dyDescent="0.25">
      <c r="D178" s="78"/>
    </row>
    <row r="179" spans="4:4" ht="15.75" customHeight="1" x14ac:dyDescent="0.25">
      <c r="D179" s="78"/>
    </row>
    <row r="180" spans="4:4" ht="15.75" customHeight="1" x14ac:dyDescent="0.25">
      <c r="D180" s="78"/>
    </row>
    <row r="181" spans="4:4" ht="15.75" customHeight="1" x14ac:dyDescent="0.25">
      <c r="D181" s="78"/>
    </row>
    <row r="182" spans="4:4" ht="15.75" customHeight="1" x14ac:dyDescent="0.25">
      <c r="D182" s="78"/>
    </row>
    <row r="183" spans="4:4" ht="15.75" customHeight="1" x14ac:dyDescent="0.25">
      <c r="D183" s="78"/>
    </row>
    <row r="184" spans="4:4" ht="15.75" customHeight="1" x14ac:dyDescent="0.25">
      <c r="D184" s="78"/>
    </row>
    <row r="185" spans="4:4" ht="15.75" customHeight="1" x14ac:dyDescent="0.25">
      <c r="D185" s="78"/>
    </row>
    <row r="186" spans="4:4" ht="15.75" customHeight="1" x14ac:dyDescent="0.25">
      <c r="D186" s="78"/>
    </row>
    <row r="187" spans="4:4" ht="15.75" customHeight="1" x14ac:dyDescent="0.25">
      <c r="D187" s="78"/>
    </row>
    <row r="188" spans="4:4" ht="15.75" customHeight="1" x14ac:dyDescent="0.25">
      <c r="D188" s="78"/>
    </row>
    <row r="189" spans="4:4" ht="15.75" customHeight="1" x14ac:dyDescent="0.25">
      <c r="D189" s="78"/>
    </row>
    <row r="190" spans="4:4" ht="15.75" customHeight="1" x14ac:dyDescent="0.25">
      <c r="D190" s="78"/>
    </row>
    <row r="191" spans="4:4" ht="15.75" customHeight="1" x14ac:dyDescent="0.25">
      <c r="D191" s="78"/>
    </row>
    <row r="192" spans="4:4" ht="15.75" customHeight="1" x14ac:dyDescent="0.25">
      <c r="D192" s="78"/>
    </row>
    <row r="193" spans="4:4" ht="15.75" customHeight="1" x14ac:dyDescent="0.25">
      <c r="D193" s="78"/>
    </row>
    <row r="194" spans="4:4" ht="15.75" customHeight="1" x14ac:dyDescent="0.25">
      <c r="D194" s="78"/>
    </row>
    <row r="195" spans="4:4" ht="15.75" customHeight="1" x14ac:dyDescent="0.25">
      <c r="D195" s="78"/>
    </row>
    <row r="196" spans="4:4" ht="15.75" customHeight="1" x14ac:dyDescent="0.25">
      <c r="D196" s="78"/>
    </row>
    <row r="197" spans="4:4" ht="15.75" customHeight="1" x14ac:dyDescent="0.25">
      <c r="D197" s="78"/>
    </row>
    <row r="198" spans="4:4" ht="15.75" customHeight="1" x14ac:dyDescent="0.25">
      <c r="D198" s="78"/>
    </row>
    <row r="199" spans="4:4" ht="15.75" customHeight="1" x14ac:dyDescent="0.25">
      <c r="D199" s="78"/>
    </row>
    <row r="200" spans="4:4" ht="15.75" customHeight="1" x14ac:dyDescent="0.25">
      <c r="D200" s="78"/>
    </row>
    <row r="201" spans="4:4" ht="15.75" customHeight="1" x14ac:dyDescent="0.25">
      <c r="D201" s="78"/>
    </row>
    <row r="202" spans="4:4" ht="15.75" customHeight="1" x14ac:dyDescent="0.25">
      <c r="D202" s="78"/>
    </row>
    <row r="203" spans="4:4" ht="15.75" customHeight="1" x14ac:dyDescent="0.25">
      <c r="D203" s="78"/>
    </row>
    <row r="204" spans="4:4" ht="15.75" customHeight="1" x14ac:dyDescent="0.25">
      <c r="D204" s="78"/>
    </row>
    <row r="205" spans="4:4" ht="15.75" customHeight="1" x14ac:dyDescent="0.25">
      <c r="D205" s="78"/>
    </row>
    <row r="206" spans="4:4" ht="15.75" customHeight="1" x14ac:dyDescent="0.25">
      <c r="D206" s="78"/>
    </row>
    <row r="207" spans="4:4" ht="15.75" customHeight="1" x14ac:dyDescent="0.25">
      <c r="D207" s="78"/>
    </row>
    <row r="208" spans="4:4" ht="15.75" customHeight="1" x14ac:dyDescent="0.25">
      <c r="D208" s="78"/>
    </row>
    <row r="209" spans="4:4" ht="15.75" customHeight="1" x14ac:dyDescent="0.25">
      <c r="D209" s="78"/>
    </row>
    <row r="210" spans="4:4" ht="15.75" customHeight="1" x14ac:dyDescent="0.25">
      <c r="D210" s="78"/>
    </row>
    <row r="211" spans="4:4" ht="15.75" customHeight="1" x14ac:dyDescent="0.25">
      <c r="D211" s="78"/>
    </row>
    <row r="212" spans="4:4" ht="15.75" customHeight="1" x14ac:dyDescent="0.25">
      <c r="D212" s="78"/>
    </row>
    <row r="213" spans="4:4" ht="15.75" customHeight="1" x14ac:dyDescent="0.25">
      <c r="D213" s="78"/>
    </row>
    <row r="214" spans="4:4" ht="15.75" customHeight="1" x14ac:dyDescent="0.25">
      <c r="D214" s="78"/>
    </row>
    <row r="215" spans="4:4" ht="15.75" customHeight="1" x14ac:dyDescent="0.25">
      <c r="D215" s="78"/>
    </row>
    <row r="216" spans="4:4" ht="15.75" customHeight="1" x14ac:dyDescent="0.25">
      <c r="D216" s="78"/>
    </row>
    <row r="217" spans="4:4" ht="15.75" customHeight="1" x14ac:dyDescent="0.25">
      <c r="D217" s="78"/>
    </row>
    <row r="218" spans="4:4" ht="15.75" customHeight="1" x14ac:dyDescent="0.25">
      <c r="D218" s="78"/>
    </row>
    <row r="219" spans="4:4" ht="15.75" customHeight="1" x14ac:dyDescent="0.25">
      <c r="D219" s="78"/>
    </row>
    <row r="220" spans="4:4" ht="15.75" customHeight="1" x14ac:dyDescent="0.25">
      <c r="D220" s="78"/>
    </row>
    <row r="221" spans="4:4" ht="15.75" customHeight="1" x14ac:dyDescent="0.25">
      <c r="D221" s="78"/>
    </row>
    <row r="222" spans="4:4" ht="15.75" customHeight="1" x14ac:dyDescent="0.25">
      <c r="D222" s="78"/>
    </row>
    <row r="223" spans="4:4" ht="15.75" customHeight="1" x14ac:dyDescent="0.25">
      <c r="D223" s="78"/>
    </row>
    <row r="224" spans="4:4" ht="15.75" customHeight="1" x14ac:dyDescent="0.25">
      <c r="D224" s="78"/>
    </row>
    <row r="225" spans="4:4" ht="15.75" customHeight="1" x14ac:dyDescent="0.25">
      <c r="D225" s="78"/>
    </row>
    <row r="226" spans="4:4" ht="15.75" customHeight="1" x14ac:dyDescent="0.25">
      <c r="D226" s="78"/>
    </row>
    <row r="227" spans="4:4" ht="15.75" customHeight="1" x14ac:dyDescent="0.25">
      <c r="D227" s="78"/>
    </row>
    <row r="228" spans="4:4" ht="15.75" customHeight="1" x14ac:dyDescent="0.25">
      <c r="D228" s="78"/>
    </row>
    <row r="229" spans="4:4" ht="15.75" customHeight="1" x14ac:dyDescent="0.25">
      <c r="D229" s="78"/>
    </row>
    <row r="230" spans="4:4" ht="15.75" customHeight="1" x14ac:dyDescent="0.25">
      <c r="D230" s="78"/>
    </row>
    <row r="231" spans="4:4" ht="15.75" customHeight="1" x14ac:dyDescent="0.25">
      <c r="D231" s="78"/>
    </row>
    <row r="232" spans="4:4" ht="15.75" customHeight="1" x14ac:dyDescent="0.25">
      <c r="D232" s="78"/>
    </row>
    <row r="233" spans="4:4" ht="15.75" customHeight="1" x14ac:dyDescent="0.25">
      <c r="D233" s="78"/>
    </row>
    <row r="234" spans="4:4" ht="15.75" customHeight="1" x14ac:dyDescent="0.25">
      <c r="D234" s="78"/>
    </row>
    <row r="235" spans="4:4" ht="15.75" customHeight="1" x14ac:dyDescent="0.25">
      <c r="D235" s="78"/>
    </row>
    <row r="236" spans="4:4" ht="15.75" customHeight="1" x14ac:dyDescent="0.25">
      <c r="D236" s="78"/>
    </row>
    <row r="237" spans="4:4" ht="15.75" customHeight="1" x14ac:dyDescent="0.25">
      <c r="D237" s="78"/>
    </row>
    <row r="238" spans="4:4" ht="15.75" customHeight="1" x14ac:dyDescent="0.25">
      <c r="D238" s="78"/>
    </row>
    <row r="239" spans="4:4" ht="15.75" customHeight="1" x14ac:dyDescent="0.25">
      <c r="D239" s="78"/>
    </row>
    <row r="240" spans="4:4" ht="15.75" customHeight="1" x14ac:dyDescent="0.25">
      <c r="D240" s="78"/>
    </row>
    <row r="241" spans="4:4" ht="15.75" customHeight="1" x14ac:dyDescent="0.25">
      <c r="D241" s="78"/>
    </row>
    <row r="242" spans="4:4" ht="15.75" customHeight="1" x14ac:dyDescent="0.25">
      <c r="D242" s="78"/>
    </row>
    <row r="243" spans="4:4" ht="15.75" customHeight="1" x14ac:dyDescent="0.25">
      <c r="D243" s="78"/>
    </row>
    <row r="244" spans="4:4" ht="15.75" customHeight="1" x14ac:dyDescent="0.25">
      <c r="D244" s="78"/>
    </row>
    <row r="245" spans="4:4" ht="15.75" customHeight="1" x14ac:dyDescent="0.25">
      <c r="D245" s="78"/>
    </row>
    <row r="246" spans="4:4" ht="15.75" customHeight="1" x14ac:dyDescent="0.25">
      <c r="D246" s="78"/>
    </row>
    <row r="247" spans="4:4" ht="15.75" customHeight="1" x14ac:dyDescent="0.25">
      <c r="D247" s="78"/>
    </row>
    <row r="248" spans="4:4" ht="15.75" customHeight="1" x14ac:dyDescent="0.25">
      <c r="D248" s="78"/>
    </row>
    <row r="249" spans="4:4" ht="15.75" customHeight="1" x14ac:dyDescent="0.25">
      <c r="D249" s="78"/>
    </row>
    <row r="250" spans="4:4" ht="15.75" customHeight="1" x14ac:dyDescent="0.25">
      <c r="D250" s="78"/>
    </row>
    <row r="251" spans="4:4" ht="15.75" customHeight="1" x14ac:dyDescent="0.25">
      <c r="D251" s="78"/>
    </row>
    <row r="252" spans="4:4" ht="15.75" customHeight="1" x14ac:dyDescent="0.25">
      <c r="D252" s="78"/>
    </row>
    <row r="253" spans="4:4" ht="15.75" customHeight="1" x14ac:dyDescent="0.25">
      <c r="D253" s="78"/>
    </row>
    <row r="254" spans="4:4" ht="15.75" customHeight="1" x14ac:dyDescent="0.25">
      <c r="D254" s="78"/>
    </row>
    <row r="255" spans="4:4" ht="15.75" customHeight="1" x14ac:dyDescent="0.25">
      <c r="D255" s="78"/>
    </row>
    <row r="256" spans="4:4" ht="15.75" customHeight="1" x14ac:dyDescent="0.25">
      <c r="D256" s="78"/>
    </row>
    <row r="257" spans="4:4" ht="15.75" customHeight="1" x14ac:dyDescent="0.25">
      <c r="D257" s="78"/>
    </row>
    <row r="258" spans="4:4" ht="15.75" customHeight="1" x14ac:dyDescent="0.25">
      <c r="D258" s="78"/>
    </row>
    <row r="259" spans="4:4" ht="15.75" customHeight="1" x14ac:dyDescent="0.25">
      <c r="D259" s="78"/>
    </row>
    <row r="260" spans="4:4" ht="15.75" customHeight="1" x14ac:dyDescent="0.25">
      <c r="D260" s="78"/>
    </row>
    <row r="261" spans="4:4" ht="15.75" customHeight="1" x14ac:dyDescent="0.25">
      <c r="D261" s="78"/>
    </row>
    <row r="262" spans="4:4" ht="15.75" customHeight="1" x14ac:dyDescent="0.25">
      <c r="D262" s="78"/>
    </row>
    <row r="263" spans="4:4" ht="15.75" customHeight="1" x14ac:dyDescent="0.25">
      <c r="D263" s="78"/>
    </row>
    <row r="264" spans="4:4" ht="15.75" customHeight="1" x14ac:dyDescent="0.25">
      <c r="D264" s="78"/>
    </row>
    <row r="265" spans="4:4" ht="15.75" customHeight="1" x14ac:dyDescent="0.25">
      <c r="D265" s="78"/>
    </row>
    <row r="266" spans="4:4" ht="15.75" customHeight="1" x14ac:dyDescent="0.25">
      <c r="D266" s="78"/>
    </row>
    <row r="267" spans="4:4" ht="15.75" customHeight="1" x14ac:dyDescent="0.25">
      <c r="D267" s="78"/>
    </row>
    <row r="268" spans="4:4" ht="15.75" customHeight="1" x14ac:dyDescent="0.25">
      <c r="D268" s="78"/>
    </row>
    <row r="269" spans="4:4" ht="15.75" customHeight="1" x14ac:dyDescent="0.25">
      <c r="D269" s="78"/>
    </row>
    <row r="270" spans="4:4" ht="15.75" customHeight="1" x14ac:dyDescent="0.25">
      <c r="D270" s="78"/>
    </row>
    <row r="271" spans="4:4" ht="15.75" customHeight="1" x14ac:dyDescent="0.25">
      <c r="D271" s="78"/>
    </row>
    <row r="272" spans="4:4" ht="15.75" customHeight="1" x14ac:dyDescent="0.25">
      <c r="D272" s="78"/>
    </row>
    <row r="273" spans="4:4" ht="15.75" customHeight="1" x14ac:dyDescent="0.25">
      <c r="D273" s="78"/>
    </row>
    <row r="274" spans="4:4" ht="15.75" customHeight="1" x14ac:dyDescent="0.25">
      <c r="D274" s="78"/>
    </row>
    <row r="275" spans="4:4" ht="15.75" customHeight="1" x14ac:dyDescent="0.25">
      <c r="D275" s="78"/>
    </row>
    <row r="276" spans="4:4" ht="15.75" customHeight="1" x14ac:dyDescent="0.25">
      <c r="D276" s="78"/>
    </row>
    <row r="277" spans="4:4" ht="15.75" customHeight="1" x14ac:dyDescent="0.25">
      <c r="D277" s="78"/>
    </row>
    <row r="278" spans="4:4" ht="15.75" customHeight="1" x14ac:dyDescent="0.25">
      <c r="D278" s="78"/>
    </row>
    <row r="279" spans="4:4" ht="15.75" customHeight="1" x14ac:dyDescent="0.25">
      <c r="D279" s="78"/>
    </row>
    <row r="280" spans="4:4" ht="15.75" customHeight="1" x14ac:dyDescent="0.25">
      <c r="D280" s="78"/>
    </row>
    <row r="281" spans="4:4" ht="15.75" customHeight="1" x14ac:dyDescent="0.25">
      <c r="D281" s="78"/>
    </row>
    <row r="282" spans="4:4" ht="15.75" customHeight="1" x14ac:dyDescent="0.25">
      <c r="D282" s="78"/>
    </row>
    <row r="283" spans="4:4" ht="15.75" customHeight="1" x14ac:dyDescent="0.25">
      <c r="D283" s="78"/>
    </row>
    <row r="284" spans="4:4" ht="15.75" customHeight="1" x14ac:dyDescent="0.25">
      <c r="D284" s="78"/>
    </row>
    <row r="285" spans="4:4" ht="15.75" customHeight="1" x14ac:dyDescent="0.25">
      <c r="D285" s="78"/>
    </row>
    <row r="286" spans="4:4" ht="15.75" customHeight="1" x14ac:dyDescent="0.25">
      <c r="D286" s="78"/>
    </row>
    <row r="287" spans="4:4" ht="15.75" customHeight="1" x14ac:dyDescent="0.25">
      <c r="D287" s="78"/>
    </row>
    <row r="288" spans="4:4" ht="15.75" customHeight="1" x14ac:dyDescent="0.25">
      <c r="D288" s="78"/>
    </row>
    <row r="289" spans="4:4" ht="15.75" customHeight="1" x14ac:dyDescent="0.25">
      <c r="D289" s="78"/>
    </row>
    <row r="290" spans="4:4" ht="15.75" customHeight="1" x14ac:dyDescent="0.25">
      <c r="D290" s="78"/>
    </row>
    <row r="291" spans="4:4" ht="15.75" customHeight="1" x14ac:dyDescent="0.25">
      <c r="D291" s="78"/>
    </row>
    <row r="292" spans="4:4" ht="15.75" customHeight="1" x14ac:dyDescent="0.25">
      <c r="D292" s="78"/>
    </row>
    <row r="293" spans="4:4" ht="15.75" customHeight="1" x14ac:dyDescent="0.2"/>
    <row r="294" spans="4:4" ht="15.75" customHeight="1" x14ac:dyDescent="0.2"/>
    <row r="295" spans="4:4" ht="15.75" customHeight="1" x14ac:dyDescent="0.2"/>
    <row r="296" spans="4:4" ht="15.75" customHeight="1" x14ac:dyDescent="0.2"/>
    <row r="297" spans="4:4" ht="15.75" customHeight="1" x14ac:dyDescent="0.2"/>
    <row r="298" spans="4:4" ht="15.75" customHeight="1" x14ac:dyDescent="0.2"/>
    <row r="299" spans="4:4" ht="15.75" customHeight="1" x14ac:dyDescent="0.2"/>
    <row r="300" spans="4:4" ht="15.75" customHeight="1" x14ac:dyDescent="0.2"/>
    <row r="301" spans="4:4" ht="15.75" customHeight="1" x14ac:dyDescent="0.2"/>
    <row r="302" spans="4:4" ht="15.75" customHeight="1" x14ac:dyDescent="0.2"/>
    <row r="303" spans="4:4" ht="15.75" customHeight="1" x14ac:dyDescent="0.2"/>
    <row r="304" spans="4: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6">
    <mergeCell ref="V86:W86"/>
    <mergeCell ref="H93:T93"/>
    <mergeCell ref="H96:T96"/>
    <mergeCell ref="H97:T97"/>
    <mergeCell ref="J80:T80"/>
    <mergeCell ref="J81:T81"/>
    <mergeCell ref="J82:T82"/>
    <mergeCell ref="J83:T83"/>
    <mergeCell ref="I86:N86"/>
    <mergeCell ref="Q86:T86"/>
    <mergeCell ref="I89:N89"/>
    <mergeCell ref="Q89:T89"/>
    <mergeCell ref="V89:X89"/>
    <mergeCell ref="I90:N90"/>
    <mergeCell ref="Q90:T90"/>
    <mergeCell ref="B77:I77"/>
    <mergeCell ref="C79:E79"/>
    <mergeCell ref="C80:E80"/>
    <mergeCell ref="H80:I80"/>
    <mergeCell ref="C81:E81"/>
    <mergeCell ref="C82:E82"/>
    <mergeCell ref="C86:E86"/>
    <mergeCell ref="A89:B89"/>
    <mergeCell ref="C89:F89"/>
    <mergeCell ref="A90:B90"/>
    <mergeCell ref="C90:F90"/>
    <mergeCell ref="A1:V1"/>
    <mergeCell ref="A2:V2"/>
    <mergeCell ref="A3:V3"/>
    <mergeCell ref="A8:A9"/>
    <mergeCell ref="B8:B9"/>
    <mergeCell ref="D8:D9"/>
    <mergeCell ref="E8:E9"/>
    <mergeCell ref="H8:V8"/>
    <mergeCell ref="F8:F9"/>
    <mergeCell ref="G8:G9"/>
  </mergeCells>
  <pageMargins left="0.7" right="0.7" top="0.75" bottom="0.75" header="0" footer="0"/>
  <pageSetup paperSize="9" fitToHeight="0"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PPMP FRONTIER-NTFIH</vt:lpstr>
      <vt:lpstr>PPMP Sample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ptridost47@gmail.com</dc:creator>
  <cp:lastModifiedBy>ROSE ANN S. ALCANTARA</cp:lastModifiedBy>
  <dcterms:created xsi:type="dcterms:W3CDTF">2024-01-03T07:55:13Z</dcterms:created>
  <dcterms:modified xsi:type="dcterms:W3CDTF">2024-02-02T02:36:16Z</dcterms:modified>
</cp:coreProperties>
</file>