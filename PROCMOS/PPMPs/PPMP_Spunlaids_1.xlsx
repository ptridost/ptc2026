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tainable Meltblown" sheetId="1" r:id="rId4"/>
  </sheets>
  <definedNames/>
  <calcPr/>
  <extLst>
    <ext uri="GoogleSheetsCustomDataVersion2">
      <go:sheetsCustomData xmlns:go="http://customooxmlschemas.google.com/" r:id="rId5" roundtripDataChecksum="N8yjEEbsLu5dVz+9/sL+gQR0Y63dv4yGhiR5+oPhnpY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02">
      <text>
        <t xml:space="preserve">======
ID#AAAA-Xq_zOI
upmnih    (2021-04-08 04:25:07)
Prepared by: Project Staff/ Research Associate</t>
      </text>
    </comment>
    <comment authorId="0" ref="D102">
      <text>
        <t xml:space="preserve">======
ID#AAAA-Xq_zOM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jp5mBEVsJiX4MuLn4CBnnzjybbgA=="/>
    </ext>
  </extLst>
</comments>
</file>

<file path=xl/sharedStrings.xml><?xml version="1.0" encoding="utf-8"?>
<sst xmlns="http://schemas.openxmlformats.org/spreadsheetml/2006/main" count="286" uniqueCount="215">
  <si>
    <t xml:space="preserve">  PROJECT PROCUREMENT MANAGEMENT PLAN (PPMP) 2024</t>
  </si>
  <si>
    <t>For 1st Quarter of CY 2024</t>
  </si>
  <si>
    <t>END-USER/UNIT: RDD-CDABUS</t>
  </si>
  <si>
    <t>Charged to: Sustainable Meltblown Nonwoven Textiles for Mask Filters and Packaging Applications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</si>
  <si>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</si>
  <si>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</si>
  <si>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</si>
  <si>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</si>
  <si>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</si>
  <si>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</si>
  <si>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</si>
  <si>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</si>
  <si>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</si>
  <si>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</si>
  <si>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</si>
  <si>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</si>
  <si>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</si>
  <si>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</si>
  <si>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</si>
  <si>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</si>
  <si>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</si>
  <si>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</si>
  <si>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</si>
  <si>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</si>
  <si>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</si>
  <si>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</si>
  <si>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</si>
  <si>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</si>
  <si>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</si>
  <si>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</si>
  <si>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</si>
  <si>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</si>
  <si>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</si>
  <si>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</si>
  <si>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</si>
  <si>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</si>
  <si>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</si>
  <si>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</si>
  <si>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</si>
  <si>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</si>
  <si>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</si>
  <si>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</si>
  <si>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</si>
  <si>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</si>
  <si>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</si>
  <si>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</si>
  <si>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</si>
  <si>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</si>
  <si>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</si>
  <si>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</si>
  <si>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</si>
  <si>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</si>
  <si>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</si>
  <si>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</si>
  <si>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</si>
  <si>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</si>
  <si>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</si>
  <si>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</si>
  <si>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</si>
  <si>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</si>
  <si>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</si>
  <si>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</si>
  <si>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</si>
  <si>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</si>
  <si>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</si>
  <si>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</si>
  <si>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</si>
  <si>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</si>
  <si>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</si>
  <si>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</si>
  <si>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</si>
  <si>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</si>
  <si>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</si>
  <si>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</si>
  <si>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</si>
  <si>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</si>
  <si>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</si>
  <si>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50213050 14</t>
  </si>
  <si>
    <t>Repair and Maintenance – Technical and Scientific Equipment</t>
  </si>
  <si>
    <t xml:space="preserve">Repair and Maintenance of pre-spinning machine </t>
  </si>
  <si>
    <t>1 lot</t>
  </si>
  <si>
    <t>Negotiated Procurement-Small Value Procurement</t>
  </si>
  <si>
    <t>50203010 02</t>
  </si>
  <si>
    <t>Office Supplies Expenses</t>
  </si>
  <si>
    <t>OS-026</t>
  </si>
  <si>
    <t>5 boxes A4 Bond paper 70 gsm- 5 ream/box</t>
  </si>
  <si>
    <t>Shopping</t>
  </si>
  <si>
    <t>OS-057</t>
  </si>
  <si>
    <t>5 boxes Legal bond paper 70 gsm- 5 ream/box</t>
  </si>
  <si>
    <t>OS-261</t>
  </si>
  <si>
    <t>10 pieces Sticky notes yellow 3 x 3</t>
  </si>
  <si>
    <t>OS-243</t>
  </si>
  <si>
    <t>5 reams Pink paper, Legal size</t>
  </si>
  <si>
    <t>OS-260</t>
  </si>
  <si>
    <t>3 boxes Ballpen</t>
  </si>
  <si>
    <t>Fabric Scissors</t>
  </si>
  <si>
    <t>6 pcs</t>
  </si>
  <si>
    <t>Cash Advance</t>
  </si>
  <si>
    <t>Ribbon</t>
  </si>
  <si>
    <t>1 roll</t>
  </si>
  <si>
    <t>Duct tape (50 x 50 mm)</t>
  </si>
  <si>
    <t>White Board (60cm×90cm)</t>
  </si>
  <si>
    <t>1 pc</t>
  </si>
  <si>
    <t>White Board Marker</t>
  </si>
  <si>
    <t>1 box</t>
  </si>
  <si>
    <t>50203080 00</t>
  </si>
  <si>
    <t>Medical, Dental  Laboratory Supplies Expenses</t>
  </si>
  <si>
    <t>5 pieces Laboratory Gown</t>
  </si>
  <si>
    <t>Negotiated Procurement-Small Value Procurement / Shopping</t>
  </si>
  <si>
    <t>5 pieces Half Facepiece Respirator</t>
  </si>
  <si>
    <t>5 sets Respirator Filter Cartridges</t>
  </si>
  <si>
    <t>6 boxes Disposable Particulate Respirator</t>
  </si>
  <si>
    <t>MDL-250</t>
  </si>
  <si>
    <t>5 pieces  Safety Protective Goggles</t>
  </si>
  <si>
    <t>30 pieces Gloves</t>
  </si>
  <si>
    <t>5 pieces  Nitrile Grip Rubber Protective Work Gloves</t>
  </si>
  <si>
    <t>5 pieces  Silicon Shoe Cover</t>
  </si>
  <si>
    <t>5 pieces   Hair Net</t>
  </si>
  <si>
    <t>MDL-048</t>
  </si>
  <si>
    <t>Homopolymer Polypropylene Resin</t>
  </si>
  <si>
    <t>13 bags</t>
  </si>
  <si>
    <t>4 bags Homopolymer Polypropylene Resin</t>
  </si>
  <si>
    <t>4 sacks PLA (polylactic acid) resin</t>
  </si>
  <si>
    <t>Melt Flow Index (MFI) modifier masterbatch additive</t>
  </si>
  <si>
    <t>4 sacks</t>
  </si>
  <si>
    <t>2 sacks Blue color masterbatch modifier</t>
  </si>
  <si>
    <t>2 sacks Black color masterbatch modifier</t>
  </si>
  <si>
    <t>1 lot Poly(butylene succinate)</t>
  </si>
  <si>
    <t>1 lot Poly(ethylene glycol) 400g/mol</t>
  </si>
  <si>
    <t>1 lot Tributyl acetyl citrate</t>
  </si>
  <si>
    <t>1 lot Polymer antioxidant</t>
  </si>
  <si>
    <t>1 lot Polymer UV stabilizer</t>
  </si>
  <si>
    <t>50203990 00</t>
  </si>
  <si>
    <t>Other Supplies Expenses - Direct Cost</t>
  </si>
  <si>
    <t>Fire Extinguisher</t>
  </si>
  <si>
    <t>3 units</t>
  </si>
  <si>
    <t>Rotary Heater</t>
  </si>
  <si>
    <t>All-in-one Printer</t>
  </si>
  <si>
    <t>2 units</t>
  </si>
  <si>
    <t>25 m Air compressor pneumatic tubing
2 pcs Pneumatic tube fitting</t>
  </si>
  <si>
    <t>Mobile Load Card for Communication</t>
  </si>
  <si>
    <t>50 pcs</t>
  </si>
  <si>
    <t>1 unit Basic Hand Tool Set</t>
  </si>
  <si>
    <t>1 piece Cutter</t>
  </si>
  <si>
    <t>1 piece Philips Screwdriver</t>
  </si>
  <si>
    <t>1 piece Flat Screwdriver</t>
  </si>
  <si>
    <t>1 roll Tape measure</t>
  </si>
  <si>
    <t>1 piece Meter stick</t>
  </si>
  <si>
    <t>1 piece Steel measuring tape</t>
  </si>
  <si>
    <t>1 piece Long Nose Pliers</t>
  </si>
  <si>
    <t>1 piece Wire cutter</t>
  </si>
  <si>
    <t>1 piece Adjustable wrench (10 inch)</t>
  </si>
  <si>
    <t>1 set Allen wrench set</t>
  </si>
  <si>
    <t>3 pieces Paint brush (1 inch, 2 inch, 3 inch)</t>
  </si>
  <si>
    <t>1 box Pnuematic regulator for Meltblowing Air Heater</t>
  </si>
  <si>
    <t>25 meters Air compressor pneumatic tubing</t>
  </si>
  <si>
    <t>1 piece Pneumatic tube fitting</t>
  </si>
  <si>
    <t>Spray Ahesive</t>
  </si>
  <si>
    <t>2 bottles</t>
  </si>
  <si>
    <t>Flower Arrangement</t>
  </si>
  <si>
    <t>1 lot Tarpaulin Printing (8ft x 3ft)</t>
  </si>
  <si>
    <t>5 pieces Sintra Board Printing (8.5in x 13in)</t>
  </si>
  <si>
    <t>1 piece Sintra Board Printing (1ft x 4ft)</t>
  </si>
  <si>
    <t>Other Supplies Expenses - Indirect Cost</t>
  </si>
  <si>
    <t>Laptop</t>
  </si>
  <si>
    <t>1 unit</t>
  </si>
  <si>
    <t>50299030 00</t>
  </si>
  <si>
    <t>Representation Expenses</t>
  </si>
  <si>
    <t>Meals and Snacks for Inagauration of Meltblown Line</t>
  </si>
  <si>
    <t>1 lot (30 pax)</t>
  </si>
  <si>
    <t>50211990 00</t>
  </si>
  <si>
    <t>Other Professional Services</t>
  </si>
  <si>
    <t>Customized Polo Shirt with Logo Embroidery</t>
  </si>
  <si>
    <t>20 pcs</t>
  </si>
  <si>
    <t>Flammability  (medtex)</t>
  </si>
  <si>
    <t>16 samples</t>
  </si>
  <si>
    <t>Negotiated Procurement-Small Value Procurement / Agency-to-Agency</t>
  </si>
  <si>
    <t>Air Permeability</t>
  </si>
  <si>
    <t>Thickness</t>
  </si>
  <si>
    <t>Weight/Mass Per Unit Area</t>
  </si>
  <si>
    <t>Softness/Stiffness</t>
  </si>
  <si>
    <t>Abrasion Resistance</t>
  </si>
  <si>
    <t>Tensile Grab Strength (Breaking Strength (Grab))</t>
  </si>
  <si>
    <t>Tearing Strength (Tongue)</t>
  </si>
  <si>
    <t>Water Absorption/Absorbency</t>
  </si>
  <si>
    <t>Differential Pressure</t>
  </si>
  <si>
    <t>11 samples</t>
  </si>
  <si>
    <t>Particle Filtration Efficiency - NaCl</t>
  </si>
  <si>
    <t>Bacterial Filtration Efficiency</t>
  </si>
  <si>
    <t>Synthetic Blood Penetration Resistance</t>
  </si>
  <si>
    <t>12 samples</t>
  </si>
  <si>
    <t>Water Pressure: Hydrostatic Pressure</t>
  </si>
  <si>
    <t>Molecular Weight -GPC</t>
  </si>
  <si>
    <t>DSC</t>
  </si>
  <si>
    <t>TGA</t>
  </si>
  <si>
    <t>SEM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</si>
  <si>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</si>
  <si>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</si>
  <si>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</si>
  <si>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</si>
  <si>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</si>
  <si>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</si>
  <si>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</si>
  <si>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</si>
  <si>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</si>
  <si>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AUDRIC ZURIEL C. CRUZ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</si>
  <si>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</si>
  <si>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</si>
  <si>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</si>
  <si>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</si>
  <si>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</si>
  <si>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</si>
  <si>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</si>
  <si>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15 January 2024</t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</si>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</sst>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9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  <scheme val="minor"/>
    </font>
    <font>
      <sz val="9.0"/>
      <color rgb="FF222222"/>
      <name val="Arial"/>
    </font>
    <font>
      <sz val="9.0"/>
      <color rgb="FF000000"/>
      <name val="Arial"/>
    </font>
    <font>
      <b/>
      <u/>
      <sz val="9.0"/>
      <color theme="1"/>
      <name val="Arial"/>
    </font>
    <font>
      <sz val="10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quotePrefix="1" borderId="9" fillId="0" fontId="6" numFmtId="0" xfId="0" applyAlignment="1" applyBorder="1" applyFont="1">
      <alignment horizontal="center" shrinkToFit="0" vertical="bottom" wrapText="1"/>
    </xf>
    <xf quotePrefix="1" borderId="10" fillId="0" fontId="6" numFmtId="0" xfId="0" applyAlignment="1" applyBorder="1" applyFont="1">
      <alignment horizontal="center" shrinkToFit="0" vertical="bottom" wrapText="1"/>
    </xf>
    <xf quotePrefix="1" borderId="10" fillId="0" fontId="6" numFmtId="4" xfId="0" applyAlignment="1" applyBorder="1" applyFont="1" applyNumberFormat="1">
      <alignment horizontal="center" shrinkToFit="0" vertical="bottom" wrapText="1"/>
    </xf>
    <xf quotePrefix="1" borderId="10" fillId="0" fontId="6" numFmtId="164" xfId="0" applyAlignment="1" applyBorder="1" applyFont="1" applyNumberFormat="1">
      <alignment horizontal="center" shrinkToFit="0" vertical="bottom" wrapText="1"/>
    </xf>
    <xf quotePrefix="1" borderId="11" fillId="0" fontId="6" numFmtId="0" xfId="0" applyAlignment="1" applyBorder="1" applyFont="1">
      <alignment horizontal="center" shrinkToFit="0" vertical="bottom" wrapText="1"/>
    </xf>
    <xf borderId="0" fillId="0" fontId="8" numFmtId="0" xfId="0" applyFont="1"/>
    <xf borderId="12" fillId="2" fontId="6" numFmtId="0" xfId="0" applyAlignment="1" applyBorder="1" applyFill="1" applyFont="1">
      <alignment horizontal="center" readingOrder="0" shrinkToFit="0" vertical="center" wrapText="1"/>
    </xf>
    <xf borderId="12" fillId="2" fontId="6" numFmtId="0" xfId="0" applyAlignment="1" applyBorder="1" applyFont="1">
      <alignment horizontal="left" shrinkToFit="0" vertical="center" wrapText="1"/>
    </xf>
    <xf borderId="12" fillId="2" fontId="6" numFmtId="0" xfId="0" applyAlignment="1" applyBorder="1" applyFont="1">
      <alignment horizontal="left" readingOrder="0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2" fillId="2" fontId="6" numFmtId="4" xfId="0" applyAlignment="1" applyBorder="1" applyFont="1" applyNumberFormat="1">
      <alignment horizontal="right" shrinkToFit="0" vertical="center" wrapText="1"/>
    </xf>
    <xf borderId="12" fillId="2" fontId="6" numFmtId="164" xfId="0" applyAlignment="1" applyBorder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3" fontId="8" numFmtId="0" xfId="0" applyAlignment="1" applyBorder="1" applyFill="1" applyFont="1">
      <alignment horizontal="left" shrinkToFit="0" vertical="center" wrapText="1"/>
    </xf>
    <xf borderId="12" fillId="3" fontId="8" numFmtId="0" xfId="0" applyAlignment="1" applyBorder="1" applyFont="1">
      <alignment horizontal="center" shrinkToFit="0" vertical="center" wrapText="1"/>
    </xf>
    <xf borderId="12" fillId="3" fontId="8" numFmtId="4" xfId="0" applyAlignment="1" applyBorder="1" applyFont="1" applyNumberFormat="1">
      <alignment horizontal="right" shrinkToFit="0" vertical="center" wrapText="1"/>
    </xf>
    <xf borderId="12" fillId="0" fontId="8" numFmtId="164" xfId="0" applyAlignment="1" applyBorder="1" applyFont="1" applyNumberFormat="1">
      <alignment horizontal="center" shrinkToFit="0" vertical="center" wrapText="1"/>
    </xf>
    <xf borderId="12" fillId="3" fontId="8" numFmtId="0" xfId="0" applyAlignment="1" applyBorder="1" applyFont="1">
      <alignment horizontal="center" readingOrder="0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2" fillId="0" fontId="10" numFmtId="49" xfId="0" applyAlignment="1" applyBorder="1" applyFont="1" applyNumberFormat="1">
      <alignment horizontal="center" readingOrder="0" shrinkToFit="0" vertical="center" wrapText="1"/>
    </xf>
    <xf borderId="12" fillId="0" fontId="10" numFmtId="49" xfId="0" applyAlignment="1" applyBorder="1" applyFont="1" applyNumberFormat="1">
      <alignment readingOrder="0" shrinkToFit="0" vertical="bottom" wrapText="1"/>
    </xf>
    <xf borderId="13" fillId="0" fontId="8" numFmtId="0" xfId="0" applyAlignment="1" applyBorder="1" applyFont="1">
      <alignment horizontal="center" readingOrder="0" shrinkToFit="0" vertical="center" wrapText="1"/>
    </xf>
    <xf borderId="12" fillId="0" fontId="8" numFmtId="4" xfId="0" applyAlignment="1" applyBorder="1" applyFont="1" applyNumberFormat="1">
      <alignment horizontal="right" shrinkToFit="0" vertical="center" wrapText="1"/>
    </xf>
    <xf borderId="13" fillId="0" fontId="8" numFmtId="164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2" fillId="0" fontId="8" numFmtId="0" xfId="0" applyBorder="1" applyFont="1"/>
    <xf borderId="12" fillId="0" fontId="8" numFmtId="0" xfId="0" applyAlignment="1" applyBorder="1" applyFont="1">
      <alignment horizontal="center"/>
    </xf>
    <xf borderId="12" fillId="0" fontId="8" numFmtId="49" xfId="0" applyAlignment="1" applyBorder="1" applyFont="1" applyNumberFormat="1">
      <alignment horizontal="center" readingOrder="0" shrinkToFit="0" vertical="center" wrapText="1"/>
    </xf>
    <xf borderId="12" fillId="0" fontId="8" numFmtId="49" xfId="0" applyAlignment="1" applyBorder="1" applyFont="1" applyNumberFormat="1">
      <alignment readingOrder="0" shrinkToFit="0" vertical="bottom" wrapText="1"/>
    </xf>
    <xf borderId="9" fillId="0" fontId="7" numFmtId="0" xfId="0" applyBorder="1" applyFont="1"/>
    <xf borderId="12" fillId="0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readingOrder="0"/>
    </xf>
    <xf borderId="14" fillId="0" fontId="7" numFmtId="0" xfId="0" applyBorder="1" applyFont="1"/>
    <xf borderId="12" fillId="0" fontId="8" numFmtId="49" xfId="0" applyAlignment="1" applyBorder="1" applyFont="1" applyNumberFormat="1">
      <alignment horizontal="center" vertical="center"/>
    </xf>
    <xf borderId="12" fillId="0" fontId="8" numFmtId="49" xfId="0" applyAlignment="1" applyBorder="1" applyFont="1" applyNumberFormat="1">
      <alignment readingOrder="0"/>
    </xf>
    <xf borderId="12" fillId="0" fontId="8" numFmtId="0" xfId="0" applyAlignment="1" applyBorder="1" applyFont="1">
      <alignment horizontal="center" readingOrder="0" shrinkToFit="0" vertical="center" wrapText="1"/>
    </xf>
    <xf borderId="12" fillId="0" fontId="8" numFmtId="4" xfId="0" applyAlignment="1" applyBorder="1" applyFont="1" applyNumberFormat="1">
      <alignment horizontal="right" readingOrder="0" shrinkToFit="0" vertical="center" wrapText="1"/>
    </xf>
    <xf borderId="12" fillId="0" fontId="8" numFmtId="164" xfId="0" applyAlignment="1" applyBorder="1" applyFont="1" applyNumberForma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/>
    </xf>
    <xf borderId="12" fillId="2" fontId="6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left" readingOrder="0" vertical="center"/>
    </xf>
    <xf borderId="12" fillId="2" fontId="8" numFmtId="0" xfId="0" applyBorder="1" applyFont="1"/>
    <xf borderId="12" fillId="2" fontId="8" numFmtId="4" xfId="0" applyAlignment="1" applyBorder="1" applyFont="1" applyNumberFormat="1">
      <alignment horizontal="right"/>
    </xf>
    <xf borderId="12" fillId="2" fontId="8" numFmtId="0" xfId="0" applyAlignment="1" applyBorder="1" applyFont="1">
      <alignment horizontal="center" shrinkToFit="0" vertical="center" wrapText="1"/>
    </xf>
    <xf borderId="12" fillId="0" fontId="8" numFmtId="49" xfId="0" applyAlignment="1" applyBorder="1" applyFont="1" applyNumberFormat="1">
      <alignment horizontal="center" shrinkToFit="0" vertical="center" wrapText="1"/>
    </xf>
    <xf borderId="12" fillId="4" fontId="8" numFmtId="49" xfId="0" applyAlignment="1" applyBorder="1" applyFill="1" applyFont="1" applyNumberFormat="1">
      <alignment horizontal="center" vertical="center"/>
    </xf>
    <xf borderId="12" fillId="4" fontId="8" numFmtId="49" xfId="0" applyAlignment="1" applyBorder="1" applyFont="1" applyNumberFormat="1">
      <alignment readingOrder="0" vertical="bottom"/>
    </xf>
    <xf borderId="12" fillId="4" fontId="10" numFmtId="0" xfId="0" applyAlignment="1" applyBorder="1" applyFont="1">
      <alignment horizontal="center" vertical="center"/>
    </xf>
    <xf borderId="12" fillId="4" fontId="10" numFmtId="0" xfId="0" applyAlignment="1" applyBorder="1" applyFont="1">
      <alignment horizontal="left" readingOrder="0"/>
    </xf>
    <xf borderId="12" fillId="0" fontId="8" numFmtId="0" xfId="0" applyAlignment="1" applyBorder="1" applyFont="1">
      <alignment horizontal="center" readingOrder="0" shrinkToFit="0" vertical="center" wrapText="0"/>
    </xf>
    <xf borderId="12" fillId="0" fontId="8" numFmtId="0" xfId="0" applyAlignment="1" applyBorder="1" applyFont="1">
      <alignment readingOrder="0" shrinkToFit="0" vertical="bottom" wrapText="0"/>
    </xf>
    <xf borderId="12" fillId="4" fontId="11" numFmtId="49" xfId="0" applyAlignment="1" applyBorder="1" applyFont="1" applyNumberFormat="1">
      <alignment horizontal="center" vertical="center"/>
    </xf>
    <xf borderId="12" fillId="4" fontId="11" numFmtId="49" xfId="0" applyAlignment="1" applyBorder="1" applyFont="1" applyNumberFormat="1">
      <alignment horizontal="left" readingOrder="0"/>
    </xf>
    <xf borderId="12" fillId="4" fontId="10" numFmtId="49" xfId="0" applyAlignment="1" applyBorder="1" applyFont="1" applyNumberFormat="1">
      <alignment horizontal="center" readingOrder="0" vertical="center"/>
    </xf>
    <xf borderId="12" fillId="4" fontId="10" numFmtId="49" xfId="0" applyAlignment="1" applyBorder="1" applyFont="1" applyNumberFormat="1">
      <alignment horizontal="left"/>
    </xf>
    <xf borderId="12" fillId="0" fontId="8" numFmtId="0" xfId="0" applyAlignment="1" applyBorder="1" applyFont="1">
      <alignment horizontal="center" shrinkToFit="0" vertical="center" wrapText="1"/>
    </xf>
    <xf borderId="12" fillId="4" fontId="10" numFmtId="49" xfId="0" applyAlignment="1" applyBorder="1" applyFont="1" applyNumberFormat="1">
      <alignment horizontal="left" readingOrder="0"/>
    </xf>
    <xf borderId="12" fillId="4" fontId="11" numFmtId="49" xfId="0" applyAlignment="1" applyBorder="1" applyFont="1" applyNumberFormat="1">
      <alignment horizontal="left"/>
    </xf>
    <xf borderId="12" fillId="0" fontId="8" numFmtId="0" xfId="0" applyAlignment="1" applyBorder="1" applyFont="1">
      <alignment horizontal="left" readingOrder="0" shrinkToFit="0" vertical="center" wrapText="1"/>
    </xf>
    <xf borderId="12" fillId="0" fontId="8" numFmtId="4" xfId="0" applyAlignment="1" applyBorder="1" applyFont="1" applyNumberFormat="1">
      <alignment horizontal="right" readingOrder="0"/>
    </xf>
    <xf borderId="12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left" readingOrder="0" vertical="center"/>
    </xf>
    <xf borderId="12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vertical="center"/>
    </xf>
    <xf borderId="12" fillId="0" fontId="8" numFmtId="4" xfId="0" applyAlignment="1" applyBorder="1" applyFont="1" applyNumberFormat="1">
      <alignment readingOrder="0"/>
    </xf>
    <xf borderId="13" fillId="0" fontId="8" numFmtId="0" xfId="0" applyAlignment="1" applyBorder="1" applyFont="1">
      <alignment horizontal="center" readingOrder="0" vertical="center"/>
    </xf>
    <xf borderId="13" fillId="0" fontId="8" numFmtId="4" xfId="0" applyAlignment="1" applyBorder="1" applyFont="1" applyNumberFormat="1">
      <alignment readingOrder="0" vertical="center"/>
    </xf>
    <xf borderId="12" fillId="2" fontId="8" numFmtId="0" xfId="0" applyAlignment="1" applyBorder="1" applyFont="1">
      <alignment horizontal="center"/>
    </xf>
    <xf borderId="12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readingOrder="0" vertical="bottom"/>
    </xf>
    <xf borderId="12" fillId="4" fontId="11" numFmtId="0" xfId="0" applyAlignment="1" applyBorder="1" applyFont="1">
      <alignment horizontal="center" readingOrder="0"/>
    </xf>
    <xf borderId="12" fillId="0" fontId="8" numFmtId="0" xfId="0" applyAlignment="1" applyBorder="1" applyFont="1">
      <alignment readingOrder="0" shrinkToFit="0" vertical="bottom" wrapText="1"/>
    </xf>
    <xf borderId="12" fillId="0" fontId="6" numFmtId="0" xfId="0" applyAlignment="1" applyBorder="1" applyFont="1">
      <alignment vertical="center"/>
    </xf>
    <xf borderId="12" fillId="0" fontId="8" numFmtId="0" xfId="0" applyAlignment="1" applyBorder="1" applyFont="1">
      <alignment readingOrder="0" vertical="center"/>
    </xf>
    <xf borderId="12" fillId="0" fontId="8" numFmtId="164" xfId="0" applyAlignment="1" applyBorder="1" applyFont="1" applyNumberFormat="1">
      <alignment readingOrder="0"/>
    </xf>
    <xf borderId="12" fillId="0" fontId="8" numFmtId="0" xfId="0" applyAlignment="1" applyBorder="1" applyFont="1">
      <alignment horizontal="center" readingOrder="0" shrinkToFit="0" wrapText="1"/>
    </xf>
    <xf borderId="12" fillId="0" fontId="8" numFmtId="0" xfId="0" applyAlignment="1" applyBorder="1" applyFont="1">
      <alignment horizontal="center" shrinkToFit="0" wrapText="1"/>
    </xf>
    <xf borderId="0" fillId="0" fontId="12" numFmtId="0" xfId="0" applyAlignment="1" applyFont="1">
      <alignment readingOrder="0" vertical="center"/>
    </xf>
    <xf borderId="15" fillId="0" fontId="1" numFmtId="165" xfId="0" applyAlignment="1" applyBorder="1" applyFont="1" applyNumberFormat="1">
      <alignment horizontal="right"/>
    </xf>
    <xf borderId="15" fillId="0" fontId="7" numFmtId="0" xfId="0" applyBorder="1" applyFont="1"/>
    <xf borderId="14" fillId="0" fontId="6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6" fillId="0" fontId="1" numFmtId="164" xfId="0" applyAlignment="1" applyBorder="1" applyFont="1" applyNumberFormat="1">
      <alignment horizontal="center"/>
    </xf>
    <xf borderId="17" fillId="0" fontId="7" numFmtId="0" xfId="0" applyBorder="1" applyFont="1"/>
    <xf borderId="10" fillId="0" fontId="7" numFmtId="0" xfId="0" applyBorder="1" applyFont="1"/>
    <xf borderId="0" fillId="0" fontId="8" numFmtId="0" xfId="0" applyAlignment="1" applyFont="1">
      <alignment horizontal="left"/>
    </xf>
    <xf borderId="12" fillId="0" fontId="2" numFmtId="0" xfId="0" applyAlignment="1" applyBorder="1" applyFont="1">
      <alignment vertical="center"/>
    </xf>
    <xf borderId="18" fillId="0" fontId="1" numFmtId="164" xfId="0" applyAlignment="1" applyBorder="1" applyFont="1" applyNumberFormat="1">
      <alignment horizontal="center"/>
    </xf>
    <xf borderId="19" fillId="0" fontId="7" numFmtId="0" xfId="0" applyBorder="1" applyFont="1"/>
    <xf borderId="20" fillId="0" fontId="7" numFmtId="0" xfId="0" applyBorder="1" applyFont="1"/>
    <xf borderId="0" fillId="0" fontId="13" numFmtId="0" xfId="0" applyFont="1"/>
    <xf borderId="0" fillId="0" fontId="13" numFmtId="164" xfId="0" applyAlignment="1" applyFont="1" applyNumberFormat="1">
      <alignment horizont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7" numFmtId="0" xfId="0" applyAlignment="1" applyFont="1">
      <alignment shrinkToFit="0" vertical="bottom" wrapText="1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6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2" numFmtId="0" xfId="0" applyAlignment="1" applyFont="1">
      <alignment shrinkToFit="0" vertical="bottom" wrapText="0"/>
    </xf>
    <xf borderId="0" fillId="0" fontId="18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6.13"/>
    <col customWidth="1" min="3" max="3" width="51.75"/>
    <col customWidth="1" min="4" max="4" width="11.63"/>
    <col customWidth="1" min="5" max="5" width="10.13"/>
    <col customWidth="1" min="6" max="6" width="11.25"/>
    <col customWidth="1" min="7" max="7" width="35.13"/>
    <col customWidth="1" min="8" max="8" width="10.38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5" t="s">
        <v>3</v>
      </c>
      <c r="B6" s="6"/>
      <c r="C6" s="6"/>
      <c r="D6" s="2"/>
      <c r="E6" s="9"/>
      <c r="F6" s="10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8" t="s">
        <v>4</v>
      </c>
      <c r="B7" s="6"/>
      <c r="C7" s="6"/>
      <c r="D7" s="2"/>
      <c r="E7" s="9"/>
      <c r="F7" s="10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ht="22.5" customHeight="1">
      <c r="A8" s="12" t="s">
        <v>5</v>
      </c>
      <c r="B8" s="13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3" t="s">
        <v>11</v>
      </c>
      <c r="H8" s="13" t="s">
        <v>12</v>
      </c>
      <c r="I8" s="17" t="s">
        <v>13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9"/>
      <c r="AJ8" s="20"/>
      <c r="AK8" s="20"/>
      <c r="AL8" s="21"/>
      <c r="AM8" s="21"/>
    </row>
    <row r="9">
      <c r="A9" s="22"/>
      <c r="B9" s="23"/>
      <c r="C9" s="23"/>
      <c r="D9" s="24" t="s">
        <v>14</v>
      </c>
      <c r="E9" s="23"/>
      <c r="F9" s="23"/>
      <c r="G9" s="23"/>
      <c r="H9" s="23"/>
      <c r="I9" s="24" t="s">
        <v>15</v>
      </c>
      <c r="J9" s="24" t="s">
        <v>16</v>
      </c>
      <c r="K9" s="24" t="s">
        <v>17</v>
      </c>
      <c r="L9" s="25" t="s">
        <v>18</v>
      </c>
      <c r="M9" s="25" t="s">
        <v>19</v>
      </c>
      <c r="N9" s="24" t="s">
        <v>20</v>
      </c>
      <c r="O9" s="24" t="s">
        <v>21</v>
      </c>
      <c r="P9" s="24" t="s">
        <v>22</v>
      </c>
      <c r="Q9" s="24" t="s">
        <v>23</v>
      </c>
      <c r="R9" s="24" t="s">
        <v>24</v>
      </c>
      <c r="S9" s="24" t="s">
        <v>25</v>
      </c>
      <c r="T9" s="24" t="s">
        <v>26</v>
      </c>
      <c r="U9" s="24" t="s">
        <v>27</v>
      </c>
      <c r="V9" s="24" t="s">
        <v>28</v>
      </c>
      <c r="W9" s="24" t="s">
        <v>29</v>
      </c>
      <c r="X9" s="24" t="s">
        <v>30</v>
      </c>
      <c r="Y9" s="24" t="s">
        <v>31</v>
      </c>
      <c r="Z9" s="24" t="s">
        <v>32</v>
      </c>
      <c r="AA9" s="24" t="s">
        <v>33</v>
      </c>
      <c r="AB9" s="24" t="s">
        <v>34</v>
      </c>
      <c r="AC9" s="24" t="s">
        <v>35</v>
      </c>
      <c r="AD9" s="24" t="s">
        <v>36</v>
      </c>
      <c r="AE9" s="24" t="s">
        <v>37</v>
      </c>
      <c r="AF9" s="24" t="s">
        <v>38</v>
      </c>
      <c r="AG9" s="24" t="s">
        <v>39</v>
      </c>
      <c r="AH9" s="24" t="s">
        <v>40</v>
      </c>
      <c r="AI9" s="26" t="s">
        <v>41</v>
      </c>
      <c r="AJ9" s="20"/>
      <c r="AK9" s="20"/>
      <c r="AL9" s="21"/>
      <c r="AM9" s="21"/>
    </row>
    <row r="10">
      <c r="A10" s="27" t="s">
        <v>42</v>
      </c>
      <c r="B10" s="28" t="s">
        <v>43</v>
      </c>
      <c r="C10" s="28" t="s">
        <v>44</v>
      </c>
      <c r="D10" s="28" t="s">
        <v>45</v>
      </c>
      <c r="E10" s="29" t="s">
        <v>46</v>
      </c>
      <c r="F10" s="30" t="s">
        <v>47</v>
      </c>
      <c r="G10" s="28" t="s">
        <v>48</v>
      </c>
      <c r="H10" s="28" t="s">
        <v>49</v>
      </c>
      <c r="I10" s="28" t="s">
        <v>50</v>
      </c>
      <c r="J10" s="28" t="s">
        <v>51</v>
      </c>
      <c r="K10" s="28" t="s">
        <v>52</v>
      </c>
      <c r="L10" s="28" t="s">
        <v>53</v>
      </c>
      <c r="M10" s="28" t="s">
        <v>54</v>
      </c>
      <c r="N10" s="28" t="s">
        <v>55</v>
      </c>
      <c r="O10" s="28" t="s">
        <v>56</v>
      </c>
      <c r="P10" s="28" t="s">
        <v>57</v>
      </c>
      <c r="Q10" s="28" t="s">
        <v>58</v>
      </c>
      <c r="R10" s="28" t="s">
        <v>59</v>
      </c>
      <c r="S10" s="28" t="s">
        <v>60</v>
      </c>
      <c r="T10" s="28" t="s">
        <v>61</v>
      </c>
      <c r="U10" s="28" t="s">
        <v>62</v>
      </c>
      <c r="V10" s="28" t="s">
        <v>63</v>
      </c>
      <c r="W10" s="28" t="s">
        <v>64</v>
      </c>
      <c r="X10" s="28" t="s">
        <v>65</v>
      </c>
      <c r="Y10" s="28" t="s">
        <v>66</v>
      </c>
      <c r="Z10" s="28" t="s">
        <v>67</v>
      </c>
      <c r="AA10" s="28" t="s">
        <v>68</v>
      </c>
      <c r="AB10" s="28" t="s">
        <v>69</v>
      </c>
      <c r="AC10" s="28" t="s">
        <v>70</v>
      </c>
      <c r="AD10" s="28" t="s">
        <v>71</v>
      </c>
      <c r="AE10" s="28" t="s">
        <v>72</v>
      </c>
      <c r="AF10" s="28" t="s">
        <v>73</v>
      </c>
      <c r="AG10" s="28" t="s">
        <v>74</v>
      </c>
      <c r="AH10" s="28" t="s">
        <v>75</v>
      </c>
      <c r="AI10" s="31" t="s">
        <v>76</v>
      </c>
      <c r="AJ10" s="32"/>
      <c r="AK10" s="32"/>
    </row>
    <row r="11">
      <c r="A11" s="33" t="s">
        <v>77</v>
      </c>
      <c r="B11" s="34"/>
      <c r="C11" s="35" t="s">
        <v>78</v>
      </c>
      <c r="D11" s="36"/>
      <c r="E11" s="37"/>
      <c r="F11" s="38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2"/>
      <c r="AK11" s="32"/>
    </row>
    <row r="12">
      <c r="A12" s="39"/>
      <c r="B12" s="40"/>
      <c r="C12" s="40" t="s">
        <v>79</v>
      </c>
      <c r="D12" s="41" t="s">
        <v>80</v>
      </c>
      <c r="E12" s="42">
        <v>900000.0</v>
      </c>
      <c r="F12" s="43">
        <v>900000.0</v>
      </c>
      <c r="G12" s="44" t="s">
        <v>81</v>
      </c>
      <c r="H12" s="45"/>
      <c r="I12" s="41">
        <v>1.0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32"/>
      <c r="AK12" s="32"/>
    </row>
    <row r="13">
      <c r="A13" s="33" t="s">
        <v>82</v>
      </c>
      <c r="B13" s="34"/>
      <c r="C13" s="35" t="s">
        <v>83</v>
      </c>
      <c r="D13" s="36"/>
      <c r="E13" s="37"/>
      <c r="F13" s="38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2"/>
      <c r="AK13" s="32"/>
    </row>
    <row r="14" ht="15.75" customHeight="1">
      <c r="A14" s="39"/>
      <c r="B14" s="46" t="s">
        <v>84</v>
      </c>
      <c r="C14" s="47" t="s">
        <v>85</v>
      </c>
      <c r="D14" s="48" t="s">
        <v>80</v>
      </c>
      <c r="E14" s="49">
        <v>2000.0</v>
      </c>
      <c r="F14" s="50">
        <v>14350.0</v>
      </c>
      <c r="G14" s="51" t="s">
        <v>86</v>
      </c>
      <c r="H14" s="52"/>
      <c r="I14" s="53">
        <v>5.0</v>
      </c>
      <c r="J14" s="53"/>
      <c r="K14" s="53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32"/>
      <c r="AK14" s="32"/>
    </row>
    <row r="15" ht="15.75" customHeight="1">
      <c r="A15" s="39"/>
      <c r="B15" s="54" t="s">
        <v>87</v>
      </c>
      <c r="C15" s="55" t="s">
        <v>88</v>
      </c>
      <c r="D15" s="56"/>
      <c r="E15" s="49">
        <v>2000.0</v>
      </c>
      <c r="F15" s="56"/>
      <c r="G15" s="56"/>
      <c r="H15" s="52"/>
      <c r="I15" s="53">
        <v>5.0</v>
      </c>
      <c r="J15" s="53"/>
      <c r="K15" s="53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32"/>
      <c r="AK15" s="32"/>
    </row>
    <row r="16" ht="15.75" customHeight="1">
      <c r="A16" s="39"/>
      <c r="B16" s="54" t="s">
        <v>89</v>
      </c>
      <c r="C16" s="55" t="s">
        <v>90</v>
      </c>
      <c r="D16" s="56"/>
      <c r="E16" s="49">
        <v>80.0</v>
      </c>
      <c r="F16" s="56"/>
      <c r="G16" s="56"/>
      <c r="H16" s="52"/>
      <c r="I16" s="53">
        <v>10.0</v>
      </c>
      <c r="J16" s="53"/>
      <c r="K16" s="53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32"/>
      <c r="AK16" s="32"/>
    </row>
    <row r="17" ht="15.75" customHeight="1">
      <c r="A17" s="39"/>
      <c r="B17" s="54" t="s">
        <v>91</v>
      </c>
      <c r="C17" s="55" t="s">
        <v>92</v>
      </c>
      <c r="D17" s="56"/>
      <c r="E17" s="49">
        <v>650.0</v>
      </c>
      <c r="F17" s="56"/>
      <c r="G17" s="56"/>
      <c r="H17" s="52"/>
      <c r="I17" s="53">
        <v>5.0</v>
      </c>
      <c r="J17" s="53"/>
      <c r="K17" s="53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32"/>
      <c r="AK17" s="32"/>
    </row>
    <row r="18" ht="15.75" customHeight="1">
      <c r="A18" s="39"/>
      <c r="B18" s="57" t="s">
        <v>93</v>
      </c>
      <c r="C18" s="58" t="s">
        <v>94</v>
      </c>
      <c r="D18" s="59"/>
      <c r="E18" s="49">
        <v>100.0</v>
      </c>
      <c r="F18" s="59"/>
      <c r="G18" s="59"/>
      <c r="H18" s="52"/>
      <c r="I18" s="53">
        <v>3.0</v>
      </c>
      <c r="J18" s="53"/>
      <c r="K18" s="53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32"/>
      <c r="AK18" s="32"/>
    </row>
    <row r="19" ht="15.75" customHeight="1">
      <c r="A19" s="39"/>
      <c r="B19" s="60"/>
      <c r="C19" s="61" t="s">
        <v>95</v>
      </c>
      <c r="D19" s="62" t="s">
        <v>96</v>
      </c>
      <c r="E19" s="63">
        <v>330.0</v>
      </c>
      <c r="F19" s="64">
        <v>1980.0</v>
      </c>
      <c r="G19" s="62" t="s">
        <v>97</v>
      </c>
      <c r="H19" s="52"/>
      <c r="I19" s="65">
        <v>6.0</v>
      </c>
      <c r="J19" s="53"/>
      <c r="K19" s="53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32"/>
      <c r="AK19" s="32"/>
    </row>
    <row r="20" ht="15.75" customHeight="1">
      <c r="A20" s="39"/>
      <c r="B20" s="60"/>
      <c r="C20" s="61" t="s">
        <v>98</v>
      </c>
      <c r="D20" s="62" t="s">
        <v>99</v>
      </c>
      <c r="E20" s="63">
        <v>500.0</v>
      </c>
      <c r="F20" s="64">
        <v>500.0</v>
      </c>
      <c r="G20" s="62" t="s">
        <v>97</v>
      </c>
      <c r="H20" s="52"/>
      <c r="I20" s="65">
        <v>1.0</v>
      </c>
      <c r="J20" s="53"/>
      <c r="K20" s="53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32"/>
      <c r="AK20" s="32"/>
    </row>
    <row r="21" ht="15.75" customHeight="1">
      <c r="A21" s="39"/>
      <c r="B21" s="60"/>
      <c r="C21" s="61" t="s">
        <v>100</v>
      </c>
      <c r="D21" s="62" t="s">
        <v>99</v>
      </c>
      <c r="E21" s="63">
        <v>1100.0</v>
      </c>
      <c r="F21" s="64">
        <v>1100.0</v>
      </c>
      <c r="G21" s="62" t="s">
        <v>97</v>
      </c>
      <c r="H21" s="52"/>
      <c r="I21" s="65">
        <v>1.0</v>
      </c>
      <c r="J21" s="53"/>
      <c r="K21" s="53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32"/>
      <c r="AK21" s="32"/>
    </row>
    <row r="22" ht="15.75" customHeight="1">
      <c r="A22" s="39"/>
      <c r="B22" s="60"/>
      <c r="C22" s="61" t="s">
        <v>101</v>
      </c>
      <c r="D22" s="62" t="s">
        <v>102</v>
      </c>
      <c r="E22" s="63">
        <v>650.0</v>
      </c>
      <c r="F22" s="64">
        <v>650.0</v>
      </c>
      <c r="G22" s="62" t="s">
        <v>97</v>
      </c>
      <c r="H22" s="52"/>
      <c r="I22" s="53"/>
      <c r="J22" s="65">
        <v>1.0</v>
      </c>
      <c r="K22" s="53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32"/>
      <c r="AK22" s="32"/>
    </row>
    <row r="23" ht="15.75" customHeight="1">
      <c r="A23" s="39"/>
      <c r="B23" s="60"/>
      <c r="C23" s="61" t="s">
        <v>103</v>
      </c>
      <c r="D23" s="62" t="s">
        <v>104</v>
      </c>
      <c r="E23" s="63">
        <v>800.0</v>
      </c>
      <c r="F23" s="64">
        <v>800.0</v>
      </c>
      <c r="G23" s="62" t="s">
        <v>97</v>
      </c>
      <c r="H23" s="52"/>
      <c r="I23" s="53"/>
      <c r="J23" s="65">
        <v>1.0</v>
      </c>
      <c r="K23" s="53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32"/>
      <c r="AK23" s="32"/>
    </row>
    <row r="24" ht="15.75" customHeight="1">
      <c r="A24" s="33" t="s">
        <v>105</v>
      </c>
      <c r="B24" s="66"/>
      <c r="C24" s="67" t="s">
        <v>106</v>
      </c>
      <c r="D24" s="68"/>
      <c r="E24" s="69"/>
      <c r="F24" s="68"/>
      <c r="G24" s="70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32"/>
      <c r="AK24" s="32"/>
      <c r="AL24" s="2"/>
      <c r="AM24" s="2"/>
    </row>
    <row r="25" ht="15.75" customHeight="1">
      <c r="A25" s="39"/>
      <c r="B25" s="60"/>
      <c r="C25" s="61" t="s">
        <v>107</v>
      </c>
      <c r="D25" s="48" t="s">
        <v>80</v>
      </c>
      <c r="E25" s="49">
        <v>1000.0</v>
      </c>
      <c r="F25" s="50">
        <v>86500.0</v>
      </c>
      <c r="G25" s="48" t="s">
        <v>108</v>
      </c>
      <c r="H25" s="52"/>
      <c r="I25" s="53">
        <v>5.0</v>
      </c>
      <c r="J25" s="53"/>
      <c r="K25" s="53"/>
      <c r="L25" s="53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32"/>
      <c r="AK25" s="32"/>
      <c r="AL25" s="2"/>
      <c r="AM25" s="2"/>
    </row>
    <row r="26" ht="15.75" customHeight="1">
      <c r="A26" s="39"/>
      <c r="B26" s="71"/>
      <c r="C26" s="55" t="s">
        <v>109</v>
      </c>
      <c r="D26" s="56"/>
      <c r="E26" s="49">
        <v>2000.0</v>
      </c>
      <c r="F26" s="56"/>
      <c r="G26" s="56"/>
      <c r="H26" s="52"/>
      <c r="I26" s="53">
        <v>5.0</v>
      </c>
      <c r="J26" s="53"/>
      <c r="K26" s="53"/>
      <c r="L26" s="53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32"/>
      <c r="AK26" s="32"/>
      <c r="AL26" s="2"/>
      <c r="AM26" s="2"/>
    </row>
    <row r="27" ht="15.75" customHeight="1">
      <c r="A27" s="39"/>
      <c r="B27" s="72"/>
      <c r="C27" s="73" t="s">
        <v>110</v>
      </c>
      <c r="D27" s="56"/>
      <c r="E27" s="49">
        <v>2000.0</v>
      </c>
      <c r="F27" s="56"/>
      <c r="G27" s="56"/>
      <c r="H27" s="52"/>
      <c r="I27" s="53">
        <v>5.0</v>
      </c>
      <c r="J27" s="53"/>
      <c r="K27" s="53"/>
      <c r="L27" s="53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32"/>
      <c r="AK27" s="32"/>
      <c r="AL27" s="2"/>
      <c r="AM27" s="2"/>
    </row>
    <row r="28" ht="15.75" customHeight="1">
      <c r="A28" s="39"/>
      <c r="B28" s="74"/>
      <c r="C28" s="75" t="s">
        <v>111</v>
      </c>
      <c r="D28" s="56"/>
      <c r="E28" s="49">
        <v>1500.0</v>
      </c>
      <c r="F28" s="56"/>
      <c r="G28" s="56"/>
      <c r="H28" s="52"/>
      <c r="I28" s="53">
        <v>6.0</v>
      </c>
      <c r="J28" s="53"/>
      <c r="K28" s="53"/>
      <c r="L28" s="53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32"/>
      <c r="AK28" s="32"/>
      <c r="AL28" s="2"/>
      <c r="AM28" s="2"/>
    </row>
    <row r="29" ht="15.75" customHeight="1">
      <c r="A29" s="39"/>
      <c r="B29" s="76" t="s">
        <v>112</v>
      </c>
      <c r="C29" s="77" t="s">
        <v>113</v>
      </c>
      <c r="D29" s="56"/>
      <c r="E29" s="49">
        <v>500.0</v>
      </c>
      <c r="F29" s="56"/>
      <c r="G29" s="56"/>
      <c r="H29" s="52"/>
      <c r="I29" s="53">
        <v>5.0</v>
      </c>
      <c r="J29" s="53"/>
      <c r="K29" s="53"/>
      <c r="L29" s="53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32"/>
      <c r="AK29" s="32"/>
      <c r="AL29" s="2"/>
      <c r="AM29" s="2"/>
    </row>
    <row r="30" ht="15.75" customHeight="1">
      <c r="A30" s="39"/>
      <c r="B30" s="78"/>
      <c r="C30" s="79" t="s">
        <v>114</v>
      </c>
      <c r="D30" s="56"/>
      <c r="E30" s="49">
        <v>1500.0</v>
      </c>
      <c r="F30" s="56"/>
      <c r="G30" s="56"/>
      <c r="H30" s="52"/>
      <c r="I30" s="53">
        <v>30.0</v>
      </c>
      <c r="J30" s="53"/>
      <c r="K30" s="53"/>
      <c r="L30" s="53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32"/>
      <c r="AK30" s="32"/>
      <c r="AL30" s="2"/>
      <c r="AM30" s="2"/>
    </row>
    <row r="31" ht="15.75" customHeight="1">
      <c r="A31" s="39"/>
      <c r="B31" s="78"/>
      <c r="C31" s="79" t="s">
        <v>115</v>
      </c>
      <c r="D31" s="56"/>
      <c r="E31" s="49">
        <v>300.0</v>
      </c>
      <c r="F31" s="56"/>
      <c r="G31" s="56"/>
      <c r="H31" s="52"/>
      <c r="I31" s="53">
        <v>5.0</v>
      </c>
      <c r="J31" s="53"/>
      <c r="K31" s="53"/>
      <c r="L31" s="53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32"/>
      <c r="AK31" s="32"/>
      <c r="AL31" s="2"/>
      <c r="AM31" s="2"/>
    </row>
    <row r="32" ht="15.75" customHeight="1">
      <c r="A32" s="39"/>
      <c r="B32" s="78"/>
      <c r="C32" s="79" t="s">
        <v>116</v>
      </c>
      <c r="D32" s="56"/>
      <c r="E32" s="49">
        <v>600.0</v>
      </c>
      <c r="F32" s="56"/>
      <c r="G32" s="56"/>
      <c r="H32" s="52"/>
      <c r="I32" s="53">
        <v>5.0</v>
      </c>
      <c r="J32" s="53"/>
      <c r="K32" s="53"/>
      <c r="L32" s="53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32"/>
      <c r="AK32" s="32"/>
      <c r="AL32" s="2"/>
      <c r="AM32" s="2"/>
    </row>
    <row r="33" ht="15.75" customHeight="1">
      <c r="A33" s="39"/>
      <c r="B33" s="78"/>
      <c r="C33" s="79" t="s">
        <v>117</v>
      </c>
      <c r="D33" s="59"/>
      <c r="E33" s="49">
        <v>100.0</v>
      </c>
      <c r="F33" s="59"/>
      <c r="G33" s="59"/>
      <c r="H33" s="52"/>
      <c r="I33" s="53">
        <v>5.0</v>
      </c>
      <c r="J33" s="53"/>
      <c r="K33" s="53"/>
      <c r="L33" s="53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32"/>
      <c r="AK33" s="32"/>
      <c r="AL33" s="2"/>
      <c r="AM33" s="2"/>
    </row>
    <row r="34">
      <c r="A34" s="39"/>
      <c r="B34" s="80" t="s">
        <v>118</v>
      </c>
      <c r="C34" s="81" t="s">
        <v>119</v>
      </c>
      <c r="D34" s="82" t="s">
        <v>120</v>
      </c>
      <c r="E34" s="49">
        <v>15000.0</v>
      </c>
      <c r="F34" s="43">
        <v>195000.0</v>
      </c>
      <c r="G34" s="62" t="s">
        <v>81</v>
      </c>
      <c r="H34" s="52"/>
      <c r="I34" s="53">
        <v>13.0</v>
      </c>
      <c r="J34" s="53"/>
      <c r="K34" s="53"/>
      <c r="L34" s="53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32"/>
      <c r="AK34" s="32"/>
      <c r="AL34" s="2"/>
      <c r="AM34" s="2"/>
    </row>
    <row r="35" ht="15.75" customHeight="1">
      <c r="A35" s="39"/>
      <c r="B35" s="80" t="s">
        <v>118</v>
      </c>
      <c r="C35" s="83" t="s">
        <v>121</v>
      </c>
      <c r="D35" s="48" t="s">
        <v>80</v>
      </c>
      <c r="E35" s="49">
        <v>10000.0</v>
      </c>
      <c r="F35" s="50">
        <v>88000.0</v>
      </c>
      <c r="G35" s="48" t="s">
        <v>81</v>
      </c>
      <c r="H35" s="52"/>
      <c r="I35" s="53"/>
      <c r="J35" s="53">
        <v>4.0</v>
      </c>
      <c r="K35" s="53"/>
      <c r="L35" s="53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32"/>
      <c r="AK35" s="32"/>
      <c r="AL35" s="2"/>
      <c r="AM35" s="2"/>
    </row>
    <row r="36" ht="15.75" customHeight="1">
      <c r="A36" s="39"/>
      <c r="B36" s="80" t="s">
        <v>118</v>
      </c>
      <c r="C36" s="83" t="s">
        <v>122</v>
      </c>
      <c r="D36" s="59"/>
      <c r="E36" s="49">
        <v>12000.0</v>
      </c>
      <c r="F36" s="59"/>
      <c r="G36" s="59"/>
      <c r="H36" s="52"/>
      <c r="I36" s="53"/>
      <c r="J36" s="53">
        <v>4.0</v>
      </c>
      <c r="K36" s="53"/>
      <c r="L36" s="53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32"/>
      <c r="AK36" s="32"/>
      <c r="AL36" s="2"/>
      <c r="AM36" s="2"/>
    </row>
    <row r="37" ht="15.75" customHeight="1">
      <c r="A37" s="39"/>
      <c r="B37" s="78"/>
      <c r="C37" s="84" t="s">
        <v>123</v>
      </c>
      <c r="D37" s="82" t="s">
        <v>124</v>
      </c>
      <c r="E37" s="49">
        <v>10000.0</v>
      </c>
      <c r="F37" s="43">
        <v>40000.0</v>
      </c>
      <c r="G37" s="62" t="s">
        <v>86</v>
      </c>
      <c r="H37" s="52"/>
      <c r="I37" s="53"/>
      <c r="J37" s="53">
        <v>4.0</v>
      </c>
      <c r="K37" s="53"/>
      <c r="L37" s="53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32"/>
      <c r="AK37" s="32"/>
      <c r="AL37" s="2"/>
      <c r="AM37" s="2"/>
    </row>
    <row r="38" ht="15.75" customHeight="1">
      <c r="A38" s="39"/>
      <c r="B38" s="78"/>
      <c r="C38" s="79" t="s">
        <v>125</v>
      </c>
      <c r="D38" s="48" t="s">
        <v>80</v>
      </c>
      <c r="E38" s="49">
        <v>10000.0</v>
      </c>
      <c r="F38" s="50">
        <v>40000.0</v>
      </c>
      <c r="G38" s="48" t="s">
        <v>86</v>
      </c>
      <c r="H38" s="52"/>
      <c r="I38" s="53"/>
      <c r="J38" s="65">
        <v>2.0</v>
      </c>
      <c r="K38" s="53"/>
      <c r="L38" s="53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32"/>
      <c r="AK38" s="32"/>
      <c r="AL38" s="2"/>
      <c r="AM38" s="2"/>
    </row>
    <row r="39" ht="15.75" customHeight="1">
      <c r="A39" s="39"/>
      <c r="B39" s="60"/>
      <c r="C39" s="61" t="s">
        <v>126</v>
      </c>
      <c r="D39" s="59"/>
      <c r="E39" s="63">
        <v>10000.0</v>
      </c>
      <c r="F39" s="59"/>
      <c r="G39" s="59"/>
      <c r="H39" s="52"/>
      <c r="I39" s="53"/>
      <c r="J39" s="65">
        <v>2.0</v>
      </c>
      <c r="K39" s="53"/>
      <c r="L39" s="53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32"/>
      <c r="AK39" s="32"/>
      <c r="AL39" s="2"/>
      <c r="AM39" s="2"/>
    </row>
    <row r="40" ht="15.75" customHeight="1">
      <c r="A40" s="39"/>
      <c r="B40" s="60"/>
      <c r="C40" s="61" t="s">
        <v>127</v>
      </c>
      <c r="D40" s="48" t="s">
        <v>80</v>
      </c>
      <c r="E40" s="63">
        <v>40000.0</v>
      </c>
      <c r="F40" s="50">
        <v>146000.0</v>
      </c>
      <c r="G40" s="48" t="s">
        <v>81</v>
      </c>
      <c r="H40" s="52"/>
      <c r="I40" s="53"/>
      <c r="J40" s="53"/>
      <c r="K40" s="65">
        <v>1.0</v>
      </c>
      <c r="L40" s="53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32"/>
      <c r="AK40" s="32"/>
      <c r="AL40" s="2"/>
      <c r="AM40" s="2"/>
    </row>
    <row r="41" ht="15.75" customHeight="1">
      <c r="A41" s="39"/>
      <c r="B41" s="60"/>
      <c r="C41" s="61" t="s">
        <v>128</v>
      </c>
      <c r="D41" s="56"/>
      <c r="E41" s="63">
        <v>15000.0</v>
      </c>
      <c r="F41" s="56"/>
      <c r="G41" s="56"/>
      <c r="H41" s="52"/>
      <c r="I41" s="53"/>
      <c r="J41" s="53"/>
      <c r="K41" s="65">
        <v>3.0</v>
      </c>
      <c r="L41" s="53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32"/>
      <c r="AK41" s="32"/>
      <c r="AL41" s="2"/>
      <c r="AM41" s="2"/>
    </row>
    <row r="42" ht="15.75" customHeight="1">
      <c r="A42" s="39"/>
      <c r="B42" s="60"/>
      <c r="C42" s="61" t="s">
        <v>129</v>
      </c>
      <c r="D42" s="56"/>
      <c r="E42" s="63">
        <v>10000.0</v>
      </c>
      <c r="F42" s="56"/>
      <c r="G42" s="56"/>
      <c r="H42" s="52"/>
      <c r="I42" s="53"/>
      <c r="J42" s="53"/>
      <c r="K42" s="65">
        <v>1.0</v>
      </c>
      <c r="L42" s="53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32"/>
      <c r="AK42" s="32"/>
      <c r="AL42" s="2"/>
      <c r="AM42" s="2"/>
    </row>
    <row r="43" ht="15.75" customHeight="1">
      <c r="A43" s="39"/>
      <c r="B43" s="60"/>
      <c r="C43" s="61" t="s">
        <v>130</v>
      </c>
      <c r="D43" s="56"/>
      <c r="E43" s="63">
        <v>15000.0</v>
      </c>
      <c r="F43" s="56"/>
      <c r="G43" s="56"/>
      <c r="H43" s="52"/>
      <c r="I43" s="53"/>
      <c r="J43" s="53"/>
      <c r="K43" s="65">
        <v>2.0</v>
      </c>
      <c r="L43" s="53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32"/>
      <c r="AK43" s="32"/>
      <c r="AL43" s="2"/>
      <c r="AM43" s="2"/>
    </row>
    <row r="44" ht="15.75" customHeight="1">
      <c r="A44" s="39"/>
      <c r="B44" s="60"/>
      <c r="C44" s="61" t="s">
        <v>131</v>
      </c>
      <c r="D44" s="59"/>
      <c r="E44" s="63">
        <v>7000.0</v>
      </c>
      <c r="F44" s="59"/>
      <c r="G44" s="59"/>
      <c r="H44" s="52"/>
      <c r="I44" s="52"/>
      <c r="J44" s="52"/>
      <c r="K44" s="58">
        <v>3.0</v>
      </c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32"/>
      <c r="AK44" s="32"/>
      <c r="AL44" s="2"/>
      <c r="AM44" s="2"/>
    </row>
    <row r="45" ht="15.75" customHeight="1">
      <c r="A45" s="33" t="s">
        <v>132</v>
      </c>
      <c r="B45" s="66"/>
      <c r="C45" s="67" t="s">
        <v>133</v>
      </c>
      <c r="D45" s="68"/>
      <c r="E45" s="69"/>
      <c r="F45" s="68"/>
      <c r="G45" s="70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32"/>
      <c r="AK45" s="32"/>
    </row>
    <row r="46" ht="15.75" customHeight="1">
      <c r="A46" s="39"/>
      <c r="B46" s="82"/>
      <c r="C46" s="85" t="s">
        <v>134</v>
      </c>
      <c r="D46" s="65" t="s">
        <v>135</v>
      </c>
      <c r="E46" s="86">
        <v>3000.0</v>
      </c>
      <c r="F46" s="86">
        <v>9000.0</v>
      </c>
      <c r="G46" s="62" t="s">
        <v>86</v>
      </c>
      <c r="H46" s="52"/>
      <c r="I46" s="65">
        <v>3.0</v>
      </c>
      <c r="J46" s="53"/>
      <c r="K46" s="53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32"/>
      <c r="AK46" s="32"/>
    </row>
    <row r="47" ht="15.75" customHeight="1">
      <c r="A47" s="39"/>
      <c r="B47" s="87"/>
      <c r="C47" s="88" t="s">
        <v>136</v>
      </c>
      <c r="D47" s="65" t="s">
        <v>80</v>
      </c>
      <c r="E47" s="86">
        <v>49999.0</v>
      </c>
      <c r="F47" s="86">
        <v>49999.0</v>
      </c>
      <c r="G47" s="62" t="s">
        <v>86</v>
      </c>
      <c r="H47" s="52"/>
      <c r="I47" s="65">
        <v>1.0</v>
      </c>
      <c r="J47" s="53"/>
      <c r="K47" s="53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32"/>
      <c r="AK47" s="32"/>
    </row>
    <row r="48" ht="15.75" customHeight="1">
      <c r="A48" s="39"/>
      <c r="B48" s="60"/>
      <c r="C48" s="61" t="s">
        <v>137</v>
      </c>
      <c r="D48" s="62" t="s">
        <v>138</v>
      </c>
      <c r="E48" s="63">
        <v>14999.0</v>
      </c>
      <c r="F48" s="64">
        <v>29998.0</v>
      </c>
      <c r="G48" s="62" t="s">
        <v>86</v>
      </c>
      <c r="H48" s="52"/>
      <c r="I48" s="65">
        <v>2.0</v>
      </c>
      <c r="J48" s="53"/>
      <c r="K48" s="53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32"/>
      <c r="AK48" s="32"/>
    </row>
    <row r="49">
      <c r="A49" s="39"/>
      <c r="B49" s="60"/>
      <c r="C49" s="61" t="s">
        <v>139</v>
      </c>
      <c r="D49" s="62" t="s">
        <v>80</v>
      </c>
      <c r="E49" s="63">
        <v>3875.0</v>
      </c>
      <c r="F49" s="64">
        <v>3875.0</v>
      </c>
      <c r="G49" s="62" t="s">
        <v>86</v>
      </c>
      <c r="H49" s="52"/>
      <c r="I49" s="65">
        <v>1.0</v>
      </c>
      <c r="J49" s="53"/>
      <c r="K49" s="53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32"/>
      <c r="AK49" s="32"/>
    </row>
    <row r="50" ht="15.75" customHeight="1">
      <c r="A50" s="89"/>
      <c r="B50" s="90"/>
      <c r="C50" s="88" t="s">
        <v>140</v>
      </c>
      <c r="D50" s="65" t="s">
        <v>141</v>
      </c>
      <c r="E50" s="86">
        <v>150.0</v>
      </c>
      <c r="F50" s="91">
        <v>7500.0</v>
      </c>
      <c r="G50" s="62" t="s">
        <v>86</v>
      </c>
      <c r="H50" s="52"/>
      <c r="I50" s="53"/>
      <c r="J50" s="65">
        <v>50.0</v>
      </c>
      <c r="K50" s="53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32"/>
      <c r="AK50" s="32"/>
      <c r="AL50" s="2"/>
      <c r="AM50" s="2"/>
    </row>
    <row r="51" ht="15.75" customHeight="1">
      <c r="A51" s="89"/>
      <c r="B51" s="90"/>
      <c r="C51" s="88" t="s">
        <v>142</v>
      </c>
      <c r="D51" s="92" t="s">
        <v>80</v>
      </c>
      <c r="E51" s="86">
        <v>12000.0</v>
      </c>
      <c r="F51" s="93">
        <v>14550.0</v>
      </c>
      <c r="G51" s="48" t="s">
        <v>86</v>
      </c>
      <c r="H51" s="52"/>
      <c r="I51" s="53"/>
      <c r="J51" s="65">
        <v>1.0</v>
      </c>
      <c r="K51" s="53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32"/>
      <c r="AK51" s="32"/>
      <c r="AL51" s="2"/>
      <c r="AM51" s="2"/>
    </row>
    <row r="52" ht="15.75" customHeight="1">
      <c r="A52" s="89"/>
      <c r="B52" s="90"/>
      <c r="C52" s="88" t="s">
        <v>143</v>
      </c>
      <c r="D52" s="56"/>
      <c r="E52" s="86">
        <v>200.0</v>
      </c>
      <c r="F52" s="56"/>
      <c r="G52" s="56"/>
      <c r="H52" s="52"/>
      <c r="I52" s="65"/>
      <c r="J52" s="65">
        <v>1.0</v>
      </c>
      <c r="K52" s="53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32"/>
      <c r="AK52" s="32"/>
      <c r="AL52" s="2"/>
      <c r="AM52" s="2"/>
    </row>
    <row r="53" ht="15.75" customHeight="1">
      <c r="A53" s="89"/>
      <c r="B53" s="90"/>
      <c r="C53" s="88" t="s">
        <v>144</v>
      </c>
      <c r="D53" s="56"/>
      <c r="E53" s="86">
        <v>200.0</v>
      </c>
      <c r="F53" s="56"/>
      <c r="G53" s="56"/>
      <c r="H53" s="52"/>
      <c r="I53" s="65"/>
      <c r="J53" s="65">
        <v>1.0</v>
      </c>
      <c r="K53" s="53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32"/>
      <c r="AK53" s="32"/>
      <c r="AL53" s="2"/>
      <c r="AM53" s="2"/>
    </row>
    <row r="54" ht="15.75" customHeight="1">
      <c r="A54" s="89"/>
      <c r="B54" s="90"/>
      <c r="C54" s="88" t="s">
        <v>145</v>
      </c>
      <c r="D54" s="56"/>
      <c r="E54" s="86">
        <v>200.0</v>
      </c>
      <c r="F54" s="56"/>
      <c r="G54" s="56"/>
      <c r="H54" s="52"/>
      <c r="I54" s="65"/>
      <c r="J54" s="65">
        <v>1.0</v>
      </c>
      <c r="K54" s="53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32"/>
      <c r="AK54" s="32"/>
      <c r="AL54" s="2"/>
      <c r="AM54" s="2"/>
    </row>
    <row r="55" ht="15.75" customHeight="1">
      <c r="A55" s="89"/>
      <c r="B55" s="90"/>
      <c r="C55" s="88" t="s">
        <v>146</v>
      </c>
      <c r="D55" s="56"/>
      <c r="E55" s="86">
        <v>200.0</v>
      </c>
      <c r="F55" s="56"/>
      <c r="G55" s="56"/>
      <c r="H55" s="52"/>
      <c r="I55" s="65"/>
      <c r="J55" s="65">
        <v>1.0</v>
      </c>
      <c r="K55" s="53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32"/>
      <c r="AK55" s="32"/>
      <c r="AL55" s="2"/>
      <c r="AM55" s="2"/>
    </row>
    <row r="56" ht="15.75" customHeight="1">
      <c r="A56" s="89"/>
      <c r="B56" s="90"/>
      <c r="C56" s="88" t="s">
        <v>147</v>
      </c>
      <c r="D56" s="56"/>
      <c r="E56" s="86">
        <v>200.0</v>
      </c>
      <c r="F56" s="56"/>
      <c r="G56" s="56"/>
      <c r="H56" s="52"/>
      <c r="I56" s="53"/>
      <c r="J56" s="65">
        <v>1.0</v>
      </c>
      <c r="K56" s="53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32"/>
      <c r="AK56" s="32"/>
      <c r="AL56" s="2"/>
      <c r="AM56" s="2"/>
    </row>
    <row r="57" ht="15.75" customHeight="1">
      <c r="A57" s="89"/>
      <c r="B57" s="90"/>
      <c r="C57" s="88" t="s">
        <v>148</v>
      </c>
      <c r="D57" s="56"/>
      <c r="E57" s="86">
        <v>200.0</v>
      </c>
      <c r="F57" s="56"/>
      <c r="G57" s="56"/>
      <c r="H57" s="52"/>
      <c r="I57" s="65"/>
      <c r="J57" s="65">
        <v>1.0</v>
      </c>
      <c r="K57" s="53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32"/>
      <c r="AK57" s="32"/>
      <c r="AL57" s="2"/>
      <c r="AM57" s="2"/>
    </row>
    <row r="58" ht="15.75" customHeight="1">
      <c r="A58" s="89"/>
      <c r="B58" s="90"/>
      <c r="C58" s="88" t="s">
        <v>149</v>
      </c>
      <c r="D58" s="56"/>
      <c r="E58" s="86">
        <v>250.0</v>
      </c>
      <c r="F58" s="56"/>
      <c r="G58" s="56"/>
      <c r="H58" s="52"/>
      <c r="I58" s="53"/>
      <c r="J58" s="65">
        <v>1.0</v>
      </c>
      <c r="K58" s="53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32"/>
      <c r="AK58" s="32"/>
      <c r="AL58" s="2"/>
      <c r="AM58" s="2"/>
    </row>
    <row r="59" ht="15.75" customHeight="1">
      <c r="A59" s="89"/>
      <c r="B59" s="90"/>
      <c r="C59" s="88" t="s">
        <v>150</v>
      </c>
      <c r="D59" s="56"/>
      <c r="E59" s="86">
        <v>250.0</v>
      </c>
      <c r="F59" s="56"/>
      <c r="G59" s="56"/>
      <c r="H59" s="52"/>
      <c r="I59" s="53"/>
      <c r="J59" s="65">
        <v>1.0</v>
      </c>
      <c r="K59" s="53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32"/>
      <c r="AK59" s="32"/>
      <c r="AL59" s="2"/>
      <c r="AM59" s="2"/>
    </row>
    <row r="60" ht="15.75" customHeight="1">
      <c r="A60" s="89"/>
      <c r="B60" s="90"/>
      <c r="C60" s="88" t="s">
        <v>151</v>
      </c>
      <c r="D60" s="56"/>
      <c r="E60" s="86">
        <v>250.0</v>
      </c>
      <c r="F60" s="56"/>
      <c r="G60" s="56"/>
      <c r="H60" s="52"/>
      <c r="I60" s="53"/>
      <c r="J60" s="65">
        <v>1.0</v>
      </c>
      <c r="K60" s="53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32"/>
      <c r="AK60" s="32"/>
      <c r="AL60" s="2"/>
      <c r="AM60" s="2"/>
    </row>
    <row r="61" ht="15.75" customHeight="1">
      <c r="A61" s="89"/>
      <c r="B61" s="90"/>
      <c r="C61" s="88" t="s">
        <v>152</v>
      </c>
      <c r="D61" s="56"/>
      <c r="E61" s="86">
        <v>300.0</v>
      </c>
      <c r="F61" s="56"/>
      <c r="G61" s="56"/>
      <c r="H61" s="52"/>
      <c r="I61" s="53"/>
      <c r="J61" s="65">
        <v>1.0</v>
      </c>
      <c r="K61" s="53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32"/>
      <c r="AK61" s="32"/>
      <c r="AL61" s="2"/>
      <c r="AM61" s="2"/>
    </row>
    <row r="62" ht="15.75" customHeight="1">
      <c r="A62" s="89"/>
      <c r="B62" s="90"/>
      <c r="C62" s="88" t="s">
        <v>153</v>
      </c>
      <c r="D62" s="59"/>
      <c r="E62" s="86">
        <v>100.0</v>
      </c>
      <c r="F62" s="59"/>
      <c r="G62" s="59"/>
      <c r="H62" s="52"/>
      <c r="I62" s="53"/>
      <c r="J62" s="65">
        <v>3.0</v>
      </c>
      <c r="K62" s="53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32"/>
      <c r="AK62" s="32"/>
      <c r="AL62" s="2"/>
      <c r="AM62" s="2"/>
    </row>
    <row r="63" ht="15.75" customHeight="1">
      <c r="A63" s="89"/>
      <c r="B63" s="90"/>
      <c r="C63" s="88" t="s">
        <v>154</v>
      </c>
      <c r="D63" s="92" t="s">
        <v>80</v>
      </c>
      <c r="E63" s="86">
        <v>5000.0</v>
      </c>
      <c r="F63" s="93">
        <v>10500.0</v>
      </c>
      <c r="G63" s="48" t="s">
        <v>97</v>
      </c>
      <c r="H63" s="52"/>
      <c r="I63" s="65">
        <v>1.0</v>
      </c>
      <c r="J63" s="53"/>
      <c r="K63" s="53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32"/>
      <c r="AK63" s="32"/>
      <c r="AL63" s="2"/>
      <c r="AM63" s="2"/>
    </row>
    <row r="64" ht="15.75" customHeight="1">
      <c r="A64" s="89"/>
      <c r="B64" s="90"/>
      <c r="C64" s="88" t="s">
        <v>155</v>
      </c>
      <c r="D64" s="56"/>
      <c r="E64" s="86">
        <v>200.0</v>
      </c>
      <c r="F64" s="56"/>
      <c r="G64" s="56"/>
      <c r="H64" s="52"/>
      <c r="I64" s="65">
        <v>25.0</v>
      </c>
      <c r="J64" s="53"/>
      <c r="K64" s="53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32"/>
      <c r="AK64" s="32"/>
      <c r="AL64" s="2"/>
      <c r="AM64" s="2"/>
    </row>
    <row r="65" ht="15.75" customHeight="1">
      <c r="A65" s="89"/>
      <c r="B65" s="90"/>
      <c r="C65" s="88" t="s">
        <v>156</v>
      </c>
      <c r="D65" s="59"/>
      <c r="E65" s="86">
        <v>500.0</v>
      </c>
      <c r="F65" s="59"/>
      <c r="G65" s="59"/>
      <c r="H65" s="52"/>
      <c r="I65" s="65">
        <v>1.0</v>
      </c>
      <c r="J65" s="53"/>
      <c r="K65" s="53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32"/>
      <c r="AK65" s="32"/>
      <c r="AL65" s="2"/>
      <c r="AM65" s="2"/>
    </row>
    <row r="66" ht="15.75" customHeight="1">
      <c r="A66" s="89"/>
      <c r="B66" s="90"/>
      <c r="C66" s="88" t="s">
        <v>157</v>
      </c>
      <c r="D66" s="65" t="s">
        <v>158</v>
      </c>
      <c r="E66" s="86">
        <v>600.0</v>
      </c>
      <c r="F66" s="91">
        <v>1200.0</v>
      </c>
      <c r="G66" s="62" t="s">
        <v>97</v>
      </c>
      <c r="H66" s="52"/>
      <c r="I66" s="65">
        <v>2.0</v>
      </c>
      <c r="J66" s="53"/>
      <c r="K66" s="53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32"/>
      <c r="AK66" s="32"/>
      <c r="AL66" s="2"/>
      <c r="AM66" s="2"/>
    </row>
    <row r="67" ht="15.75" customHeight="1">
      <c r="A67" s="89"/>
      <c r="B67" s="90"/>
      <c r="C67" s="88" t="s">
        <v>159</v>
      </c>
      <c r="D67" s="65" t="s">
        <v>80</v>
      </c>
      <c r="E67" s="86">
        <v>10000.0</v>
      </c>
      <c r="F67" s="91">
        <v>10000.0</v>
      </c>
      <c r="G67" s="62" t="s">
        <v>97</v>
      </c>
      <c r="H67" s="52"/>
      <c r="I67" s="65">
        <v>1.0</v>
      </c>
      <c r="J67" s="53"/>
      <c r="K67" s="53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32"/>
      <c r="AK67" s="32"/>
      <c r="AL67" s="2"/>
      <c r="AM67" s="2"/>
    </row>
    <row r="68" ht="15.75" customHeight="1">
      <c r="A68" s="89"/>
      <c r="B68" s="90"/>
      <c r="C68" s="88" t="s">
        <v>160</v>
      </c>
      <c r="D68" s="92" t="s">
        <v>80</v>
      </c>
      <c r="E68" s="86">
        <v>1000.0</v>
      </c>
      <c r="F68" s="93">
        <v>3200.0</v>
      </c>
      <c r="G68" s="48" t="s">
        <v>97</v>
      </c>
      <c r="H68" s="52"/>
      <c r="I68" s="65">
        <v>1.0</v>
      </c>
      <c r="J68" s="53"/>
      <c r="K68" s="53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32"/>
      <c r="AK68" s="32"/>
      <c r="AL68" s="2"/>
      <c r="AM68" s="2"/>
    </row>
    <row r="69" ht="15.75" customHeight="1">
      <c r="A69" s="89"/>
      <c r="B69" s="90"/>
      <c r="C69" s="88" t="s">
        <v>161</v>
      </c>
      <c r="D69" s="56"/>
      <c r="E69" s="86">
        <v>300.0</v>
      </c>
      <c r="F69" s="56"/>
      <c r="G69" s="56"/>
      <c r="H69" s="52"/>
      <c r="I69" s="65">
        <v>5.0</v>
      </c>
      <c r="J69" s="53"/>
      <c r="K69" s="53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32"/>
      <c r="AK69" s="32"/>
      <c r="AL69" s="2"/>
      <c r="AM69" s="2"/>
    </row>
    <row r="70" ht="15.75" customHeight="1">
      <c r="A70" s="89"/>
      <c r="B70" s="90"/>
      <c r="C70" s="88" t="s">
        <v>162</v>
      </c>
      <c r="D70" s="59"/>
      <c r="E70" s="86">
        <v>700.0</v>
      </c>
      <c r="F70" s="59"/>
      <c r="G70" s="59"/>
      <c r="H70" s="52"/>
      <c r="I70" s="65">
        <v>1.0</v>
      </c>
      <c r="J70" s="53"/>
      <c r="K70" s="53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32"/>
      <c r="AK70" s="32"/>
      <c r="AL70" s="2"/>
      <c r="AM70" s="2"/>
    </row>
    <row r="71" ht="15.75" customHeight="1">
      <c r="A71" s="33" t="s">
        <v>132</v>
      </c>
      <c r="B71" s="66"/>
      <c r="C71" s="67" t="s">
        <v>163</v>
      </c>
      <c r="D71" s="94"/>
      <c r="E71" s="69"/>
      <c r="F71" s="68"/>
      <c r="G71" s="70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32"/>
      <c r="AK71" s="32"/>
      <c r="AL71" s="2"/>
      <c r="AM71" s="2"/>
    </row>
    <row r="72" ht="15.75" customHeight="1">
      <c r="A72" s="89"/>
      <c r="B72" s="90"/>
      <c r="C72" s="88" t="s">
        <v>164</v>
      </c>
      <c r="D72" s="65" t="s">
        <v>165</v>
      </c>
      <c r="E72" s="86">
        <v>49999.0</v>
      </c>
      <c r="F72" s="91">
        <v>49999.0</v>
      </c>
      <c r="G72" s="62" t="s">
        <v>86</v>
      </c>
      <c r="H72" s="52"/>
      <c r="I72" s="65">
        <v>1.0</v>
      </c>
      <c r="J72" s="53"/>
      <c r="K72" s="53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32"/>
      <c r="AK72" s="32"/>
      <c r="AL72" s="2"/>
      <c r="AM72" s="2"/>
    </row>
    <row r="73" ht="15.75" customHeight="1">
      <c r="A73" s="33" t="s">
        <v>166</v>
      </c>
      <c r="B73" s="66"/>
      <c r="C73" s="67" t="s">
        <v>167</v>
      </c>
      <c r="D73" s="68"/>
      <c r="E73" s="69"/>
      <c r="F73" s="68"/>
      <c r="G73" s="70"/>
      <c r="H73" s="68"/>
      <c r="I73" s="94"/>
      <c r="J73" s="94"/>
      <c r="K73" s="94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32"/>
      <c r="AK73" s="32"/>
      <c r="AL73" s="2"/>
      <c r="AM73" s="2"/>
    </row>
    <row r="74" ht="15.75" customHeight="1">
      <c r="A74" s="39"/>
      <c r="B74" s="87"/>
      <c r="C74" s="95" t="s">
        <v>168</v>
      </c>
      <c r="D74" s="82" t="s">
        <v>169</v>
      </c>
      <c r="E74" s="49">
        <v>30000.0</v>
      </c>
      <c r="F74" s="43">
        <v>30000.0</v>
      </c>
      <c r="G74" s="62" t="s">
        <v>86</v>
      </c>
      <c r="H74" s="52"/>
      <c r="I74" s="53">
        <v>30.0</v>
      </c>
      <c r="J74" s="53"/>
      <c r="K74" s="53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32"/>
      <c r="AK74" s="32"/>
      <c r="AL74" s="2"/>
      <c r="AM74" s="2"/>
    </row>
    <row r="75" ht="15.75" customHeight="1">
      <c r="A75" s="33" t="s">
        <v>170</v>
      </c>
      <c r="B75" s="66"/>
      <c r="C75" s="67" t="s">
        <v>171</v>
      </c>
      <c r="D75" s="68"/>
      <c r="E75" s="69"/>
      <c r="F75" s="68"/>
      <c r="G75" s="68"/>
      <c r="H75" s="68"/>
      <c r="I75" s="94"/>
      <c r="J75" s="94"/>
      <c r="K75" s="94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32"/>
      <c r="AK75" s="32"/>
      <c r="AL75" s="2"/>
      <c r="AM75" s="2"/>
    </row>
    <row r="76">
      <c r="A76" s="39"/>
      <c r="B76" s="87"/>
      <c r="C76" s="96" t="s">
        <v>172</v>
      </c>
      <c r="D76" s="62" t="s">
        <v>173</v>
      </c>
      <c r="E76" s="63">
        <v>900.0</v>
      </c>
      <c r="F76" s="64">
        <v>18000.0</v>
      </c>
      <c r="G76" s="62" t="s">
        <v>86</v>
      </c>
      <c r="H76" s="52"/>
      <c r="I76" s="65"/>
      <c r="J76" s="65">
        <v>20.0</v>
      </c>
      <c r="K76" s="53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32"/>
      <c r="AK76" s="32"/>
    </row>
    <row r="77">
      <c r="A77" s="39"/>
      <c r="B77" s="87"/>
      <c r="C77" s="96" t="s">
        <v>174</v>
      </c>
      <c r="D77" s="97" t="s">
        <v>175</v>
      </c>
      <c r="E77" s="63">
        <v>1300.0</v>
      </c>
      <c r="F77" s="64">
        <v>20800.0</v>
      </c>
      <c r="G77" s="62" t="s">
        <v>176</v>
      </c>
      <c r="H77" s="52"/>
      <c r="I77" s="65">
        <v>16.0</v>
      </c>
      <c r="J77" s="53"/>
      <c r="K77" s="53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32"/>
      <c r="AK77" s="32"/>
    </row>
    <row r="78">
      <c r="A78" s="39"/>
      <c r="B78" s="87"/>
      <c r="C78" s="96" t="s">
        <v>177</v>
      </c>
      <c r="D78" s="97" t="s">
        <v>175</v>
      </c>
      <c r="E78" s="63">
        <v>700.0</v>
      </c>
      <c r="F78" s="64">
        <v>11200.0</v>
      </c>
      <c r="G78" s="62" t="s">
        <v>176</v>
      </c>
      <c r="H78" s="52"/>
      <c r="I78" s="65">
        <v>16.0</v>
      </c>
      <c r="J78" s="53"/>
      <c r="K78" s="53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32"/>
      <c r="AK78" s="32"/>
    </row>
    <row r="79">
      <c r="A79" s="39"/>
      <c r="B79" s="82"/>
      <c r="C79" s="98" t="s">
        <v>178</v>
      </c>
      <c r="D79" s="97" t="s">
        <v>175</v>
      </c>
      <c r="E79" s="63">
        <v>550.0</v>
      </c>
      <c r="F79" s="64">
        <v>8800.0</v>
      </c>
      <c r="G79" s="62" t="s">
        <v>176</v>
      </c>
      <c r="H79" s="52"/>
      <c r="I79" s="65">
        <v>16.0</v>
      </c>
      <c r="J79" s="53"/>
      <c r="K79" s="53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32"/>
      <c r="AK79" s="32"/>
    </row>
    <row r="80">
      <c r="A80" s="39"/>
      <c r="B80" s="87"/>
      <c r="C80" s="96" t="s">
        <v>179</v>
      </c>
      <c r="D80" s="97" t="s">
        <v>175</v>
      </c>
      <c r="E80" s="63">
        <v>450.0</v>
      </c>
      <c r="F80" s="64">
        <v>7200.0</v>
      </c>
      <c r="G80" s="62" t="s">
        <v>176</v>
      </c>
      <c r="H80" s="52"/>
      <c r="I80" s="65">
        <v>16.0</v>
      </c>
      <c r="J80" s="53"/>
      <c r="K80" s="53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32"/>
      <c r="AK80" s="32"/>
    </row>
    <row r="81">
      <c r="A81" s="39"/>
      <c r="B81" s="87"/>
      <c r="C81" s="96" t="s">
        <v>180</v>
      </c>
      <c r="D81" s="97" t="s">
        <v>175</v>
      </c>
      <c r="E81" s="63">
        <v>1000.0</v>
      </c>
      <c r="F81" s="64">
        <v>16000.0</v>
      </c>
      <c r="G81" s="62" t="s">
        <v>176</v>
      </c>
      <c r="H81" s="52"/>
      <c r="I81" s="65">
        <v>16.0</v>
      </c>
      <c r="J81" s="53"/>
      <c r="K81" s="53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32"/>
      <c r="AK81" s="32"/>
    </row>
    <row r="82">
      <c r="A82" s="39"/>
      <c r="B82" s="87"/>
      <c r="C82" s="96" t="s">
        <v>181</v>
      </c>
      <c r="D82" s="97" t="s">
        <v>175</v>
      </c>
      <c r="E82" s="63">
        <v>900.0</v>
      </c>
      <c r="F82" s="64">
        <v>14400.0</v>
      </c>
      <c r="G82" s="62" t="s">
        <v>176</v>
      </c>
      <c r="H82" s="52"/>
      <c r="I82" s="65">
        <v>16.0</v>
      </c>
      <c r="J82" s="53"/>
      <c r="K82" s="53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32"/>
      <c r="AK82" s="32"/>
    </row>
    <row r="83">
      <c r="A83" s="39"/>
      <c r="B83" s="87"/>
      <c r="C83" s="96" t="s">
        <v>182</v>
      </c>
      <c r="D83" s="97" t="s">
        <v>175</v>
      </c>
      <c r="E83" s="63">
        <v>900.0</v>
      </c>
      <c r="F83" s="64">
        <v>14400.0</v>
      </c>
      <c r="G83" s="62" t="s">
        <v>176</v>
      </c>
      <c r="H83" s="52"/>
      <c r="I83" s="65">
        <v>16.0</v>
      </c>
      <c r="J83" s="53"/>
      <c r="K83" s="53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32"/>
      <c r="AK83" s="32"/>
    </row>
    <row r="84">
      <c r="A84" s="39"/>
      <c r="B84" s="82"/>
      <c r="C84" s="98" t="s">
        <v>183</v>
      </c>
      <c r="D84" s="97" t="s">
        <v>175</v>
      </c>
      <c r="E84" s="63">
        <v>1700.0</v>
      </c>
      <c r="F84" s="64">
        <v>27200.0</v>
      </c>
      <c r="G84" s="62" t="s">
        <v>176</v>
      </c>
      <c r="H84" s="52"/>
      <c r="I84" s="65">
        <v>16.0</v>
      </c>
      <c r="J84" s="53"/>
      <c r="K84" s="53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32"/>
      <c r="AK84" s="32"/>
    </row>
    <row r="85">
      <c r="A85" s="39"/>
      <c r="B85" s="87"/>
      <c r="C85" s="96" t="s">
        <v>184</v>
      </c>
      <c r="D85" s="97" t="s">
        <v>175</v>
      </c>
      <c r="E85" s="63">
        <v>300.0</v>
      </c>
      <c r="F85" s="64">
        <v>4800.0</v>
      </c>
      <c r="G85" s="62" t="s">
        <v>176</v>
      </c>
      <c r="H85" s="52"/>
      <c r="I85" s="65">
        <v>16.0</v>
      </c>
      <c r="J85" s="65"/>
      <c r="K85" s="53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32"/>
      <c r="AK85" s="32"/>
    </row>
    <row r="86">
      <c r="A86" s="39"/>
      <c r="B86" s="87"/>
      <c r="C86" s="96" t="s">
        <v>185</v>
      </c>
      <c r="D86" s="97" t="s">
        <v>186</v>
      </c>
      <c r="E86" s="63">
        <v>2470.0</v>
      </c>
      <c r="F86" s="64">
        <v>27170.0</v>
      </c>
      <c r="G86" s="62" t="s">
        <v>176</v>
      </c>
      <c r="H86" s="52"/>
      <c r="I86" s="53"/>
      <c r="J86" s="65">
        <v>11.0</v>
      </c>
      <c r="K86" s="53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32"/>
      <c r="AK86" s="32"/>
      <c r="AL86" s="2"/>
      <c r="AM86" s="2"/>
    </row>
    <row r="87">
      <c r="A87" s="39"/>
      <c r="B87" s="87"/>
      <c r="C87" s="96" t="s">
        <v>187</v>
      </c>
      <c r="D87" s="97" t="s">
        <v>186</v>
      </c>
      <c r="E87" s="63">
        <v>6490.0</v>
      </c>
      <c r="F87" s="64">
        <v>71390.0</v>
      </c>
      <c r="G87" s="62" t="s">
        <v>176</v>
      </c>
      <c r="H87" s="52"/>
      <c r="I87" s="53"/>
      <c r="J87" s="65">
        <v>11.0</v>
      </c>
      <c r="K87" s="53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32"/>
      <c r="AK87" s="32"/>
      <c r="AL87" s="2"/>
      <c r="AM87" s="2"/>
    </row>
    <row r="88">
      <c r="A88" s="39"/>
      <c r="B88" s="87"/>
      <c r="C88" s="96" t="s">
        <v>188</v>
      </c>
      <c r="D88" s="97" t="s">
        <v>186</v>
      </c>
      <c r="E88" s="63">
        <v>10080.0</v>
      </c>
      <c r="F88" s="64">
        <v>110880.0</v>
      </c>
      <c r="G88" s="62" t="s">
        <v>176</v>
      </c>
      <c r="H88" s="52"/>
      <c r="I88" s="53"/>
      <c r="J88" s="65">
        <v>11.0</v>
      </c>
      <c r="K88" s="53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32"/>
      <c r="AK88" s="32"/>
      <c r="AL88" s="2"/>
      <c r="AM88" s="2"/>
    </row>
    <row r="89">
      <c r="A89" s="39"/>
      <c r="B89" s="87"/>
      <c r="C89" s="96" t="s">
        <v>189</v>
      </c>
      <c r="D89" s="97" t="s">
        <v>190</v>
      </c>
      <c r="E89" s="63">
        <v>8400.0</v>
      </c>
      <c r="F89" s="64">
        <v>100800.0</v>
      </c>
      <c r="G89" s="62" t="s">
        <v>176</v>
      </c>
      <c r="H89" s="52"/>
      <c r="I89" s="53"/>
      <c r="J89" s="65">
        <v>12.0</v>
      </c>
      <c r="K89" s="53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32"/>
      <c r="AK89" s="32"/>
      <c r="AL89" s="2"/>
      <c r="AM89" s="2"/>
    </row>
    <row r="90">
      <c r="A90" s="39"/>
      <c r="B90" s="87"/>
      <c r="C90" s="96" t="s">
        <v>191</v>
      </c>
      <c r="D90" s="97" t="s">
        <v>186</v>
      </c>
      <c r="E90" s="63">
        <v>2000.0</v>
      </c>
      <c r="F90" s="64">
        <v>22000.0</v>
      </c>
      <c r="G90" s="62" t="s">
        <v>176</v>
      </c>
      <c r="H90" s="52"/>
      <c r="I90" s="53"/>
      <c r="J90" s="65">
        <v>11.0</v>
      </c>
      <c r="K90" s="53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32"/>
      <c r="AK90" s="32"/>
      <c r="AL90" s="2"/>
      <c r="AM90" s="2"/>
    </row>
    <row r="91">
      <c r="A91" s="39"/>
      <c r="B91" s="87"/>
      <c r="C91" s="96" t="s">
        <v>192</v>
      </c>
      <c r="D91" s="97" t="s">
        <v>175</v>
      </c>
      <c r="E91" s="63">
        <v>5000.0</v>
      </c>
      <c r="F91" s="64">
        <v>80000.0</v>
      </c>
      <c r="G91" s="62" t="s">
        <v>176</v>
      </c>
      <c r="H91" s="52"/>
      <c r="I91" s="53"/>
      <c r="J91" s="65">
        <v>16.0</v>
      </c>
      <c r="K91" s="53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32"/>
      <c r="AK91" s="32"/>
      <c r="AL91" s="2"/>
      <c r="AM91" s="2"/>
    </row>
    <row r="92">
      <c r="A92" s="39"/>
      <c r="B92" s="87"/>
      <c r="C92" s="96" t="s">
        <v>193</v>
      </c>
      <c r="D92" s="97" t="s">
        <v>175</v>
      </c>
      <c r="E92" s="63">
        <v>3000.0</v>
      </c>
      <c r="F92" s="64">
        <v>48000.0</v>
      </c>
      <c r="G92" s="62" t="s">
        <v>176</v>
      </c>
      <c r="H92" s="52"/>
      <c r="I92" s="53"/>
      <c r="J92" s="65">
        <v>16.0</v>
      </c>
      <c r="K92" s="53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32"/>
      <c r="AK92" s="32"/>
      <c r="AL92" s="2"/>
      <c r="AM92" s="2"/>
    </row>
    <row r="93">
      <c r="A93" s="39"/>
      <c r="B93" s="87"/>
      <c r="C93" s="96" t="s">
        <v>194</v>
      </c>
      <c r="D93" s="97" t="s">
        <v>175</v>
      </c>
      <c r="E93" s="63">
        <v>3000.0</v>
      </c>
      <c r="F93" s="64">
        <v>48000.0</v>
      </c>
      <c r="G93" s="62" t="s">
        <v>176</v>
      </c>
      <c r="H93" s="52"/>
      <c r="I93" s="53"/>
      <c r="J93" s="65">
        <v>16.0</v>
      </c>
      <c r="K93" s="53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32"/>
      <c r="AK93" s="32"/>
      <c r="AL93" s="2"/>
      <c r="AM93" s="2"/>
    </row>
    <row r="94">
      <c r="A94" s="99"/>
      <c r="B94" s="87"/>
      <c r="C94" s="100" t="s">
        <v>195</v>
      </c>
      <c r="D94" s="58" t="s">
        <v>186</v>
      </c>
      <c r="E94" s="86">
        <v>7500.0</v>
      </c>
      <c r="F94" s="101">
        <v>82500.0</v>
      </c>
      <c r="G94" s="102" t="s">
        <v>176</v>
      </c>
      <c r="H94" s="103"/>
      <c r="I94" s="53"/>
      <c r="J94" s="65">
        <v>11.0</v>
      </c>
      <c r="K94" s="53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2"/>
      <c r="AK94" s="2"/>
    </row>
    <row r="95" ht="15.75" customHeight="1">
      <c r="A95" s="104" t="s">
        <v>196</v>
      </c>
      <c r="B95" s="6"/>
      <c r="C95" s="6"/>
      <c r="D95" s="105">
        <f>sum(F11:F94)</f>
        <v>2468241</v>
      </c>
      <c r="E95" s="106"/>
      <c r="F95" s="106"/>
      <c r="G95" s="11"/>
      <c r="H95" s="1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15.75" hidden="1" customHeight="1">
      <c r="A96" s="107" t="s">
        <v>197</v>
      </c>
      <c r="B96" s="108"/>
      <c r="C96" s="108"/>
      <c r="D96" s="109">
        <f>PRODUCT(D95,0.1)</f>
        <v>246824.1</v>
      </c>
      <c r="E96" s="110"/>
      <c r="F96" s="111"/>
      <c r="G96" s="11"/>
      <c r="H96" s="11"/>
      <c r="I96" s="112"/>
      <c r="K96" s="112"/>
      <c r="AH96" s="112"/>
      <c r="AI96" s="2"/>
      <c r="AJ96" s="2"/>
      <c r="AK96" s="2"/>
    </row>
    <row r="97" ht="15.75" hidden="1" customHeight="1">
      <c r="A97" s="99" t="s">
        <v>198</v>
      </c>
      <c r="B97" s="113"/>
      <c r="C97" s="113"/>
      <c r="D97" s="114">
        <f>PRODUCT(D95,0.1)</f>
        <v>246824.1</v>
      </c>
      <c r="E97" s="115"/>
      <c r="F97" s="116"/>
      <c r="G97" s="11"/>
      <c r="H97" s="11"/>
      <c r="I97" s="117"/>
      <c r="J97" s="117"/>
      <c r="K97" s="118"/>
      <c r="AH97" s="118"/>
      <c r="AI97" s="2"/>
      <c r="AJ97" s="2"/>
      <c r="AK97" s="2"/>
    </row>
    <row r="98" ht="15.75" hidden="1" customHeight="1">
      <c r="A98" s="99" t="s">
        <v>199</v>
      </c>
      <c r="B98" s="113"/>
      <c r="C98" s="113"/>
      <c r="D98" s="114">
        <f>SUM(D95:F97)</f>
        <v>2961889.2</v>
      </c>
      <c r="E98" s="115"/>
      <c r="F98" s="116"/>
      <c r="G98" s="11"/>
      <c r="H98" s="11"/>
      <c r="I98" s="117"/>
      <c r="J98" s="117"/>
      <c r="K98" s="118"/>
      <c r="AH98" s="118"/>
      <c r="AI98" s="2"/>
      <c r="AJ98" s="2"/>
      <c r="AK98" s="2"/>
    </row>
    <row r="99" ht="15.75" customHeight="1">
      <c r="A99" s="119"/>
      <c r="B99" s="6"/>
      <c r="C99" s="6"/>
      <c r="D99" s="2"/>
      <c r="E99" s="9"/>
      <c r="F99" s="10"/>
      <c r="G99" s="11"/>
      <c r="H99" s="11"/>
      <c r="I99" s="117"/>
      <c r="J99" s="117"/>
      <c r="K99" s="118"/>
      <c r="AH99" s="118"/>
      <c r="AI99" s="2"/>
      <c r="AJ99" s="2"/>
      <c r="AK99" s="2"/>
    </row>
    <row r="100" ht="15.75" customHeight="1">
      <c r="A100" s="120" t="s">
        <v>200</v>
      </c>
      <c r="B100" s="6"/>
      <c r="C100" s="6"/>
      <c r="D100" s="2"/>
      <c r="E100" s="9"/>
      <c r="F100" s="10"/>
      <c r="G100" s="11"/>
      <c r="H100" s="1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ht="15.75" customHeight="1">
      <c r="A101" s="121"/>
      <c r="B101" s="6"/>
      <c r="C101" s="6"/>
      <c r="D101" s="2"/>
      <c r="E101" s="9"/>
      <c r="F101" s="10"/>
      <c r="G101" s="11"/>
      <c r="H101" s="1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15.75" customHeight="1">
      <c r="A102" s="122" t="s">
        <v>201</v>
      </c>
      <c r="B102" s="123"/>
      <c r="C102" s="123"/>
      <c r="D102" s="124" t="s">
        <v>202</v>
      </c>
      <c r="E102" s="125"/>
      <c r="F102" s="126"/>
      <c r="G102" s="127" t="s">
        <v>203</v>
      </c>
      <c r="H102" s="128"/>
      <c r="I102" s="128"/>
      <c r="J102" s="129" t="s">
        <v>204</v>
      </c>
      <c r="K102" s="128"/>
      <c r="L102" s="128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17"/>
    </row>
    <row r="103" ht="15.75" customHeight="1">
      <c r="A103" s="122"/>
      <c r="B103" s="123"/>
      <c r="C103" s="123"/>
      <c r="D103" s="128"/>
      <c r="E103" s="125"/>
      <c r="F103" s="126"/>
      <c r="G103" s="128"/>
      <c r="H103" s="128"/>
      <c r="I103" s="128"/>
      <c r="J103" s="128"/>
      <c r="K103" s="128"/>
      <c r="L103" s="128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117"/>
      <c r="AK103" s="117"/>
    </row>
    <row r="104" ht="15.75" customHeight="1">
      <c r="A104" s="123"/>
      <c r="B104" s="123"/>
      <c r="C104" s="123"/>
      <c r="D104" s="128"/>
      <c r="E104" s="125"/>
      <c r="F104" s="126"/>
      <c r="G104" s="128"/>
      <c r="H104" s="128"/>
      <c r="I104" s="128"/>
      <c r="J104" s="128"/>
      <c r="K104" s="128"/>
      <c r="L104" s="128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117"/>
      <c r="AK104" s="117"/>
    </row>
    <row r="105" ht="15.75" customHeight="1">
      <c r="A105" s="130" t="s">
        <v>205</v>
      </c>
      <c r="D105" s="129" t="s">
        <v>206</v>
      </c>
      <c r="E105" s="125"/>
      <c r="F105" s="126"/>
      <c r="G105" s="127" t="s">
        <v>207</v>
      </c>
      <c r="H105" s="128"/>
      <c r="I105" s="128"/>
      <c r="J105" s="129" t="s">
        <v>208</v>
      </c>
      <c r="K105" s="128"/>
      <c r="L105" s="128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5.0" customHeight="1">
      <c r="A106" s="131" t="s">
        <v>209</v>
      </c>
      <c r="D106" s="132" t="s">
        <v>210</v>
      </c>
      <c r="E106" s="125"/>
      <c r="F106" s="126"/>
      <c r="G106" s="128" t="s">
        <v>211</v>
      </c>
      <c r="H106" s="128"/>
      <c r="I106" s="128"/>
      <c r="J106" s="132" t="s">
        <v>212</v>
      </c>
      <c r="K106" s="128"/>
      <c r="L106" s="128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117"/>
      <c r="AK106" s="117"/>
    </row>
    <row r="107" ht="15.75" customHeight="1">
      <c r="A107" s="2"/>
      <c r="B107" s="2"/>
      <c r="C107" s="2"/>
      <c r="D107" s="128"/>
      <c r="E107" s="125"/>
      <c r="F107" s="126"/>
      <c r="G107" s="128"/>
      <c r="H107" s="128"/>
      <c r="I107" s="128"/>
      <c r="J107" s="128"/>
      <c r="K107" s="128"/>
      <c r="L107" s="128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15.75" customHeight="1">
      <c r="A108" s="2" t="s">
        <v>213</v>
      </c>
      <c r="B108" s="2"/>
      <c r="C108" s="2"/>
      <c r="D108" s="132" t="s">
        <v>214</v>
      </c>
      <c r="E108" s="125"/>
      <c r="F108" s="126"/>
      <c r="G108" s="128" t="s">
        <v>214</v>
      </c>
      <c r="H108" s="128"/>
      <c r="I108" s="128"/>
      <c r="J108" s="132" t="s">
        <v>214</v>
      </c>
      <c r="K108" s="128"/>
      <c r="L108" s="128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15.75" customHeight="1">
      <c r="D109" s="2"/>
      <c r="E109" s="9"/>
      <c r="F109" s="10"/>
      <c r="G109" s="11"/>
      <c r="H109" s="1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5.75" customHeight="1">
      <c r="D110" s="2"/>
      <c r="E110" s="9"/>
      <c r="F110" s="10"/>
      <c r="G110" s="11"/>
      <c r="H110" s="1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5.75" customHeight="1">
      <c r="D111" s="2"/>
      <c r="E111" s="9"/>
      <c r="F111" s="10"/>
      <c r="G111" s="11"/>
      <c r="H111" s="1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5.75" customHeight="1">
      <c r="D112" s="2"/>
      <c r="E112" s="9"/>
      <c r="F112" s="10"/>
      <c r="G112" s="11"/>
      <c r="H112" s="1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5.75" customHeight="1">
      <c r="D113" s="2"/>
      <c r="E113" s="9"/>
      <c r="F113" s="10"/>
      <c r="G113" s="11"/>
      <c r="H113" s="1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5.75" customHeight="1">
      <c r="E114" s="133"/>
    </row>
    <row r="115" ht="15.75" customHeight="1">
      <c r="E115" s="133"/>
    </row>
    <row r="116" ht="15.75" customHeight="1">
      <c r="E116" s="133"/>
    </row>
    <row r="117" ht="15.75" customHeight="1">
      <c r="E117" s="133"/>
    </row>
    <row r="118" ht="15.75" customHeight="1">
      <c r="E118" s="133"/>
    </row>
    <row r="119" ht="15.75" customHeight="1">
      <c r="E119" s="133"/>
    </row>
    <row r="120" ht="15.75" customHeight="1">
      <c r="E120" s="133"/>
    </row>
    <row r="121" ht="15.75" customHeight="1">
      <c r="E121" s="133"/>
    </row>
    <row r="122" ht="15.75" customHeight="1">
      <c r="E122" s="133"/>
    </row>
    <row r="123" ht="15.75" customHeight="1">
      <c r="E123" s="133"/>
    </row>
    <row r="124" ht="15.75" customHeight="1">
      <c r="E124" s="133"/>
    </row>
    <row r="125" ht="15.75" customHeight="1">
      <c r="E125" s="133"/>
    </row>
    <row r="126" ht="15.75" customHeight="1">
      <c r="E126" s="133"/>
    </row>
    <row r="127" ht="15.75" customHeight="1">
      <c r="E127" s="133"/>
    </row>
    <row r="128" ht="15.75" customHeight="1">
      <c r="E128" s="133"/>
    </row>
    <row r="129" ht="15.75" customHeight="1">
      <c r="E129" s="133"/>
    </row>
    <row r="130" ht="15.75" customHeight="1">
      <c r="E130" s="133"/>
    </row>
    <row r="131" ht="15.75" customHeight="1">
      <c r="E131" s="133"/>
    </row>
    <row r="132" ht="15.75" customHeight="1">
      <c r="E132" s="133"/>
    </row>
    <row r="133" ht="15.75" customHeight="1">
      <c r="E133" s="133"/>
    </row>
    <row r="134" ht="15.75" customHeight="1">
      <c r="E134" s="133"/>
    </row>
    <row r="135" ht="15.75" customHeight="1">
      <c r="E135" s="133"/>
    </row>
    <row r="136" ht="15.75" customHeight="1">
      <c r="E136" s="133"/>
    </row>
    <row r="137" ht="15.75" customHeight="1">
      <c r="E137" s="133"/>
    </row>
    <row r="138" ht="15.75" customHeight="1">
      <c r="E138" s="133"/>
    </row>
    <row r="139" ht="15.75" customHeight="1">
      <c r="E139" s="133"/>
    </row>
    <row r="140" ht="15.75" customHeight="1">
      <c r="E140" s="133"/>
    </row>
    <row r="141" ht="15.75" customHeight="1">
      <c r="E141" s="133"/>
    </row>
    <row r="142" ht="15.75" customHeight="1">
      <c r="E142" s="133"/>
    </row>
    <row r="143" ht="15.75" customHeight="1">
      <c r="E143" s="133"/>
    </row>
    <row r="144" ht="15.75" customHeight="1">
      <c r="E144" s="133"/>
    </row>
    <row r="145" ht="15.75" customHeight="1">
      <c r="E145" s="133"/>
    </row>
    <row r="146" ht="15.75" customHeight="1">
      <c r="E146" s="133"/>
    </row>
    <row r="147" ht="15.75" customHeight="1">
      <c r="E147" s="133"/>
    </row>
    <row r="148" ht="15.75" customHeight="1">
      <c r="E148" s="133"/>
    </row>
    <row r="149" ht="15.75" customHeight="1">
      <c r="E149" s="133"/>
    </row>
    <row r="150" ht="15.75" customHeight="1">
      <c r="E150" s="133"/>
    </row>
    <row r="151" ht="15.75" customHeight="1">
      <c r="E151" s="133"/>
    </row>
    <row r="152" ht="15.75" customHeight="1">
      <c r="E152" s="133"/>
    </row>
    <row r="153" ht="15.75" customHeight="1">
      <c r="E153" s="133"/>
    </row>
    <row r="154" ht="15.75" customHeight="1">
      <c r="E154" s="133"/>
    </row>
    <row r="155" ht="15.75" customHeight="1">
      <c r="E155" s="133"/>
    </row>
    <row r="156" ht="15.75" customHeight="1">
      <c r="E156" s="133"/>
    </row>
    <row r="157" ht="15.75" customHeight="1">
      <c r="E157" s="133"/>
    </row>
    <row r="158" ht="15.75" customHeight="1">
      <c r="E158" s="133"/>
    </row>
    <row r="159" ht="15.75" customHeight="1">
      <c r="E159" s="133"/>
    </row>
    <row r="160" ht="15.75" customHeight="1">
      <c r="E160" s="133"/>
    </row>
    <row r="161" ht="15.75" customHeight="1">
      <c r="E161" s="133"/>
    </row>
    <row r="162" ht="15.75" customHeight="1">
      <c r="E162" s="133"/>
    </row>
    <row r="163" ht="15.75" customHeight="1">
      <c r="E163" s="133"/>
    </row>
    <row r="164" ht="15.75" customHeight="1">
      <c r="E164" s="133"/>
    </row>
    <row r="165" ht="15.75" customHeight="1">
      <c r="E165" s="133"/>
    </row>
    <row r="166" ht="15.75" customHeight="1">
      <c r="E166" s="133"/>
    </row>
    <row r="167" ht="15.75" customHeight="1">
      <c r="E167" s="133"/>
    </row>
    <row r="168" ht="15.75" customHeight="1">
      <c r="E168" s="133"/>
    </row>
    <row r="169" ht="15.75" customHeight="1">
      <c r="E169" s="133"/>
    </row>
    <row r="170" ht="15.75" customHeight="1">
      <c r="E170" s="133"/>
    </row>
    <row r="171" ht="15.75" customHeight="1">
      <c r="E171" s="133"/>
    </row>
    <row r="172" ht="15.75" customHeight="1">
      <c r="E172" s="133"/>
    </row>
    <row r="173" ht="15.75" customHeight="1">
      <c r="E173" s="133"/>
    </row>
    <row r="174" ht="15.75" customHeight="1">
      <c r="E174" s="133"/>
    </row>
    <row r="175" ht="15.75" customHeight="1">
      <c r="E175" s="133"/>
    </row>
    <row r="176" ht="15.75" customHeight="1">
      <c r="E176" s="133"/>
    </row>
    <row r="177" ht="15.75" customHeight="1">
      <c r="E177" s="133"/>
    </row>
    <row r="178" ht="15.75" customHeight="1">
      <c r="E178" s="133"/>
    </row>
    <row r="179" ht="15.75" customHeight="1">
      <c r="E179" s="133"/>
    </row>
    <row r="180" ht="15.75" customHeight="1">
      <c r="E180" s="133"/>
    </row>
    <row r="181" ht="15.75" customHeight="1">
      <c r="E181" s="133"/>
    </row>
    <row r="182" ht="15.75" customHeight="1">
      <c r="E182" s="133"/>
    </row>
    <row r="183" ht="15.75" customHeight="1">
      <c r="E183" s="133"/>
    </row>
    <row r="184" ht="15.75" customHeight="1">
      <c r="E184" s="133"/>
    </row>
    <row r="185" ht="15.75" customHeight="1">
      <c r="E185" s="133"/>
    </row>
    <row r="186" ht="15.75" customHeight="1">
      <c r="E186" s="133"/>
    </row>
    <row r="187" ht="15.75" customHeight="1">
      <c r="E187" s="133"/>
    </row>
    <row r="188" ht="15.75" customHeight="1">
      <c r="E188" s="133"/>
    </row>
    <row r="189" ht="15.75" customHeight="1">
      <c r="E189" s="133"/>
    </row>
    <row r="190" ht="15.75" customHeight="1">
      <c r="E190" s="133"/>
    </row>
    <row r="191" ht="15.75" customHeight="1">
      <c r="E191" s="133"/>
    </row>
    <row r="192" ht="15.75" customHeight="1">
      <c r="E192" s="133"/>
    </row>
    <row r="193" ht="15.75" customHeight="1">
      <c r="E193" s="133"/>
    </row>
    <row r="194" ht="15.75" customHeight="1">
      <c r="E194" s="133"/>
    </row>
    <row r="195" ht="15.75" customHeight="1">
      <c r="E195" s="133"/>
    </row>
    <row r="196" ht="15.75" customHeight="1">
      <c r="E196" s="133"/>
    </row>
    <row r="197" ht="15.75" customHeight="1">
      <c r="E197" s="133"/>
    </row>
    <row r="198" ht="15.75" customHeight="1">
      <c r="E198" s="133"/>
    </row>
    <row r="199" ht="15.75" customHeight="1">
      <c r="E199" s="133"/>
    </row>
    <row r="200" ht="15.75" customHeight="1">
      <c r="E200" s="133"/>
    </row>
    <row r="201" ht="15.75" customHeight="1">
      <c r="E201" s="133"/>
    </row>
    <row r="202" ht="15.75" customHeight="1">
      <c r="E202" s="133"/>
    </row>
    <row r="203" ht="15.75" customHeight="1">
      <c r="E203" s="133"/>
    </row>
    <row r="204" ht="15.75" customHeight="1">
      <c r="E204" s="133"/>
    </row>
    <row r="205" ht="15.75" customHeight="1">
      <c r="E205" s="133"/>
    </row>
    <row r="206" ht="15.75" customHeight="1">
      <c r="E206" s="133"/>
    </row>
    <row r="207" ht="15.75" customHeight="1">
      <c r="E207" s="133"/>
    </row>
    <row r="208" ht="15.75" customHeight="1">
      <c r="E208" s="133"/>
    </row>
    <row r="209" ht="15.75" customHeight="1">
      <c r="E209" s="133"/>
    </row>
    <row r="210" ht="15.75" customHeight="1">
      <c r="E210" s="133"/>
    </row>
    <row r="211" ht="15.75" customHeight="1">
      <c r="E211" s="133"/>
    </row>
    <row r="212" ht="15.75" customHeight="1">
      <c r="E212" s="133"/>
    </row>
    <row r="213" ht="15.75" customHeight="1">
      <c r="E213" s="133"/>
    </row>
    <row r="214" ht="15.75" customHeight="1">
      <c r="E214" s="133"/>
    </row>
    <row r="215" ht="15.75" customHeight="1">
      <c r="E215" s="133"/>
    </row>
    <row r="216" ht="15.75" customHeight="1">
      <c r="E216" s="133"/>
    </row>
    <row r="217" ht="15.75" customHeight="1">
      <c r="E217" s="133"/>
    </row>
    <row r="218" ht="15.75" customHeight="1">
      <c r="E218" s="133"/>
    </row>
    <row r="219" ht="15.75" customHeight="1">
      <c r="E219" s="133"/>
    </row>
    <row r="220" ht="15.75" customHeight="1">
      <c r="E220" s="133"/>
    </row>
    <row r="221" ht="15.75" customHeight="1">
      <c r="E221" s="133"/>
    </row>
    <row r="222" ht="15.75" customHeight="1">
      <c r="E222" s="133"/>
    </row>
    <row r="223" ht="15.75" customHeight="1">
      <c r="E223" s="133"/>
    </row>
    <row r="224" ht="15.75" customHeight="1">
      <c r="E224" s="133"/>
    </row>
    <row r="225" ht="15.75" customHeight="1">
      <c r="E225" s="133"/>
    </row>
    <row r="226" ht="15.75" customHeight="1">
      <c r="E226" s="133"/>
    </row>
    <row r="227" ht="15.75" customHeight="1">
      <c r="E227" s="133"/>
    </row>
    <row r="228" ht="15.75" customHeight="1">
      <c r="E228" s="133"/>
    </row>
    <row r="229" ht="15.75" customHeight="1">
      <c r="E229" s="133"/>
    </row>
    <row r="230" ht="15.75" customHeight="1">
      <c r="E230" s="133"/>
    </row>
    <row r="231" ht="15.75" customHeight="1">
      <c r="E231" s="133"/>
    </row>
    <row r="232" ht="15.75" customHeight="1">
      <c r="E232" s="133"/>
    </row>
    <row r="233" ht="15.75" customHeight="1">
      <c r="E233" s="133"/>
    </row>
    <row r="234" ht="15.75" customHeight="1">
      <c r="E234" s="133"/>
    </row>
    <row r="235" ht="15.75" customHeight="1">
      <c r="E235" s="133"/>
    </row>
    <row r="236" ht="15.75" customHeight="1">
      <c r="E236" s="133"/>
    </row>
    <row r="237" ht="15.75" customHeight="1">
      <c r="E237" s="133"/>
    </row>
    <row r="238" ht="15.75" customHeight="1">
      <c r="E238" s="133"/>
    </row>
    <row r="239" ht="15.75" customHeight="1">
      <c r="E239" s="133"/>
    </row>
    <row r="240" ht="15.75" customHeight="1">
      <c r="E240" s="133"/>
    </row>
    <row r="241" ht="15.75" customHeight="1">
      <c r="E241" s="133"/>
    </row>
    <row r="242" ht="15.75" customHeight="1">
      <c r="E242" s="133"/>
    </row>
    <row r="243" ht="15.75" customHeight="1">
      <c r="E243" s="133"/>
    </row>
    <row r="244" ht="15.75" customHeight="1">
      <c r="E244" s="133"/>
    </row>
    <row r="245" ht="15.75" customHeight="1">
      <c r="E245" s="133"/>
    </row>
    <row r="246" ht="15.75" customHeight="1">
      <c r="E246" s="133"/>
    </row>
    <row r="247" ht="15.75" customHeight="1">
      <c r="E247" s="133"/>
    </row>
    <row r="248" ht="15.75" customHeight="1">
      <c r="E248" s="133"/>
    </row>
    <row r="249" ht="15.75" customHeight="1">
      <c r="E249" s="133"/>
    </row>
    <row r="250" ht="15.75" customHeight="1">
      <c r="E250" s="133"/>
    </row>
    <row r="251" ht="15.75" customHeight="1">
      <c r="E251" s="133"/>
    </row>
    <row r="252" ht="15.75" customHeight="1">
      <c r="E252" s="133"/>
    </row>
    <row r="253" ht="15.75" customHeight="1">
      <c r="E253" s="133"/>
    </row>
    <row r="254" ht="15.75" customHeight="1">
      <c r="E254" s="133"/>
    </row>
    <row r="255" ht="15.75" customHeight="1">
      <c r="E255" s="133"/>
    </row>
    <row r="256" ht="15.75" customHeight="1">
      <c r="E256" s="133"/>
    </row>
    <row r="257" ht="15.75" customHeight="1">
      <c r="E257" s="133"/>
    </row>
    <row r="258" ht="15.75" customHeight="1">
      <c r="E258" s="133"/>
    </row>
    <row r="259" ht="15.75" customHeight="1">
      <c r="E259" s="133"/>
    </row>
    <row r="260" ht="15.75" customHeight="1">
      <c r="E260" s="133"/>
    </row>
    <row r="261" ht="15.75" customHeight="1">
      <c r="E261" s="133"/>
    </row>
    <row r="262" ht="15.75" customHeight="1">
      <c r="E262" s="133"/>
    </row>
    <row r="263" ht="15.75" customHeight="1">
      <c r="E263" s="133"/>
    </row>
    <row r="264" ht="15.75" customHeight="1">
      <c r="E264" s="133"/>
    </row>
    <row r="265" ht="15.75" customHeight="1">
      <c r="E265" s="133"/>
    </row>
    <row r="266" ht="15.75" customHeight="1">
      <c r="E266" s="133"/>
    </row>
    <row r="267" ht="15.75" customHeight="1">
      <c r="E267" s="133"/>
    </row>
    <row r="268" ht="15.75" customHeight="1">
      <c r="E268" s="133"/>
    </row>
    <row r="269" ht="15.75" customHeight="1">
      <c r="E269" s="133"/>
    </row>
    <row r="270" ht="15.75" customHeight="1">
      <c r="E270" s="133"/>
    </row>
    <row r="271" ht="15.75" customHeight="1">
      <c r="E271" s="133"/>
    </row>
    <row r="272" ht="15.75" customHeight="1">
      <c r="E272" s="133"/>
    </row>
    <row r="273" ht="15.75" customHeight="1">
      <c r="E273" s="133"/>
    </row>
    <row r="274" ht="15.75" customHeight="1">
      <c r="E274" s="133"/>
    </row>
    <row r="275" ht="15.75" customHeight="1">
      <c r="E275" s="133"/>
    </row>
    <row r="276" ht="15.75" customHeight="1">
      <c r="E276" s="133"/>
    </row>
    <row r="277" ht="15.75" customHeight="1">
      <c r="E277" s="133"/>
    </row>
    <row r="278" ht="15.75" customHeight="1">
      <c r="E278" s="133"/>
    </row>
    <row r="279" ht="15.75" customHeight="1">
      <c r="E279" s="133"/>
    </row>
    <row r="280" ht="15.75" customHeight="1">
      <c r="E280" s="133"/>
    </row>
    <row r="281" ht="15.75" customHeight="1">
      <c r="E281" s="133"/>
    </row>
    <row r="282" ht="15.75" customHeight="1">
      <c r="E282" s="133"/>
    </row>
    <row r="283" ht="15.75" customHeight="1">
      <c r="E283" s="133"/>
    </row>
    <row r="284" ht="15.75" customHeight="1">
      <c r="E284" s="133"/>
    </row>
    <row r="285" ht="15.75" customHeight="1">
      <c r="E285" s="133"/>
    </row>
    <row r="286" ht="15.75" customHeight="1">
      <c r="E286" s="133"/>
    </row>
    <row r="287" ht="15.75" customHeight="1">
      <c r="E287" s="133"/>
    </row>
    <row r="288" ht="15.75" customHeight="1">
      <c r="E288" s="133"/>
    </row>
    <row r="289" ht="15.75" customHeight="1">
      <c r="E289" s="133"/>
    </row>
    <row r="290" ht="15.75" customHeight="1">
      <c r="E290" s="133"/>
    </row>
    <row r="291" ht="15.75" customHeight="1">
      <c r="E291" s="133"/>
    </row>
    <row r="292" ht="15.75" customHeight="1">
      <c r="E292" s="133"/>
    </row>
    <row r="293" ht="15.75" customHeight="1">
      <c r="E293" s="133"/>
    </row>
    <row r="294" ht="15.75" customHeight="1">
      <c r="E294" s="133"/>
    </row>
    <row r="295" ht="15.75" customHeight="1">
      <c r="E295" s="133"/>
    </row>
    <row r="296" ht="15.75" customHeight="1">
      <c r="E296" s="133"/>
    </row>
    <row r="297" ht="15.75" customHeight="1">
      <c r="E297" s="133"/>
    </row>
    <row r="298" ht="15.75" customHeight="1">
      <c r="E298" s="133"/>
    </row>
    <row r="299" ht="15.75" customHeight="1">
      <c r="E299" s="133"/>
    </row>
    <row r="300" ht="15.75" customHeight="1">
      <c r="E300" s="133"/>
    </row>
    <row r="301" ht="15.75" customHeight="1">
      <c r="E301" s="133"/>
    </row>
    <row r="302" ht="15.75" customHeight="1">
      <c r="E302" s="133"/>
    </row>
    <row r="303" ht="15.75" customHeight="1">
      <c r="E303" s="133"/>
    </row>
    <row r="304" ht="15.75" customHeight="1">
      <c r="E304" s="133"/>
    </row>
    <row r="305" ht="15.75" customHeight="1">
      <c r="E305" s="133"/>
    </row>
    <row r="306" ht="15.75" customHeight="1">
      <c r="E306" s="133"/>
    </row>
    <row r="307" ht="15.75" customHeight="1">
      <c r="E307" s="133"/>
    </row>
    <row r="308" ht="15.75" customHeight="1">
      <c r="E308" s="133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</sheetData>
  <mergeCells count="46">
    <mergeCell ref="F68:F70"/>
    <mergeCell ref="D68:D70"/>
    <mergeCell ref="G68:G70"/>
    <mergeCell ref="G63:G65"/>
    <mergeCell ref="F35:F36"/>
    <mergeCell ref="G35:G36"/>
    <mergeCell ref="F38:F39"/>
    <mergeCell ref="G38:G39"/>
    <mergeCell ref="F40:F44"/>
    <mergeCell ref="G40:G44"/>
    <mergeCell ref="I96:J96"/>
    <mergeCell ref="F63:F65"/>
    <mergeCell ref="D63:D65"/>
    <mergeCell ref="D25:D33"/>
    <mergeCell ref="D35:D36"/>
    <mergeCell ref="D38:D39"/>
    <mergeCell ref="D40:D44"/>
    <mergeCell ref="D95:F95"/>
    <mergeCell ref="D96:F96"/>
    <mergeCell ref="D97:F97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4:D18"/>
    <mergeCell ref="F14:F18"/>
    <mergeCell ref="G14:G18"/>
    <mergeCell ref="F25:F33"/>
    <mergeCell ref="G25:G33"/>
    <mergeCell ref="K96:AG96"/>
    <mergeCell ref="K97:AG97"/>
    <mergeCell ref="K98:AG98"/>
    <mergeCell ref="K99:AG99"/>
    <mergeCell ref="D98:F98"/>
    <mergeCell ref="A105:C105"/>
    <mergeCell ref="A106:C106"/>
    <mergeCell ref="F51:F62"/>
    <mergeCell ref="G51:G62"/>
    <mergeCell ref="D51:D62"/>
  </mergeCells>
  <printOptions horizontalCentered="1"/>
  <pageMargins bottom="0.7480314960629921" footer="0.0" header="0.0" left="0.5014285714285714" right="0.24958263772954925" top="0.6185308848080133"/>
  <pageSetup fitToHeight="0" paperSize="14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