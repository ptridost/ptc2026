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FRONTIER-NTFIH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DSmFo12SpIUY6pBsIpdUoh/h9PhMH5fNZNLELGn0nIc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56">
      <text>
        <t xml:space="preserve">======
ID#AAAA-ZHBewo
upmnih    (2021-04-08 04:25:07)
Prepared by: Project Staff/ Research Associate</t>
      </text>
    </comment>
    <comment authorId="0" ref="C56">
      <text>
        <t xml:space="preserve">======
ID#AAAA-ZHBewc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gcIMmgbGK7b20Bzxkm2N9xsRT2ZA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h4Qgyrz2yLePTRpmfdaf6GwdybIg=="/>
    </ext>
  </extLst>
</comments>
</file>

<file path=xl/sharedStrings.xml><?xml version="1.0" encoding="utf-8"?>
<sst xmlns="http://schemas.openxmlformats.org/spreadsheetml/2006/main" count="201" uniqueCount="132">
  <si>
    <t xml:space="preserve">  PROJECT PROCUREMENT MANAGEMENT PLAN (PPMP) 2024</t>
  </si>
  <si>
    <t>For 2nd Quarter of CY 2024</t>
  </si>
  <si>
    <t>END-USER/UNIT: RDD-NFUS</t>
  </si>
  <si>
    <t xml:space="preserve">Charged to: Regeneration of Spent Liquor in Bamboo Textile Fiber (BTF) Production Towards   Circularity and Efficiency in BTF Processing 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</si>
  <si>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</si>
  <si>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</si>
  <si>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</si>
  <si>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</si>
  <si>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</si>
  <si>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</si>
  <si>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</si>
  <si>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</si>
  <si>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</si>
  <si>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</si>
  <si>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</si>
  <si>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</si>
  <si>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</si>
  <si>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</si>
  <si>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</si>
  <si>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</si>
  <si>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</si>
  <si>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</si>
  <si>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</si>
  <si>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</si>
  <si>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</si>
  <si>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</si>
  <si>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</si>
  <si>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</si>
  <si>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Indirect Cost - Supplies and Materials Expenses I Office Supplies Expenses</t>
  </si>
  <si>
    <t>Original Epson Inks (magenta, Cyan, Yellow and Black) - Indirect Cost</t>
  </si>
  <si>
    <t>1 lot</t>
  </si>
  <si>
    <t>Shopping</t>
  </si>
  <si>
    <t>15-30 working days</t>
  </si>
  <si>
    <t>Laboratory Supplies</t>
  </si>
  <si>
    <t>Gooch Crucibles 50ml</t>
  </si>
  <si>
    <t>8 pcs</t>
  </si>
  <si>
    <t>Sodium Hydroxide
- Technical grade, ≥48% purity
- 30 kg/cby</t>
  </si>
  <si>
    <t>5 cbys</t>
  </si>
  <si>
    <t>60 working days</t>
  </si>
  <si>
    <t>Acetic Acid 50%, AR. 30kg/cby</t>
  </si>
  <si>
    <t>5 cby</t>
  </si>
  <si>
    <t>Sodium Metabisulfite, technical grade 1kg/pack</t>
  </si>
  <si>
    <t>10 kg</t>
  </si>
  <si>
    <t>Sodium Silicate, Technical Grade, 4L/gal</t>
  </si>
  <si>
    <t>5 gal</t>
  </si>
  <si>
    <t>Wetting Agent, Cleanmate</t>
  </si>
  <si>
    <t>4 gal</t>
  </si>
  <si>
    <t>Other Supplies</t>
  </si>
  <si>
    <r>
      <rPr>
        <rFont val="Arial"/>
        <b/>
        <color theme="1"/>
        <sz val="11.0"/>
      </rPr>
      <t>Token Packaging Box;</t>
    </r>
    <r>
      <rPr>
        <rFont val="Arial"/>
        <b val="0"/>
        <color theme="1"/>
        <sz val="11.0"/>
      </rPr>
      <t xml:space="preserve"> </t>
    </r>
    <r>
      <rPr>
        <rFont val="Arial"/>
        <b val="0"/>
        <i/>
        <color theme="1"/>
        <sz val="11.0"/>
      </rPr>
      <t>-Size:7.25"W x 9.25H x 1.5"Thickness -Material: Hamuti Abaca and Chipboard -For MOA Signing and Launching of NTFIH in Laguna, Leyte and Davao</t>
    </r>
  </si>
  <si>
    <t>20 pcs</t>
  </si>
  <si>
    <r>
      <rPr>
        <rFont val="Arial"/>
        <b/>
        <color theme="1"/>
        <sz val="11.0"/>
      </rPr>
      <t xml:space="preserve">Full Fabric Notebook as Tokens </t>
    </r>
    <r>
      <rPr>
        <rFont val="Arial"/>
        <b val="0"/>
        <i/>
        <color theme="1"/>
        <sz val="11.0"/>
      </rPr>
      <t>-Size:6.5"W x 8.75H -Material: Indiginous Accent: Binakol and T'nalak with magnetic lock, Inclusive of Bamboo Pen (Blue Ink) -For MOA Signing and Launching of NTFIH in Laguna, Leyte and Davao</t>
    </r>
  </si>
  <si>
    <t>Certificate Holder A4 Size</t>
  </si>
  <si>
    <t>10 pcs</t>
  </si>
  <si>
    <t>10 pieces Bamboo Lei/Lanyard</t>
  </si>
  <si>
    <t>Autosweep RFID Load</t>
  </si>
  <si>
    <t>Capital Outlay (Equipment)</t>
  </si>
  <si>
    <t>none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</si>
  <si>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</si>
  <si>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</si>
  <si>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</si>
  <si>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</si>
  <si>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</si>
  <si>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</si>
  <si>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</si>
  <si>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</si>
  <si>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</si>
  <si>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</si>
  <si>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</si>
  <si>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</si>
  <si>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ENGR. RONALD S. PECHERA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</si>
  <si>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</si>
  <si>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</si>
  <si>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</si>
  <si>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</si>
  <si>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</si>
  <si>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</si>
  <si>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</si>
  <si>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</si>
  <si>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Fabric Softener 1kg</t>
  </si>
  <si>
    <t xml:space="preserve">For Isabela, </t>
  </si>
  <si>
    <t>5 cby NaOH</t>
  </si>
  <si>
    <t>5 cby Acetic Acid</t>
  </si>
  <si>
    <r>
      <rPr>
        <rFont val="Arial"/>
        <b/>
        <color theme="1"/>
        <sz val="9.0"/>
      </rPr>
      <t>Token Packaging Box;</t>
    </r>
    <r>
      <rPr>
        <rFont val="Arial"/>
        <b val="0"/>
        <color theme="1"/>
        <sz val="9.0"/>
      </rPr>
      <t xml:space="preserve"> </t>
    </r>
    <r>
      <rPr>
        <rFont val="Arial"/>
        <b val="0"/>
        <i/>
        <color theme="1"/>
        <sz val="9.0"/>
      </rPr>
      <t>-Size:7.25"W x 9.25H x 1.5"Thickness -Material: Hamuti Abaca and Chipboard -For MOA Signing and Launching of NTFIH in Laguna, Leyte and Davao</t>
    </r>
  </si>
  <si>
    <t>5 sacks Sodium Metabisulfide</t>
  </si>
  <si>
    <r>
      <rPr>
        <rFont val="Arial"/>
        <b/>
        <color theme="1"/>
        <sz val="9.0"/>
      </rPr>
      <t xml:space="preserve">Full Fabric Notebook as Tokens </t>
    </r>
    <r>
      <rPr>
        <rFont val="Arial"/>
        <b val="0"/>
        <i/>
        <color theme="1"/>
        <sz val="9.0"/>
      </rPr>
      <t>-Size:6.5"W x 8.75H -Material: Indiginous Accent: Binakol and T'nalak with magnetic lock, Inclusive of Bamboo Pen (Blue Ink) -For MOA Signing and Launching of NTFIH in Laguna, Leyte and Davao</t>
    </r>
  </si>
  <si>
    <t>4 gallon Cleanmate</t>
  </si>
  <si>
    <t>5 gallon Sodium Silicate</t>
  </si>
  <si>
    <t>Travel Expenses</t>
  </si>
  <si>
    <t>LIB</t>
  </si>
  <si>
    <t>x</t>
  </si>
  <si>
    <t>Sodium Hydroxide</t>
  </si>
  <si>
    <t>NaOH Micropearls</t>
  </si>
  <si>
    <t>Lab Bottles</t>
  </si>
  <si>
    <t>Various Chemicas</t>
  </si>
  <si>
    <t>Crucibles</t>
  </si>
  <si>
    <t>TOTAL</t>
  </si>
  <si>
    <t>Various Faucets</t>
  </si>
  <si>
    <t>Tokens</t>
  </si>
  <si>
    <t>Other Professional Services</t>
  </si>
  <si>
    <t>Testing Services</t>
  </si>
  <si>
    <t>Indirect Cost</t>
  </si>
  <si>
    <t>Original Inks</t>
  </si>
  <si>
    <t>Over All Total</t>
  </si>
  <si>
    <t>note!!!!!!!!!!!!!!!!!!!!!!!!</t>
  </si>
  <si>
    <t>SWAP</t>
  </si>
  <si>
    <t xml:space="preserve"> HONORARIA  TO OPS</t>
  </si>
  <si>
    <t>EO TO LABORTAORY</t>
  </si>
  <si>
    <t>For 1st Quarter of CY 2024</t>
  </si>
  <si>
    <t>(Sample Only)</t>
  </si>
  <si>
    <t>Machining of components H1</t>
  </si>
  <si>
    <t>4 units</t>
  </si>
  <si>
    <t>Small Value Procurement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</si>
  <si>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</si>
  <si>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</si>
  <si>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</si>
  <si>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</si>
  <si>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</si>
  <si>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</si>
  <si>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</si>
  <si>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</si>
  <si>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</si>
  <si>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</si>
  <si>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</si>
  <si>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</si>
  <si>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</si>
  <si>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</si>
  <si>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</si>
  <si>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</si>
  <si>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</si>
  <si>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10 boxes</t>
  </si>
  <si>
    <t>Alcohol swab</t>
  </si>
  <si>
    <t>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</si>
</sst>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#,##0.00;[Red]#,##0.00"/>
  </numFmts>
  <fonts count="28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1.0"/>
      <color rgb="FFFF0000"/>
      <name val="Arial"/>
    </font>
    <font>
      <sz val="11.0"/>
      <color rgb="FFFF0000"/>
      <name val="Calibri"/>
    </font>
    <font>
      <b/>
      <sz val="10.0"/>
      <color rgb="FFFF0000"/>
      <name val="Verdana"/>
    </font>
    <font>
      <sz val="11.0"/>
      <color rgb="FF548135"/>
      <name val="Arial"/>
    </font>
    <font>
      <b/>
      <sz val="11.0"/>
      <color rgb="FFC00000"/>
      <name val="Arial"/>
    </font>
    <font>
      <i/>
      <sz val="11.0"/>
      <color theme="1"/>
      <name val="Arial"/>
    </font>
    <font>
      <sz val="11.0"/>
      <color theme="0"/>
      <name val="Arial"/>
    </font>
    <font>
      <sz val="11.0"/>
      <color theme="0"/>
      <name val="Calibri"/>
    </font>
    <font>
      <sz val="10.0"/>
      <color theme="1"/>
      <name val="Calibri"/>
    </font>
    <font>
      <sz val="10.0"/>
      <color theme="1"/>
      <name val="Verdana"/>
    </font>
  </fonts>
  <fills count="1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595959"/>
        <bgColor rgb="FF595959"/>
      </patternFill>
    </fill>
    <fill>
      <patternFill patternType="solid">
        <fgColor rgb="FF000000"/>
        <bgColor rgb="FF000000"/>
      </patternFill>
    </fill>
    <fill>
      <patternFill patternType="solid">
        <fgColor rgb="FFC00000"/>
        <bgColor rgb="FFC00000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2" numFmtId="0" xfId="0" applyBorder="1" applyFont="1"/>
    <xf borderId="13" fillId="2" fontId="10" numFmtId="49" xfId="0" applyBorder="1" applyFill="1" applyFont="1" applyNumberFormat="1"/>
    <xf borderId="14" fillId="2" fontId="2" numFmtId="0" xfId="0" applyBorder="1" applyFont="1"/>
    <xf borderId="13" fillId="2" fontId="2" numFmtId="4" xfId="0" applyBorder="1" applyFont="1" applyNumberFormat="1"/>
    <xf borderId="13" fillId="2" fontId="2" numFmtId="164" xfId="0" applyBorder="1" applyFont="1" applyNumberFormat="1"/>
    <xf borderId="13" fillId="2" fontId="2" numFmtId="0" xfId="0" applyBorder="1" applyFont="1"/>
    <xf borderId="15" fillId="3" fontId="10" numFmtId="0" xfId="0" applyAlignment="1" applyBorder="1" applyFill="1" applyFont="1">
      <alignment horizontal="center" shrinkToFit="0" vertical="center" wrapText="1"/>
    </xf>
    <xf borderId="16" fillId="3" fontId="2" numFmtId="49" xfId="0" applyBorder="1" applyFont="1" applyNumberFormat="1"/>
    <xf borderId="16" fillId="3" fontId="2" numFmtId="0" xfId="0" applyAlignment="1" applyBorder="1" applyFont="1">
      <alignment horizontal="center"/>
    </xf>
    <xf borderId="16" fillId="3" fontId="2" numFmtId="4" xfId="0" applyAlignment="1" applyBorder="1" applyFont="1" applyNumberFormat="1">
      <alignment horizontal="right" shrinkToFit="0" wrapText="1"/>
    </xf>
    <xf borderId="17" fillId="3" fontId="2" numFmtId="164" xfId="0" applyAlignment="1" applyBorder="1" applyFont="1" applyNumberForma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6" fillId="3" fontId="2" numFmtId="0" xfId="0" applyBorder="1" applyFont="1"/>
    <xf borderId="18" fillId="3" fontId="9" numFmtId="0" xfId="0" applyBorder="1" applyFont="1"/>
    <xf borderId="18" fillId="3" fontId="2" numFmtId="0" xfId="0" applyBorder="1" applyFont="1"/>
    <xf borderId="19" fillId="2" fontId="2" numFmtId="0" xfId="0" applyBorder="1" applyFont="1"/>
    <xf borderId="20" fillId="3" fontId="2" numFmtId="49" xfId="0" applyAlignment="1" applyBorder="1" applyFont="1" applyNumberFormat="1">
      <alignment shrinkToFit="0" wrapText="1"/>
    </xf>
    <xf borderId="16" fillId="3" fontId="2" numFmtId="0" xfId="0" applyAlignment="1" applyBorder="1" applyFont="1">
      <alignment horizontal="center" readingOrder="0"/>
    </xf>
    <xf borderId="13" fillId="3" fontId="2" numFmtId="4" xfId="0" applyAlignment="1" applyBorder="1" applyFont="1" applyNumberFormat="1">
      <alignment horizontal="right" readingOrder="0" shrinkToFit="0" wrapText="1"/>
    </xf>
    <xf borderId="19" fillId="3" fontId="2" numFmtId="164" xfId="0" applyAlignment="1" applyBorder="1" applyFont="1" applyNumberFormat="1">
      <alignment horizontal="center" shrinkToFit="0" vertical="center" wrapText="1"/>
    </xf>
    <xf borderId="21" fillId="3" fontId="2" numFmtId="0" xfId="0" applyBorder="1" applyFont="1"/>
    <xf borderId="13" fillId="3" fontId="2" numFmtId="0" xfId="0" applyAlignment="1" applyBorder="1" applyFont="1">
      <alignment readingOrder="0"/>
    </xf>
    <xf borderId="13" fillId="3" fontId="2" numFmtId="0" xfId="0" applyBorder="1" applyFont="1"/>
    <xf borderId="22" fillId="3" fontId="10" numFmtId="0" xfId="0" applyAlignment="1" applyBorder="1" applyFont="1">
      <alignment horizontal="center" shrinkToFit="0" vertical="center" wrapText="1"/>
    </xf>
    <xf borderId="13" fillId="3" fontId="2" numFmtId="4" xfId="0" applyAlignment="1" applyBorder="1" applyFont="1" applyNumberFormat="1">
      <alignment horizontal="right" shrinkToFit="0" wrapText="1"/>
    </xf>
    <xf borderId="23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16" fillId="3" fontId="2" numFmtId="0" xfId="0" applyAlignment="1" applyBorder="1" applyFont="1">
      <alignment horizontal="center" vertical="center"/>
    </xf>
    <xf borderId="23" fillId="0" fontId="8" numFmtId="0" xfId="0" applyBorder="1" applyFont="1"/>
    <xf borderId="25" fillId="0" fontId="8" numFmtId="0" xfId="0" applyBorder="1" applyFont="1"/>
    <xf borderId="19" fillId="4" fontId="10" numFmtId="0" xfId="0" applyBorder="1" applyFill="1" applyFont="1"/>
    <xf borderId="19" fillId="4" fontId="2" numFmtId="0" xfId="0" applyBorder="1" applyFont="1"/>
    <xf borderId="19" fillId="4" fontId="2" numFmtId="4" xfId="0" applyBorder="1" applyFont="1" applyNumberFormat="1"/>
    <xf borderId="13" fillId="4" fontId="2" numFmtId="0" xfId="0" applyBorder="1" applyFont="1"/>
    <xf borderId="26" fillId="3" fontId="2" numFmtId="0" xfId="0" applyBorder="1" applyFont="1"/>
    <xf borderId="16" fillId="5" fontId="10" numFmtId="0" xfId="0" applyAlignment="1" applyBorder="1" applyFill="1" applyFont="1">
      <alignment shrinkToFit="0" vertical="center" wrapText="1"/>
    </xf>
    <xf borderId="16" fillId="5" fontId="2" numFmtId="0" xfId="0" applyAlignment="1" applyBorder="1" applyFont="1">
      <alignment horizontal="center" shrinkToFit="0" vertical="center" wrapText="1"/>
    </xf>
    <xf borderId="16" fillId="5" fontId="2" numFmtId="0" xfId="0" applyAlignment="1" applyBorder="1" applyFont="1">
      <alignment horizontal="right" shrinkToFit="0" vertical="center" wrapText="1"/>
    </xf>
    <xf borderId="16" fillId="3" fontId="2" numFmtId="4" xfId="0" applyAlignment="1" applyBorder="1" applyFont="1" applyNumberFormat="1">
      <alignment horizontal="right" shrinkToFit="0" vertical="center" wrapText="1"/>
    </xf>
    <xf borderId="13" fillId="3" fontId="2" numFmtId="0" xfId="0" applyAlignment="1" applyBorder="1" applyFont="1">
      <alignment horizontal="right"/>
    </xf>
    <xf borderId="27" fillId="3" fontId="2" numFmtId="0" xfId="0" applyBorder="1" applyFont="1"/>
    <xf borderId="16" fillId="5" fontId="2" numFmtId="4" xfId="0" applyAlignment="1" applyBorder="1" applyFont="1" applyNumberFormat="1">
      <alignment horizontal="right" shrinkToFit="0" vertical="center" wrapText="1"/>
    </xf>
    <xf borderId="14" fillId="3" fontId="2" numFmtId="0" xfId="0" applyAlignment="1" applyBorder="1" applyFont="1">
      <alignment horizontal="right"/>
    </xf>
    <xf borderId="14" fillId="3" fontId="2" numFmtId="0" xfId="0" applyBorder="1" applyFont="1"/>
    <xf borderId="16" fillId="5" fontId="2" numFmtId="0" xfId="0" applyAlignment="1" applyBorder="1" applyFont="1">
      <alignment shrinkToFit="0" vertical="center" wrapText="1"/>
    </xf>
    <xf borderId="28" fillId="5" fontId="2" numFmtId="0" xfId="0" applyAlignment="1" applyBorder="1" applyFont="1">
      <alignment horizontal="center" shrinkToFit="0" vertical="center" wrapText="1"/>
    </xf>
    <xf borderId="18" fillId="3" fontId="2" numFmtId="4" xfId="0" applyAlignment="1" applyBorder="1" applyFont="1" applyNumberFormat="1">
      <alignment horizontal="right" shrinkToFit="0" vertical="center" wrapText="1"/>
    </xf>
    <xf borderId="16" fillId="0" fontId="2" numFmtId="0" xfId="0" applyBorder="1" applyFont="1"/>
    <xf borderId="29" fillId="3" fontId="2" numFmtId="0" xfId="0" applyAlignment="1" applyBorder="1" applyFont="1">
      <alignment horizontal="center" shrinkToFit="0" vertical="center" wrapText="1"/>
    </xf>
    <xf borderId="16" fillId="5" fontId="2" numFmtId="4" xfId="0" applyAlignment="1" applyBorder="1" applyFont="1" applyNumberFormat="1">
      <alignment horizontal="right" shrinkToFit="0" wrapText="1"/>
    </xf>
    <xf borderId="13" fillId="3" fontId="2" numFmtId="164" xfId="0" applyAlignment="1" applyBorder="1" applyFont="1" applyNumberFormat="1">
      <alignment horizontal="center" shrinkToFit="0" wrapText="1"/>
    </xf>
    <xf borderId="16" fillId="5" fontId="2" numFmtId="0" xfId="0" applyAlignment="1" applyBorder="1" applyFont="1">
      <alignment readingOrder="0" shrinkToFit="0" wrapText="1"/>
    </xf>
    <xf borderId="29" fillId="3" fontId="2" numFmtId="0" xfId="0" applyAlignment="1" applyBorder="1" applyFont="1">
      <alignment horizontal="center" readingOrder="0" shrinkToFit="0" vertical="center" wrapText="1"/>
    </xf>
    <xf borderId="16" fillId="5" fontId="2" numFmtId="4" xfId="0" applyAlignment="1" applyBorder="1" applyFont="1" applyNumberFormat="1">
      <alignment horizontal="right" readingOrder="0" shrinkToFit="0" wrapText="1"/>
    </xf>
    <xf borderId="13" fillId="3" fontId="2" numFmtId="164" xfId="0" applyAlignment="1" applyBorder="1" applyFont="1" applyNumberFormat="1">
      <alignment horizontal="center" readingOrder="0" shrinkToFit="0" wrapText="1"/>
    </xf>
    <xf borderId="14" fillId="3" fontId="2" numFmtId="0" xfId="0" applyAlignment="1" applyBorder="1" applyFont="1">
      <alignment readingOrder="0"/>
    </xf>
    <xf borderId="16" fillId="5" fontId="2" numFmtId="0" xfId="0" applyAlignment="1" applyBorder="1" applyFont="1">
      <alignment shrinkToFit="0" wrapText="1"/>
    </xf>
    <xf borderId="14" fillId="4" fontId="10" numFmtId="0" xfId="0" applyBorder="1" applyFont="1"/>
    <xf borderId="14" fillId="4" fontId="2" numFmtId="4" xfId="0" applyBorder="1" applyFont="1" applyNumberFormat="1"/>
    <xf borderId="13" fillId="4" fontId="2" numFmtId="164" xfId="0" applyBorder="1" applyFont="1" applyNumberFormat="1"/>
    <xf borderId="30" fillId="0" fontId="10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left" vertical="center"/>
    </xf>
    <xf borderId="31" fillId="0" fontId="2" numFmtId="0" xfId="0" applyAlignment="1" applyBorder="1" applyFont="1">
      <alignment horizontal="center" shrinkToFit="0" vertical="center" wrapText="1"/>
    </xf>
    <xf borderId="31" fillId="0" fontId="2" numFmtId="4" xfId="0" applyAlignment="1" applyBorder="1" applyFont="1" applyNumberFormat="1">
      <alignment horizontal="right" shrinkToFit="0" vertical="center" wrapText="1"/>
    </xf>
    <xf borderId="25" fillId="0" fontId="2" numFmtId="0" xfId="0" applyBorder="1" applyFont="1"/>
    <xf borderId="31" fillId="0" fontId="2" numFmtId="164" xfId="0" applyAlignment="1" applyBorder="1" applyFont="1" applyNumberForma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vertical="center"/>
    </xf>
    <xf borderId="16" fillId="0" fontId="2" numFmtId="4" xfId="0" applyAlignment="1" applyBorder="1" applyFont="1" applyNumberFormat="1">
      <alignment horizontal="right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32" fillId="2" fontId="10" numFmtId="0" xfId="0" applyAlignment="1" applyBorder="1" applyFont="1">
      <alignment horizontal="left" vertical="center"/>
    </xf>
    <xf borderId="16" fillId="2" fontId="2" numFmtId="0" xfId="0" applyBorder="1" applyFont="1"/>
    <xf borderId="16" fillId="2" fontId="2" numFmtId="4" xfId="0" applyAlignment="1" applyBorder="1" applyFont="1" applyNumberFormat="1">
      <alignment horizontal="right"/>
    </xf>
    <xf borderId="24" fillId="0" fontId="6" numFmtId="0" xfId="0" applyAlignment="1" applyBorder="1" applyFont="1">
      <alignment horizontal="left" shrinkToFit="0" vertical="center" wrapText="1"/>
    </xf>
    <xf borderId="33" fillId="0" fontId="8" numFmtId="0" xfId="0" applyBorder="1" applyFont="1"/>
    <xf borderId="21" fillId="0" fontId="8" numFmtId="0" xfId="0" applyBorder="1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34" fillId="0" fontId="2" numFmtId="164" xfId="0" applyBorder="1" applyFont="1" applyNumberFormat="1"/>
    <xf borderId="0" fillId="0" fontId="12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25" fillId="0" fontId="6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35" fillId="0" fontId="1" numFmtId="164" xfId="0" applyAlignment="1" applyBorder="1" applyFont="1" applyNumberFormat="1">
      <alignment horizontal="center"/>
    </xf>
    <xf borderId="36" fillId="0" fontId="8" numFmtId="0" xfId="0" applyBorder="1" applyFont="1"/>
    <xf borderId="37" fillId="0" fontId="8" numFmtId="0" xfId="0" applyBorder="1" applyFont="1"/>
    <xf borderId="0" fillId="0" fontId="9" numFmtId="0" xfId="0" applyAlignment="1" applyFont="1">
      <alignment horizontal="left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24" fillId="0" fontId="1" numFmtId="164" xfId="0" applyAlignment="1" applyBorder="1" applyFont="1" applyNumberFormat="1">
      <alignment horizontal="center"/>
    </xf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1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  <xf borderId="0" fillId="0" fontId="16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14" fillId="3" fontId="2" numFmtId="4" xfId="0" applyAlignment="1" applyBorder="1" applyFont="1" applyNumberFormat="1">
      <alignment horizontal="right" shrinkToFit="0" wrapText="1"/>
    </xf>
    <xf borderId="18" fillId="6" fontId="2" numFmtId="0" xfId="0" applyBorder="1" applyFill="1" applyFont="1"/>
    <xf borderId="18" fillId="6" fontId="17" numFmtId="0" xfId="0" applyAlignment="1" applyBorder="1" applyFont="1">
      <alignment horizontal="left" shrinkToFit="0" vertical="center" wrapText="1"/>
    </xf>
    <xf borderId="16" fillId="5" fontId="6" numFmtId="0" xfId="0" applyAlignment="1" applyBorder="1" applyFont="1">
      <alignment shrinkToFit="0" vertical="center" wrapText="1"/>
    </xf>
    <xf borderId="0" fillId="0" fontId="18" numFmtId="0" xfId="0" applyFont="1"/>
    <xf borderId="0" fillId="0" fontId="19" numFmtId="4" xfId="0" applyAlignment="1" applyFont="1" applyNumberFormat="1">
      <alignment horizontal="right"/>
    </xf>
    <xf borderId="0" fillId="0" fontId="20" numFmtId="0" xfId="0" applyAlignment="1" applyFont="1">
      <alignment horizontal="left" shrinkToFit="0" vertical="center" wrapText="1"/>
    </xf>
    <xf borderId="18" fillId="7" fontId="2" numFmtId="0" xfId="0" applyBorder="1" applyFill="1" applyFont="1"/>
    <xf borderId="18" fillId="8" fontId="2" numFmtId="0" xfId="0" applyBorder="1" applyFill="1" applyFont="1"/>
    <xf borderId="18" fillId="8" fontId="2" numFmtId="165" xfId="0" applyBorder="1" applyFont="1" applyNumberFormat="1"/>
    <xf borderId="0" fillId="0" fontId="16" numFmtId="165" xfId="0" applyAlignment="1" applyFont="1" applyNumberFormat="1">
      <alignment horizontal="right"/>
    </xf>
    <xf borderId="0" fillId="0" fontId="21" numFmtId="0" xfId="0" applyAlignment="1" applyFont="1">
      <alignment horizontal="center" vertical="center"/>
    </xf>
    <xf borderId="0" fillId="0" fontId="22" numFmtId="165" xfId="0" applyFont="1" applyNumberFormat="1"/>
    <xf borderId="0" fillId="0" fontId="2" numFmtId="165" xfId="0" applyFont="1" applyNumberFormat="1"/>
    <xf borderId="0" fillId="0" fontId="17" numFmtId="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10" numFmtId="0" xfId="0" applyFont="1"/>
    <xf borderId="0" fillId="0" fontId="23" numFmtId="165" xfId="0" applyFont="1" applyNumberFormat="1"/>
    <xf borderId="0" fillId="0" fontId="2" numFmtId="165" xfId="0" applyAlignment="1" applyFont="1" applyNumberFormat="1">
      <alignment horizontal="right"/>
    </xf>
    <xf borderId="0" fillId="0" fontId="10" numFmtId="165" xfId="0" applyFont="1" applyNumberFormat="1"/>
    <xf borderId="18" fillId="8" fontId="16" numFmtId="165" xfId="0" applyAlignment="1" applyBorder="1" applyFont="1" applyNumberFormat="1">
      <alignment horizontal="right"/>
    </xf>
    <xf borderId="18" fillId="9" fontId="2" numFmtId="0" xfId="0" applyBorder="1" applyFill="1" applyFont="1"/>
    <xf borderId="18" fillId="9" fontId="2" numFmtId="165" xfId="0" applyBorder="1" applyFont="1" applyNumberFormat="1"/>
    <xf borderId="18" fillId="9" fontId="16" numFmtId="165" xfId="0" applyAlignment="1" applyBorder="1" applyFont="1" applyNumberFormat="1">
      <alignment horizontal="right"/>
    </xf>
    <xf borderId="18" fillId="10" fontId="2" numFmtId="0" xfId="0" applyBorder="1" applyFill="1" applyFont="1"/>
    <xf borderId="18" fillId="10" fontId="2" numFmtId="165" xfId="0" applyBorder="1" applyFont="1" applyNumberFormat="1"/>
    <xf borderId="18" fillId="10" fontId="16" numFmtId="165" xfId="0" applyAlignment="1" applyBorder="1" applyFont="1" applyNumberFormat="1">
      <alignment horizontal="right"/>
    </xf>
    <xf borderId="18" fillId="11" fontId="24" numFmtId="0" xfId="0" applyBorder="1" applyFill="1" applyFont="1"/>
    <xf borderId="18" fillId="11" fontId="24" numFmtId="165" xfId="0" applyBorder="1" applyFont="1" applyNumberFormat="1"/>
    <xf borderId="18" fillId="11" fontId="25" numFmtId="165" xfId="0" applyAlignment="1" applyBorder="1" applyFont="1" applyNumberFormat="1">
      <alignment horizontal="right"/>
    </xf>
    <xf borderId="18" fillId="12" fontId="24" numFmtId="0" xfId="0" applyAlignment="1" applyBorder="1" applyFill="1" applyFont="1">
      <alignment horizontal="right"/>
    </xf>
    <xf borderId="18" fillId="12" fontId="24" numFmtId="165" xfId="0" applyBorder="1" applyFont="1" applyNumberFormat="1"/>
    <xf borderId="0" fillId="0" fontId="26" numFmtId="0" xfId="0" applyFont="1"/>
    <xf borderId="0" fillId="0" fontId="17" numFmtId="0" xfId="0" applyAlignment="1" applyFont="1">
      <alignment shrinkToFit="0" wrapText="1"/>
    </xf>
    <xf borderId="0" fillId="0" fontId="27" numFmtId="0" xfId="0" applyFont="1"/>
    <xf borderId="0" fillId="0" fontId="17" numFmtId="0" xfId="0" applyAlignment="1" applyFont="1">
      <alignment horizontal="left" shrinkToFit="0" wrapText="1"/>
    </xf>
    <xf borderId="0" fillId="0" fontId="27" numFmtId="164" xfId="0" applyAlignment="1" applyFont="1" applyNumberFormat="1">
      <alignment horizontal="left" shrinkToFit="0" vertical="center" wrapText="1"/>
    </xf>
    <xf borderId="18" fillId="13" fontId="24" numFmtId="0" xfId="0" applyBorder="1" applyFill="1" applyFont="1"/>
    <xf borderId="18" fillId="13" fontId="24" numFmtId="4" xfId="0" applyBorder="1" applyFont="1" applyNumberFormat="1"/>
    <xf borderId="0" fillId="0" fontId="24" numFmtId="0" xfId="0" applyFont="1"/>
    <xf borderId="30" fillId="0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left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17" fillId="2" fontId="6" numFmtId="4" xfId="0" applyAlignment="1" applyBorder="1" applyFont="1" applyNumberFormat="1">
      <alignment horizontal="right" shrinkToFit="0" vertical="center" wrapText="1"/>
    </xf>
    <xf borderId="17" fillId="2" fontId="6" numFmtId="164" xfId="0" applyAlignment="1" applyBorder="1" applyFont="1" applyNumberFormat="1">
      <alignment horizontal="center" shrinkToFit="0" vertical="center" wrapText="1"/>
    </xf>
    <xf borderId="17" fillId="2" fontId="7" numFmtId="0" xfId="0" applyAlignment="1" applyBorder="1" applyFont="1">
      <alignment horizontal="center" shrinkToFit="0" vertical="center" wrapText="1"/>
    </xf>
    <xf borderId="38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/>
    </xf>
    <xf borderId="16" fillId="0" fontId="2" numFmtId="4" xfId="0" applyAlignment="1" applyBorder="1" applyFont="1" applyNumberFormat="1">
      <alignment horizontal="right"/>
    </xf>
    <xf borderId="31" fillId="0" fontId="2" numFmtId="0" xfId="0" applyAlignment="1" applyBorder="1" applyFont="1">
      <alignment horizontal="center"/>
    </xf>
    <xf borderId="31" fillId="0" fontId="2" numFmtId="4" xfId="0" applyAlignment="1" applyBorder="1" applyFont="1" applyNumberFormat="1">
      <alignment horizontal="right"/>
    </xf>
    <xf borderId="25" fillId="0" fontId="2" numFmtId="49" xfId="0" applyBorder="1" applyFont="1" applyNumberFormat="1"/>
    <xf borderId="25" fillId="0" fontId="2" numFmtId="49" xfId="0" applyAlignment="1" applyBorder="1" applyFont="1" applyNumberFormat="1">
      <alignment horizontal="left" vertical="center"/>
    </xf>
    <xf borderId="31" fillId="0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89</xdr:row>
      <xdr:rowOff>9525</xdr:rowOff>
    </xdr:from>
    <xdr:ext cx="7143750" cy="2495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63"/>
    <col customWidth="1" min="2" max="2" width="61.13"/>
    <col customWidth="1" min="3" max="3" width="11.63"/>
    <col customWidth="1" min="5" max="5" width="13.25"/>
    <col customWidth="1" min="6" max="6" width="31.0"/>
    <col customWidth="1" min="7" max="7" width="15.0"/>
    <col customWidth="1" min="8" max="8" width="10.25"/>
    <col customWidth="1" min="9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  <c r="Y4" s="2"/>
      <c r="Z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4</v>
      </c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2" t="s">
        <v>5</v>
      </c>
      <c r="B8" s="13" t="s">
        <v>6</v>
      </c>
      <c r="C8" s="14" t="s">
        <v>7</v>
      </c>
      <c r="D8" s="15" t="s">
        <v>8</v>
      </c>
      <c r="E8" s="16" t="s">
        <v>9</v>
      </c>
      <c r="F8" s="17" t="s">
        <v>10</v>
      </c>
      <c r="G8" s="13" t="s">
        <v>11</v>
      </c>
      <c r="H8" s="18" t="s">
        <v>12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1"/>
      <c r="X8" s="21"/>
      <c r="Y8" s="2"/>
      <c r="Z8" s="2"/>
    </row>
    <row r="9">
      <c r="A9" s="22"/>
      <c r="B9" s="23"/>
      <c r="C9" s="24" t="s">
        <v>13</v>
      </c>
      <c r="D9" s="23"/>
      <c r="E9" s="23"/>
      <c r="F9" s="23"/>
      <c r="G9" s="23"/>
      <c r="H9" s="25" t="s">
        <v>14</v>
      </c>
      <c r="I9" s="25" t="s">
        <v>15</v>
      </c>
      <c r="J9" s="25" t="s">
        <v>16</v>
      </c>
      <c r="K9" s="25" t="s">
        <v>17</v>
      </c>
      <c r="L9" s="25" t="s">
        <v>18</v>
      </c>
      <c r="M9" s="25" t="s">
        <v>19</v>
      </c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5" t="s">
        <v>25</v>
      </c>
      <c r="T9" s="25" t="s">
        <v>26</v>
      </c>
      <c r="U9" s="26" t="str">
        <f>$V$9</f>
        <v>REMARKS</v>
      </c>
      <c r="V9" s="26" t="s">
        <v>27</v>
      </c>
      <c r="W9" s="27"/>
      <c r="X9" s="21"/>
      <c r="Y9" s="2"/>
      <c r="Z9" s="2"/>
    </row>
    <row r="10" ht="15.75" customHeight="1">
      <c r="A10" s="28"/>
      <c r="B10" s="29" t="s">
        <v>28</v>
      </c>
      <c r="C10" s="30"/>
      <c r="D10" s="31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2"/>
      <c r="X10" s="2"/>
      <c r="Y10" s="2"/>
      <c r="Z10" s="2"/>
    </row>
    <row r="11" ht="15.75" customHeight="1">
      <c r="A11" s="34"/>
      <c r="B11" s="35" t="s">
        <v>29</v>
      </c>
      <c r="C11" s="36" t="s">
        <v>30</v>
      </c>
      <c r="D11" s="37">
        <v>5776.0</v>
      </c>
      <c r="E11" s="38">
        <v>5776.0</v>
      </c>
      <c r="F11" s="39" t="s">
        <v>31</v>
      </c>
      <c r="G11" s="39" t="s">
        <v>32</v>
      </c>
      <c r="H11" s="40">
        <v>1.0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1"/>
      <c r="X11" s="41"/>
      <c r="Y11" s="42"/>
      <c r="Z11" s="42"/>
    </row>
    <row r="12" ht="15.75" customHeight="1">
      <c r="A12" s="28"/>
      <c r="B12" s="29" t="s">
        <v>33</v>
      </c>
      <c r="C12" s="43"/>
      <c r="D12" s="31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2"/>
      <c r="X12" s="2"/>
      <c r="Y12" s="2"/>
      <c r="Z12" s="2"/>
    </row>
    <row r="13" ht="15.75" customHeight="1">
      <c r="A13" s="34"/>
      <c r="B13" s="44" t="s">
        <v>34</v>
      </c>
      <c r="C13" s="45" t="s">
        <v>35</v>
      </c>
      <c r="D13" s="46">
        <v>2160.0</v>
      </c>
      <c r="E13" s="47">
        <f>D13*8</f>
        <v>17280</v>
      </c>
      <c r="F13" s="39" t="s">
        <v>31</v>
      </c>
      <c r="G13" s="39" t="s">
        <v>32</v>
      </c>
      <c r="H13" s="48"/>
      <c r="I13" s="49">
        <v>8.0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41"/>
      <c r="X13" s="41"/>
      <c r="Y13" s="42"/>
      <c r="Z13" s="42"/>
    </row>
    <row r="14" ht="15.75" customHeight="1">
      <c r="A14" s="51"/>
      <c r="B14" s="35" t="s">
        <v>36</v>
      </c>
      <c r="C14" s="36" t="s">
        <v>37</v>
      </c>
      <c r="D14" s="52">
        <v>2000.0</v>
      </c>
      <c r="E14" s="47">
        <f t="shared" ref="E14:E15" si="1">D14*5</f>
        <v>10000</v>
      </c>
      <c r="F14" s="39" t="s">
        <v>31</v>
      </c>
      <c r="G14" s="53" t="s">
        <v>38</v>
      </c>
      <c r="H14" s="48">
        <v>5.0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41"/>
      <c r="X14" s="41"/>
      <c r="Y14" s="42"/>
      <c r="Z14" s="42"/>
    </row>
    <row r="15" ht="15.75" customHeight="1">
      <c r="A15" s="51"/>
      <c r="B15" s="54" t="s">
        <v>39</v>
      </c>
      <c r="C15" s="55" t="s">
        <v>40</v>
      </c>
      <c r="D15" s="52">
        <v>4900.0</v>
      </c>
      <c r="E15" s="47">
        <f t="shared" si="1"/>
        <v>24500</v>
      </c>
      <c r="F15" s="39" t="s">
        <v>31</v>
      </c>
      <c r="G15" s="56"/>
      <c r="H15" s="48">
        <v>5.0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41"/>
      <c r="X15" s="41"/>
      <c r="Y15" s="42"/>
      <c r="Z15" s="42"/>
    </row>
    <row r="16" ht="15.75" customHeight="1">
      <c r="A16" s="51"/>
      <c r="B16" s="54" t="s">
        <v>41</v>
      </c>
      <c r="C16" s="55" t="s">
        <v>42</v>
      </c>
      <c r="D16" s="52">
        <v>220.0</v>
      </c>
      <c r="E16" s="47">
        <f>D16*10</f>
        <v>2200</v>
      </c>
      <c r="F16" s="39" t="s">
        <v>31</v>
      </c>
      <c r="G16" s="56"/>
      <c r="H16" s="48">
        <v>10.0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41"/>
      <c r="X16" s="41"/>
      <c r="Y16" s="42"/>
      <c r="Z16" s="42"/>
    </row>
    <row r="17" ht="15.75" customHeight="1">
      <c r="A17" s="51"/>
      <c r="B17" s="54" t="s">
        <v>43</v>
      </c>
      <c r="C17" s="55" t="s">
        <v>44</v>
      </c>
      <c r="D17" s="52">
        <v>700.0</v>
      </c>
      <c r="E17" s="47">
        <f>700*5</f>
        <v>3500</v>
      </c>
      <c r="F17" s="39" t="s">
        <v>31</v>
      </c>
      <c r="G17" s="56"/>
      <c r="H17" s="48">
        <v>5.0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41"/>
      <c r="X17" s="41"/>
      <c r="Y17" s="42"/>
      <c r="Z17" s="42"/>
    </row>
    <row r="18" ht="15.75" customHeight="1">
      <c r="A18" s="51"/>
      <c r="B18" s="54" t="s">
        <v>45</v>
      </c>
      <c r="C18" s="55" t="s">
        <v>46</v>
      </c>
      <c r="D18" s="52">
        <v>500.0</v>
      </c>
      <c r="E18" s="47">
        <f>D18*4</f>
        <v>2000</v>
      </c>
      <c r="F18" s="39" t="s">
        <v>31</v>
      </c>
      <c r="G18" s="57"/>
      <c r="H18" s="48">
        <v>4.0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41"/>
      <c r="X18" s="41"/>
      <c r="Y18" s="42"/>
      <c r="Z18" s="42"/>
    </row>
    <row r="19" ht="15.75" customHeight="1">
      <c r="A19" s="28"/>
      <c r="B19" s="58" t="s">
        <v>47</v>
      </c>
      <c r="C19" s="59"/>
      <c r="D19" s="60"/>
      <c r="E19" s="60"/>
      <c r="F19" s="59"/>
      <c r="G19" s="59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2"/>
      <c r="X19" s="2"/>
      <c r="Y19" s="2"/>
      <c r="Z19" s="2"/>
    </row>
    <row r="20">
      <c r="A20" s="62"/>
      <c r="B20" s="63" t="s">
        <v>48</v>
      </c>
      <c r="C20" s="64" t="s">
        <v>49</v>
      </c>
      <c r="D20" s="65">
        <v>400.0</v>
      </c>
      <c r="E20" s="66">
        <f t="shared" ref="E20:E21" si="2">D20*20</f>
        <v>8000</v>
      </c>
      <c r="F20" s="39" t="s">
        <v>31</v>
      </c>
      <c r="G20" s="39" t="s">
        <v>32</v>
      </c>
      <c r="H20" s="67">
        <v>20.0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42"/>
      <c r="X20" s="42"/>
      <c r="Y20" s="42"/>
      <c r="Z20" s="42"/>
    </row>
    <row r="21">
      <c r="A21" s="68"/>
      <c r="B21" s="63" t="s">
        <v>50</v>
      </c>
      <c r="C21" s="64" t="s">
        <v>49</v>
      </c>
      <c r="D21" s="69">
        <v>1000.0</v>
      </c>
      <c r="E21" s="66">
        <f t="shared" si="2"/>
        <v>20000</v>
      </c>
      <c r="F21" s="39" t="s">
        <v>31</v>
      </c>
      <c r="G21" s="39" t="s">
        <v>32</v>
      </c>
      <c r="H21" s="70">
        <v>20.0</v>
      </c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42"/>
      <c r="X21" s="42"/>
      <c r="Y21" s="42"/>
      <c r="Z21" s="42"/>
    </row>
    <row r="22">
      <c r="A22" s="68"/>
      <c r="B22" s="72" t="s">
        <v>51</v>
      </c>
      <c r="C22" s="73" t="s">
        <v>52</v>
      </c>
      <c r="D22" s="69">
        <v>380.0</v>
      </c>
      <c r="E22" s="74">
        <f>380*10</f>
        <v>3800</v>
      </c>
      <c r="F22" s="39" t="s">
        <v>31</v>
      </c>
      <c r="G22" s="39" t="s">
        <v>32</v>
      </c>
      <c r="H22" s="70">
        <v>10.0</v>
      </c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42"/>
      <c r="X22" s="42"/>
      <c r="Y22" s="42"/>
      <c r="Z22" s="42"/>
    </row>
    <row r="23" ht="15.75" customHeight="1">
      <c r="A23" s="68"/>
      <c r="B23" s="75" t="s">
        <v>53</v>
      </c>
      <c r="C23" s="76" t="s">
        <v>52</v>
      </c>
      <c r="D23" s="77">
        <v>500.0</v>
      </c>
      <c r="E23" s="78">
        <v>500.0</v>
      </c>
      <c r="F23" s="39" t="s">
        <v>31</v>
      </c>
      <c r="G23" s="39" t="s">
        <v>32</v>
      </c>
      <c r="H23" s="70">
        <v>10.0</v>
      </c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42"/>
      <c r="X23" s="42"/>
      <c r="Y23" s="42"/>
      <c r="Z23" s="42"/>
    </row>
    <row r="24">
      <c r="A24" s="68"/>
      <c r="B24" s="79" t="s">
        <v>54</v>
      </c>
      <c r="C24" s="80" t="s">
        <v>30</v>
      </c>
      <c r="D24" s="81">
        <v>1934.0</v>
      </c>
      <c r="E24" s="82">
        <v>1934.0</v>
      </c>
      <c r="F24" s="39" t="s">
        <v>31</v>
      </c>
      <c r="G24" s="39" t="s">
        <v>32</v>
      </c>
      <c r="H24" s="70"/>
      <c r="I24" s="83">
        <v>1.0</v>
      </c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42"/>
      <c r="X24" s="42"/>
      <c r="Y24" s="42"/>
      <c r="Z24" s="42"/>
    </row>
    <row r="25">
      <c r="A25" s="68"/>
      <c r="B25" s="75"/>
      <c r="C25" s="76"/>
      <c r="D25" s="77"/>
      <c r="E25" s="78"/>
      <c r="F25" s="71"/>
      <c r="G25" s="71"/>
      <c r="H25" s="70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42"/>
      <c r="X25" s="42"/>
      <c r="Y25" s="42"/>
      <c r="Z25" s="42"/>
    </row>
    <row r="26">
      <c r="A26" s="68"/>
      <c r="B26" s="84"/>
      <c r="C26" s="76"/>
      <c r="D26" s="77"/>
      <c r="E26" s="78"/>
      <c r="F26" s="71"/>
      <c r="G26" s="71"/>
      <c r="H26" s="70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42"/>
      <c r="X26" s="42"/>
      <c r="Y26" s="42"/>
      <c r="Z26" s="42"/>
    </row>
    <row r="27">
      <c r="A27" s="68"/>
      <c r="B27" s="84"/>
      <c r="C27" s="76"/>
      <c r="D27" s="77"/>
      <c r="E27" s="78"/>
      <c r="F27" s="71"/>
      <c r="G27" s="71"/>
      <c r="H27" s="70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42"/>
      <c r="X27" s="42"/>
      <c r="Y27" s="42"/>
      <c r="Z27" s="42"/>
    </row>
    <row r="28">
      <c r="A28" s="68"/>
      <c r="B28" s="84"/>
      <c r="C28" s="76"/>
      <c r="D28" s="77"/>
      <c r="E28" s="78"/>
      <c r="F28" s="71"/>
      <c r="G28" s="71"/>
      <c r="H28" s="70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42"/>
      <c r="X28" s="42"/>
      <c r="Y28" s="42"/>
      <c r="Z28" s="42"/>
    </row>
    <row r="29" ht="15.75" customHeight="1">
      <c r="A29" s="28"/>
      <c r="B29" s="85" t="s">
        <v>55</v>
      </c>
      <c r="C29" s="61"/>
      <c r="D29" s="86"/>
      <c r="E29" s="87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2"/>
      <c r="X29" s="2"/>
      <c r="Y29" s="2"/>
      <c r="Z29" s="2"/>
    </row>
    <row r="30" ht="15.75" customHeight="1">
      <c r="A30" s="88"/>
      <c r="B30" s="89" t="s">
        <v>56</v>
      </c>
      <c r="C30" s="90"/>
      <c r="D30" s="91"/>
      <c r="E30" s="38"/>
      <c r="F30" s="92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21"/>
      <c r="X30" s="21"/>
      <c r="Y30" s="2"/>
      <c r="Z30" s="2"/>
    </row>
    <row r="31" ht="15.75" hidden="1" customHeight="1">
      <c r="A31" s="88"/>
      <c r="B31" s="89"/>
      <c r="C31" s="90"/>
      <c r="D31" s="91"/>
      <c r="E31" s="93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21"/>
      <c r="X31" s="21"/>
      <c r="Y31" s="2"/>
      <c r="Z31" s="2"/>
    </row>
    <row r="32" ht="15.75" hidden="1" customHeight="1">
      <c r="A32" s="88"/>
      <c r="B32" s="89"/>
      <c r="C32" s="90"/>
      <c r="D32" s="91"/>
      <c r="E32" s="93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21"/>
      <c r="X32" s="21"/>
      <c r="Y32" s="2"/>
      <c r="Z32" s="2"/>
    </row>
    <row r="33" ht="15.75" hidden="1" customHeight="1">
      <c r="A33" s="88"/>
      <c r="B33" s="89"/>
      <c r="C33" s="90"/>
      <c r="D33" s="91"/>
      <c r="E33" s="93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21"/>
      <c r="X33" s="21"/>
      <c r="Y33" s="2"/>
      <c r="Z33" s="2"/>
    </row>
    <row r="34" ht="15.75" hidden="1" customHeight="1">
      <c r="A34" s="88"/>
      <c r="B34" s="89"/>
      <c r="C34" s="90"/>
      <c r="D34" s="91"/>
      <c r="E34" s="93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21"/>
      <c r="X34" s="21"/>
      <c r="Y34" s="2"/>
      <c r="Z34" s="2"/>
    </row>
    <row r="35" ht="15.75" hidden="1" customHeight="1">
      <c r="A35" s="88"/>
      <c r="B35" s="89"/>
      <c r="C35" s="90"/>
      <c r="D35" s="91"/>
      <c r="E35" s="93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21"/>
      <c r="X35" s="21"/>
      <c r="Y35" s="2"/>
      <c r="Z35" s="2"/>
    </row>
    <row r="36" ht="15.75" hidden="1" customHeight="1">
      <c r="A36" s="88"/>
      <c r="B36" s="89"/>
      <c r="C36" s="90"/>
      <c r="D36" s="91"/>
      <c r="E36" s="93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21"/>
      <c r="X36" s="21"/>
      <c r="Y36" s="2"/>
      <c r="Z36" s="2"/>
    </row>
    <row r="37" ht="15.75" hidden="1" customHeight="1">
      <c r="A37" s="94"/>
      <c r="B37" s="95"/>
      <c r="C37" s="39"/>
      <c r="D37" s="96"/>
      <c r="E37" s="97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21"/>
      <c r="X37" s="21"/>
      <c r="Y37" s="2"/>
      <c r="Z37" s="2"/>
    </row>
    <row r="38" ht="15.75" hidden="1" customHeight="1">
      <c r="A38" s="88"/>
      <c r="B38" s="98" t="s">
        <v>57</v>
      </c>
      <c r="C38" s="99"/>
      <c r="D38" s="10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21"/>
      <c r="X38" s="21"/>
      <c r="Y38" s="2"/>
      <c r="Z38" s="2"/>
    </row>
    <row r="39" ht="15.75" hidden="1" customHeight="1">
      <c r="A39" s="88"/>
      <c r="B39" s="89"/>
      <c r="C39" s="90"/>
      <c r="D39" s="91"/>
      <c r="E39" s="93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21"/>
      <c r="X39" s="21"/>
      <c r="Y39" s="2"/>
      <c r="Z39" s="2"/>
    </row>
    <row r="40" ht="15.75" hidden="1" customHeight="1">
      <c r="A40" s="88"/>
      <c r="B40" s="89"/>
      <c r="C40" s="90"/>
      <c r="D40" s="91"/>
      <c r="E40" s="93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21"/>
      <c r="X40" s="21"/>
      <c r="Y40" s="2"/>
      <c r="Z40" s="2"/>
    </row>
    <row r="41" ht="15.75" hidden="1" customHeight="1">
      <c r="A41" s="88"/>
      <c r="B41" s="89"/>
      <c r="C41" s="90"/>
      <c r="D41" s="91"/>
      <c r="E41" s="93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21"/>
      <c r="X41" s="21"/>
      <c r="Y41" s="2"/>
      <c r="Z41" s="2"/>
    </row>
    <row r="42" ht="15.75" hidden="1" customHeight="1">
      <c r="A42" s="88"/>
      <c r="B42" s="89"/>
      <c r="C42" s="90"/>
      <c r="D42" s="91"/>
      <c r="E42" s="93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21"/>
      <c r="X42" s="21"/>
      <c r="Y42" s="2"/>
      <c r="Z42" s="2"/>
    </row>
    <row r="43" ht="15.75" hidden="1" customHeight="1">
      <c r="A43" s="88"/>
      <c r="B43" s="98" t="s">
        <v>58</v>
      </c>
      <c r="C43" s="99"/>
      <c r="D43" s="10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21"/>
      <c r="X43" s="21"/>
      <c r="Y43" s="2"/>
      <c r="Z43" s="2"/>
    </row>
    <row r="44" ht="15.75" hidden="1" customHeight="1">
      <c r="A44" s="88"/>
      <c r="B44" s="89"/>
      <c r="C44" s="90"/>
      <c r="D44" s="91"/>
      <c r="E44" s="93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21"/>
      <c r="X44" s="21"/>
      <c r="Y44" s="2"/>
      <c r="Z44" s="2"/>
    </row>
    <row r="45" ht="15.75" hidden="1" customHeight="1">
      <c r="A45" s="88"/>
      <c r="B45" s="89"/>
      <c r="C45" s="90"/>
      <c r="D45" s="91"/>
      <c r="E45" s="93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21"/>
      <c r="X45" s="21"/>
      <c r="Y45" s="2"/>
      <c r="Z45" s="2"/>
    </row>
    <row r="46" ht="15.75" hidden="1" customHeight="1">
      <c r="A46" s="88"/>
      <c r="B46" s="89"/>
      <c r="C46" s="90"/>
      <c r="D46" s="91"/>
      <c r="E46" s="93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21"/>
      <c r="X46" s="21"/>
      <c r="Y46" s="2"/>
      <c r="Z46" s="2"/>
    </row>
    <row r="47" ht="15.75" customHeight="1">
      <c r="A47" s="94"/>
      <c r="B47" s="101" t="s">
        <v>59</v>
      </c>
      <c r="C47" s="102"/>
      <c r="D47" s="102"/>
      <c r="E47" s="102"/>
      <c r="F47" s="102"/>
      <c r="G47" s="102"/>
      <c r="H47" s="102"/>
      <c r="I47" s="103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21"/>
      <c r="X47" s="21"/>
      <c r="Y47" s="2"/>
      <c r="Z47" s="2"/>
    </row>
    <row r="48" ht="15.75" customHeight="1">
      <c r="A48" s="104"/>
      <c r="B48" s="105"/>
      <c r="C48" s="2"/>
      <c r="D48" s="9"/>
      <c r="E48" s="106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07" t="s">
        <v>60</v>
      </c>
      <c r="B49" s="6"/>
      <c r="C49" s="108">
        <f>SUM(E10:E30)</f>
        <v>99490</v>
      </c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hidden="1" customHeight="1">
      <c r="A50" s="109" t="s">
        <v>61</v>
      </c>
      <c r="B50" s="110"/>
      <c r="C50" s="111">
        <f>PRODUCT(C49,0.1)</f>
        <v>9949</v>
      </c>
      <c r="D50" s="112"/>
      <c r="E50" s="113"/>
      <c r="F50" s="11"/>
      <c r="G50" s="11"/>
      <c r="H50" s="114"/>
      <c r="J50" s="114"/>
      <c r="U50" s="114"/>
      <c r="V50" s="2"/>
      <c r="W50" s="2"/>
      <c r="X50" s="2"/>
      <c r="Y50" s="2"/>
      <c r="Z50" s="2"/>
    </row>
    <row r="51" ht="15.75" hidden="1" customHeight="1">
      <c r="A51" s="115" t="s">
        <v>62</v>
      </c>
      <c r="B51" s="116"/>
      <c r="C51" s="117">
        <f>PRODUCT(C49,0.1)</f>
        <v>9949</v>
      </c>
      <c r="D51" s="102"/>
      <c r="E51" s="103"/>
      <c r="F51" s="11"/>
      <c r="G51" s="11"/>
      <c r="H51" s="118"/>
      <c r="I51" s="118"/>
      <c r="J51" s="119"/>
      <c r="U51" s="119"/>
      <c r="V51" s="2"/>
      <c r="W51" s="2"/>
      <c r="X51" s="2"/>
      <c r="Y51" s="2"/>
      <c r="Z51" s="2"/>
    </row>
    <row r="52" ht="15.75" hidden="1" customHeight="1">
      <c r="A52" s="115" t="s">
        <v>63</v>
      </c>
      <c r="B52" s="116"/>
      <c r="C52" s="117">
        <f>SUM(C49:E51)</f>
        <v>119388</v>
      </c>
      <c r="D52" s="102"/>
      <c r="E52" s="103"/>
      <c r="F52" s="11"/>
      <c r="G52" s="11"/>
      <c r="H52" s="118"/>
      <c r="I52" s="118"/>
      <c r="J52" s="119"/>
      <c r="U52" s="119"/>
      <c r="V52" s="2"/>
      <c r="W52" s="2"/>
      <c r="X52" s="2"/>
      <c r="Y52" s="2"/>
      <c r="Z52" s="2"/>
    </row>
    <row r="53" ht="15.75" customHeight="1">
      <c r="A53" s="120"/>
      <c r="B53" s="6"/>
      <c r="C53" s="2"/>
      <c r="D53" s="9"/>
      <c r="E53" s="10"/>
      <c r="F53" s="11">
        <f>590*20</f>
        <v>11800</v>
      </c>
      <c r="G53" s="11"/>
      <c r="H53" s="118"/>
      <c r="I53" s="118"/>
      <c r="J53" s="119"/>
      <c r="U53" s="119"/>
      <c r="V53" s="2"/>
      <c r="W53" s="2"/>
      <c r="X53" s="2"/>
      <c r="Y53" s="2"/>
      <c r="Z53" s="2"/>
    </row>
    <row r="54" ht="15.75" customHeight="1">
      <c r="A54" s="121" t="s">
        <v>64</v>
      </c>
      <c r="B54" s="6"/>
      <c r="C54" s="2"/>
      <c r="D54" s="9"/>
      <c r="E54" s="10"/>
      <c r="F54" s="11">
        <f>4000/380</f>
        <v>10.52631579</v>
      </c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2"/>
      <c r="B55" s="6"/>
      <c r="C55" s="2"/>
      <c r="D55" s="9"/>
      <c r="E55" s="10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23" t="s">
        <v>65</v>
      </c>
      <c r="B56" s="105"/>
      <c r="C56" s="124" t="s">
        <v>66</v>
      </c>
      <c r="F56" s="118"/>
      <c r="G56" s="118"/>
      <c r="H56" s="2"/>
      <c r="I56" s="124" t="s">
        <v>67</v>
      </c>
      <c r="O56" s="2"/>
      <c r="P56" s="2"/>
      <c r="Q56" s="124" t="s">
        <v>68</v>
      </c>
      <c r="U56" s="2"/>
      <c r="V56" s="2"/>
      <c r="X56" s="118"/>
      <c r="Y56" s="2"/>
      <c r="Z56" s="2"/>
    </row>
    <row r="57" ht="15.75" customHeight="1">
      <c r="A57" s="123"/>
      <c r="B57" s="105"/>
      <c r="C57" s="124"/>
      <c r="D57" s="125"/>
      <c r="E57" s="124"/>
      <c r="F57" s="118"/>
      <c r="G57" s="118"/>
      <c r="H57" s="2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18"/>
      <c r="X57" s="118"/>
      <c r="Y57" s="2"/>
      <c r="Z57" s="2"/>
    </row>
    <row r="58" ht="15.75" customHeight="1">
      <c r="A58" s="105"/>
      <c r="B58" s="105"/>
      <c r="C58" s="118"/>
      <c r="D58" s="126"/>
      <c r="E58" s="127"/>
      <c r="F58" s="118"/>
      <c r="G58" s="118"/>
      <c r="H58" s="2"/>
      <c r="I58" s="118"/>
      <c r="J58" s="127"/>
      <c r="K58" s="127"/>
      <c r="L58" s="127"/>
      <c r="M58" s="127"/>
      <c r="N58" s="127"/>
      <c r="O58" s="127"/>
      <c r="P58" s="127"/>
      <c r="Q58" s="118"/>
      <c r="R58" s="127"/>
      <c r="S58" s="118"/>
      <c r="T58" s="118"/>
      <c r="U58" s="118"/>
      <c r="V58" s="118"/>
      <c r="W58" s="118"/>
      <c r="X58" s="118"/>
      <c r="Y58" s="2"/>
      <c r="Z58" s="2"/>
    </row>
    <row r="59" ht="15.75" customHeight="1">
      <c r="A59" s="128" t="s">
        <v>69</v>
      </c>
      <c r="C59" s="129" t="s">
        <v>70</v>
      </c>
      <c r="G59" s="2"/>
      <c r="H59" s="2"/>
      <c r="I59" s="129" t="s">
        <v>71</v>
      </c>
      <c r="O59" s="2"/>
      <c r="P59" s="2"/>
      <c r="Q59" s="129" t="s">
        <v>72</v>
      </c>
      <c r="U59" s="2"/>
      <c r="V59" s="2"/>
      <c r="Y59" s="2"/>
      <c r="Z59" s="2"/>
    </row>
    <row r="60" ht="15.0" customHeight="1">
      <c r="A60" s="130" t="s">
        <v>73</v>
      </c>
      <c r="C60" s="131" t="s">
        <v>74</v>
      </c>
      <c r="G60" s="132"/>
      <c r="H60" s="2"/>
      <c r="I60" s="133" t="s">
        <v>75</v>
      </c>
      <c r="O60" s="2"/>
      <c r="P60" s="2"/>
      <c r="Q60" s="131" t="s">
        <v>76</v>
      </c>
      <c r="U60" s="2"/>
      <c r="V60" s="2"/>
      <c r="W60" s="118"/>
      <c r="X60" s="118"/>
      <c r="Y60" s="2"/>
      <c r="Z60" s="2"/>
    </row>
    <row r="61" ht="15.75" customHeight="1">
      <c r="A61" s="2"/>
      <c r="B61" s="2"/>
      <c r="C61" s="2"/>
      <c r="D61" s="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77</v>
      </c>
      <c r="B62" s="2"/>
      <c r="C62" s="2" t="s">
        <v>77</v>
      </c>
      <c r="D62" s="9"/>
      <c r="E62" s="2"/>
      <c r="F62" s="2"/>
      <c r="G62" s="2"/>
      <c r="H62" s="2"/>
      <c r="I62" s="2" t="s">
        <v>77</v>
      </c>
      <c r="J62" s="2"/>
      <c r="K62" s="2"/>
      <c r="L62" s="2"/>
      <c r="M62" s="2"/>
      <c r="N62" s="2"/>
      <c r="O62" s="2"/>
      <c r="P62" s="2"/>
      <c r="Q62" s="2" t="s">
        <v>77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134"/>
      <c r="E63" s="2"/>
      <c r="F63" s="2"/>
      <c r="G63" s="2"/>
      <c r="H63" s="135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134"/>
      <c r="E64" s="2"/>
      <c r="F64" s="2"/>
      <c r="G64" s="2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134"/>
      <c r="E65" s="2"/>
      <c r="F65" s="2"/>
      <c r="G65" s="2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134"/>
      <c r="E66" s="2"/>
      <c r="F66" s="2"/>
      <c r="G66" s="2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2"/>
      <c r="W66" s="2"/>
      <c r="X66" s="2"/>
      <c r="Y66" s="2"/>
      <c r="Z66" s="2"/>
    </row>
    <row r="67" ht="15.75" customHeight="1">
      <c r="A67" s="2"/>
      <c r="B67" s="2"/>
      <c r="C67" s="136">
        <v>840.0</v>
      </c>
      <c r="D67" s="134">
        <v>850.0</v>
      </c>
      <c r="E67" s="2"/>
      <c r="F67" s="2"/>
      <c r="G67" s="2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2"/>
      <c r="W67" s="2"/>
      <c r="X67" s="2"/>
      <c r="Y67" s="2"/>
      <c r="Z67" s="2"/>
    </row>
    <row r="68" ht="15.75" customHeight="1">
      <c r="A68" s="2"/>
      <c r="B68" s="2"/>
      <c r="C68" s="136">
        <v>580.0</v>
      </c>
      <c r="D68" s="134">
        <v>600.0</v>
      </c>
      <c r="E68" s="2"/>
      <c r="F68" s="2"/>
      <c r="G68" s="2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2"/>
      <c r="W68" s="2"/>
      <c r="X68" s="2"/>
      <c r="Y68" s="2"/>
      <c r="Z68" s="2"/>
    </row>
    <row r="69" ht="15.75" customHeight="1">
      <c r="A69" s="2"/>
      <c r="B69" s="2"/>
      <c r="C69" s="136">
        <v>1095.0</v>
      </c>
      <c r="D69" s="134">
        <v>1100.0</v>
      </c>
      <c r="E69" s="2"/>
      <c r="F69" s="2"/>
      <c r="G69" s="2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2"/>
      <c r="W69" s="2"/>
      <c r="X69" s="2"/>
      <c r="Y69" s="2"/>
      <c r="Z69" s="2"/>
    </row>
    <row r="70" ht="15.75" customHeight="1">
      <c r="A70" s="2"/>
      <c r="B70" s="2"/>
      <c r="C70" s="136">
        <v>760.0</v>
      </c>
      <c r="D70" s="134">
        <v>800.0</v>
      </c>
      <c r="E70" s="2"/>
      <c r="F70" s="2" t="s">
        <v>78</v>
      </c>
      <c r="G70" s="2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2"/>
      <c r="W70" s="2"/>
      <c r="X70" s="2"/>
      <c r="Y70" s="2"/>
      <c r="Z70" s="2"/>
    </row>
    <row r="71" ht="15.75" customHeight="1">
      <c r="A71" s="2"/>
      <c r="B71" s="2"/>
      <c r="C71" s="136">
        <v>630.0</v>
      </c>
      <c r="D71" s="134">
        <v>650.0</v>
      </c>
      <c r="E71" s="2"/>
      <c r="F71" s="2"/>
      <c r="G71" s="2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2"/>
      <c r="W71" s="2"/>
      <c r="X71" s="2"/>
      <c r="Y71" s="2"/>
      <c r="Z71" s="2"/>
    </row>
    <row r="72" ht="15.75" customHeight="1">
      <c r="A72" s="2"/>
      <c r="B72" s="2"/>
      <c r="C72" s="136">
        <v>1095.0</v>
      </c>
      <c r="D72" s="134">
        <v>1200.0</v>
      </c>
      <c r="E72" s="2"/>
      <c r="F72" s="2" t="s">
        <v>79</v>
      </c>
      <c r="G72" s="2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134"/>
      <c r="E73" s="2"/>
      <c r="G73" s="2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134">
        <f>5200*12</f>
        <v>62400</v>
      </c>
      <c r="E74" s="2"/>
      <c r="F74" s="137" t="s">
        <v>80</v>
      </c>
      <c r="G74" s="137">
        <v>2000.0</v>
      </c>
      <c r="H74" s="138">
        <f t="shared" ref="H74:H75" si="3">G74*5</f>
        <v>10000</v>
      </c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134"/>
      <c r="E75" s="2"/>
      <c r="F75" s="137" t="s">
        <v>81</v>
      </c>
      <c r="G75" s="137">
        <v>4900.0</v>
      </c>
      <c r="H75" s="138">
        <f t="shared" si="3"/>
        <v>24500</v>
      </c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2"/>
      <c r="W75" s="2"/>
      <c r="X75" s="2"/>
      <c r="Y75" s="2"/>
      <c r="Z75" s="2"/>
    </row>
    <row r="76">
      <c r="A76" s="2"/>
      <c r="B76" s="139" t="s">
        <v>82</v>
      </c>
      <c r="C76" s="2">
        <v>380.0</v>
      </c>
      <c r="D76" s="134">
        <f>380*20</f>
        <v>7600</v>
      </c>
      <c r="E76" s="2"/>
      <c r="F76" s="137" t="s">
        <v>83</v>
      </c>
      <c r="G76" s="137">
        <v>220.0</v>
      </c>
      <c r="H76" s="138">
        <f>G76*10</f>
        <v>2200</v>
      </c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2"/>
      <c r="W76" s="2"/>
      <c r="X76" s="2"/>
      <c r="Y76" s="2"/>
      <c r="Z76" s="2"/>
    </row>
    <row r="77">
      <c r="A77" s="2"/>
      <c r="B77" s="139" t="s">
        <v>84</v>
      </c>
      <c r="C77" s="2">
        <v>650.0</v>
      </c>
      <c r="D77" s="134">
        <f>650*20</f>
        <v>13000</v>
      </c>
      <c r="E77" s="2"/>
      <c r="F77" s="137" t="s">
        <v>85</v>
      </c>
      <c r="G77" s="137">
        <v>500.0</v>
      </c>
      <c r="H77" s="138">
        <f>G77*4</f>
        <v>2000</v>
      </c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134">
        <v>3800.0</v>
      </c>
      <c r="E78" s="2"/>
      <c r="F78" s="137" t="s">
        <v>86</v>
      </c>
      <c r="G78" s="137">
        <v>700.0</v>
      </c>
      <c r="H78" s="138">
        <f>5*G78</f>
        <v>3500</v>
      </c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2"/>
      <c r="W78" s="2"/>
      <c r="X78" s="2"/>
      <c r="Y78" s="2"/>
      <c r="Z78" s="2"/>
    </row>
    <row r="79" ht="15.75" customHeight="1">
      <c r="A79" s="140"/>
      <c r="B79" s="140"/>
      <c r="C79" s="140"/>
      <c r="D79" s="141">
        <f>SUM(D76:D77)</f>
        <v>20600</v>
      </c>
      <c r="E79" s="140"/>
      <c r="F79" s="140"/>
      <c r="G79" s="140"/>
      <c r="H79" s="142">
        <f>SUM(H74:H78)</f>
        <v>42200</v>
      </c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0"/>
      <c r="W79" s="140"/>
      <c r="X79" s="140"/>
      <c r="Y79" s="140"/>
      <c r="Z79" s="140"/>
    </row>
    <row r="80" ht="15.75" customHeight="1">
      <c r="A80" s="2"/>
      <c r="B80" s="2"/>
      <c r="C80" s="2"/>
      <c r="D80" s="134">
        <v>73000.0</v>
      </c>
      <c r="E80" s="2"/>
      <c r="F80" s="2"/>
      <c r="G80" s="2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2"/>
      <c r="W80" s="2"/>
      <c r="X80" s="2"/>
      <c r="Y80" s="2"/>
      <c r="Z80" s="2"/>
    </row>
    <row r="81" ht="15.75" customHeight="1">
      <c r="A81" s="2"/>
      <c r="B81" s="143" t="s">
        <v>87</v>
      </c>
      <c r="C81" s="143">
        <v>1933.81</v>
      </c>
      <c r="D81" s="134"/>
      <c r="E81" s="2"/>
      <c r="F81" s="2"/>
      <c r="G81" s="2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2"/>
      <c r="W81" s="2"/>
      <c r="X81" s="2"/>
      <c r="Y81" s="2"/>
      <c r="Z81" s="2"/>
    </row>
    <row r="82" ht="15.75" customHeight="1">
      <c r="A82" s="2"/>
      <c r="B82" s="144" t="s">
        <v>33</v>
      </c>
      <c r="C82" s="145">
        <v>109791.66</v>
      </c>
      <c r="D82" s="146" t="s">
        <v>88</v>
      </c>
      <c r="E82" s="2"/>
      <c r="F82" s="2"/>
      <c r="G82" s="2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2"/>
      <c r="W82" s="2"/>
      <c r="X82" s="2"/>
      <c r="Y82" s="2"/>
      <c r="Z82" s="2"/>
    </row>
    <row r="83" ht="15.75" customHeight="1">
      <c r="A83" s="147" t="s">
        <v>89</v>
      </c>
      <c r="B83" s="2" t="s">
        <v>90</v>
      </c>
      <c r="C83" s="148">
        <v>18500.0</v>
      </c>
      <c r="D83" s="146"/>
      <c r="E83" s="2"/>
      <c r="F83" s="149"/>
      <c r="G83" s="2"/>
      <c r="H83" s="150">
        <f>H79+D79+5000</f>
        <v>67800</v>
      </c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2"/>
      <c r="W83" s="2"/>
      <c r="X83" s="2"/>
      <c r="Y83" s="2"/>
      <c r="Z83" s="2"/>
    </row>
    <row r="84" ht="15.75" customHeight="1">
      <c r="A84" s="151" t="s">
        <v>89</v>
      </c>
      <c r="B84" s="152" t="s">
        <v>91</v>
      </c>
      <c r="C84" s="148">
        <v>30000.0</v>
      </c>
      <c r="D84" s="146"/>
      <c r="E84" s="2"/>
      <c r="F84" s="2"/>
      <c r="G84" s="2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2"/>
      <c r="W84" s="2"/>
      <c r="X84" s="2"/>
      <c r="Y84" s="2"/>
      <c r="Z84" s="2"/>
    </row>
    <row r="85" ht="15.75" customHeight="1">
      <c r="A85" s="147" t="s">
        <v>89</v>
      </c>
      <c r="B85" s="152" t="s">
        <v>92</v>
      </c>
      <c r="C85" s="148">
        <v>9210.0</v>
      </c>
      <c r="D85" s="146"/>
      <c r="E85" s="2"/>
      <c r="F85" s="2"/>
      <c r="G85" s="2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2"/>
      <c r="W85" s="2"/>
      <c r="X85" s="2"/>
      <c r="Y85" s="2"/>
      <c r="Z85" s="2"/>
    </row>
    <row r="86" ht="15.75" customHeight="1">
      <c r="A86" s="147"/>
      <c r="B86" s="2" t="s">
        <v>93</v>
      </c>
      <c r="C86" s="149">
        <v>42200.0</v>
      </c>
      <c r="D86" s="146"/>
      <c r="E86" s="149"/>
      <c r="F86" s="2"/>
      <c r="G86" s="2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2"/>
      <c r="W86" s="2"/>
      <c r="X86" s="2"/>
      <c r="Y86" s="2"/>
      <c r="Z86" s="2"/>
    </row>
    <row r="87" ht="15.75" customHeight="1">
      <c r="A87" s="151"/>
      <c r="B87" s="2" t="s">
        <v>94</v>
      </c>
      <c r="C87" s="153">
        <v>22000.0</v>
      </c>
      <c r="D87" s="146"/>
      <c r="E87" s="2"/>
      <c r="F87" s="2"/>
      <c r="G87" s="2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2"/>
      <c r="W87" s="2"/>
      <c r="X87" s="2"/>
      <c r="Y87" s="2"/>
      <c r="Z87" s="2"/>
    </row>
    <row r="88" ht="15.75" customHeight="1">
      <c r="A88" s="2"/>
      <c r="B88" s="154" t="s">
        <v>95</v>
      </c>
      <c r="C88" s="155">
        <f>SUM(C83:C86)</f>
        <v>99910</v>
      </c>
      <c r="D88" s="156">
        <f>C82-C88</f>
        <v>9881.66</v>
      </c>
      <c r="E88" s="149">
        <v>19091.66</v>
      </c>
      <c r="F88" s="2">
        <v>115816.27</v>
      </c>
      <c r="G88" s="2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2"/>
      <c r="W88" s="2"/>
      <c r="X88" s="2"/>
      <c r="Y88" s="2"/>
      <c r="Z88" s="2"/>
    </row>
    <row r="89" ht="15.75" customHeight="1">
      <c r="A89" s="2"/>
      <c r="B89" s="2"/>
      <c r="D89" s="146"/>
      <c r="E89" s="2"/>
      <c r="F89" s="2"/>
      <c r="G89" s="2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2"/>
      <c r="W89" s="2"/>
      <c r="X89" s="2"/>
      <c r="Y89" s="2"/>
      <c r="Z89" s="2"/>
    </row>
    <row r="90" ht="15.75" customHeight="1">
      <c r="A90" s="2"/>
      <c r="B90" s="2"/>
      <c r="C90" s="149"/>
      <c r="D90" s="146"/>
      <c r="E90" s="2"/>
      <c r="F90" s="2"/>
      <c r="G90" s="2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2"/>
      <c r="W90" s="2"/>
      <c r="X90" s="2"/>
      <c r="Y90" s="2"/>
      <c r="Z90" s="2"/>
    </row>
    <row r="91" ht="15.75" customHeight="1">
      <c r="A91" s="2"/>
      <c r="B91" s="157" t="s">
        <v>47</v>
      </c>
      <c r="C91" s="158">
        <v>32624.46</v>
      </c>
      <c r="D91" s="146"/>
      <c r="E91" s="2"/>
      <c r="F91" s="2"/>
      <c r="G91" s="2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2"/>
      <c r="W91" s="2"/>
      <c r="X91" s="2"/>
      <c r="Y91" s="2"/>
      <c r="Z91" s="2"/>
    </row>
    <row r="92" ht="15.75" customHeight="1">
      <c r="A92" s="151" t="s">
        <v>89</v>
      </c>
      <c r="B92" s="152" t="s">
        <v>96</v>
      </c>
      <c r="C92" s="149">
        <v>9212.0</v>
      </c>
      <c r="D92" s="146"/>
      <c r="E92" s="2"/>
      <c r="F92" s="2"/>
      <c r="G92" s="2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2"/>
      <c r="W92" s="2"/>
      <c r="X92" s="2"/>
      <c r="Y92" s="2"/>
      <c r="Z92" s="2"/>
    </row>
    <row r="93" ht="15.75" customHeight="1">
      <c r="A93" s="6"/>
      <c r="B93" s="2" t="s">
        <v>97</v>
      </c>
      <c r="C93" s="149">
        <v>20600.0</v>
      </c>
      <c r="D93" s="146"/>
      <c r="E93" s="2"/>
      <c r="F93" s="2"/>
      <c r="G93" s="2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2"/>
      <c r="W93" s="2"/>
      <c r="X93" s="2"/>
      <c r="Y93" s="2"/>
      <c r="Z93" s="2"/>
    </row>
    <row r="94" ht="15.75" customHeight="1">
      <c r="A94" s="2"/>
      <c r="B94" s="2"/>
      <c r="C94" s="149"/>
      <c r="D94" s="146"/>
      <c r="E94" s="2"/>
      <c r="F94" s="2"/>
      <c r="G94" s="2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2"/>
      <c r="W94" s="2"/>
      <c r="X94" s="2"/>
      <c r="Y94" s="2"/>
      <c r="Z94" s="2"/>
    </row>
    <row r="95" ht="15.75" customHeight="1">
      <c r="A95" s="2"/>
      <c r="B95" s="2"/>
      <c r="C95" s="149"/>
      <c r="D95" s="146"/>
      <c r="E95" s="2"/>
      <c r="F95" s="2"/>
      <c r="G95" s="2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2"/>
      <c r="W95" s="2"/>
      <c r="X95" s="2"/>
      <c r="Y95" s="2"/>
      <c r="Z95" s="2"/>
    </row>
    <row r="96" ht="15.75" customHeight="1">
      <c r="A96" s="2"/>
      <c r="B96" s="154" t="s">
        <v>95</v>
      </c>
      <c r="C96" s="155">
        <f>SUM(C92:C93)</f>
        <v>29812</v>
      </c>
      <c r="D96" s="159">
        <f>C91-C96</f>
        <v>2812.46</v>
      </c>
      <c r="E96" s="2"/>
      <c r="F96" s="2"/>
      <c r="G96" s="2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2"/>
      <c r="W96" s="2"/>
      <c r="X96" s="2"/>
      <c r="Y96" s="2"/>
      <c r="Z96" s="2"/>
    </row>
    <row r="97" ht="15.75" customHeight="1">
      <c r="A97" s="2"/>
      <c r="B97" s="154"/>
      <c r="C97" s="149"/>
      <c r="D97" s="146"/>
      <c r="E97" s="2"/>
      <c r="F97" s="2"/>
      <c r="G97" s="2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2"/>
      <c r="W97" s="2"/>
      <c r="X97" s="2"/>
      <c r="Y97" s="2"/>
      <c r="Z97" s="2"/>
    </row>
    <row r="98" ht="15.75" customHeight="1">
      <c r="A98" s="2"/>
      <c r="B98" s="160" t="s">
        <v>98</v>
      </c>
      <c r="C98" s="161">
        <v>50754.59</v>
      </c>
      <c r="D98" s="146"/>
      <c r="E98" s="2"/>
      <c r="F98" s="2"/>
      <c r="G98" s="2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2"/>
      <c r="W98" s="2"/>
      <c r="X98" s="2"/>
      <c r="Y98" s="2"/>
      <c r="Z98" s="2"/>
    </row>
    <row r="99" ht="15.75" customHeight="1">
      <c r="A99" s="2"/>
      <c r="B99" s="152" t="s">
        <v>99</v>
      </c>
      <c r="C99" s="149">
        <v>48540.0</v>
      </c>
      <c r="D99" s="162">
        <f>C98-C99</f>
        <v>2214.59</v>
      </c>
      <c r="E99" s="2">
        <v>34020.1</v>
      </c>
      <c r="F99" s="2"/>
      <c r="G99" s="2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2"/>
      <c r="W99" s="2"/>
      <c r="X99" s="2"/>
      <c r="Y99" s="2"/>
      <c r="Z99" s="2"/>
    </row>
    <row r="100" ht="15.75" customHeight="1">
      <c r="A100" s="2"/>
      <c r="B100" s="154"/>
      <c r="C100" s="149"/>
      <c r="D100" s="146"/>
      <c r="E100" s="149">
        <f>E99-D99</f>
        <v>31805.51</v>
      </c>
      <c r="F100" s="2"/>
      <c r="G100" s="2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2"/>
      <c r="W100" s="2"/>
      <c r="X100" s="2"/>
      <c r="Y100" s="2"/>
      <c r="Z100" s="2"/>
    </row>
    <row r="101" ht="15.75" customHeight="1">
      <c r="A101" s="2"/>
      <c r="B101" s="2"/>
      <c r="C101" s="149"/>
      <c r="D101" s="146"/>
      <c r="E101" s="2"/>
      <c r="F101" s="2"/>
      <c r="G101" s="2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2"/>
      <c r="W101" s="2"/>
      <c r="X101" s="2"/>
      <c r="Y101" s="2"/>
      <c r="Z101" s="2"/>
    </row>
    <row r="102" ht="15.75" customHeight="1">
      <c r="A102" s="2"/>
      <c r="B102" s="163" t="s">
        <v>100</v>
      </c>
      <c r="C102" s="164">
        <v>5776.0</v>
      </c>
      <c r="D102" s="146"/>
      <c r="E102" s="2"/>
      <c r="F102" s="2"/>
      <c r="G102" s="2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2"/>
      <c r="W102" s="2"/>
      <c r="X102" s="2"/>
      <c r="Y102" s="2"/>
      <c r="Z102" s="2"/>
    </row>
    <row r="103" ht="15.75" customHeight="1">
      <c r="A103" s="2"/>
      <c r="B103" s="2" t="s">
        <v>101</v>
      </c>
      <c r="C103" s="155">
        <v>5776.0</v>
      </c>
      <c r="D103" s="165">
        <f>C102-C103</f>
        <v>0</v>
      </c>
      <c r="E103" s="2"/>
      <c r="F103" s="2"/>
      <c r="G103" s="2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2"/>
      <c r="W103" s="2"/>
      <c r="X103" s="2"/>
      <c r="Y103" s="2"/>
      <c r="Z103" s="2"/>
    </row>
    <row r="104" ht="15.75" customHeight="1">
      <c r="A104" s="2"/>
      <c r="B104" s="2"/>
      <c r="C104" s="149"/>
      <c r="D104" s="146"/>
      <c r="E104" s="2"/>
      <c r="F104" s="2"/>
      <c r="G104" s="2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2"/>
      <c r="W104" s="2"/>
      <c r="X104" s="2"/>
      <c r="Y104" s="2"/>
      <c r="Z104" s="2"/>
    </row>
    <row r="105" ht="15.75" customHeight="1">
      <c r="A105" s="2"/>
      <c r="B105" s="2"/>
      <c r="C105" s="149"/>
      <c r="D105" s="146"/>
      <c r="E105" s="2"/>
      <c r="F105" s="2"/>
      <c r="G105" s="2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2"/>
      <c r="W105" s="2"/>
      <c r="X105" s="2"/>
      <c r="Y105" s="2"/>
      <c r="Z105" s="2"/>
    </row>
    <row r="106" ht="15.75" customHeight="1">
      <c r="A106" s="2"/>
      <c r="B106" s="166" t="s">
        <v>102</v>
      </c>
      <c r="C106" s="167">
        <f>C102+C98+C91+C82+C81</f>
        <v>200880.52</v>
      </c>
      <c r="D106" s="146"/>
      <c r="E106" s="2"/>
      <c r="F106" s="2"/>
      <c r="G106" s="2"/>
      <c r="H106" s="168"/>
      <c r="I106" s="169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2"/>
      <c r="W106" s="2"/>
      <c r="X106" s="2"/>
      <c r="Y106" s="2"/>
      <c r="Z106" s="2"/>
    </row>
    <row r="107" ht="15.75" customHeight="1">
      <c r="A107" s="2"/>
      <c r="B107" s="2"/>
      <c r="C107" s="149"/>
      <c r="D107" s="146"/>
      <c r="E107" s="2"/>
      <c r="F107" s="2" t="s">
        <v>103</v>
      </c>
      <c r="G107" s="2"/>
      <c r="H107" s="171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149"/>
      <c r="D108" s="146"/>
      <c r="E108" s="2"/>
      <c r="F108" s="2"/>
      <c r="G108" s="2"/>
      <c r="H108" s="172"/>
      <c r="U108" s="2"/>
      <c r="V108" s="2"/>
      <c r="W108" s="2"/>
      <c r="X108" s="2"/>
      <c r="Y108" s="2"/>
      <c r="Z108" s="2"/>
    </row>
    <row r="109" ht="15.75" customHeight="1">
      <c r="A109" s="2"/>
      <c r="B109" s="2">
        <f>9210+48540+30000+18500+5776+19400+42200+22000</f>
        <v>195626</v>
      </c>
      <c r="C109" s="149"/>
      <c r="D109" s="146"/>
      <c r="E109" s="2"/>
      <c r="F109" s="173" t="s">
        <v>104</v>
      </c>
      <c r="G109" s="17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>
        <f>206905-B109</f>
        <v>11279</v>
      </c>
      <c r="C110" s="149"/>
      <c r="D110" s="146"/>
      <c r="E110" s="2"/>
      <c r="F110" s="173"/>
      <c r="G110" s="17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149"/>
      <c r="D111" s="146"/>
      <c r="E111" s="2"/>
      <c r="F111" s="173" t="s">
        <v>105</v>
      </c>
      <c r="G111" s="174">
        <v>40044.61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>
        <f>5000000-B110</f>
        <v>4988721</v>
      </c>
      <c r="C112" s="149"/>
      <c r="D112" s="146"/>
      <c r="E112" s="2"/>
      <c r="F112" s="174"/>
      <c r="G112" s="17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>
        <f>B112/5000000</f>
        <v>0.9977442</v>
      </c>
      <c r="C113" s="149"/>
      <c r="D113" s="146"/>
      <c r="E113" s="2"/>
      <c r="F113" s="173" t="s">
        <v>106</v>
      </c>
      <c r="G113" s="174">
        <v>34020.1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149"/>
      <c r="D114" s="146">
        <v>50754.0</v>
      </c>
      <c r="E114" s="2"/>
      <c r="F114" s="174"/>
      <c r="G114" s="17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149"/>
      <c r="D115" s="146">
        <v>754.0</v>
      </c>
      <c r="E115" s="2"/>
      <c r="F115" s="173"/>
      <c r="G115" s="17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149"/>
      <c r="D116" s="146"/>
      <c r="E116" s="2"/>
      <c r="F116" s="173"/>
      <c r="G116" s="17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149"/>
      <c r="D117" s="146"/>
      <c r="E117" s="2"/>
      <c r="F117" s="175"/>
      <c r="G117" s="17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149"/>
      <c r="D118" s="14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149"/>
      <c r="D119" s="14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149"/>
      <c r="D120" s="14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149"/>
      <c r="D121" s="14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149"/>
      <c r="D122" s="14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149"/>
      <c r="D123" s="14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149"/>
      <c r="D124" s="14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149"/>
      <c r="D125" s="14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149"/>
      <c r="D126" s="14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149"/>
      <c r="D127" s="14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149"/>
      <c r="D128" s="14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149"/>
      <c r="D129" s="14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149"/>
      <c r="D130" s="14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149"/>
      <c r="D131" s="14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149"/>
      <c r="D132" s="14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149"/>
      <c r="D133" s="14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149"/>
      <c r="D134" s="14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149"/>
      <c r="D135" s="14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149"/>
      <c r="D136" s="14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149"/>
      <c r="D137" s="14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149"/>
      <c r="D138" s="14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149"/>
      <c r="D139" s="14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149"/>
      <c r="D140" s="14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149"/>
      <c r="D141" s="14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149"/>
      <c r="D142" s="14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149"/>
      <c r="D143" s="14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149"/>
      <c r="D144" s="14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149"/>
      <c r="D145" s="14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13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13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13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13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13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13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13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13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13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13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13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13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13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13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13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13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13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13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13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13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13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13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13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13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13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13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13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13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13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13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13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13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13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13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13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13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13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13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13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13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13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13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13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13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13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13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13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13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13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13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13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13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13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13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13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13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13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13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13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13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13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13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13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13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13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13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13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13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13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13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13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13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13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13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13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13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13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13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13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13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13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13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13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13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13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13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13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13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13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13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13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13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13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13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13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13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13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13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13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13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13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13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13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13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13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13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13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13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13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13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13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13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13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13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13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13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13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13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13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13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13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13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13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13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13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13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13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13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13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13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13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13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13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13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13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13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13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13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13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13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13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13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13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13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13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13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13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13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13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13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13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13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13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13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13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13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13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13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7">
    <mergeCell ref="A1:V1"/>
    <mergeCell ref="A2:V2"/>
    <mergeCell ref="A3:V3"/>
    <mergeCell ref="A8:A9"/>
    <mergeCell ref="B8:B9"/>
    <mergeCell ref="D8:D9"/>
    <mergeCell ref="E8:E9"/>
    <mergeCell ref="H8:V8"/>
    <mergeCell ref="C50:E50"/>
    <mergeCell ref="C51:E51"/>
    <mergeCell ref="C52:E52"/>
    <mergeCell ref="C56:E56"/>
    <mergeCell ref="A59:B59"/>
    <mergeCell ref="C59:F59"/>
    <mergeCell ref="A60:B60"/>
    <mergeCell ref="C60:F60"/>
    <mergeCell ref="F8:F9"/>
    <mergeCell ref="G8:G9"/>
    <mergeCell ref="G14:G18"/>
    <mergeCell ref="B47:I47"/>
    <mergeCell ref="C49:E49"/>
    <mergeCell ref="H50:I50"/>
    <mergeCell ref="J50:T50"/>
    <mergeCell ref="Q59:T59"/>
    <mergeCell ref="V59:X59"/>
    <mergeCell ref="I60:N60"/>
    <mergeCell ref="Q60:T60"/>
    <mergeCell ref="H63:T63"/>
    <mergeCell ref="H107:T107"/>
    <mergeCell ref="H108:T108"/>
    <mergeCell ref="J51:T51"/>
    <mergeCell ref="J52:T52"/>
    <mergeCell ref="J53:T53"/>
    <mergeCell ref="I56:N56"/>
    <mergeCell ref="Q56:T56"/>
    <mergeCell ref="V56:W56"/>
    <mergeCell ref="I59:N59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107</v>
      </c>
      <c r="W2" s="2"/>
      <c r="X2" s="2"/>
    </row>
    <row r="3">
      <c r="A3" s="4" t="s">
        <v>108</v>
      </c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/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/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2"/>
      <c r="B8" s="13"/>
      <c r="C8" s="14"/>
      <c r="D8" s="15"/>
      <c r="E8" s="16"/>
      <c r="F8" s="17"/>
      <c r="G8" s="13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1"/>
      <c r="X8" s="21"/>
    </row>
    <row r="9">
      <c r="A9" s="22"/>
      <c r="B9" s="23"/>
      <c r="C9" s="24"/>
      <c r="D9" s="23"/>
      <c r="E9" s="23"/>
      <c r="F9" s="23"/>
      <c r="G9" s="23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/>
      <c r="V9" s="26"/>
      <c r="W9" s="27"/>
      <c r="X9" s="21"/>
    </row>
    <row r="10">
      <c r="A10" s="176"/>
      <c r="B10" s="177"/>
      <c r="C10" s="178"/>
      <c r="D10" s="179"/>
      <c r="E10" s="180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2"/>
      <c r="V10" s="183"/>
      <c r="W10" s="21"/>
      <c r="X10" s="21"/>
    </row>
    <row r="11">
      <c r="A11" s="88"/>
      <c r="B11" s="89"/>
      <c r="C11" s="184"/>
      <c r="D11" s="185"/>
      <c r="E11" s="18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21"/>
      <c r="X11" s="21"/>
    </row>
    <row r="12">
      <c r="A12" s="88"/>
      <c r="B12" s="89"/>
      <c r="C12" s="186"/>
      <c r="D12" s="187"/>
      <c r="E12" s="187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21"/>
      <c r="X12" s="21"/>
    </row>
    <row r="13">
      <c r="A13" s="88"/>
      <c r="B13" s="188"/>
      <c r="C13" s="90"/>
      <c r="D13" s="91"/>
      <c r="E13" s="93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21"/>
      <c r="X13" s="21"/>
    </row>
    <row r="14">
      <c r="A14" s="88"/>
      <c r="B14" s="189"/>
      <c r="C14" s="90"/>
      <c r="D14" s="91"/>
      <c r="E14" s="93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21"/>
      <c r="X14" s="21"/>
    </row>
    <row r="15">
      <c r="A15" s="88"/>
      <c r="B15" s="189"/>
      <c r="C15" s="90"/>
      <c r="D15" s="91"/>
      <c r="E15" s="93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21"/>
      <c r="X15" s="21"/>
    </row>
    <row r="16">
      <c r="A16" s="88"/>
      <c r="B16" s="188"/>
      <c r="C16" s="90"/>
      <c r="D16" s="91"/>
      <c r="E16" s="93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21"/>
      <c r="X16" s="21"/>
    </row>
    <row r="17">
      <c r="A17" s="88"/>
      <c r="B17" s="188"/>
      <c r="C17" s="90"/>
      <c r="D17" s="91"/>
      <c r="E17" s="93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21"/>
      <c r="X17" s="21"/>
    </row>
    <row r="18">
      <c r="A18" s="88"/>
      <c r="B18" s="188"/>
      <c r="C18" s="90"/>
      <c r="D18" s="91"/>
      <c r="E18" s="93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21"/>
      <c r="X18" s="21"/>
    </row>
    <row r="19">
      <c r="A19" s="88"/>
      <c r="B19" s="189"/>
      <c r="C19" s="90"/>
      <c r="D19" s="91"/>
      <c r="E19" s="93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21"/>
      <c r="X19" s="21"/>
    </row>
    <row r="20">
      <c r="A20" s="88"/>
      <c r="B20" s="188"/>
      <c r="C20" s="90"/>
      <c r="D20" s="91"/>
      <c r="E20" s="93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21"/>
      <c r="X20" s="21"/>
    </row>
    <row r="21" ht="15.75" customHeight="1">
      <c r="A21" s="88"/>
      <c r="B21" s="188"/>
      <c r="C21" s="90"/>
      <c r="D21" s="190"/>
      <c r="E21" s="93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21"/>
      <c r="X21" s="21"/>
    </row>
    <row r="22" ht="15.75" customHeight="1">
      <c r="A22" s="88"/>
      <c r="B22" s="189"/>
      <c r="C22" s="90"/>
      <c r="D22" s="91"/>
      <c r="E22" s="93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21"/>
      <c r="X22" s="21"/>
    </row>
    <row r="23" ht="15.75" customHeight="1">
      <c r="A23" s="88"/>
      <c r="B23" s="189"/>
      <c r="C23" s="90"/>
      <c r="D23" s="91"/>
      <c r="E23" s="93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21"/>
      <c r="X23" s="21"/>
    </row>
    <row r="24" ht="15.75" customHeight="1">
      <c r="A24" s="88"/>
      <c r="B24" s="188"/>
      <c r="C24" s="90"/>
      <c r="D24" s="91"/>
      <c r="E24" s="93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21"/>
      <c r="X24" s="21"/>
    </row>
    <row r="25" ht="15.75" customHeight="1">
      <c r="A25" s="88"/>
      <c r="B25" s="188"/>
      <c r="C25" s="90"/>
      <c r="D25" s="91"/>
      <c r="E25" s="93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21"/>
      <c r="X25" s="21"/>
    </row>
    <row r="26" ht="15.75" customHeight="1">
      <c r="A26" s="88"/>
      <c r="B26" s="188"/>
      <c r="C26" s="90"/>
      <c r="D26" s="91"/>
      <c r="E26" s="93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21"/>
      <c r="X26" s="21"/>
    </row>
    <row r="27" ht="15.75" customHeight="1">
      <c r="A27" s="88"/>
      <c r="B27" s="188"/>
      <c r="C27" s="90"/>
      <c r="D27" s="91"/>
      <c r="E27" s="93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21"/>
      <c r="X27" s="21"/>
    </row>
    <row r="28" ht="15.75" customHeight="1">
      <c r="A28" s="88"/>
      <c r="B28" s="189"/>
      <c r="C28" s="90"/>
      <c r="D28" s="91"/>
      <c r="E28" s="93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21"/>
      <c r="X28" s="21"/>
    </row>
    <row r="29" ht="15.75" customHeight="1">
      <c r="A29" s="88"/>
      <c r="B29" s="189"/>
      <c r="C29" s="90"/>
      <c r="D29" s="91"/>
      <c r="E29" s="93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21"/>
      <c r="X29" s="21"/>
    </row>
    <row r="30" ht="15.75" customHeight="1">
      <c r="A30" s="88"/>
      <c r="B30" s="188"/>
      <c r="C30" s="90"/>
      <c r="D30" s="91"/>
      <c r="E30" s="93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21"/>
      <c r="X30" s="21"/>
    </row>
    <row r="31" ht="15.75" customHeight="1">
      <c r="A31" s="88"/>
      <c r="B31" s="188"/>
      <c r="C31" s="90"/>
      <c r="D31" s="91"/>
      <c r="E31" s="93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21"/>
      <c r="X31" s="21"/>
    </row>
    <row r="32" ht="15.75" customHeight="1">
      <c r="A32" s="88"/>
      <c r="B32" s="188"/>
      <c r="C32" s="90"/>
      <c r="D32" s="91"/>
      <c r="E32" s="93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21"/>
      <c r="X32" s="21"/>
    </row>
    <row r="33" ht="15.75" customHeight="1">
      <c r="A33" s="88"/>
      <c r="B33" s="188"/>
      <c r="C33" s="90"/>
      <c r="D33" s="91"/>
      <c r="E33" s="93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21"/>
      <c r="X33" s="21"/>
    </row>
    <row r="34" ht="15.75" customHeight="1">
      <c r="A34" s="88"/>
      <c r="B34" s="188"/>
      <c r="C34" s="90"/>
      <c r="D34" s="91"/>
      <c r="E34" s="93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21"/>
      <c r="X34" s="21"/>
    </row>
    <row r="35" ht="15.75" customHeight="1">
      <c r="A35" s="88"/>
      <c r="B35" s="188"/>
      <c r="C35" s="90"/>
      <c r="D35" s="91"/>
      <c r="E35" s="93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21"/>
      <c r="X35" s="21"/>
    </row>
    <row r="36" ht="15.75" customHeight="1">
      <c r="A36" s="88"/>
      <c r="B36" s="188"/>
      <c r="C36" s="90"/>
      <c r="D36" s="91"/>
      <c r="E36" s="93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21"/>
      <c r="X36" s="21"/>
    </row>
    <row r="37" ht="15.75" customHeight="1">
      <c r="A37" s="88"/>
      <c r="B37" s="188"/>
      <c r="C37" s="90"/>
      <c r="D37" s="91"/>
      <c r="E37" s="93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21"/>
      <c r="X37" s="21"/>
    </row>
    <row r="38" ht="15.75" customHeight="1">
      <c r="A38" s="88"/>
      <c r="B38" s="188"/>
      <c r="C38" s="90"/>
      <c r="D38" s="91"/>
      <c r="E38" s="93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21"/>
      <c r="X38" s="21"/>
    </row>
    <row r="39" ht="15.75" customHeight="1">
      <c r="A39" s="88"/>
      <c r="B39" s="188"/>
      <c r="C39" s="90"/>
      <c r="D39" s="91"/>
      <c r="E39" s="93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21"/>
      <c r="X39" s="21"/>
    </row>
    <row r="40" ht="15.75" customHeight="1">
      <c r="A40" s="88"/>
      <c r="B40" s="188"/>
      <c r="C40" s="90"/>
      <c r="D40" s="91"/>
      <c r="E40" s="93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21"/>
      <c r="X40" s="21"/>
    </row>
    <row r="41" ht="15.75" customHeight="1">
      <c r="A41" s="88"/>
      <c r="B41" s="188"/>
      <c r="C41" s="90"/>
      <c r="D41" s="91"/>
      <c r="E41" s="93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21"/>
      <c r="X41" s="21"/>
    </row>
    <row r="42" ht="15.75" customHeight="1">
      <c r="A42" s="88"/>
      <c r="B42" s="188"/>
      <c r="C42" s="90"/>
      <c r="D42" s="91"/>
      <c r="E42" s="93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21"/>
      <c r="X42" s="21"/>
    </row>
    <row r="43" ht="15.75" customHeight="1">
      <c r="A43" s="88"/>
      <c r="B43" s="188"/>
      <c r="C43" s="90"/>
      <c r="D43" s="91"/>
      <c r="E43" s="93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21"/>
      <c r="X43" s="21"/>
    </row>
    <row r="44" ht="15.75" customHeight="1">
      <c r="A44" s="88"/>
      <c r="B44" s="188"/>
      <c r="C44" s="90"/>
      <c r="D44" s="91"/>
      <c r="E44" s="93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21"/>
      <c r="X44" s="21"/>
    </row>
    <row r="45" ht="15.75" customHeight="1">
      <c r="A45" s="88"/>
      <c r="B45" s="188"/>
      <c r="C45" s="90"/>
      <c r="D45" s="91"/>
      <c r="E45" s="93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21"/>
      <c r="X45" s="21"/>
    </row>
    <row r="46" ht="15.75" customHeight="1">
      <c r="A46" s="88"/>
      <c r="B46" s="188"/>
      <c r="C46" s="90"/>
      <c r="D46" s="91"/>
      <c r="E46" s="93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21"/>
      <c r="X46" s="21"/>
    </row>
    <row r="47" ht="15.75" customHeight="1">
      <c r="A47" s="88"/>
      <c r="B47" s="188"/>
      <c r="C47" s="90"/>
      <c r="D47" s="91"/>
      <c r="E47" s="93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21"/>
      <c r="X47" s="21"/>
    </row>
    <row r="48" ht="15.75" customHeight="1">
      <c r="A48" s="88"/>
      <c r="B48" s="98" t="s">
        <v>33</v>
      </c>
      <c r="C48" s="99"/>
      <c r="D48" s="10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21"/>
      <c r="X48" s="21"/>
    </row>
    <row r="49" ht="15.75" customHeight="1">
      <c r="A49" s="88"/>
      <c r="B49" s="89" t="s">
        <v>109</v>
      </c>
      <c r="C49" s="184" t="s">
        <v>110</v>
      </c>
      <c r="D49" s="91">
        <f>6560/4</f>
        <v>1640</v>
      </c>
      <c r="E49" s="185">
        <v>6560.0</v>
      </c>
      <c r="F49" s="75" t="s">
        <v>111</v>
      </c>
      <c r="G49" s="75"/>
      <c r="H49" s="75">
        <v>4.0</v>
      </c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21"/>
      <c r="X49" s="21"/>
    </row>
    <row r="50" ht="15.75" customHeight="1">
      <c r="A50" s="88"/>
      <c r="B50" s="188" t="s">
        <v>112</v>
      </c>
      <c r="C50" s="90" t="s">
        <v>110</v>
      </c>
      <c r="D50" s="91">
        <f>3440/4</f>
        <v>860</v>
      </c>
      <c r="E50" s="93">
        <v>3440.0</v>
      </c>
      <c r="F50" s="75" t="s">
        <v>111</v>
      </c>
      <c r="G50" s="75"/>
      <c r="H50" s="75">
        <v>4.0</v>
      </c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21"/>
      <c r="X50" s="21"/>
    </row>
    <row r="51" ht="15.75" customHeight="1">
      <c r="A51" s="88"/>
      <c r="B51" s="189" t="s">
        <v>113</v>
      </c>
      <c r="C51" s="90" t="s">
        <v>114</v>
      </c>
      <c r="D51" s="91">
        <f>8000/8</f>
        <v>1000</v>
      </c>
      <c r="E51" s="93">
        <v>8000.0</v>
      </c>
      <c r="F51" s="75" t="s">
        <v>111</v>
      </c>
      <c r="G51" s="75"/>
      <c r="H51" s="75">
        <v>8.0</v>
      </c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21"/>
      <c r="X51" s="21"/>
    </row>
    <row r="52" ht="15.75" customHeight="1">
      <c r="A52" s="88"/>
      <c r="B52" s="89" t="s">
        <v>115</v>
      </c>
      <c r="C52" s="90" t="s">
        <v>116</v>
      </c>
      <c r="D52" s="91">
        <f>15000/300</f>
        <v>50</v>
      </c>
      <c r="E52" s="93">
        <v>15000.0</v>
      </c>
      <c r="F52" s="75" t="s">
        <v>111</v>
      </c>
      <c r="G52" s="75"/>
      <c r="H52" s="75">
        <v>300.0</v>
      </c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21"/>
      <c r="X52" s="21"/>
    </row>
    <row r="53" ht="15.75" customHeight="1">
      <c r="A53" s="88"/>
      <c r="B53" s="89" t="s">
        <v>117</v>
      </c>
      <c r="C53" s="90" t="s">
        <v>118</v>
      </c>
      <c r="D53" s="91">
        <f>5700/100</f>
        <v>57</v>
      </c>
      <c r="E53" s="93">
        <v>5700.0</v>
      </c>
      <c r="F53" s="75" t="s">
        <v>111</v>
      </c>
      <c r="G53" s="75"/>
      <c r="H53" s="75">
        <v>100.0</v>
      </c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21"/>
      <c r="X53" s="21"/>
    </row>
    <row r="54" ht="15.75" customHeight="1">
      <c r="A54" s="88"/>
      <c r="B54" s="89" t="s">
        <v>119</v>
      </c>
      <c r="C54" s="90" t="s">
        <v>110</v>
      </c>
      <c r="D54" s="91">
        <f>5500/4</f>
        <v>1375</v>
      </c>
      <c r="E54" s="93">
        <v>5500.0</v>
      </c>
      <c r="F54" s="75" t="s">
        <v>111</v>
      </c>
      <c r="G54" s="75"/>
      <c r="H54" s="75"/>
      <c r="I54" s="75">
        <v>4.0</v>
      </c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21"/>
      <c r="X54" s="21"/>
    </row>
    <row r="55" ht="15.75" customHeight="1">
      <c r="A55" s="88"/>
      <c r="B55" s="89" t="s">
        <v>120</v>
      </c>
      <c r="C55" s="90" t="s">
        <v>121</v>
      </c>
      <c r="D55" s="91">
        <f>7200/4</f>
        <v>1800</v>
      </c>
      <c r="E55" s="93">
        <v>7200.0</v>
      </c>
      <c r="F55" s="75" t="s">
        <v>111</v>
      </c>
      <c r="G55" s="75"/>
      <c r="H55" s="75"/>
      <c r="I55" s="75">
        <v>4.0</v>
      </c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21"/>
      <c r="X55" s="21"/>
    </row>
    <row r="56" ht="15.75" customHeight="1">
      <c r="A56" s="88"/>
      <c r="B56" s="89" t="s">
        <v>122</v>
      </c>
      <c r="C56" s="90" t="s">
        <v>123</v>
      </c>
      <c r="D56" s="91">
        <f>8000/6</f>
        <v>1333.333333</v>
      </c>
      <c r="E56" s="93">
        <v>8000.0</v>
      </c>
      <c r="F56" s="75" t="s">
        <v>111</v>
      </c>
      <c r="G56" s="75"/>
      <c r="H56" s="75"/>
      <c r="I56" s="75">
        <v>6.0</v>
      </c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21"/>
      <c r="X56" s="21"/>
    </row>
    <row r="57" ht="15.75" customHeight="1">
      <c r="A57" s="88"/>
      <c r="B57" s="89" t="s">
        <v>124</v>
      </c>
      <c r="C57" s="90" t="s">
        <v>125</v>
      </c>
      <c r="D57" s="91">
        <f>280/10</f>
        <v>28</v>
      </c>
      <c r="E57" s="93">
        <v>280.0</v>
      </c>
      <c r="F57" s="75" t="s">
        <v>111</v>
      </c>
      <c r="G57" s="75"/>
      <c r="H57" s="75"/>
      <c r="I57" s="75">
        <v>10.0</v>
      </c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21"/>
      <c r="X57" s="21"/>
    </row>
    <row r="58" ht="15.75" customHeight="1">
      <c r="A58" s="88"/>
      <c r="B58" s="89" t="s">
        <v>126</v>
      </c>
      <c r="C58" s="90" t="s">
        <v>127</v>
      </c>
      <c r="D58" s="91">
        <f>2100/6</f>
        <v>350</v>
      </c>
      <c r="E58" s="93">
        <v>2100.0</v>
      </c>
      <c r="F58" s="75" t="s">
        <v>111</v>
      </c>
      <c r="G58" s="75"/>
      <c r="H58" s="75"/>
      <c r="I58" s="75"/>
      <c r="J58" s="75">
        <v>6.0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21"/>
      <c r="X58" s="21"/>
    </row>
    <row r="59" ht="15.75" customHeight="1">
      <c r="A59" s="88"/>
      <c r="B59" s="89" t="s">
        <v>128</v>
      </c>
      <c r="C59" s="90" t="s">
        <v>129</v>
      </c>
      <c r="D59" s="91">
        <f>3000/10</f>
        <v>300</v>
      </c>
      <c r="E59" s="93">
        <v>3000.0</v>
      </c>
      <c r="F59" s="75" t="s">
        <v>111</v>
      </c>
      <c r="G59" s="75"/>
      <c r="H59" s="75"/>
      <c r="I59" s="75"/>
      <c r="J59" s="75">
        <v>10.0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21"/>
      <c r="X59" s="21"/>
    </row>
    <row r="60" ht="15.75" customHeight="1">
      <c r="A60" s="88"/>
      <c r="B60" s="89" t="s">
        <v>130</v>
      </c>
      <c r="C60" s="90" t="s">
        <v>127</v>
      </c>
      <c r="D60" s="91">
        <f>2400/6</f>
        <v>400</v>
      </c>
      <c r="E60" s="93">
        <v>2400.0</v>
      </c>
      <c r="F60" s="75" t="s">
        <v>111</v>
      </c>
      <c r="G60" s="75"/>
      <c r="H60" s="75"/>
      <c r="I60" s="75"/>
      <c r="J60" s="75">
        <v>6.0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21"/>
      <c r="X60" s="21"/>
    </row>
    <row r="61" ht="15.75" hidden="1" customHeight="1">
      <c r="A61" s="88"/>
      <c r="B61" s="89"/>
      <c r="C61" s="90"/>
      <c r="D61" s="91"/>
      <c r="E61" s="93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21"/>
      <c r="X61" s="21"/>
    </row>
    <row r="62" ht="15.75" hidden="1" customHeight="1">
      <c r="A62" s="88"/>
      <c r="B62" s="89"/>
      <c r="C62" s="90"/>
      <c r="D62" s="91"/>
      <c r="E62" s="93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21"/>
      <c r="X62" s="21"/>
    </row>
    <row r="63" ht="15.75" hidden="1" customHeight="1">
      <c r="A63" s="88"/>
      <c r="B63" s="89"/>
      <c r="C63" s="90"/>
      <c r="D63" s="91"/>
      <c r="E63" s="93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21"/>
      <c r="X63" s="21"/>
    </row>
    <row r="64" ht="15.75" hidden="1" customHeight="1">
      <c r="A64" s="88"/>
      <c r="B64" s="89"/>
      <c r="C64" s="90"/>
      <c r="D64" s="91"/>
      <c r="E64" s="93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21"/>
      <c r="X64" s="21"/>
    </row>
    <row r="65" ht="15.75" hidden="1" customHeight="1">
      <c r="A65" s="88"/>
      <c r="B65" s="89"/>
      <c r="C65" s="90"/>
      <c r="D65" s="91"/>
      <c r="E65" s="93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21"/>
      <c r="X65" s="21"/>
    </row>
    <row r="66" ht="15.75" hidden="1" customHeight="1">
      <c r="A66" s="88"/>
      <c r="B66" s="89"/>
      <c r="C66" s="90"/>
      <c r="D66" s="91"/>
      <c r="E66" s="93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21"/>
      <c r="X66" s="21"/>
    </row>
    <row r="67" ht="15.75" hidden="1" customHeight="1">
      <c r="A67" s="94"/>
      <c r="B67" s="95"/>
      <c r="C67" s="39"/>
      <c r="D67" s="96"/>
      <c r="E67" s="97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21"/>
      <c r="X67" s="21"/>
    </row>
    <row r="68" ht="15.75" hidden="1" customHeight="1">
      <c r="A68" s="88"/>
      <c r="B68" s="98" t="s">
        <v>57</v>
      </c>
      <c r="C68" s="99"/>
      <c r="D68" s="100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21"/>
      <c r="X68" s="21"/>
    </row>
    <row r="69" ht="15.75" hidden="1" customHeight="1">
      <c r="A69" s="88"/>
      <c r="B69" s="89"/>
      <c r="C69" s="90"/>
      <c r="D69" s="91"/>
      <c r="E69" s="93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21"/>
      <c r="X69" s="21"/>
    </row>
    <row r="70" ht="15.75" hidden="1" customHeight="1">
      <c r="A70" s="88"/>
      <c r="B70" s="89"/>
      <c r="C70" s="90"/>
      <c r="D70" s="91"/>
      <c r="E70" s="93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21"/>
      <c r="X70" s="21"/>
    </row>
    <row r="71" ht="15.75" hidden="1" customHeight="1">
      <c r="A71" s="88"/>
      <c r="B71" s="89"/>
      <c r="C71" s="90"/>
      <c r="D71" s="91"/>
      <c r="E71" s="93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21"/>
      <c r="X71" s="21"/>
    </row>
    <row r="72" ht="15.75" hidden="1" customHeight="1">
      <c r="A72" s="88"/>
      <c r="B72" s="89"/>
      <c r="C72" s="90"/>
      <c r="D72" s="91"/>
      <c r="E72" s="93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21"/>
      <c r="X72" s="21"/>
    </row>
    <row r="73" ht="15.75" hidden="1" customHeight="1">
      <c r="A73" s="88"/>
      <c r="B73" s="98" t="s">
        <v>58</v>
      </c>
      <c r="C73" s="99"/>
      <c r="D73" s="100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21"/>
      <c r="X73" s="21"/>
    </row>
    <row r="74" ht="15.75" hidden="1" customHeight="1">
      <c r="A74" s="88"/>
      <c r="B74" s="89"/>
      <c r="C74" s="90"/>
      <c r="D74" s="91"/>
      <c r="E74" s="93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21"/>
      <c r="X74" s="21"/>
    </row>
    <row r="75" ht="15.75" hidden="1" customHeight="1">
      <c r="A75" s="88"/>
      <c r="B75" s="89"/>
      <c r="C75" s="90"/>
      <c r="D75" s="91"/>
      <c r="E75" s="93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21"/>
      <c r="X75" s="21"/>
    </row>
    <row r="76" ht="15.75" hidden="1" customHeight="1">
      <c r="A76" s="88"/>
      <c r="B76" s="89"/>
      <c r="C76" s="90"/>
      <c r="D76" s="91"/>
      <c r="E76" s="93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21"/>
      <c r="X76" s="21"/>
    </row>
    <row r="77" ht="15.75" customHeight="1">
      <c r="A77" s="94"/>
      <c r="B77" s="101" t="s">
        <v>59</v>
      </c>
      <c r="C77" s="102"/>
      <c r="D77" s="102"/>
      <c r="E77" s="102"/>
      <c r="F77" s="102"/>
      <c r="G77" s="102"/>
      <c r="H77" s="102"/>
      <c r="I77" s="103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21"/>
      <c r="X77" s="21"/>
    </row>
    <row r="78" ht="15.75" customHeight="1">
      <c r="A78" s="104"/>
      <c r="B78" s="105"/>
      <c r="C78" s="2"/>
      <c r="D78" s="9"/>
      <c r="E78" s="106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07" t="s">
        <v>60</v>
      </c>
      <c r="B79" s="6"/>
      <c r="C79" s="108">
        <v>247155.0</v>
      </c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09" t="s">
        <v>61</v>
      </c>
      <c r="B80" s="110"/>
      <c r="C80" s="111">
        <f>PRODUCT(C79,0.1)</f>
        <v>24715.5</v>
      </c>
      <c r="D80" s="112"/>
      <c r="E80" s="113"/>
      <c r="F80" s="11"/>
      <c r="G80" s="11"/>
      <c r="H80" s="114"/>
      <c r="J80" s="114"/>
      <c r="U80" s="114"/>
      <c r="V80" s="2"/>
      <c r="W80" s="2"/>
      <c r="X80" s="2"/>
    </row>
    <row r="81" ht="15.75" hidden="1" customHeight="1">
      <c r="A81" s="115" t="s">
        <v>62</v>
      </c>
      <c r="B81" s="116"/>
      <c r="C81" s="117">
        <f>PRODUCT(C79,0.1)</f>
        <v>24715.5</v>
      </c>
      <c r="D81" s="102"/>
      <c r="E81" s="103"/>
      <c r="F81" s="11"/>
      <c r="G81" s="11"/>
      <c r="H81" s="118"/>
      <c r="I81" s="118"/>
      <c r="J81" s="119"/>
      <c r="U81" s="119"/>
      <c r="V81" s="2"/>
      <c r="W81" s="2"/>
      <c r="X81" s="2"/>
    </row>
    <row r="82" ht="15.75" hidden="1" customHeight="1">
      <c r="A82" s="115" t="s">
        <v>63</v>
      </c>
      <c r="B82" s="116"/>
      <c r="C82" s="117">
        <f>SUM(C79:E81)</f>
        <v>296586</v>
      </c>
      <c r="D82" s="102"/>
      <c r="E82" s="103"/>
      <c r="F82" s="11"/>
      <c r="G82" s="11"/>
      <c r="H82" s="118"/>
      <c r="I82" s="118"/>
      <c r="J82" s="119"/>
      <c r="U82" s="119"/>
      <c r="V82" s="2"/>
      <c r="W82" s="2"/>
      <c r="X82" s="2"/>
    </row>
    <row r="83" ht="15.75" customHeight="1">
      <c r="A83" s="120"/>
      <c r="B83" s="6"/>
      <c r="C83" s="2"/>
      <c r="D83" s="9"/>
      <c r="E83" s="10"/>
      <c r="F83" s="11"/>
      <c r="G83" s="11"/>
      <c r="H83" s="118"/>
      <c r="I83" s="118"/>
      <c r="J83" s="119"/>
      <c r="U83" s="119"/>
      <c r="V83" s="2"/>
      <c r="W83" s="2"/>
      <c r="X83" s="2"/>
    </row>
    <row r="84" ht="15.75" customHeight="1">
      <c r="A84" s="121" t="s">
        <v>64</v>
      </c>
      <c r="B84" s="6"/>
      <c r="C84" s="2"/>
      <c r="D84" s="9"/>
      <c r="E84" s="10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22"/>
      <c r="B85" s="6"/>
      <c r="C85" s="2"/>
      <c r="D85" s="9"/>
      <c r="E85" s="10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23" t="s">
        <v>65</v>
      </c>
      <c r="B86" s="105"/>
      <c r="C86" s="124" t="s">
        <v>66</v>
      </c>
      <c r="F86" s="118"/>
      <c r="G86" s="118"/>
      <c r="H86" s="2"/>
      <c r="I86" s="124" t="s">
        <v>67</v>
      </c>
      <c r="O86" s="2"/>
      <c r="P86" s="2"/>
      <c r="Q86" s="124" t="s">
        <v>68</v>
      </c>
      <c r="U86" s="2"/>
      <c r="V86" s="2"/>
      <c r="X86" s="118"/>
    </row>
    <row r="87" ht="15.75" customHeight="1">
      <c r="A87" s="123"/>
      <c r="B87" s="105"/>
      <c r="C87" s="124"/>
      <c r="D87" s="125"/>
      <c r="E87" s="124"/>
      <c r="F87" s="118"/>
      <c r="G87" s="118"/>
      <c r="H87" s="2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18"/>
      <c r="X87" s="118"/>
    </row>
    <row r="88" ht="15.75" customHeight="1">
      <c r="A88" s="105"/>
      <c r="B88" s="105"/>
      <c r="C88" s="118"/>
      <c r="D88" s="126"/>
      <c r="E88" s="127"/>
      <c r="F88" s="118"/>
      <c r="G88" s="118"/>
      <c r="H88" s="2"/>
      <c r="I88" s="118"/>
      <c r="J88" s="127"/>
      <c r="K88" s="127"/>
      <c r="L88" s="127"/>
      <c r="M88" s="127"/>
      <c r="N88" s="127"/>
      <c r="O88" s="127"/>
      <c r="P88" s="127"/>
      <c r="Q88" s="118"/>
      <c r="R88" s="127"/>
      <c r="S88" s="118"/>
      <c r="T88" s="118"/>
      <c r="U88" s="118"/>
      <c r="V88" s="118"/>
      <c r="W88" s="118"/>
      <c r="X88" s="118"/>
    </row>
    <row r="89" ht="15.75" customHeight="1">
      <c r="A89" s="128" t="s">
        <v>131</v>
      </c>
      <c r="C89" s="129" t="s">
        <v>70</v>
      </c>
      <c r="G89" s="2"/>
      <c r="H89" s="2"/>
      <c r="I89" s="129" t="s">
        <v>71</v>
      </c>
      <c r="O89" s="2"/>
      <c r="P89" s="2"/>
      <c r="Q89" s="129" t="s">
        <v>72</v>
      </c>
      <c r="U89" s="2"/>
      <c r="V89" s="2"/>
    </row>
    <row r="90" ht="15.0" customHeight="1">
      <c r="A90" s="130" t="s">
        <v>73</v>
      </c>
      <c r="C90" s="131" t="s">
        <v>74</v>
      </c>
      <c r="G90" s="132"/>
      <c r="H90" s="2"/>
      <c r="I90" s="133" t="s">
        <v>75</v>
      </c>
      <c r="O90" s="2"/>
      <c r="P90" s="2"/>
      <c r="Q90" s="131" t="s">
        <v>76</v>
      </c>
      <c r="U90" s="2"/>
      <c r="V90" s="2"/>
      <c r="W90" s="118"/>
      <c r="X90" s="118"/>
    </row>
    <row r="91" ht="15.75" customHeight="1">
      <c r="A91" s="2"/>
      <c r="B91" s="2"/>
      <c r="C91" s="2"/>
      <c r="D91" s="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77</v>
      </c>
      <c r="B92" s="2"/>
      <c r="C92" s="2" t="s">
        <v>77</v>
      </c>
      <c r="D92" s="9"/>
      <c r="E92" s="2"/>
      <c r="F92" s="2"/>
      <c r="G92" s="2"/>
      <c r="H92" s="2"/>
      <c r="I92" s="2" t="s">
        <v>77</v>
      </c>
      <c r="J92" s="2"/>
      <c r="K92" s="2"/>
      <c r="L92" s="2"/>
      <c r="M92" s="2"/>
      <c r="N92" s="2"/>
      <c r="O92" s="2"/>
      <c r="P92" s="2"/>
      <c r="Q92" s="2" t="s">
        <v>77</v>
      </c>
      <c r="R92" s="2"/>
      <c r="S92" s="2"/>
      <c r="T92" s="2"/>
      <c r="U92" s="2"/>
      <c r="V92" s="2"/>
      <c r="W92" s="2"/>
      <c r="X92" s="2"/>
    </row>
    <row r="93" ht="15.75" customHeight="1">
      <c r="D93" s="134"/>
      <c r="H93" s="135"/>
    </row>
    <row r="94" ht="15.75" customHeight="1">
      <c r="D94" s="134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</row>
    <row r="95" ht="15.75" customHeight="1">
      <c r="D95" s="134"/>
      <c r="H95" s="168"/>
      <c r="I95" s="169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</row>
    <row r="96" ht="15.75" customHeight="1">
      <c r="D96" s="134"/>
      <c r="H96" s="171"/>
    </row>
    <row r="97" ht="15.75" customHeight="1">
      <c r="D97" s="134"/>
      <c r="H97" s="172"/>
    </row>
    <row r="98" ht="15.75" customHeight="1">
      <c r="D98" s="134"/>
    </row>
    <row r="99" ht="15.75" customHeight="1">
      <c r="D99" s="134"/>
    </row>
    <row r="100" ht="15.75" customHeight="1">
      <c r="D100" s="134"/>
    </row>
    <row r="101" ht="15.75" customHeight="1">
      <c r="D101" s="134"/>
    </row>
    <row r="102" ht="15.75" customHeight="1">
      <c r="D102" s="134"/>
    </row>
    <row r="103" ht="15.75" customHeight="1">
      <c r="D103" s="134"/>
    </row>
    <row r="104" ht="15.75" customHeight="1">
      <c r="D104" s="134"/>
    </row>
    <row r="105" ht="15.75" customHeight="1">
      <c r="D105" s="134"/>
    </row>
    <row r="106" ht="15.75" customHeight="1">
      <c r="D106" s="134"/>
    </row>
    <row r="107" ht="15.75" customHeight="1">
      <c r="D107" s="134"/>
    </row>
    <row r="108" ht="15.75" customHeight="1">
      <c r="D108" s="134"/>
    </row>
    <row r="109" ht="15.75" customHeight="1">
      <c r="D109" s="134"/>
    </row>
    <row r="110" ht="15.75" customHeight="1">
      <c r="D110" s="134"/>
    </row>
    <row r="111" ht="15.75" customHeight="1">
      <c r="D111" s="134"/>
    </row>
    <row r="112" ht="15.75" customHeight="1">
      <c r="D112" s="134"/>
    </row>
    <row r="113" ht="15.75" customHeight="1">
      <c r="D113" s="134"/>
    </row>
    <row r="114" ht="15.75" customHeight="1">
      <c r="D114" s="134"/>
    </row>
    <row r="115" ht="15.75" customHeight="1">
      <c r="D115" s="134"/>
    </row>
    <row r="116" ht="15.75" customHeight="1">
      <c r="D116" s="134"/>
    </row>
    <row r="117" ht="15.75" customHeight="1">
      <c r="D117" s="134"/>
    </row>
    <row r="118" ht="15.75" customHeight="1">
      <c r="D118" s="134"/>
    </row>
    <row r="119" ht="15.75" customHeight="1">
      <c r="D119" s="134"/>
    </row>
    <row r="120" ht="15.75" customHeight="1">
      <c r="D120" s="134"/>
    </row>
    <row r="121" ht="15.75" customHeight="1">
      <c r="D121" s="134"/>
    </row>
    <row r="122" ht="15.75" customHeight="1">
      <c r="D122" s="134"/>
    </row>
    <row r="123" ht="15.75" customHeight="1">
      <c r="D123" s="134"/>
    </row>
    <row r="124" ht="15.75" customHeight="1">
      <c r="D124" s="134"/>
    </row>
    <row r="125" ht="15.75" customHeight="1">
      <c r="D125" s="134"/>
    </row>
    <row r="126" ht="15.75" customHeight="1">
      <c r="D126" s="134"/>
    </row>
    <row r="127" ht="15.75" customHeight="1">
      <c r="D127" s="134"/>
    </row>
    <row r="128" ht="15.75" customHeight="1">
      <c r="D128" s="134"/>
    </row>
    <row r="129" ht="15.75" customHeight="1">
      <c r="D129" s="134"/>
    </row>
    <row r="130" ht="15.75" customHeight="1">
      <c r="D130" s="134"/>
    </row>
    <row r="131" ht="15.75" customHeight="1">
      <c r="D131" s="134"/>
    </row>
    <row r="132" ht="15.75" customHeight="1">
      <c r="D132" s="134"/>
    </row>
    <row r="133" ht="15.75" customHeight="1">
      <c r="D133" s="134"/>
    </row>
    <row r="134" ht="15.75" customHeight="1">
      <c r="D134" s="134"/>
    </row>
    <row r="135" ht="15.75" customHeight="1">
      <c r="D135" s="134"/>
    </row>
    <row r="136" ht="15.75" customHeight="1">
      <c r="D136" s="134"/>
    </row>
    <row r="137" ht="15.75" customHeight="1">
      <c r="D137" s="134"/>
    </row>
    <row r="138" ht="15.75" customHeight="1">
      <c r="D138" s="134"/>
    </row>
    <row r="139" ht="15.75" customHeight="1">
      <c r="D139" s="134"/>
    </row>
    <row r="140" ht="15.75" customHeight="1">
      <c r="D140" s="134"/>
    </row>
    <row r="141" ht="15.75" customHeight="1">
      <c r="D141" s="134"/>
    </row>
    <row r="142" ht="15.75" customHeight="1">
      <c r="D142" s="134"/>
    </row>
    <row r="143" ht="15.75" customHeight="1">
      <c r="D143" s="134"/>
    </row>
    <row r="144" ht="15.75" customHeight="1">
      <c r="D144" s="134"/>
    </row>
    <row r="145" ht="15.75" customHeight="1">
      <c r="D145" s="134"/>
    </row>
    <row r="146" ht="15.75" customHeight="1">
      <c r="D146" s="134"/>
    </row>
    <row r="147" ht="15.75" customHeight="1">
      <c r="D147" s="134"/>
    </row>
    <row r="148" ht="15.75" customHeight="1">
      <c r="D148" s="134"/>
    </row>
    <row r="149" ht="15.75" customHeight="1">
      <c r="D149" s="134"/>
    </row>
    <row r="150" ht="15.75" customHeight="1">
      <c r="D150" s="134"/>
    </row>
    <row r="151" ht="15.75" customHeight="1">
      <c r="D151" s="134"/>
    </row>
    <row r="152" ht="15.75" customHeight="1">
      <c r="D152" s="134"/>
    </row>
    <row r="153" ht="15.75" customHeight="1">
      <c r="D153" s="134"/>
    </row>
    <row r="154" ht="15.75" customHeight="1">
      <c r="D154" s="134"/>
    </row>
    <row r="155" ht="15.75" customHeight="1">
      <c r="D155" s="134"/>
    </row>
    <row r="156" ht="15.75" customHeight="1">
      <c r="D156" s="134"/>
    </row>
    <row r="157" ht="15.75" customHeight="1">
      <c r="D157" s="134"/>
    </row>
    <row r="158" ht="15.75" customHeight="1">
      <c r="D158" s="134"/>
    </row>
    <row r="159" ht="15.75" customHeight="1">
      <c r="D159" s="134"/>
    </row>
    <row r="160" ht="15.75" customHeight="1">
      <c r="D160" s="134"/>
    </row>
    <row r="161" ht="15.75" customHeight="1">
      <c r="D161" s="134"/>
    </row>
    <row r="162" ht="15.75" customHeight="1">
      <c r="D162" s="134"/>
    </row>
    <row r="163" ht="15.75" customHeight="1">
      <c r="D163" s="134"/>
    </row>
    <row r="164" ht="15.75" customHeight="1">
      <c r="D164" s="134"/>
    </row>
    <row r="165" ht="15.75" customHeight="1">
      <c r="D165" s="134"/>
    </row>
    <row r="166" ht="15.75" customHeight="1">
      <c r="D166" s="134"/>
    </row>
    <row r="167" ht="15.75" customHeight="1">
      <c r="D167" s="134"/>
    </row>
    <row r="168" ht="15.75" customHeight="1">
      <c r="D168" s="134"/>
    </row>
    <row r="169" ht="15.75" customHeight="1">
      <c r="D169" s="134"/>
    </row>
    <row r="170" ht="15.75" customHeight="1">
      <c r="D170" s="134"/>
    </row>
    <row r="171" ht="15.75" customHeight="1">
      <c r="D171" s="134"/>
    </row>
    <row r="172" ht="15.75" customHeight="1">
      <c r="D172" s="134"/>
    </row>
    <row r="173" ht="15.75" customHeight="1">
      <c r="D173" s="134"/>
    </row>
    <row r="174" ht="15.75" customHeight="1">
      <c r="D174" s="134"/>
    </row>
    <row r="175" ht="15.75" customHeight="1">
      <c r="D175" s="134"/>
    </row>
    <row r="176" ht="15.75" customHeight="1">
      <c r="D176" s="134"/>
    </row>
    <row r="177" ht="15.75" customHeight="1">
      <c r="D177" s="134"/>
    </row>
    <row r="178" ht="15.75" customHeight="1">
      <c r="D178" s="134"/>
    </row>
    <row r="179" ht="15.75" customHeight="1">
      <c r="D179" s="134"/>
    </row>
    <row r="180" ht="15.75" customHeight="1">
      <c r="D180" s="134"/>
    </row>
    <row r="181" ht="15.75" customHeight="1">
      <c r="D181" s="134"/>
    </row>
    <row r="182" ht="15.75" customHeight="1">
      <c r="D182" s="134"/>
    </row>
    <row r="183" ht="15.75" customHeight="1">
      <c r="D183" s="134"/>
    </row>
    <row r="184" ht="15.75" customHeight="1">
      <c r="D184" s="134"/>
    </row>
    <row r="185" ht="15.75" customHeight="1">
      <c r="D185" s="134"/>
    </row>
    <row r="186" ht="15.75" customHeight="1">
      <c r="D186" s="134"/>
    </row>
    <row r="187" ht="15.75" customHeight="1">
      <c r="D187" s="134"/>
    </row>
    <row r="188" ht="15.75" customHeight="1">
      <c r="D188" s="134"/>
    </row>
    <row r="189" ht="15.75" customHeight="1">
      <c r="D189" s="134"/>
    </row>
    <row r="190" ht="15.75" customHeight="1">
      <c r="D190" s="134"/>
    </row>
    <row r="191" ht="15.75" customHeight="1">
      <c r="D191" s="134"/>
    </row>
    <row r="192" ht="15.75" customHeight="1">
      <c r="D192" s="134"/>
    </row>
    <row r="193" ht="15.75" customHeight="1">
      <c r="D193" s="134"/>
    </row>
    <row r="194" ht="15.75" customHeight="1">
      <c r="D194" s="134"/>
    </row>
    <row r="195" ht="15.75" customHeight="1">
      <c r="D195" s="134"/>
    </row>
    <row r="196" ht="15.75" customHeight="1">
      <c r="D196" s="134"/>
    </row>
    <row r="197" ht="15.75" customHeight="1">
      <c r="D197" s="134"/>
    </row>
    <row r="198" ht="15.75" customHeight="1">
      <c r="D198" s="134"/>
    </row>
    <row r="199" ht="15.75" customHeight="1">
      <c r="D199" s="134"/>
    </row>
    <row r="200" ht="15.75" customHeight="1">
      <c r="D200" s="134"/>
    </row>
    <row r="201" ht="15.75" customHeight="1">
      <c r="D201" s="134"/>
    </row>
    <row r="202" ht="15.75" customHeight="1">
      <c r="D202" s="134"/>
    </row>
    <row r="203" ht="15.75" customHeight="1">
      <c r="D203" s="134"/>
    </row>
    <row r="204" ht="15.75" customHeight="1">
      <c r="D204" s="134"/>
    </row>
    <row r="205" ht="15.75" customHeight="1">
      <c r="D205" s="134"/>
    </row>
    <row r="206" ht="15.75" customHeight="1">
      <c r="D206" s="134"/>
    </row>
    <row r="207" ht="15.75" customHeight="1">
      <c r="D207" s="134"/>
    </row>
    <row r="208" ht="15.75" customHeight="1">
      <c r="D208" s="134"/>
    </row>
    <row r="209" ht="15.75" customHeight="1">
      <c r="D209" s="134"/>
    </row>
    <row r="210" ht="15.75" customHeight="1">
      <c r="D210" s="134"/>
    </row>
    <row r="211" ht="15.75" customHeight="1">
      <c r="D211" s="134"/>
    </row>
    <row r="212" ht="15.75" customHeight="1">
      <c r="D212" s="134"/>
    </row>
    <row r="213" ht="15.75" customHeight="1">
      <c r="D213" s="134"/>
    </row>
    <row r="214" ht="15.75" customHeight="1">
      <c r="D214" s="134"/>
    </row>
    <row r="215" ht="15.75" customHeight="1">
      <c r="D215" s="134"/>
    </row>
    <row r="216" ht="15.75" customHeight="1">
      <c r="D216" s="134"/>
    </row>
    <row r="217" ht="15.75" customHeight="1">
      <c r="D217" s="134"/>
    </row>
    <row r="218" ht="15.75" customHeight="1">
      <c r="D218" s="134"/>
    </row>
    <row r="219" ht="15.75" customHeight="1">
      <c r="D219" s="134"/>
    </row>
    <row r="220" ht="15.75" customHeight="1">
      <c r="D220" s="134"/>
    </row>
    <row r="221" ht="15.75" customHeight="1">
      <c r="D221" s="134"/>
    </row>
    <row r="222" ht="15.75" customHeight="1">
      <c r="D222" s="134"/>
    </row>
    <row r="223" ht="15.75" customHeight="1">
      <c r="D223" s="134"/>
    </row>
    <row r="224" ht="15.75" customHeight="1">
      <c r="D224" s="134"/>
    </row>
    <row r="225" ht="15.75" customHeight="1">
      <c r="D225" s="134"/>
    </row>
    <row r="226" ht="15.75" customHeight="1">
      <c r="D226" s="134"/>
    </row>
    <row r="227" ht="15.75" customHeight="1">
      <c r="D227" s="134"/>
    </row>
    <row r="228" ht="15.75" customHeight="1">
      <c r="D228" s="134"/>
    </row>
    <row r="229" ht="15.75" customHeight="1">
      <c r="D229" s="134"/>
    </row>
    <row r="230" ht="15.75" customHeight="1">
      <c r="D230" s="134"/>
    </row>
    <row r="231" ht="15.75" customHeight="1">
      <c r="D231" s="134"/>
    </row>
    <row r="232" ht="15.75" customHeight="1">
      <c r="D232" s="134"/>
    </row>
    <row r="233" ht="15.75" customHeight="1">
      <c r="D233" s="134"/>
    </row>
    <row r="234" ht="15.75" customHeight="1">
      <c r="D234" s="134"/>
    </row>
    <row r="235" ht="15.75" customHeight="1">
      <c r="D235" s="134"/>
    </row>
    <row r="236" ht="15.75" customHeight="1">
      <c r="D236" s="134"/>
    </row>
    <row r="237" ht="15.75" customHeight="1">
      <c r="D237" s="134"/>
    </row>
    <row r="238" ht="15.75" customHeight="1">
      <c r="D238" s="134"/>
    </row>
    <row r="239" ht="15.75" customHeight="1">
      <c r="D239" s="134"/>
    </row>
    <row r="240" ht="15.75" customHeight="1">
      <c r="D240" s="134"/>
    </row>
    <row r="241" ht="15.75" customHeight="1">
      <c r="D241" s="134"/>
    </row>
    <row r="242" ht="15.75" customHeight="1">
      <c r="D242" s="134"/>
    </row>
    <row r="243" ht="15.75" customHeight="1">
      <c r="D243" s="134"/>
    </row>
    <row r="244" ht="15.75" customHeight="1">
      <c r="D244" s="134"/>
    </row>
    <row r="245" ht="15.75" customHeight="1">
      <c r="D245" s="134"/>
    </row>
    <row r="246" ht="15.75" customHeight="1">
      <c r="D246" s="134"/>
    </row>
    <row r="247" ht="15.75" customHeight="1">
      <c r="D247" s="134"/>
    </row>
    <row r="248" ht="15.75" customHeight="1">
      <c r="D248" s="134"/>
    </row>
    <row r="249" ht="15.75" customHeight="1">
      <c r="D249" s="134"/>
    </row>
    <row r="250" ht="15.75" customHeight="1">
      <c r="D250" s="134"/>
    </row>
    <row r="251" ht="15.75" customHeight="1">
      <c r="D251" s="134"/>
    </row>
    <row r="252" ht="15.75" customHeight="1">
      <c r="D252" s="134"/>
    </row>
    <row r="253" ht="15.75" customHeight="1">
      <c r="D253" s="134"/>
    </row>
    <row r="254" ht="15.75" customHeight="1">
      <c r="D254" s="134"/>
    </row>
    <row r="255" ht="15.75" customHeight="1">
      <c r="D255" s="134"/>
    </row>
    <row r="256" ht="15.75" customHeight="1">
      <c r="D256" s="134"/>
    </row>
    <row r="257" ht="15.75" customHeight="1">
      <c r="D257" s="134"/>
    </row>
    <row r="258" ht="15.75" customHeight="1">
      <c r="D258" s="134"/>
    </row>
    <row r="259" ht="15.75" customHeight="1">
      <c r="D259" s="134"/>
    </row>
    <row r="260" ht="15.75" customHeight="1">
      <c r="D260" s="134"/>
    </row>
    <row r="261" ht="15.75" customHeight="1">
      <c r="D261" s="134"/>
    </row>
    <row r="262" ht="15.75" customHeight="1">
      <c r="D262" s="134"/>
    </row>
    <row r="263" ht="15.75" customHeight="1">
      <c r="D263" s="134"/>
    </row>
    <row r="264" ht="15.75" customHeight="1">
      <c r="D264" s="134"/>
    </row>
    <row r="265" ht="15.75" customHeight="1">
      <c r="D265" s="134"/>
    </row>
    <row r="266" ht="15.75" customHeight="1">
      <c r="D266" s="134"/>
    </row>
    <row r="267" ht="15.75" customHeight="1">
      <c r="D267" s="134"/>
    </row>
    <row r="268" ht="15.75" customHeight="1">
      <c r="D268" s="134"/>
    </row>
    <row r="269" ht="15.75" customHeight="1">
      <c r="D269" s="134"/>
    </row>
    <row r="270" ht="15.75" customHeight="1">
      <c r="D270" s="134"/>
    </row>
    <row r="271" ht="15.75" customHeight="1">
      <c r="D271" s="134"/>
    </row>
    <row r="272" ht="15.75" customHeight="1">
      <c r="D272" s="134"/>
    </row>
    <row r="273" ht="15.75" customHeight="1">
      <c r="D273" s="134"/>
    </row>
    <row r="274" ht="15.75" customHeight="1">
      <c r="D274" s="134"/>
    </row>
    <row r="275" ht="15.75" customHeight="1">
      <c r="D275" s="134"/>
    </row>
    <row r="276" ht="15.75" customHeight="1">
      <c r="D276" s="134"/>
    </row>
    <row r="277" ht="15.75" customHeight="1">
      <c r="D277" s="134"/>
    </row>
    <row r="278" ht="15.75" customHeight="1">
      <c r="D278" s="134"/>
    </row>
    <row r="279" ht="15.75" customHeight="1">
      <c r="D279" s="134"/>
    </row>
    <row r="280" ht="15.75" customHeight="1">
      <c r="D280" s="134"/>
    </row>
    <row r="281" ht="15.75" customHeight="1">
      <c r="D281" s="134"/>
    </row>
    <row r="282" ht="15.75" customHeight="1">
      <c r="D282" s="134"/>
    </row>
    <row r="283" ht="15.75" customHeight="1">
      <c r="D283" s="134"/>
    </row>
    <row r="284" ht="15.75" customHeight="1">
      <c r="D284" s="134"/>
    </row>
    <row r="285" ht="15.75" customHeight="1">
      <c r="D285" s="134"/>
    </row>
    <row r="286" ht="15.75" customHeight="1">
      <c r="D286" s="134"/>
    </row>
    <row r="287" ht="15.75" customHeight="1">
      <c r="D287" s="134"/>
    </row>
    <row r="288" ht="15.75" customHeight="1">
      <c r="D288" s="134"/>
    </row>
    <row r="289" ht="15.75" customHeight="1">
      <c r="D289" s="134"/>
    </row>
    <row r="290" ht="15.75" customHeight="1">
      <c r="D290" s="134"/>
    </row>
    <row r="291" ht="15.75" customHeight="1">
      <c r="D291" s="134"/>
    </row>
    <row r="292" ht="15.75" customHeight="1">
      <c r="D292" s="134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