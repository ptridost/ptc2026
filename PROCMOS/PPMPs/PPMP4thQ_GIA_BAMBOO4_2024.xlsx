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BAMBOO PROJECT\CTO\BAMBOO 4\PROCUREMENT\PPMP\4TH QTR\"/>
    </mc:Choice>
  </mc:AlternateContent>
  <xr:revisionPtr revIDLastSave="0" documentId="8_{FC428531-B8D8-491F-A832-DA74DD76C8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th Quarter" sheetId="1" r:id="rId1"/>
    <sheet name="3rd Quarter" sheetId="2" r:id="rId2"/>
    <sheet name="2nd Quarter" sheetId="3" r:id="rId3"/>
  </sheets>
  <calcPr calcId="191029"/>
  <extLst>
    <ext uri="GoogleSheetsCustomDataVersion2">
      <go:sheetsCustomData xmlns:go="http://customooxmlschemas.google.com/" r:id="rId7" roundtripDataChecksum="MENnwp4LMz5SaOar+dl95UmNNgng8eNrM6JWv7OD7jY="/>
    </ext>
  </extLst>
</workbook>
</file>

<file path=xl/calcChain.xml><?xml version="1.0" encoding="utf-8"?>
<calcChain xmlns="http://schemas.openxmlformats.org/spreadsheetml/2006/main">
  <c r="C84" i="3" l="1"/>
  <c r="E77" i="3"/>
  <c r="E76" i="3"/>
  <c r="U9" i="3"/>
  <c r="E135" i="2"/>
  <c r="E134" i="2"/>
  <c r="E128" i="2"/>
  <c r="E127" i="2"/>
  <c r="E126" i="2"/>
  <c r="E125" i="2"/>
  <c r="E124" i="2"/>
  <c r="E120" i="2"/>
  <c r="E119" i="2"/>
  <c r="E117" i="2"/>
  <c r="E116" i="2"/>
  <c r="E115" i="2"/>
  <c r="E114" i="2"/>
  <c r="E112" i="2"/>
  <c r="E111" i="2"/>
  <c r="E110" i="2"/>
  <c r="E109" i="2"/>
  <c r="E108" i="2"/>
  <c r="E107" i="2"/>
  <c r="E106" i="2"/>
  <c r="E105" i="2"/>
  <c r="A104" i="2" s="1"/>
  <c r="A102" i="2"/>
  <c r="E100" i="2"/>
  <c r="E99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A78" i="2" s="1"/>
  <c r="E83" i="2"/>
  <c r="E82" i="2"/>
  <c r="E81" i="2"/>
  <c r="E80" i="2"/>
  <c r="E79" i="2"/>
  <c r="E77" i="2"/>
  <c r="E76" i="2"/>
  <c r="E75" i="2"/>
  <c r="E74" i="2"/>
  <c r="E73" i="2"/>
  <c r="E72" i="2"/>
  <c r="E71" i="2"/>
  <c r="E70" i="2"/>
  <c r="E69" i="2"/>
  <c r="E68" i="2"/>
  <c r="E67" i="2"/>
  <c r="E66" i="2"/>
  <c r="E64" i="2"/>
  <c r="E63" i="2"/>
  <c r="E62" i="2"/>
  <c r="E61" i="2"/>
  <c r="E60" i="2"/>
  <c r="E59" i="2"/>
  <c r="E58" i="2"/>
  <c r="E56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39" i="2"/>
  <c r="E37" i="2"/>
  <c r="E36" i="2"/>
  <c r="E35" i="2"/>
  <c r="E33" i="2"/>
  <c r="E32" i="2"/>
  <c r="C144" i="2" s="1"/>
  <c r="E27" i="2"/>
  <c r="E26" i="2"/>
  <c r="E25" i="2"/>
  <c r="E24" i="2"/>
  <c r="E23" i="2"/>
  <c r="E22" i="2"/>
  <c r="E18" i="2"/>
  <c r="E17" i="2"/>
  <c r="E16" i="2"/>
  <c r="E15" i="2"/>
  <c r="A10" i="2" s="1"/>
  <c r="E14" i="2"/>
  <c r="E13" i="2"/>
  <c r="E12" i="2"/>
  <c r="E11" i="2"/>
  <c r="U9" i="2"/>
  <c r="E49" i="1"/>
  <c r="A48" i="1" s="1"/>
  <c r="A46" i="1"/>
  <c r="E44" i="1"/>
  <c r="E43" i="1"/>
  <c r="E41" i="1"/>
  <c r="A33" i="1" s="1"/>
  <c r="E40" i="1"/>
  <c r="E39" i="1"/>
  <c r="E38" i="1"/>
  <c r="E37" i="1"/>
  <c r="E36" i="1"/>
  <c r="E35" i="1"/>
  <c r="E34" i="1"/>
  <c r="E30" i="1"/>
  <c r="E29" i="1"/>
  <c r="E28" i="1"/>
  <c r="E27" i="1"/>
  <c r="E25" i="1"/>
  <c r="E24" i="1"/>
  <c r="E23" i="1"/>
  <c r="E16" i="1"/>
  <c r="A10" i="1" s="1"/>
  <c r="E15" i="1"/>
  <c r="E14" i="1"/>
  <c r="E13" i="1"/>
  <c r="E12" i="1"/>
  <c r="E11" i="1"/>
  <c r="C57" i="1" s="1"/>
  <c r="U9" i="1"/>
  <c r="C58" i="1" l="1"/>
  <c r="C60" i="1" s="1"/>
  <c r="C59" i="1"/>
  <c r="C146" i="2"/>
  <c r="C145" i="2"/>
  <c r="C147" i="2" s="1"/>
  <c r="C85" i="3"/>
  <c r="C87" i="3" s="1"/>
  <c r="C86" i="3"/>
</calcChain>
</file>

<file path=xl/sharedStrings.xml><?xml version="1.0" encoding="utf-8"?>
<sst xmlns="http://schemas.openxmlformats.org/spreadsheetml/2006/main" count="691" uniqueCount="349">
  <si>
    <t xml:space="preserve">  PROJECT PROCUREMENT MANAGEMENT PLAN (PPMP) 2024</t>
  </si>
  <si>
    <t>For 2nd Quarter of CY 2024</t>
  </si>
  <si>
    <t>END-USER/UNIT: RDD-CDABUS</t>
  </si>
  <si>
    <t>Charged to: Community-based Verification of Fiber Extraction Technology Using Local Bamboo Species as a Textile Material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</si>
  <si>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</si>
  <si>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</si>
  <si>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</si>
  <si>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</si>
  <si>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</si>
  <si>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</si>
  <si>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</si>
  <si>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</si>
  <si>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</si>
  <si>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</si>
  <si>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</t>
  </si>
  <si>
    <t>Aug</t>
  </si>
  <si>
    <t>Sept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</si>
  <si>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</si>
  <si>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</si>
  <si>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</si>
  <si>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</si>
  <si>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</si>
  <si>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</si>
  <si>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</si>
  <si>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</si>
  <si>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</si>
  <si>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</si>
  <si>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</si>
  <si>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References</t>
  </si>
  <si>
    <t>Office Supplies</t>
  </si>
  <si>
    <t>https://shopee.ph/Armak-Masking-Tape-Per-PIECE-Painter's-Grade-Masking-Tape-Armak-Green-Industrial-Painting-Packing-i.140576173.23722920035?sp_atk=24b02d76-2869-4a18-aa0f-1cca8e6467d2&amp;xptdk=24b02d76-2869-4a18-aa0f-1cca8e6467d2</t>
  </si>
  <si>
    <t>Brother Toner TN267, Black</t>
  </si>
  <si>
    <t>Small Value Procurement</t>
  </si>
  <si>
    <t>Brother Toner TN267, Yellow</t>
  </si>
  <si>
    <t>Brother Toner TN267, Magenta</t>
  </si>
  <si>
    <t>Brother Toner TN267, Cyan</t>
  </si>
  <si>
    <t>Laptop with Accesories</t>
  </si>
  <si>
    <t>https://www.nationalbookstore.com/stationery/41794-elmers-glue-stick-all-purpose-22-grams-school-office-supplies-200000010191.html</t>
  </si>
  <si>
    <t>LaserJet Mono Printer</t>
  </si>
  <si>
    <t>https://www.lazada.com.ph/products/flexoffice-permanent-marker-fo-pm014-box-12pcs-refillable-i3160439629-s15730540310.html?c=&amp;channelLpJumpArgs=&amp;clickTrackInfo=query%253Aflex%252Bmarker%253Bnid%253A3160439629%253Bsrc%253ALazadaMainSrp%253Brn%253A9f118ea4bb1615178f9a1fd910bf9e08%253Bregion%253Aph%253Bsku%253A3160439629_PH%253Bprice%253A228%253Bclient%253Adesktop%253Bsupplier_id%253A500211999912%253Bbiz_source%253Ah5_internal%253Bslot%253A32%253Butlog_bucket_id%253A470687%253Basc_category_id%253A22716%253Bitem_id%253A3160439629%253Bsku_id%253A15730540310%253Bshop_id%253A3193584&amp;fastshipping=0&amp;freeshipping=1&amp;fs_ab=2&amp;fuse_fs=&amp;lang=en&amp;location=Metro%20Manila&amp;price=228&amp;priceCompare=skuId%3A15730540310%3Bsource%3Alazada-search-voucher%3Bsn%3A9f118ea4bb1615178f9a1fd910bf9e08%3BunionTrace%3Aa131151a17121924014721114e%3BoriginPrice%3A22800%3BvoucherPrice%3A22800%3BdisplayPrice%3A22800%3BsinglePromotionId%3A900000024406447%3BsingleToolCode%3ApromPrice%3BvoucherPricePlugin%3A1%3BbuyerId%3A0%3Btimestamp%3A1712192401960&amp;ratingscore=5.0&amp;request_id=9f118ea4bb1615178f9a1fd910bf9e08&amp;review=3&amp;sale=86&amp;search=1&amp;source=search&amp;spm=a2o4l.searchlist.list.32&amp;stock=1</t>
  </si>
  <si>
    <t>Transportation and Delivery Expenses</t>
  </si>
  <si>
    <t>Laboratory Supplies</t>
  </si>
  <si>
    <t xml:space="preserve">Sodium Hydroxide, Technical Grade, ≥48% purity </t>
  </si>
  <si>
    <t>25 cbys</t>
  </si>
  <si>
    <t>60 working days</t>
  </si>
  <si>
    <t>Hydrogen Peroxide, Technical Grade 50% liquid, 35kg/cby</t>
  </si>
  <si>
    <t>50 cbys</t>
  </si>
  <si>
    <t>Acetic Acid, Glacial, Technical Grade, 30kg/cby</t>
  </si>
  <si>
    <t>Sodium chlorite, Technical Grade, 80%, 1 kg</t>
  </si>
  <si>
    <t>1kg</t>
  </si>
  <si>
    <t>Sodim Chlorite</t>
  </si>
  <si>
    <t>10 bottles</t>
  </si>
  <si>
    <t>Glass Filter Crucibles, 30 mL, 40-60 microns</t>
  </si>
  <si>
    <t>100 pcs</t>
  </si>
  <si>
    <t xml:space="preserve">Polypropylene Lab Spatula Disposable Plastic Macro, Spoon width 23.5 mm, total length 310 mm, Green </t>
  </si>
  <si>
    <t>3 boxes</t>
  </si>
  <si>
    <t>Centrifudge Tube, Polypropylene Sterile, 50 mL</t>
  </si>
  <si>
    <t>25 pcs</t>
  </si>
  <si>
    <t>Water Bath Laboratory Heating  Thermostatic Devices Digital Display Lab Equipment Constant Temperature Thermostat Tank Laboratory Inspection Tools, 6 holes, 1200 W, 450*300*1300 mm</t>
  </si>
  <si>
    <t>1 lot</t>
  </si>
  <si>
    <t>Other Supplies - Direct Cost</t>
  </si>
  <si>
    <t xml:space="preserve">Handwoven ID Lace </t>
  </si>
  <si>
    <t>Smll Value Procurement</t>
  </si>
  <si>
    <t>15 working days</t>
  </si>
  <si>
    <t xml:space="preserve">Handwoven Lei/Lanyard </t>
  </si>
  <si>
    <t>Negotiated Procurement</t>
  </si>
  <si>
    <t>Native Packaging Bag, Medium, Buri Material</t>
  </si>
  <si>
    <t>150 pcs</t>
  </si>
  <si>
    <t>Native Packaging Bag, Large, Buri Material</t>
  </si>
  <si>
    <t>Customized Corporate Jacket with handwoven fabric accent</t>
  </si>
  <si>
    <t>20 pcs</t>
  </si>
  <si>
    <t>Shopping</t>
  </si>
  <si>
    <t>Mesh Chair</t>
  </si>
  <si>
    <t>5 pcs</t>
  </si>
  <si>
    <t>Handwoven sling bag</t>
  </si>
  <si>
    <t>50 pcs</t>
  </si>
  <si>
    <t xml:space="preserve">Handwoven towel </t>
  </si>
  <si>
    <t>Custom Enamel Pins</t>
  </si>
  <si>
    <t>400 pcs</t>
  </si>
  <si>
    <t>Bottom Load Water Dispenser</t>
  </si>
  <si>
    <t>2 pcs</t>
  </si>
  <si>
    <t>Table Nameplate</t>
  </si>
  <si>
    <t>Representation Expenses</t>
  </si>
  <si>
    <t>Other Professional Services</t>
  </si>
  <si>
    <t>Proffesional Certification of Construction Drawings, Plans, and Documents of the BTFIH - Abra</t>
  </si>
  <si>
    <t>Cash Advance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</si>
  <si>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</si>
  <si>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</si>
  <si>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</si>
  <si>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</si>
  <si>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</si>
  <si>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</si>
  <si>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</si>
  <si>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</si>
  <si>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</si>
  <si>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KARL MARX LENNIN A. FLORANTE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</si>
  <si>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</si>
  <si>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</si>
  <si>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</si>
  <si>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</si>
  <si>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</si>
  <si>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</si>
  <si>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</si>
  <si>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 xml:space="preserve">Date: </t>
  </si>
  <si>
    <t>Date: ________________________________</t>
  </si>
  <si>
    <t>Date: ______________________</t>
  </si>
  <si>
    <t>Apr</t>
  </si>
  <si>
    <t>May</t>
  </si>
  <si>
    <t>Jun</t>
  </si>
  <si>
    <t>ID No. 137</t>
  </si>
  <si>
    <t>Masking Tape, 1/2 inch</t>
  </si>
  <si>
    <t>Masking Tape, 3/4 inch</t>
  </si>
  <si>
    <t>Masking Tape, 1 inch</t>
  </si>
  <si>
    <t>Masking Tape, 2 inch</t>
  </si>
  <si>
    <t>All purpose Glue Stick, 15gsm</t>
  </si>
  <si>
    <t>Wateproof Permanent Marker, Blue</t>
  </si>
  <si>
    <t>5 box</t>
  </si>
  <si>
    <t>Wateproof Permanent Marker, Black</t>
  </si>
  <si>
    <t xml:space="preserve">External Hard Drive, 2 TB </t>
  </si>
  <si>
    <t>Pull Up Tissue, Inetrfolded, 2 ply 30 packs/box</t>
  </si>
  <si>
    <t>100 boxes</t>
  </si>
  <si>
    <t>Dishwashing Liquid, 250 ml</t>
  </si>
  <si>
    <t>Dishwashing Sponge</t>
  </si>
  <si>
    <t>ID No. 897</t>
  </si>
  <si>
    <t>Desk Organizer</t>
  </si>
  <si>
    <t>Magazine File</t>
  </si>
  <si>
    <t>Letter Tray</t>
  </si>
  <si>
    <t>Wastepaper Basket</t>
  </si>
  <si>
    <t>Platic Storage Box, 58 Liters</t>
  </si>
  <si>
    <t>10 pcs</t>
  </si>
  <si>
    <t>Plastic Basket Storage</t>
  </si>
  <si>
    <t>15 pcs</t>
  </si>
  <si>
    <t>Repair and Maintenance</t>
  </si>
  <si>
    <t>ID No. 134</t>
  </si>
  <si>
    <t xml:space="preserve">Repair and Maintenance of Aircon at 417, 407 and 408 </t>
  </si>
  <si>
    <t>lot</t>
  </si>
  <si>
    <t>Negotiated - Procurement</t>
  </si>
  <si>
    <t>0774 - 24 dtd 05/06/24</t>
  </si>
  <si>
    <t>ID No. 138</t>
  </si>
  <si>
    <t>Repair and Maintenance of Bamboo Extraction Machine and Bamboo Slatting Machine in BTFIH - La Union in Naguilian, La Union</t>
  </si>
  <si>
    <t>ID No. 139</t>
  </si>
  <si>
    <t>15 cbys</t>
  </si>
  <si>
    <t>20 cbys</t>
  </si>
  <si>
    <t>10 cbys</t>
  </si>
  <si>
    <t xml:space="preserve">Sodium Metabisulfite, Technical Grade </t>
  </si>
  <si>
    <t>30 kgs</t>
  </si>
  <si>
    <t>Hydrochloric Acid, AR Grade, 4L</t>
  </si>
  <si>
    <t>5 bottles</t>
  </si>
  <si>
    <t>Sulfuric Acid, AR grade,  ≥98%, 4L</t>
  </si>
  <si>
    <t>Acetone, technical grade, 5L</t>
  </si>
  <si>
    <t>ID No. 1464</t>
  </si>
  <si>
    <t>100 cbys</t>
  </si>
  <si>
    <t>100 kgs</t>
  </si>
  <si>
    <t>ID No. 1465</t>
  </si>
  <si>
    <t>pH Testing strips, 100 strip, 0-14 PH</t>
  </si>
  <si>
    <t>10 boxes</t>
  </si>
  <si>
    <t>Parafilm, 4" x 125 ft</t>
  </si>
  <si>
    <t>5 boxes</t>
  </si>
  <si>
    <t>Filter paper, 125mm</t>
  </si>
  <si>
    <t>20 boxes</t>
  </si>
  <si>
    <t>Magnetic Stirrer Bar, 35mm x 8mm</t>
  </si>
  <si>
    <t>6 pcs</t>
  </si>
  <si>
    <t>Magnetic Stirrer Bar, 25mm x 7mm</t>
  </si>
  <si>
    <t>Magnetic Stir Bar Retriever, Teflon PTFE, Anti-Corrosive, Chemical resistant</t>
  </si>
  <si>
    <t>3 pcs</t>
  </si>
  <si>
    <t xml:space="preserve"> ,</t>
  </si>
  <si>
    <t>Stainless Steel Emergency spray eyewash and Emergency Shower</t>
  </si>
  <si>
    <t>1 pc</t>
  </si>
  <si>
    <t>Digital Laboratory Thermometer</t>
  </si>
  <si>
    <t>Lint-free tissue, 1 ply,  4.3 in x 8.4 in, 280 pcs/box</t>
  </si>
  <si>
    <t>Laboratory weighing paper, non-absorbent, 4 in x 4 in, 500 sheets</t>
  </si>
  <si>
    <t>Fritted Glass Extraction Thimbles, 10mm</t>
  </si>
  <si>
    <t>8 pcs</t>
  </si>
  <si>
    <t xml:space="preserve">Desiccator </t>
  </si>
  <si>
    <t>Desiccator cabinet</t>
  </si>
  <si>
    <t>Safety Eye Goggles Laboratory</t>
  </si>
  <si>
    <t>Laboratory Glasswares  Drying Rack (Vinyl-Coated Steel Wire Construction, Self-Standing), 90 pegs, 46.2 x 18.2 x 52.5 cm</t>
  </si>
  <si>
    <t>All purpose laboratory film, 4 in x 125 ft</t>
  </si>
  <si>
    <t>Filter paper, grade 1, circles, diameter: 125 mm, 100 pcs/box</t>
  </si>
  <si>
    <t>Electronic  Laboratorty Timer</t>
  </si>
  <si>
    <t>ID No. 901</t>
  </si>
  <si>
    <t>ID No. 1472</t>
  </si>
  <si>
    <t>Hydrogen Peroxide, Technical Grade ≥ 50% liquid, 30kg/cby</t>
  </si>
  <si>
    <t>30 cbys</t>
  </si>
  <si>
    <t>ID no. 1473</t>
  </si>
  <si>
    <t>ID No. 898</t>
  </si>
  <si>
    <t>ID No. 1474</t>
  </si>
  <si>
    <t>20 bottles</t>
  </si>
  <si>
    <t>ID No. 899</t>
  </si>
  <si>
    <t>ID No. 1475</t>
  </si>
  <si>
    <t>Raw Bamboo Fibers</t>
  </si>
  <si>
    <t>200 kgs</t>
  </si>
  <si>
    <t>ID No. 140</t>
  </si>
  <si>
    <t>Stock pot, with lid, stainless steel, 45x45 cm</t>
  </si>
  <si>
    <t>0776 - 24</t>
  </si>
  <si>
    <t>Stock pot, with lid, stainless steel, 35x35 cm</t>
  </si>
  <si>
    <t>Stainless ice kettle, 2L</t>
  </si>
  <si>
    <t>Vaccum Pump</t>
  </si>
  <si>
    <t>KN95 Surgical Face Mask</t>
  </si>
  <si>
    <t>Hand Trolley, 300 kg capacity</t>
  </si>
  <si>
    <t>Weighing Scale, Analog Scale</t>
  </si>
  <si>
    <t>Open Wrench Tools Set</t>
  </si>
  <si>
    <t xml:space="preserve">Heavy duty cast iron burner, manual, commercial-type, 3-way burner </t>
  </si>
  <si>
    <t>Tissue, 3 ply, 12 rolls/ pack</t>
  </si>
  <si>
    <t>Aluminum foil, jumbo roll</t>
  </si>
  <si>
    <t>Paper towel, interfolded, 175 pulls</t>
  </si>
  <si>
    <t>Surgical Face Mask</t>
  </si>
  <si>
    <t>Trash Bag/Gabbage Bag, black, XXL, 37*40 inch</t>
  </si>
  <si>
    <t>Trash Bag/Gabbage Bag, black, L, 26*32 inch</t>
  </si>
  <si>
    <t>Trash Bag/Gabbage Bag, black, S, 18*20 inch</t>
  </si>
  <si>
    <t>Nespresso Coffee Pods</t>
  </si>
  <si>
    <t>Certificate Holder, A4 Size</t>
  </si>
  <si>
    <t>Certificate Holder, Legal Size</t>
  </si>
  <si>
    <t>Packaging Box</t>
  </si>
  <si>
    <t xml:space="preserve">Notebook with Hard Cover with handloom weaved fabric </t>
  </si>
  <si>
    <t>60 pcs</t>
  </si>
  <si>
    <t>ID No. 141</t>
  </si>
  <si>
    <t>Airconditioning Unit with Installation Service</t>
  </si>
  <si>
    <t>Meals for the Memorandum of Agreement - Pangasinan</t>
  </si>
  <si>
    <t>1 lot (70 pax)</t>
  </si>
  <si>
    <t>ID No. 270</t>
  </si>
  <si>
    <r>
      <rPr>
        <sz val="11"/>
        <color theme="1"/>
        <rFont val="Arial"/>
      </rPr>
      <t xml:space="preserve">Yarn Strength and Elongation (Single Strand), </t>
    </r>
    <r>
      <rPr>
        <sz val="11"/>
        <color theme="1"/>
        <rFont val="Arial"/>
      </rPr>
      <t>ASTM D 2256</t>
    </r>
  </si>
  <si>
    <t>Agency-to-Agency</t>
  </si>
  <si>
    <r>
      <rPr>
        <sz val="11"/>
        <color theme="1"/>
        <rFont val="Arial"/>
      </rPr>
      <t>Yarn Number</t>
    </r>
    <r>
      <rPr>
        <sz val="11"/>
        <color theme="1"/>
        <rFont val="Arial"/>
      </rPr>
      <t>, ASTM D 1059</t>
    </r>
  </si>
  <si>
    <r>
      <rPr>
        <sz val="11"/>
        <color theme="1"/>
        <rFont val="Arial"/>
      </rPr>
      <t>Yarn Evenness</t>
    </r>
    <r>
      <rPr>
        <sz val="11"/>
        <color theme="1"/>
        <rFont val="Arial"/>
      </rPr>
      <t>, ASTM D1425</t>
    </r>
  </si>
  <si>
    <r>
      <rPr>
        <sz val="11"/>
        <color theme="1"/>
        <rFont val="Arial"/>
      </rPr>
      <t>Yarn Twist (Single)</t>
    </r>
    <r>
      <rPr>
        <sz val="11"/>
        <color theme="1"/>
        <rFont val="Arial"/>
      </rPr>
      <t>, ASTM D 1423</t>
    </r>
  </si>
  <si>
    <r>
      <rPr>
        <sz val="11"/>
        <color theme="1"/>
        <rFont val="Arial"/>
      </rPr>
      <t>Yarn Hairiness,</t>
    </r>
    <r>
      <rPr>
        <sz val="11"/>
        <color theme="1"/>
        <rFont val="Arial"/>
      </rPr>
      <t xml:space="preserve"> ASTM D 5647</t>
    </r>
  </si>
  <si>
    <t xml:space="preserve">Fiber Composition, AATCC </t>
  </si>
  <si>
    <t>Fiber Fineness (Natural)</t>
  </si>
  <si>
    <t xml:space="preserve">Abrassion Resistance </t>
  </si>
  <si>
    <t>Worksheet copy</t>
  </si>
  <si>
    <t>ITDI ID NO. 143</t>
  </si>
  <si>
    <t>X-ray Diffraction Analysis</t>
  </si>
  <si>
    <t>0777-24 dtd 05/06/24</t>
  </si>
  <si>
    <t>ITDI ID No. 144</t>
  </si>
  <si>
    <t>FESEM imaging</t>
  </si>
  <si>
    <t>0773-24 dtd 05/06/24</t>
  </si>
  <si>
    <t>ITDI</t>
  </si>
  <si>
    <t>Particle Size Analysis add-on</t>
  </si>
  <si>
    <t>PTRI</t>
  </si>
  <si>
    <t>PTRI Testing Services for Cloth Face Masks for Community Use</t>
  </si>
  <si>
    <t>UP Diliman</t>
  </si>
  <si>
    <t>MTT Assay</t>
  </si>
  <si>
    <t>MTT Assay Photodocumentation</t>
  </si>
  <si>
    <t>Wound Healing/Scratch Assay</t>
  </si>
  <si>
    <t xml:space="preserve">UP Diliman </t>
  </si>
  <si>
    <t>Annexin V-PI Apoptosis Assay / IF Staining Assay (Ki-67/p53)</t>
  </si>
  <si>
    <t xml:space="preserve">UP DILIMAN </t>
  </si>
  <si>
    <t>IF Staining Assay (Custom marker)</t>
  </si>
  <si>
    <t>PTRI ID No. 145</t>
  </si>
  <si>
    <t>Sewn Seam Strength, ASTM D1683</t>
  </si>
  <si>
    <t xml:space="preserve">
Agency-to-Agency
</t>
  </si>
  <si>
    <t>Dimension Change, ISO 6333/AATCC TM135</t>
  </si>
  <si>
    <t>Piling Resistance, ASTM D3512</t>
  </si>
  <si>
    <t>Perspiration, ISO 105-E04/AATCC TM8</t>
  </si>
  <si>
    <t>Rubbing, ISO 105-X12/AATCC TM8</t>
  </si>
  <si>
    <t>Equipment Outlay</t>
  </si>
  <si>
    <t>Office Equipment - Indirect Cost</t>
  </si>
  <si>
    <t>ID No. 1099</t>
  </si>
  <si>
    <t>Lase Jet Printer - Mono</t>
  </si>
  <si>
    <t>Laser Jet Black Toner</t>
  </si>
  <si>
    <t>Other Supplies - Indirect Cost</t>
  </si>
  <si>
    <t>ID No. 1100</t>
  </si>
  <si>
    <t>Mobile Communication Device</t>
  </si>
  <si>
    <t>Tarpaulin Printing Services</t>
  </si>
  <si>
    <t>Date: 08 April 2024</t>
  </si>
  <si>
    <t>For 1st Quarter of CY 2024</t>
  </si>
  <si>
    <t>Jan</t>
  </si>
  <si>
    <t>Feb</t>
  </si>
  <si>
    <t>Mar</t>
  </si>
  <si>
    <t>A4 Size Bond Paper, 70/80gsm</t>
  </si>
  <si>
    <t>20 reams</t>
  </si>
  <si>
    <t>Blue Ballpoint pen (0.5mm) 12pcs/box</t>
  </si>
  <si>
    <t>2 boxes</t>
  </si>
  <si>
    <t>Sticky note 3x3, pink, yellow and purple</t>
  </si>
  <si>
    <t>30 pcs</t>
  </si>
  <si>
    <t>Metal Binder Clips 2 inch, 1 dozen/ box, black</t>
  </si>
  <si>
    <t>Paperclips 33mm, 100pcs/box</t>
  </si>
  <si>
    <t>Paper fastener 50pcs/box</t>
  </si>
  <si>
    <t>Folder White Short 25 pieces/pack</t>
  </si>
  <si>
    <t>5 packs</t>
  </si>
  <si>
    <t>Folder White Long 25 pieces/pack</t>
  </si>
  <si>
    <t>Official Record Book 300 pages</t>
  </si>
  <si>
    <t>Pencil #2 12pcs/box</t>
  </si>
  <si>
    <t>Expanded Brown Envelope, Legal</t>
  </si>
  <si>
    <t>Metal Binder Clips 1 inch, 1 dozen/ box, black</t>
  </si>
  <si>
    <t xml:space="preserve"> </t>
  </si>
  <si>
    <t>Highlighter Pen, Pastel 10pcs/set</t>
  </si>
  <si>
    <t>AA Battery Alkaline 48 pcs/ box</t>
  </si>
  <si>
    <t>50 boxes</t>
  </si>
  <si>
    <t>AAA Alkaline Battery 48 pcs/ box</t>
  </si>
  <si>
    <t>Laptop Computer</t>
  </si>
  <si>
    <t>Brother MFC-L3770DW Cartridge, (Black, Cyan, Magenta, Yellow)</t>
  </si>
  <si>
    <t>WiFi Tank Ink Printer</t>
  </si>
  <si>
    <t>Transpotation and Delivery Expenses</t>
  </si>
  <si>
    <t xml:space="preserve">Transportation and Delivery Expenses of Chemicals to Abra </t>
  </si>
  <si>
    <t>Transportation and Delivery Expenses of Chemicals to Pangasinan</t>
  </si>
  <si>
    <t>Hydrogen Peroxide, Technical Grade 48% liquid, 35kg/cby</t>
  </si>
  <si>
    <t>Glass filter crucibles, 30 mL, 40-60 microns</t>
  </si>
  <si>
    <t>Acetone, AR grade, 2.5L/ btl</t>
  </si>
  <si>
    <t>Sodium hydroxide, micropearls, AR grade, 1 kg/ btl</t>
  </si>
  <si>
    <t>8 bottles</t>
  </si>
  <si>
    <t>Bleach, unscented, 1 gallon/ botlle</t>
  </si>
  <si>
    <t>10 botlles</t>
  </si>
  <si>
    <t>Polyethyene plastic bag, transparent, 0.002 in (thickness), 40in x 60in, 50 pcs/pack</t>
  </si>
  <si>
    <t>Polyethyene plastic bag, transparent, 0.002 in (thickness), 20in x 30in, 50 pcs/pack</t>
  </si>
  <si>
    <t>Ziplock bag, transparent, 8cm x 12cm, 100 pcs/pack</t>
  </si>
  <si>
    <t>20 packs</t>
  </si>
  <si>
    <t>Ziplock bag, transparent, 14cm x 20cm, 100 pcs/pack</t>
  </si>
  <si>
    <t>Ziplock bag, transparent, 24cm x 34cm, 100 pcs/pack</t>
  </si>
  <si>
    <t>10 packs</t>
  </si>
  <si>
    <t>Cling wrap, 18in x 500m</t>
  </si>
  <si>
    <t>10 rolls</t>
  </si>
  <si>
    <t xml:space="preserve">Raw Bamboo Fibers </t>
  </si>
  <si>
    <t>300 kgs</t>
  </si>
  <si>
    <t>Notebook with Hard Cover</t>
  </si>
  <si>
    <t>Bamboo Candle Holder</t>
  </si>
  <si>
    <t>75 pcs</t>
  </si>
  <si>
    <t>Bamboo Brooch</t>
  </si>
  <si>
    <t>61 pcs</t>
  </si>
  <si>
    <t>Bamboo Lei/Lanyard</t>
  </si>
  <si>
    <t>Customize Memo Pad</t>
  </si>
  <si>
    <t>Customized Pencil</t>
  </si>
  <si>
    <t>Customized Corporate Shirt with Embroidered Logo</t>
  </si>
  <si>
    <t>Meals for the Bamboo Textile Innovation Hub - Abra Training (January 23-24, 2024)</t>
  </si>
  <si>
    <t>1 lot (25 pax)</t>
  </si>
  <si>
    <t>Meals for the Bamboo Textile Innovation Hub - Abra Launch (January 26, 2024)</t>
  </si>
  <si>
    <t>Professional Fee for the Video Editing Services of the Bamboo Textile Innovation Hub (BTFIH) - Abra</t>
  </si>
  <si>
    <t>FESEM Imaging with EDX Analysis</t>
  </si>
  <si>
    <t>2 tests</t>
  </si>
  <si>
    <t>Agency to Agency</t>
  </si>
  <si>
    <t>Anti-bacterial assay for fabrics</t>
  </si>
  <si>
    <t>8 tests</t>
  </si>
  <si>
    <t>Professional weaving (powerloom) services</t>
  </si>
  <si>
    <t>40 meters</t>
  </si>
  <si>
    <t>Fabric Enzyme Finishing</t>
  </si>
  <si>
    <t>Fabrication of Bamboo Extraction Machine</t>
  </si>
  <si>
    <t xml:space="preserve">Public Bidding </t>
  </si>
  <si>
    <t>Bamboo Slatting Machine</t>
  </si>
  <si>
    <t>Office Equipment</t>
  </si>
  <si>
    <t xml:space="preserve">Steel Glass Door Cabinet </t>
  </si>
  <si>
    <t>Office Partition</t>
  </si>
  <si>
    <t>Office Mesh Chair</t>
  </si>
  <si>
    <t>Laboratory Equipment</t>
  </si>
  <si>
    <t>Hot Plate with Magnetic Stirrer</t>
  </si>
  <si>
    <t>4 pcs</t>
  </si>
  <si>
    <t>Laboratory Precision Balance</t>
  </si>
  <si>
    <t>1 pcs</t>
  </si>
  <si>
    <t>Date: 15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</si>
</sst>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"/>
    <numFmt numFmtId="166" formatCode="#,##0.00;\(#,##0.00\)"/>
  </numFmts>
  <fonts count="28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sz val="11"/>
      <color theme="1"/>
      <name val="Arial"/>
      <scheme val="minor"/>
    </font>
    <font>
      <b/>
      <sz val="8"/>
      <color theme="1"/>
      <name val="Arial"/>
    </font>
    <font>
      <b/>
      <sz val="11"/>
      <color theme="1"/>
      <name val="Arial"/>
    </font>
    <font>
      <u/>
      <sz val="11"/>
      <color rgb="FF0000FF"/>
      <name val="Arial"/>
    </font>
    <font>
      <sz val="11"/>
      <color rgb="FF000000"/>
      <name val="Arial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rgb="FFFF0000"/>
      <name val="Arial"/>
    </font>
    <font>
      <sz val="11"/>
      <color rgb="FF000000"/>
      <name val="Arial"/>
    </font>
    <font>
      <b/>
      <sz val="7"/>
      <color theme="1"/>
      <name val="Arial"/>
    </font>
    <font>
      <b/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2" borderId="0" xfId="0" applyFont="1" applyFill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/>
    <xf numFmtId="4" fontId="11" fillId="0" borderId="12" xfId="0" applyNumberFormat="1" applyFont="1" applyBorder="1" applyAlignment="1">
      <alignment horizontal="center" vertical="center" wrapText="1"/>
    </xf>
    <xf numFmtId="0" fontId="13" fillId="0" borderId="0" xfId="0" applyFont="1"/>
    <xf numFmtId="0" fontId="11" fillId="4" borderId="1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4" fontId="2" fillId="4" borderId="10" xfId="0" applyNumberFormat="1" applyFont="1" applyFill="1" applyBorder="1" applyAlignment="1">
      <alignment horizontal="center"/>
    </xf>
    <xf numFmtId="4" fontId="2" fillId="4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49" fontId="2" fillId="0" borderId="16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center"/>
    </xf>
    <xf numFmtId="4" fontId="2" fillId="2" borderId="21" xfId="0" applyNumberFormat="1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2" borderId="21" xfId="0" applyFont="1" applyFill="1" applyBorder="1"/>
    <xf numFmtId="49" fontId="2" fillId="4" borderId="16" xfId="0" applyNumberFormat="1" applyFont="1" applyFill="1" applyBorder="1" applyAlignment="1">
      <alignment vertical="center"/>
    </xf>
    <xf numFmtId="0" fontId="2" fillId="2" borderId="18" xfId="0" applyFont="1" applyFill="1" applyBorder="1" applyAlignment="1">
      <alignment horizontal="center"/>
    </xf>
    <xf numFmtId="4" fontId="2" fillId="2" borderId="18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0" fontId="2" fillId="2" borderId="20" xfId="0" applyFont="1" applyFill="1" applyBorder="1"/>
    <xf numFmtId="0" fontId="2" fillId="4" borderId="22" xfId="0" applyFont="1" applyFill="1" applyBorder="1" applyAlignment="1">
      <alignment horizontal="left" vertical="center"/>
    </xf>
    <xf numFmtId="4" fontId="2" fillId="4" borderId="21" xfId="0" applyNumberFormat="1" applyFont="1" applyFill="1" applyBorder="1" applyAlignment="1">
      <alignment horizontal="center" vertical="center"/>
    </xf>
    <xf numFmtId="165" fontId="2" fillId="4" borderId="21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/>
    </xf>
    <xf numFmtId="0" fontId="2" fillId="4" borderId="20" xfId="0" applyFont="1" applyFill="1" applyBorder="1"/>
    <xf numFmtId="0" fontId="2" fillId="4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4" borderId="22" xfId="0" applyFont="1" applyFill="1" applyBorder="1" applyAlignment="1">
      <alignment horizontal="left" vertical="center" wrapText="1"/>
    </xf>
    <xf numFmtId="0" fontId="2" fillId="4" borderId="20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center" vertical="center"/>
    </xf>
    <xf numFmtId="4" fontId="2" fillId="4" borderId="18" xfId="0" applyNumberFormat="1" applyFont="1" applyFill="1" applyBorder="1" applyAlignment="1">
      <alignment horizontal="center" vertical="center"/>
    </xf>
    <xf numFmtId="165" fontId="2" fillId="4" borderId="18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4" fontId="2" fillId="4" borderId="21" xfId="0" applyNumberFormat="1" applyFont="1" applyFill="1" applyBorder="1" applyAlignment="1">
      <alignment horizontal="center" vertical="center" wrapText="1"/>
    </xf>
    <xf numFmtId="165" fontId="2" fillId="4" borderId="21" xfId="0" applyNumberFormat="1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/>
    </xf>
    <xf numFmtId="4" fontId="2" fillId="4" borderId="20" xfId="0" applyNumberFormat="1" applyFont="1" applyFill="1" applyBorder="1" applyAlignment="1">
      <alignment horizontal="center"/>
    </xf>
    <xf numFmtId="165" fontId="2" fillId="4" borderId="20" xfId="0" applyNumberFormat="1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 vertical="center" wrapText="1"/>
    </xf>
    <xf numFmtId="0" fontId="10" fillId="4" borderId="20" xfId="0" applyFont="1" applyFill="1" applyBorder="1"/>
    <xf numFmtId="0" fontId="2" fillId="4" borderId="20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11" fillId="4" borderId="26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4" fontId="2" fillId="0" borderId="20" xfId="0" applyNumberFormat="1" applyFont="1" applyBorder="1" applyAlignment="1">
      <alignment horizontal="right" vertical="center"/>
    </xf>
    <xf numFmtId="0" fontId="2" fillId="0" borderId="20" xfId="0" applyFont="1" applyBorder="1"/>
    <xf numFmtId="0" fontId="2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4" fontId="10" fillId="0" borderId="21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" fontId="2" fillId="4" borderId="15" xfId="0" applyNumberFormat="1" applyFont="1" applyFill="1" applyBorder="1" applyAlignment="1">
      <alignment horizontal="center" vertical="center"/>
    </xf>
    <xf numFmtId="165" fontId="2" fillId="4" borderId="15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1" fillId="5" borderId="2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left" vertical="center"/>
    </xf>
    <xf numFmtId="4" fontId="2" fillId="2" borderId="21" xfId="0" applyNumberFormat="1" applyFont="1" applyFill="1" applyBorder="1" applyAlignment="1">
      <alignment horizontal="center" vertical="center"/>
    </xf>
    <xf numFmtId="165" fontId="2" fillId="2" borderId="21" xfId="0" applyNumberFormat="1" applyFont="1" applyFill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4" fontId="2" fillId="0" borderId="10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1" xfId="0" applyFont="1" applyBorder="1"/>
    <xf numFmtId="49" fontId="2" fillId="4" borderId="21" xfId="0" applyNumberFormat="1" applyFont="1" applyFill="1" applyBorder="1" applyAlignment="1">
      <alignment wrapText="1"/>
    </xf>
    <xf numFmtId="0" fontId="15" fillId="4" borderId="21" xfId="0" applyFont="1" applyFill="1" applyBorder="1" applyAlignment="1">
      <alignment horizontal="center" vertical="center"/>
    </xf>
    <xf numFmtId="164" fontId="15" fillId="4" borderId="21" xfId="0" applyNumberFormat="1" applyFont="1" applyFill="1" applyBorder="1" applyAlignment="1">
      <alignment horizontal="right" vertical="center"/>
    </xf>
    <xf numFmtId="164" fontId="2" fillId="4" borderId="20" xfId="0" applyNumberFormat="1" applyFont="1" applyFill="1" applyBorder="1" applyAlignment="1">
      <alignment horizontal="center" vertical="center" wrapText="1"/>
    </xf>
    <xf numFmtId="4" fontId="16" fillId="4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4" fontId="2" fillId="0" borderId="10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2" fillId="3" borderId="27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right"/>
    </xf>
    <xf numFmtId="4" fontId="2" fillId="3" borderId="21" xfId="0" applyNumberFormat="1" applyFont="1" applyFill="1" applyBorder="1" applyAlignment="1">
      <alignment horizontal="right"/>
    </xf>
    <xf numFmtId="0" fontId="2" fillId="3" borderId="21" xfId="0" applyFont="1" applyFill="1" applyBorder="1" applyAlignment="1">
      <alignment wrapText="1"/>
    </xf>
    <xf numFmtId="0" fontId="2" fillId="3" borderId="21" xfId="0" applyFont="1" applyFill="1" applyBorder="1"/>
    <xf numFmtId="0" fontId="2" fillId="7" borderId="21" xfId="0" applyFont="1" applyFill="1" applyBorder="1"/>
    <xf numFmtId="0" fontId="10" fillId="0" borderId="21" xfId="0" applyFont="1" applyBorder="1"/>
    <xf numFmtId="4" fontId="2" fillId="0" borderId="20" xfId="0" applyNumberFormat="1" applyFont="1" applyBorder="1" applyAlignment="1">
      <alignment horizontal="center"/>
    </xf>
    <xf numFmtId="0" fontId="2" fillId="0" borderId="21" xfId="0" applyFont="1" applyBorder="1" applyAlignment="1">
      <alignment wrapText="1"/>
    </xf>
    <xf numFmtId="0" fontId="15" fillId="0" borderId="21" xfId="0" applyFont="1" applyBorder="1" applyAlignment="1">
      <alignment horizontal="center"/>
    </xf>
    <xf numFmtId="164" fontId="15" fillId="0" borderId="21" xfId="0" applyNumberFormat="1" applyFont="1" applyBorder="1" applyAlignment="1">
      <alignment horizontal="right"/>
    </xf>
    <xf numFmtId="0" fontId="2" fillId="0" borderId="21" xfId="0" applyFont="1" applyBorder="1" applyAlignment="1">
      <alignment vertical="center" wrapText="1"/>
    </xf>
    <xf numFmtId="165" fontId="2" fillId="0" borderId="21" xfId="0" applyNumberFormat="1" applyFont="1" applyBorder="1" applyAlignment="1">
      <alignment horizontal="center" wrapText="1"/>
    </xf>
    <xf numFmtId="4" fontId="2" fillId="0" borderId="21" xfId="0" applyNumberFormat="1" applyFont="1" applyBorder="1" applyAlignment="1">
      <alignment horizontal="right" wrapText="1"/>
    </xf>
    <xf numFmtId="0" fontId="12" fillId="4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/>
    </xf>
    <xf numFmtId="0" fontId="12" fillId="0" borderId="28" xfId="0" applyFont="1" applyBorder="1" applyAlignment="1">
      <alignment horizontal="center" vertical="center" wrapText="1"/>
    </xf>
    <xf numFmtId="0" fontId="2" fillId="0" borderId="28" xfId="0" applyFont="1" applyBorder="1"/>
    <xf numFmtId="0" fontId="9" fillId="0" borderId="28" xfId="0" applyFont="1" applyBorder="1"/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2" fillId="0" borderId="29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wrapText="1"/>
    </xf>
    <xf numFmtId="0" fontId="18" fillId="0" borderId="0" xfId="0" applyFont="1" applyAlignment="1">
      <alignment vertical="center"/>
    </xf>
    <xf numFmtId="0" fontId="6" fillId="0" borderId="20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17" fillId="2" borderId="0" xfId="0" applyFont="1" applyFill="1"/>
    <xf numFmtId="164" fontId="17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wrapText="1"/>
    </xf>
    <xf numFmtId="0" fontId="7" fillId="2" borderId="0" xfId="0" applyFont="1" applyFill="1" applyAlignment="1">
      <alignment horizontal="left" vertical="center" wrapText="1"/>
    </xf>
    <xf numFmtId="0" fontId="17" fillId="0" borderId="0" xfId="0" applyFont="1"/>
    <xf numFmtId="0" fontId="7" fillId="0" borderId="0" xfId="0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/>
    </xf>
    <xf numFmtId="4" fontId="17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10" fillId="0" borderId="0" xfId="0" applyFont="1" applyAlignment="1">
      <alignment wrapText="1"/>
    </xf>
    <xf numFmtId="0" fontId="10" fillId="2" borderId="0" xfId="0" applyFont="1" applyFill="1"/>
    <xf numFmtId="0" fontId="21" fillId="2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2" borderId="0" xfId="0" applyFont="1" applyFill="1"/>
    <xf numFmtId="0" fontId="21" fillId="2" borderId="0" xfId="0" applyFont="1" applyFill="1" applyAlignment="1">
      <alignment wrapText="1"/>
    </xf>
    <xf numFmtId="0" fontId="23" fillId="2" borderId="0" xfId="0" applyFont="1" applyFill="1"/>
    <xf numFmtId="0" fontId="23" fillId="0" borderId="0" xfId="0" applyFont="1"/>
    <xf numFmtId="0" fontId="11" fillId="5" borderId="1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left" vertical="center"/>
    </xf>
    <xf numFmtId="4" fontId="2" fillId="4" borderId="21" xfId="0" applyNumberFormat="1" applyFont="1" applyFill="1" applyBorder="1" applyAlignment="1">
      <alignment horizontal="right" vertical="center"/>
    </xf>
    <xf numFmtId="0" fontId="12" fillId="5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left" vertical="center" wrapText="1"/>
    </xf>
    <xf numFmtId="4" fontId="2" fillId="2" borderId="21" xfId="0" applyNumberFormat="1" applyFont="1" applyFill="1" applyBorder="1"/>
    <xf numFmtId="0" fontId="2" fillId="2" borderId="18" xfId="0" applyFont="1" applyFill="1" applyBorder="1"/>
    <xf numFmtId="0" fontId="2" fillId="0" borderId="20" xfId="0" applyFont="1" applyBorder="1" applyAlignment="1">
      <alignment vertical="center" wrapText="1"/>
    </xf>
    <xf numFmtId="4" fontId="2" fillId="2" borderId="18" xfId="0" applyNumberFormat="1" applyFont="1" applyFill="1" applyBorder="1"/>
    <xf numFmtId="49" fontId="2" fillId="4" borderId="20" xfId="0" applyNumberFormat="1" applyFont="1" applyFill="1" applyBorder="1" applyAlignment="1">
      <alignment vertical="center" wrapText="1"/>
    </xf>
    <xf numFmtId="4" fontId="2" fillId="0" borderId="16" xfId="0" applyNumberFormat="1" applyFont="1" applyBorder="1" applyAlignment="1">
      <alignment horizontal="right" vertical="center" wrapText="1"/>
    </xf>
    <xf numFmtId="49" fontId="2" fillId="2" borderId="21" xfId="0" applyNumberFormat="1" applyFont="1" applyFill="1" applyBorder="1" applyAlignment="1">
      <alignment wrapText="1"/>
    </xf>
    <xf numFmtId="49" fontId="2" fillId="2" borderId="20" xfId="0" applyNumberFormat="1" applyFont="1" applyFill="1" applyBorder="1" applyAlignment="1">
      <alignment wrapText="1"/>
    </xf>
    <xf numFmtId="4" fontId="2" fillId="0" borderId="20" xfId="0" applyNumberFormat="1" applyFont="1" applyBorder="1" applyAlignment="1">
      <alignment horizontal="right" wrapText="1"/>
    </xf>
    <xf numFmtId="0" fontId="15" fillId="2" borderId="21" xfId="0" applyFont="1" applyFill="1" applyBorder="1" applyAlignment="1">
      <alignment horizontal="left"/>
    </xf>
    <xf numFmtId="0" fontId="14" fillId="2" borderId="21" xfId="0" applyFont="1" applyFill="1" applyBorder="1" applyAlignment="1">
      <alignment horizontal="center"/>
    </xf>
    <xf numFmtId="4" fontId="14" fillId="2" borderId="21" xfId="0" applyNumberFormat="1" applyFont="1" applyFill="1" applyBorder="1" applyAlignment="1">
      <alignment horizontal="center"/>
    </xf>
    <xf numFmtId="165" fontId="14" fillId="2" borderId="21" xfId="0" applyNumberFormat="1" applyFont="1" applyFill="1" applyBorder="1" applyAlignment="1">
      <alignment horizontal="right"/>
    </xf>
    <xf numFmtId="4" fontId="24" fillId="2" borderId="21" xfId="0" applyNumberFormat="1" applyFont="1" applyFill="1" applyBorder="1" applyAlignment="1">
      <alignment horizontal="center"/>
    </xf>
    <xf numFmtId="165" fontId="24" fillId="2" borderId="21" xfId="0" applyNumberFormat="1" applyFont="1" applyFill="1" applyBorder="1" applyAlignment="1">
      <alignment horizontal="right"/>
    </xf>
    <xf numFmtId="0" fontId="25" fillId="2" borderId="20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4" fontId="2" fillId="2" borderId="20" xfId="0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0" fontId="15" fillId="2" borderId="21" xfId="0" applyFont="1" applyFill="1" applyBorder="1" applyAlignment="1">
      <alignment wrapText="1"/>
    </xf>
    <xf numFmtId="4" fontId="15" fillId="0" borderId="21" xfId="0" applyNumberFormat="1" applyFont="1" applyBorder="1" applyAlignment="1">
      <alignment horizontal="center"/>
    </xf>
    <xf numFmtId="4" fontId="15" fillId="0" borderId="21" xfId="0" applyNumberFormat="1" applyFont="1" applyBorder="1" applyAlignment="1">
      <alignment horizontal="right"/>
    </xf>
    <xf numFmtId="0" fontId="25" fillId="0" borderId="20" xfId="0" applyFont="1" applyBorder="1" applyAlignment="1">
      <alignment horizontal="left"/>
    </xf>
    <xf numFmtId="0" fontId="2" fillId="2" borderId="24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/>
    </xf>
    <xf numFmtId="4" fontId="2" fillId="2" borderId="20" xfId="0" applyNumberFormat="1" applyFont="1" applyFill="1" applyBorder="1" applyAlignment="1">
      <alignment horizontal="center" vertical="center"/>
    </xf>
    <xf numFmtId="165" fontId="2" fillId="2" borderId="20" xfId="0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4" borderId="16" xfId="0" applyFont="1" applyFill="1" applyBorder="1" applyAlignment="1">
      <alignment horizontal="center"/>
    </xf>
    <xf numFmtId="165" fontId="2" fillId="0" borderId="16" xfId="0" applyNumberFormat="1" applyFont="1" applyBorder="1" applyAlignment="1">
      <alignment horizontal="center" wrapText="1"/>
    </xf>
    <xf numFmtId="4" fontId="2" fillId="0" borderId="16" xfId="0" applyNumberFormat="1" applyFont="1" applyBorder="1" applyAlignment="1">
      <alignment horizontal="right" wrapText="1"/>
    </xf>
    <xf numFmtId="0" fontId="10" fillId="2" borderId="21" xfId="0" applyFont="1" applyFill="1" applyBorder="1"/>
    <xf numFmtId="0" fontId="2" fillId="0" borderId="20" xfId="0" applyFont="1" applyBorder="1" applyAlignment="1">
      <alignment horizontal="center" vertical="center" wrapText="1"/>
    </xf>
    <xf numFmtId="0" fontId="10" fillId="2" borderId="20" xfId="0" applyFont="1" applyFill="1" applyBorder="1"/>
    <xf numFmtId="0" fontId="10" fillId="9" borderId="20" xfId="0" applyFont="1" applyFill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right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4" fontId="10" fillId="0" borderId="21" xfId="0" applyNumberFormat="1" applyFont="1" applyBorder="1" applyAlignment="1">
      <alignment horizontal="center"/>
    </xf>
    <xf numFmtId="0" fontId="2" fillId="4" borderId="21" xfId="0" applyFont="1" applyFill="1" applyBorder="1"/>
    <xf numFmtId="0" fontId="2" fillId="4" borderId="15" xfId="0" applyFont="1" applyFill="1" applyBorder="1" applyAlignment="1">
      <alignment horizontal="center"/>
    </xf>
    <xf numFmtId="4" fontId="2" fillId="4" borderId="15" xfId="0" applyNumberFormat="1" applyFont="1" applyFill="1" applyBorder="1" applyAlignment="1">
      <alignment horizontal="center"/>
    </xf>
    <xf numFmtId="165" fontId="2" fillId="4" borderId="15" xfId="0" applyNumberFormat="1" applyFont="1" applyFill="1" applyBorder="1"/>
    <xf numFmtId="0" fontId="2" fillId="2" borderId="20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5" fontId="2" fillId="4" borderId="16" xfId="0" applyNumberFormat="1" applyFont="1" applyFill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15" fillId="0" borderId="21" xfId="0" applyFont="1" applyBorder="1"/>
    <xf numFmtId="0" fontId="2" fillId="9" borderId="20" xfId="0" applyFont="1" applyFill="1" applyBorder="1" applyAlignment="1">
      <alignment horizontal="center"/>
    </xf>
    <xf numFmtId="0" fontId="12" fillId="0" borderId="2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left" vertical="center"/>
    </xf>
    <xf numFmtId="4" fontId="2" fillId="0" borderId="10" xfId="0" applyNumberFormat="1" applyFont="1" applyBorder="1" applyAlignment="1">
      <alignment horizontal="center"/>
    </xf>
    <xf numFmtId="49" fontId="2" fillId="0" borderId="21" xfId="0" applyNumberFormat="1" applyFont="1" applyBorder="1"/>
    <xf numFmtId="0" fontId="2" fillId="0" borderId="30" xfId="0" applyFont="1" applyBorder="1" applyAlignment="1">
      <alignment horizontal="center" wrapText="1"/>
    </xf>
    <xf numFmtId="49" fontId="2" fillId="0" borderId="21" xfId="0" applyNumberFormat="1" applyFont="1" applyBorder="1" applyAlignment="1">
      <alignment horizontal="left" vertical="center"/>
    </xf>
    <xf numFmtId="4" fontId="2" fillId="0" borderId="21" xfId="0" applyNumberFormat="1" applyFont="1" applyBorder="1" applyAlignment="1">
      <alignment horizontal="center" wrapText="1"/>
    </xf>
    <xf numFmtId="164" fontId="2" fillId="0" borderId="21" xfId="0" applyNumberFormat="1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5" borderId="20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164" fontId="2" fillId="0" borderId="20" xfId="0" applyNumberFormat="1" applyFont="1" applyBorder="1" applyAlignment="1">
      <alignment horizontal="center" vertical="center" wrapText="1"/>
    </xf>
    <xf numFmtId="4" fontId="16" fillId="0" borderId="20" xfId="0" applyNumberFormat="1" applyFont="1" applyBorder="1" applyAlignment="1">
      <alignment horizontal="center" vertical="center"/>
    </xf>
    <xf numFmtId="166" fontId="2" fillId="4" borderId="20" xfId="0" applyNumberFormat="1" applyFont="1" applyFill="1" applyBorder="1" applyAlignment="1">
      <alignment horizontal="right" vertical="center"/>
    </xf>
    <xf numFmtId="0" fontId="0" fillId="0" borderId="21" xfId="0" applyBorder="1"/>
    <xf numFmtId="4" fontId="2" fillId="0" borderId="20" xfId="0" applyNumberFormat="1" applyFont="1" applyBorder="1" applyAlignment="1">
      <alignment horizontal="right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0" fillId="4" borderId="21" xfId="0" applyFill="1" applyBorder="1"/>
    <xf numFmtId="0" fontId="15" fillId="4" borderId="21" xfId="0" applyFont="1" applyFill="1" applyBorder="1" applyAlignment="1">
      <alignment horizontal="center"/>
    </xf>
    <xf numFmtId="4" fontId="2" fillId="4" borderId="20" xfId="0" applyNumberFormat="1" applyFont="1" applyFill="1" applyBorder="1" applyAlignment="1">
      <alignment horizontal="right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7" fillId="4" borderId="12" xfId="0" applyFont="1" applyFill="1" applyBorder="1" applyAlignment="1">
      <alignment horizontal="center" vertical="center" wrapText="1"/>
    </xf>
    <xf numFmtId="4" fontId="2" fillId="4" borderId="20" xfId="0" applyNumberFormat="1" applyFont="1" applyFill="1" applyBorder="1" applyAlignment="1">
      <alignment horizontal="right" vertical="center"/>
    </xf>
    <xf numFmtId="0" fontId="2" fillId="4" borderId="20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left" vertical="center"/>
    </xf>
    <xf numFmtId="0" fontId="14" fillId="4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right" vertical="center"/>
    </xf>
    <xf numFmtId="0" fontId="2" fillId="3" borderId="25" xfId="0" applyFont="1" applyFill="1" applyBorder="1" applyAlignment="1">
      <alignment horizontal="left" vertical="center"/>
    </xf>
    <xf numFmtId="164" fontId="2" fillId="7" borderId="20" xfId="0" applyNumberFormat="1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4" fontId="2" fillId="0" borderId="21" xfId="0" applyNumberFormat="1" applyFont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left" vertical="center"/>
    </xf>
    <xf numFmtId="0" fontId="2" fillId="8" borderId="2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wrapText="1"/>
    </xf>
    <xf numFmtId="165" fontId="2" fillId="0" borderId="13" xfId="0" applyNumberFormat="1" applyFont="1" applyBorder="1" applyAlignment="1">
      <alignment horizontal="center" wrapText="1"/>
    </xf>
    <xf numFmtId="0" fontId="7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9" fillId="2" borderId="33" xfId="0" applyFont="1" applyFill="1" applyBorder="1"/>
    <xf numFmtId="165" fontId="2" fillId="0" borderId="13" xfId="0" applyNumberFormat="1" applyFont="1" applyBorder="1" applyAlignment="1">
      <alignment wrapText="1"/>
    </xf>
    <xf numFmtId="0" fontId="14" fillId="0" borderId="21" xfId="0" applyFont="1" applyBorder="1"/>
    <xf numFmtId="165" fontId="2" fillId="0" borderId="21" xfId="0" applyNumberFormat="1" applyFont="1" applyBorder="1" applyAlignment="1">
      <alignment horizontal="center"/>
    </xf>
    <xf numFmtId="0" fontId="2" fillId="2" borderId="34" xfId="0" applyFont="1" applyFill="1" applyBorder="1" applyAlignment="1">
      <alignment horizontal="left" vertical="center" wrapText="1"/>
    </xf>
    <xf numFmtId="165" fontId="2" fillId="0" borderId="21" xfId="0" applyNumberFormat="1" applyFont="1" applyBorder="1" applyAlignment="1">
      <alignment wrapText="1"/>
    </xf>
    <xf numFmtId="0" fontId="2" fillId="2" borderId="22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0" borderId="10" xfId="0" applyFont="1" applyBorder="1"/>
    <xf numFmtId="0" fontId="25" fillId="0" borderId="21" xfId="0" applyFont="1" applyBorder="1" applyAlignment="1">
      <alignment horizontal="left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49" fontId="2" fillId="0" borderId="18" xfId="0" applyNumberFormat="1" applyFont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10" xfId="0" applyNumberFormat="1" applyFont="1" applyBorder="1"/>
    <xf numFmtId="49" fontId="2" fillId="0" borderId="20" xfId="0" applyNumberFormat="1" applyFont="1" applyBorder="1"/>
    <xf numFmtId="0" fontId="2" fillId="0" borderId="15" xfId="0" applyFont="1" applyBorder="1" applyAlignment="1">
      <alignment horizontal="center" wrapText="1"/>
    </xf>
    <xf numFmtId="49" fontId="25" fillId="4" borderId="20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center" wrapText="1"/>
    </xf>
    <xf numFmtId="4" fontId="2" fillId="0" borderId="20" xfId="0" applyNumberFormat="1" applyFont="1" applyBorder="1" applyAlignment="1">
      <alignment horizontal="center" wrapText="1"/>
    </xf>
    <xf numFmtId="164" fontId="2" fillId="0" borderId="20" xfId="0" applyNumberFormat="1" applyFont="1" applyBorder="1" applyAlignment="1">
      <alignment horizontal="center" wrapText="1"/>
    </xf>
    <xf numFmtId="0" fontId="2" fillId="8" borderId="20" xfId="0" applyFont="1" applyFill="1" applyBorder="1" applyAlignment="1">
      <alignment horizontal="center"/>
    </xf>
    <xf numFmtId="4" fontId="2" fillId="2" borderId="32" xfId="0" applyNumberFormat="1" applyFont="1" applyFill="1" applyBorder="1" applyAlignment="1">
      <alignment horizontal="center"/>
    </xf>
    <xf numFmtId="165" fontId="2" fillId="2" borderId="32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164" fontId="2" fillId="0" borderId="21" xfId="0" applyNumberFormat="1" applyFont="1" applyBorder="1" applyAlignment="1">
      <alignment horizontal="center" vertical="center" wrapText="1"/>
    </xf>
    <xf numFmtId="4" fontId="2" fillId="0" borderId="20" xfId="0" applyNumberFormat="1" applyFont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0" fontId="25" fillId="4" borderId="14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/>
    </xf>
    <xf numFmtId="0" fontId="2" fillId="2" borderId="39" xfId="0" applyFont="1" applyFill="1" applyBorder="1" applyAlignment="1">
      <alignment horizontal="left" vertical="center"/>
    </xf>
    <xf numFmtId="0" fontId="2" fillId="0" borderId="18" xfId="0" applyFont="1" applyBorder="1"/>
    <xf numFmtId="0" fontId="2" fillId="8" borderId="18" xfId="0" applyFont="1" applyFill="1" applyBorder="1" applyAlignment="1">
      <alignment horizontal="center"/>
    </xf>
    <xf numFmtId="0" fontId="2" fillId="0" borderId="10" xfId="0" applyFont="1" applyBorder="1" applyAlignment="1">
      <alignment horizontal="right" vertical="center" wrapText="1"/>
    </xf>
    <xf numFmtId="4" fontId="2" fillId="0" borderId="10" xfId="0" applyNumberFormat="1" applyFont="1" applyBorder="1" applyAlignment="1">
      <alignment horizontal="right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wrapText="1"/>
    </xf>
    <xf numFmtId="164" fontId="1" fillId="0" borderId="24" xfId="0" applyNumberFormat="1" applyFont="1" applyBorder="1" applyAlignment="1">
      <alignment horizontal="right"/>
    </xf>
    <xf numFmtId="0" fontId="8" fillId="0" borderId="25" xfId="0" applyFont="1" applyBorder="1"/>
    <xf numFmtId="0" fontId="8" fillId="0" borderId="16" xfId="0" applyFont="1" applyBorder="1"/>
    <xf numFmtId="0" fontId="9" fillId="2" borderId="0" xfId="0" applyFont="1" applyFill="1" applyAlignment="1">
      <alignment horizontal="left"/>
    </xf>
    <xf numFmtId="0" fontId="0" fillId="0" borderId="0" xfId="0"/>
    <xf numFmtId="164" fontId="1" fillId="0" borderId="13" xfId="0" applyNumberFormat="1" applyFont="1" applyBorder="1" applyAlignment="1">
      <alignment horizontal="right"/>
    </xf>
    <xf numFmtId="0" fontId="8" fillId="0" borderId="14" xfId="0" applyFont="1" applyBorder="1"/>
    <xf numFmtId="0" fontId="8" fillId="0" borderId="15" xfId="0" applyFont="1" applyBorder="1"/>
    <xf numFmtId="164" fontId="17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/>
    </xf>
    <xf numFmtId="0" fontId="8" fillId="0" borderId="18" xfId="0" applyFont="1" applyBorder="1"/>
    <xf numFmtId="0" fontId="12" fillId="4" borderId="10" xfId="0" applyFont="1" applyFill="1" applyBorder="1" applyAlignment="1">
      <alignment horizontal="center" vertical="center"/>
    </xf>
    <xf numFmtId="0" fontId="8" fillId="0" borderId="20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2" fillId="3" borderId="13" xfId="0" applyFont="1" applyFill="1" applyBorder="1" applyAlignment="1">
      <alignment horizontal="left" vertical="center" wrapText="1"/>
    </xf>
    <xf numFmtId="0" fontId="13" fillId="0" borderId="0" xfId="0" applyFont="1"/>
    <xf numFmtId="0" fontId="11" fillId="4" borderId="12" xfId="0" applyFont="1" applyFill="1" applyBorder="1" applyAlignment="1">
      <alignment horizontal="center" vertical="center" wrapText="1"/>
    </xf>
    <xf numFmtId="0" fontId="8" fillId="0" borderId="17" xfId="0" applyFont="1" applyBorder="1"/>
    <xf numFmtId="0" fontId="8" fillId="0" borderId="19" xfId="0" applyFont="1" applyBorder="1"/>
    <xf numFmtId="0" fontId="12" fillId="3" borderId="13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" fontId="2" fillId="2" borderId="10" xfId="0" applyNumberFormat="1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8" fillId="0" borderId="23" xfId="0" applyFont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left" vertical="top" wrapText="1"/>
    </xf>
    <xf numFmtId="0" fontId="6" fillId="0" borderId="28" xfId="0" applyFont="1" applyBorder="1" applyAlignment="1">
      <alignment horizontal="left" vertical="center" wrapText="1"/>
    </xf>
    <xf numFmtId="0" fontId="8" fillId="0" borderId="28" xfId="0" applyFont="1" applyBorder="1"/>
    <xf numFmtId="164" fontId="1" fillId="0" borderId="0" xfId="0" applyNumberFormat="1" applyFont="1" applyAlignment="1">
      <alignment horizontal="right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wrapText="1"/>
    </xf>
    <xf numFmtId="164" fontId="23" fillId="2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12" fillId="3" borderId="11" xfId="0" applyFont="1" applyFill="1" applyBorder="1" applyAlignment="1">
      <alignment horizontal="left" vertical="center" wrapText="1"/>
    </xf>
    <xf numFmtId="0" fontId="8" fillId="0" borderId="30" xfId="0" applyFont="1" applyBorder="1"/>
    <xf numFmtId="0" fontId="12" fillId="10" borderId="13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11" borderId="18" xfId="0" applyFont="1" applyFill="1" applyBorder="1"/>
    <xf numFmtId="0" fontId="2" fillId="8" borderId="18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4" fontId="2" fillId="11" borderId="10" xfId="0" applyNumberFormat="1" applyFont="1" applyFill="1" applyBorder="1"/>
    <xf numFmtId="0" fontId="2" fillId="8" borderId="1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27" fillId="4" borderId="12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left" vertical="top" wrapText="1"/>
    </xf>
    <xf numFmtId="0" fontId="8" fillId="0" borderId="37" xfId="0" applyFont="1" applyBorder="1"/>
    <xf numFmtId="0" fontId="8" fillId="0" borderId="38" xfId="0" applyFont="1" applyBorder="1"/>
    <xf numFmtId="0" fontId="9" fillId="0" borderId="0" xfId="0" applyFont="1" applyAlignment="1">
      <alignment horizontal="left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164" fontId="2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ionalbookstore.com/stationery/41794-elmers-glue-stick-all-purpose-22-grams-school-office-supplies-200000010191.html" TargetMode="External"/><Relationship Id="rId1" Type="http://schemas.openxmlformats.org/officeDocument/2006/relationships/hyperlink" Target="https://shopee.ph/Armak-Masking-Tape-Per-PIECE-Painter's-Grade-Masking-Tape-Armak-Green-Industrial-Painting-Packing-i.140576173.23722920035?sp_atk=24b02d76-2869-4a18-aa0f-1cca8e6467d2&amp;xptdk=24b02d76-2869-4a18-aa0f-1cca8e6467d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ionalbookstore.com/stationery/41794-elmers-glue-stick-all-purpose-22-grams-school-office-supplies-200000010191.html" TargetMode="External"/><Relationship Id="rId1" Type="http://schemas.openxmlformats.org/officeDocument/2006/relationships/hyperlink" Target="https://shopee.ph/Armak-Masking-Tape-Per-PIECE-Painter's-Grade-Masking-Tape-Armak-Green-Industrial-Painting-Packing-i.140576173.23722920035?sp_atk=24b02d76-2869-4a18-aa0f-1cca8e6467d2&amp;xptdk=24b02d76-2869-4a18-aa0f-1cca8e646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workbookViewId="0">
      <selection sqref="A1:V1"/>
    </sheetView>
  </sheetViews>
  <sheetFormatPr defaultColWidth="12.625" defaultRowHeight="15" customHeight="1" x14ac:dyDescent="0.2"/>
  <cols>
    <col min="1" max="1" width="9.5" customWidth="1"/>
    <col min="2" max="2" width="68" customWidth="1"/>
    <col min="3" max="3" width="11.625" customWidth="1"/>
    <col min="4" max="4" width="12.625" customWidth="1"/>
    <col min="5" max="5" width="13.875" customWidth="1"/>
    <col min="6" max="6" width="12.125" customWidth="1"/>
    <col min="7" max="7" width="10.375" customWidth="1"/>
    <col min="8" max="8" width="5.375" customWidth="1"/>
    <col min="9" max="9" width="4.75" customWidth="1"/>
    <col min="10" max="10" width="7.625" customWidth="1"/>
    <col min="11" max="11" width="12" customWidth="1"/>
    <col min="12" max="12" width="21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345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1"/>
      <c r="X1" s="1"/>
    </row>
    <row r="2" spans="1:25" ht="14.25" x14ac:dyDescent="0.2">
      <c r="A2" s="346" t="s">
        <v>1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"/>
      <c r="X2" s="1"/>
    </row>
    <row r="3" spans="1:25" x14ac:dyDescent="0.25">
      <c r="A3" s="347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1"/>
      <c r="X3" s="1"/>
    </row>
    <row r="4" spans="1:25" x14ac:dyDescent="0.2">
      <c r="A4" s="2" t="s">
        <v>2</v>
      </c>
      <c r="B4" s="3"/>
      <c r="C4" s="4"/>
      <c r="D4" s="5"/>
      <c r="E4" s="4"/>
      <c r="F4" s="6"/>
      <c r="G4" s="3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8"/>
      <c r="B5" s="3"/>
      <c r="C5" s="9"/>
      <c r="D5" s="10"/>
      <c r="E5" s="11"/>
      <c r="F5" s="12"/>
      <c r="G5" s="12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3</v>
      </c>
      <c r="B6" s="2"/>
      <c r="C6" s="14"/>
      <c r="D6" s="14"/>
      <c r="E6" s="14"/>
      <c r="F6" s="15"/>
      <c r="G6" s="12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8" t="s">
        <v>4</v>
      </c>
      <c r="B7" s="3"/>
      <c r="C7" s="9"/>
      <c r="D7" s="10"/>
      <c r="E7" s="11"/>
      <c r="F7" s="12"/>
      <c r="G7" s="12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348" t="s">
        <v>5</v>
      </c>
      <c r="B8" s="350" t="s">
        <v>6</v>
      </c>
      <c r="C8" s="16" t="s">
        <v>7</v>
      </c>
      <c r="D8" s="352" t="s">
        <v>8</v>
      </c>
      <c r="E8" s="353" t="s">
        <v>9</v>
      </c>
      <c r="F8" s="368" t="s">
        <v>10</v>
      </c>
      <c r="G8" s="350" t="s">
        <v>11</v>
      </c>
      <c r="H8" s="358" t="s">
        <v>12</v>
      </c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60"/>
      <c r="W8" s="17"/>
      <c r="X8" s="17"/>
    </row>
    <row r="9" spans="1:25" ht="38.25" x14ac:dyDescent="0.2">
      <c r="A9" s="349"/>
      <c r="B9" s="351"/>
      <c r="C9" s="18" t="s">
        <v>13</v>
      </c>
      <c r="D9" s="351"/>
      <c r="E9" s="351"/>
      <c r="F9" s="351"/>
      <c r="G9" s="351"/>
      <c r="H9" s="19" t="s">
        <v>14</v>
      </c>
      <c r="I9" s="20" t="s">
        <v>15</v>
      </c>
      <c r="J9" s="20" t="s">
        <v>16</v>
      </c>
      <c r="K9" s="20" t="s">
        <v>17</v>
      </c>
      <c r="L9" s="20" t="s">
        <v>18</v>
      </c>
      <c r="M9" s="20" t="s">
        <v>19</v>
      </c>
      <c r="N9" s="20" t="s">
        <v>20</v>
      </c>
      <c r="O9" s="20" t="s">
        <v>21</v>
      </c>
      <c r="P9" s="20" t="s">
        <v>22</v>
      </c>
      <c r="Q9" s="20" t="s">
        <v>23</v>
      </c>
      <c r="R9" s="20" t="s">
        <v>24</v>
      </c>
      <c r="S9" s="20" t="s">
        <v>25</v>
      </c>
      <c r="T9" s="20" t="s">
        <v>26</v>
      </c>
      <c r="U9" s="21" t="str">
        <f>$V$9</f>
        <v>REMARKS</v>
      </c>
      <c r="V9" s="20" t="s">
        <v>27</v>
      </c>
      <c r="W9" s="17"/>
      <c r="X9" s="17"/>
      <c r="Y9" s="22" t="s">
        <v>28</v>
      </c>
    </row>
    <row r="10" spans="1:25" ht="14.25" x14ac:dyDescent="0.2">
      <c r="A10" s="23">
        <f>SUM(E11:E16)</f>
        <v>139999</v>
      </c>
      <c r="B10" s="361" t="s">
        <v>29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9"/>
      <c r="W10" s="17"/>
      <c r="X10" s="17"/>
      <c r="Y10" s="362" t="s">
        <v>30</v>
      </c>
    </row>
    <row r="11" spans="1:25" ht="15.75" customHeight="1" x14ac:dyDescent="0.2">
      <c r="A11" s="363"/>
      <c r="B11" s="26" t="s">
        <v>31</v>
      </c>
      <c r="C11" s="27">
        <v>3</v>
      </c>
      <c r="D11" s="28">
        <v>5000</v>
      </c>
      <c r="E11" s="29">
        <f t="shared" ref="E11:E15" si="0">D11*C11</f>
        <v>15000</v>
      </c>
      <c r="F11" s="370" t="s">
        <v>32</v>
      </c>
      <c r="G11" s="354"/>
      <c r="H11" s="356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17"/>
      <c r="X11" s="17"/>
      <c r="Y11" s="336"/>
    </row>
    <row r="12" spans="1:25" ht="15.75" customHeight="1" x14ac:dyDescent="0.2">
      <c r="A12" s="364"/>
      <c r="B12" s="26" t="s">
        <v>33</v>
      </c>
      <c r="C12" s="27">
        <v>3</v>
      </c>
      <c r="D12" s="28">
        <v>5000</v>
      </c>
      <c r="E12" s="29">
        <f t="shared" si="0"/>
        <v>15000</v>
      </c>
      <c r="F12" s="355"/>
      <c r="G12" s="355"/>
      <c r="H12" s="355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17"/>
      <c r="X12" s="17"/>
      <c r="Y12" s="336"/>
    </row>
    <row r="13" spans="1:25" ht="15.75" customHeight="1" x14ac:dyDescent="0.2">
      <c r="A13" s="364"/>
      <c r="B13" s="26" t="s">
        <v>34</v>
      </c>
      <c r="C13" s="27">
        <v>3</v>
      </c>
      <c r="D13" s="28">
        <v>5000</v>
      </c>
      <c r="E13" s="29">
        <f t="shared" si="0"/>
        <v>15000</v>
      </c>
      <c r="F13" s="355"/>
      <c r="G13" s="355"/>
      <c r="H13" s="355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17"/>
      <c r="X13" s="17"/>
      <c r="Y13" s="336"/>
    </row>
    <row r="14" spans="1:25" ht="15.75" customHeight="1" x14ac:dyDescent="0.2">
      <c r="A14" s="365"/>
      <c r="B14" s="26" t="s">
        <v>35</v>
      </c>
      <c r="C14" s="27">
        <v>3</v>
      </c>
      <c r="D14" s="28">
        <v>5000</v>
      </c>
      <c r="E14" s="29">
        <f t="shared" si="0"/>
        <v>15000</v>
      </c>
      <c r="F14" s="357"/>
      <c r="G14" s="355"/>
      <c r="H14" s="357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17"/>
      <c r="X14" s="17"/>
      <c r="Y14" s="336"/>
    </row>
    <row r="15" spans="1:25" ht="15.75" customHeight="1" x14ac:dyDescent="0.2">
      <c r="A15" s="367"/>
      <c r="B15" s="33" t="s">
        <v>36</v>
      </c>
      <c r="C15" s="27">
        <v>1</v>
      </c>
      <c r="D15" s="29">
        <v>49999</v>
      </c>
      <c r="E15" s="29">
        <f t="shared" si="0"/>
        <v>49999</v>
      </c>
      <c r="F15" s="370" t="s">
        <v>32</v>
      </c>
      <c r="G15" s="354"/>
      <c r="H15" s="356">
        <v>1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17"/>
      <c r="X15" s="17"/>
      <c r="Y15" s="24" t="s">
        <v>37</v>
      </c>
    </row>
    <row r="16" spans="1:25" ht="15.75" customHeight="1" x14ac:dyDescent="0.2">
      <c r="A16" s="357"/>
      <c r="B16" s="34" t="s">
        <v>38</v>
      </c>
      <c r="C16" s="27">
        <v>3</v>
      </c>
      <c r="D16" s="29">
        <v>10000</v>
      </c>
      <c r="E16" s="29">
        <f>C16*D16</f>
        <v>30000</v>
      </c>
      <c r="F16" s="357"/>
      <c r="G16" s="355"/>
      <c r="H16" s="357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17"/>
      <c r="X16" s="17"/>
      <c r="Y16" s="22" t="s">
        <v>39</v>
      </c>
    </row>
    <row r="17" spans="1:26" ht="15.75" customHeight="1" x14ac:dyDescent="0.2">
      <c r="A17" s="35"/>
      <c r="B17" s="34"/>
      <c r="C17" s="27"/>
      <c r="D17" s="29"/>
      <c r="E17" s="29"/>
      <c r="F17" s="36"/>
      <c r="G17" s="31"/>
      <c r="H17" s="32"/>
      <c r="I17" s="37"/>
      <c r="J17" s="3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/>
      <c r="X17" s="17"/>
      <c r="Y17" s="22"/>
    </row>
    <row r="18" spans="1:26" ht="15.75" customHeight="1" x14ac:dyDescent="0.2">
      <c r="A18" s="35"/>
      <c r="B18" s="34"/>
      <c r="C18" s="27"/>
      <c r="D18" s="29"/>
      <c r="E18" s="29"/>
      <c r="F18" s="36"/>
      <c r="G18" s="31"/>
      <c r="H18" s="32"/>
      <c r="I18" s="37"/>
      <c r="J18" s="3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17"/>
      <c r="X18" s="17"/>
      <c r="Y18" s="22"/>
    </row>
    <row r="19" spans="1:26" ht="15.75" hidden="1" customHeight="1" x14ac:dyDescent="0.2">
      <c r="A19" s="25"/>
      <c r="B19" s="366" t="s">
        <v>40</v>
      </c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9"/>
      <c r="W19" s="17"/>
      <c r="X19" s="17"/>
    </row>
    <row r="20" spans="1:26" ht="15.75" hidden="1" customHeight="1" x14ac:dyDescent="0.2">
      <c r="A20" s="25"/>
      <c r="B20" s="38"/>
      <c r="C20" s="38"/>
      <c r="D20" s="38"/>
      <c r="E20" s="38"/>
      <c r="F20" s="39"/>
      <c r="G20" s="38"/>
      <c r="H20" s="4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17"/>
      <c r="X20" s="17"/>
    </row>
    <row r="21" spans="1:26" ht="15.75" hidden="1" customHeight="1" x14ac:dyDescent="0.2">
      <c r="A21" s="25"/>
      <c r="B21" s="38"/>
      <c r="C21" s="38"/>
      <c r="D21" s="38"/>
      <c r="E21" s="38"/>
      <c r="F21" s="39"/>
      <c r="G21" s="38"/>
      <c r="H21" s="40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17"/>
      <c r="X21" s="17"/>
    </row>
    <row r="22" spans="1:26" ht="15.75" customHeight="1" x14ac:dyDescent="0.2">
      <c r="A22" s="25"/>
      <c r="B22" s="366" t="s">
        <v>41</v>
      </c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9"/>
      <c r="W22" s="17"/>
      <c r="X22" s="17"/>
    </row>
    <row r="23" spans="1:26" ht="15.75" customHeight="1" x14ac:dyDescent="0.2">
      <c r="A23" s="363"/>
      <c r="B23" s="41" t="s">
        <v>42</v>
      </c>
      <c r="C23" s="42" t="s">
        <v>43</v>
      </c>
      <c r="D23" s="43">
        <v>2500</v>
      </c>
      <c r="E23" s="44">
        <f>2500*25</f>
        <v>62500</v>
      </c>
      <c r="F23" s="370" t="s">
        <v>32</v>
      </c>
      <c r="G23" s="371" t="s">
        <v>44</v>
      </c>
      <c r="H23" s="375"/>
      <c r="I23" s="45"/>
      <c r="J23" s="46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17"/>
      <c r="X23" s="17"/>
    </row>
    <row r="24" spans="1:26" ht="15.75" customHeight="1" x14ac:dyDescent="0.2">
      <c r="A24" s="364"/>
      <c r="B24" s="41" t="s">
        <v>45</v>
      </c>
      <c r="C24" s="42" t="s">
        <v>46</v>
      </c>
      <c r="D24" s="43">
        <v>5000</v>
      </c>
      <c r="E24" s="44">
        <f>5000*50</f>
        <v>250000</v>
      </c>
      <c r="F24" s="355"/>
      <c r="G24" s="355"/>
      <c r="H24" s="355"/>
      <c r="I24" s="45"/>
      <c r="J24" s="46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17"/>
      <c r="X24" s="17"/>
    </row>
    <row r="25" spans="1:26" ht="15.75" customHeight="1" x14ac:dyDescent="0.2">
      <c r="A25" s="364"/>
      <c r="B25" s="41" t="s">
        <v>47</v>
      </c>
      <c r="C25" s="42" t="s">
        <v>43</v>
      </c>
      <c r="D25" s="43">
        <v>4000</v>
      </c>
      <c r="E25" s="44">
        <f>4000*25</f>
        <v>100000</v>
      </c>
      <c r="F25" s="355"/>
      <c r="G25" s="355"/>
      <c r="H25" s="355"/>
      <c r="I25" s="45"/>
      <c r="J25" s="46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17"/>
      <c r="X25" s="17"/>
    </row>
    <row r="26" spans="1:26" ht="15.75" hidden="1" customHeight="1" x14ac:dyDescent="0.2">
      <c r="A26" s="364"/>
      <c r="B26" s="48" t="s">
        <v>48</v>
      </c>
      <c r="C26" s="49" t="s">
        <v>49</v>
      </c>
      <c r="D26" s="50"/>
      <c r="E26" s="51"/>
      <c r="F26" s="355"/>
      <c r="G26" s="355"/>
      <c r="H26" s="357"/>
      <c r="I26" s="45"/>
      <c r="J26" s="46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17"/>
      <c r="X26" s="17"/>
    </row>
    <row r="27" spans="1:26" ht="14.25" x14ac:dyDescent="0.2">
      <c r="A27" s="365"/>
      <c r="B27" s="53" t="s">
        <v>50</v>
      </c>
      <c r="C27" s="46" t="s">
        <v>51</v>
      </c>
      <c r="D27" s="54">
        <v>10000</v>
      </c>
      <c r="E27" s="55">
        <f>10*10000</f>
        <v>100000</v>
      </c>
      <c r="F27" s="357"/>
      <c r="G27" s="357"/>
      <c r="H27" s="56"/>
      <c r="I27" s="46"/>
      <c r="J27" s="46"/>
      <c r="K27" s="57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17"/>
      <c r="X27" s="17"/>
    </row>
    <row r="28" spans="1:26" ht="32.25" customHeight="1" x14ac:dyDescent="0.2">
      <c r="A28" s="367"/>
      <c r="B28" s="53" t="s">
        <v>52</v>
      </c>
      <c r="C28" s="46" t="s">
        <v>53</v>
      </c>
      <c r="D28" s="54">
        <v>2500</v>
      </c>
      <c r="E28" s="55">
        <f>2500*100</f>
        <v>250000</v>
      </c>
      <c r="F28" s="372" t="s">
        <v>32</v>
      </c>
      <c r="G28" s="374" t="s">
        <v>44</v>
      </c>
      <c r="H28" s="46"/>
      <c r="I28" s="46"/>
      <c r="J28" s="46"/>
      <c r="K28" s="58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0"/>
      <c r="Y28" s="61"/>
      <c r="Z28" s="61"/>
    </row>
    <row r="29" spans="1:26" ht="31.5" customHeight="1" x14ac:dyDescent="0.2">
      <c r="A29" s="355"/>
      <c r="B29" s="62" t="s">
        <v>54</v>
      </c>
      <c r="C29" s="46" t="s">
        <v>55</v>
      </c>
      <c r="D29" s="54">
        <v>5500</v>
      </c>
      <c r="E29" s="55">
        <f>D29*3</f>
        <v>16500</v>
      </c>
      <c r="F29" s="373"/>
      <c r="G29" s="355"/>
      <c r="H29" s="56"/>
      <c r="I29" s="46"/>
      <c r="J29" s="46"/>
      <c r="K29" s="57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17"/>
      <c r="X29" s="17"/>
    </row>
    <row r="30" spans="1:26" ht="38.25" customHeight="1" x14ac:dyDescent="0.2">
      <c r="A30" s="355"/>
      <c r="B30" s="63" t="s">
        <v>56</v>
      </c>
      <c r="C30" s="64" t="s">
        <v>57</v>
      </c>
      <c r="D30" s="65">
        <v>600</v>
      </c>
      <c r="E30" s="66">
        <f>D30*25</f>
        <v>15000</v>
      </c>
      <c r="F30" s="373"/>
      <c r="G30" s="355"/>
      <c r="H30" s="56"/>
      <c r="I30" s="46"/>
      <c r="J30" s="46"/>
      <c r="K30" s="57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17"/>
      <c r="X30" s="17"/>
    </row>
    <row r="31" spans="1:26" ht="44.25" customHeight="1" x14ac:dyDescent="0.2">
      <c r="A31" s="357"/>
      <c r="B31" s="63" t="s">
        <v>58</v>
      </c>
      <c r="C31" s="67" t="s">
        <v>59</v>
      </c>
      <c r="D31" s="68">
        <v>20000</v>
      </c>
      <c r="E31" s="69">
        <v>20000</v>
      </c>
      <c r="F31" s="334"/>
      <c r="G31" s="357"/>
      <c r="H31" s="56"/>
      <c r="I31" s="46"/>
      <c r="J31" s="46"/>
      <c r="K31" s="57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17"/>
      <c r="X31" s="17"/>
    </row>
    <row r="32" spans="1:26" ht="15.75" customHeight="1" x14ac:dyDescent="0.2">
      <c r="A32" s="70"/>
      <c r="B32" s="63"/>
      <c r="C32" s="71"/>
      <c r="D32" s="72"/>
      <c r="E32" s="73"/>
      <c r="F32" s="74"/>
      <c r="G32" s="57"/>
      <c r="H32" s="75"/>
      <c r="I32" s="76"/>
      <c r="J32" s="77"/>
      <c r="K32" s="57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17"/>
      <c r="X32" s="17"/>
    </row>
    <row r="33" spans="1:26" ht="15.75" customHeight="1" x14ac:dyDescent="0.2">
      <c r="A33" s="23">
        <f>SUM(E41:E44)</f>
        <v>92500</v>
      </c>
      <c r="B33" s="376" t="s">
        <v>60</v>
      </c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4"/>
      <c r="W33" s="17"/>
      <c r="X33" s="17"/>
    </row>
    <row r="34" spans="1:26" ht="32.25" customHeight="1" x14ac:dyDescent="0.2">
      <c r="A34" s="79"/>
      <c r="B34" s="80" t="s">
        <v>61</v>
      </c>
      <c r="C34" s="81" t="s">
        <v>53</v>
      </c>
      <c r="D34" s="82">
        <v>500</v>
      </c>
      <c r="E34" s="83">
        <f>500*100</f>
        <v>50000</v>
      </c>
      <c r="F34" s="36" t="s">
        <v>62</v>
      </c>
      <c r="G34" s="36" t="s">
        <v>63</v>
      </c>
      <c r="H34" s="36"/>
      <c r="I34" s="36"/>
      <c r="J34" s="36"/>
      <c r="K34" s="84"/>
      <c r="L34" s="85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17"/>
      <c r="X34" s="17"/>
    </row>
    <row r="35" spans="1:26" ht="23.25" customHeight="1" x14ac:dyDescent="0.2">
      <c r="A35" s="367"/>
      <c r="B35" s="86" t="s">
        <v>64</v>
      </c>
      <c r="C35" s="81" t="s">
        <v>53</v>
      </c>
      <c r="D35" s="82">
        <v>250</v>
      </c>
      <c r="E35" s="83">
        <f>250*100</f>
        <v>25000</v>
      </c>
      <c r="F35" s="369" t="s">
        <v>65</v>
      </c>
      <c r="G35" s="370" t="s">
        <v>63</v>
      </c>
      <c r="H35" s="36"/>
      <c r="I35" s="36"/>
      <c r="J35" s="36"/>
      <c r="K35" s="84"/>
      <c r="L35" s="85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17"/>
      <c r="X35" s="17"/>
    </row>
    <row r="36" spans="1:26" ht="15.75" customHeight="1" x14ac:dyDescent="0.2">
      <c r="A36" s="355"/>
      <c r="B36" s="80" t="s">
        <v>66</v>
      </c>
      <c r="C36" s="81" t="s">
        <v>67</v>
      </c>
      <c r="D36" s="82">
        <v>200</v>
      </c>
      <c r="E36" s="83">
        <f>200*150</f>
        <v>30000</v>
      </c>
      <c r="F36" s="355"/>
      <c r="G36" s="355"/>
      <c r="H36" s="36"/>
      <c r="I36" s="36"/>
      <c r="J36" s="36"/>
      <c r="K36" s="84"/>
      <c r="L36" s="85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17"/>
      <c r="X36" s="17"/>
    </row>
    <row r="37" spans="1:26" ht="15.75" customHeight="1" x14ac:dyDescent="0.2">
      <c r="A37" s="357"/>
      <c r="B37" s="80" t="s">
        <v>68</v>
      </c>
      <c r="C37" s="81" t="s">
        <v>67</v>
      </c>
      <c r="D37" s="82">
        <v>250</v>
      </c>
      <c r="E37" s="83">
        <f>250*150</f>
        <v>37500</v>
      </c>
      <c r="F37" s="357"/>
      <c r="G37" s="357"/>
      <c r="H37" s="36"/>
      <c r="I37" s="36"/>
      <c r="J37" s="36"/>
      <c r="K37" s="84"/>
      <c r="L37" s="85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17"/>
      <c r="X37" s="17"/>
    </row>
    <row r="38" spans="1:26" ht="15.75" customHeight="1" x14ac:dyDescent="0.2">
      <c r="A38" s="79"/>
      <c r="B38" s="80" t="s">
        <v>69</v>
      </c>
      <c r="C38" s="81" t="s">
        <v>70</v>
      </c>
      <c r="D38" s="82">
        <v>2000</v>
      </c>
      <c r="E38" s="83">
        <f>2000*20</f>
        <v>40000</v>
      </c>
      <c r="F38" s="36" t="s">
        <v>71</v>
      </c>
      <c r="G38" s="36" t="s">
        <v>63</v>
      </c>
      <c r="H38" s="36"/>
      <c r="I38" s="36"/>
      <c r="J38" s="36"/>
      <c r="K38" s="84"/>
      <c r="L38" s="85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17"/>
      <c r="X38" s="17"/>
    </row>
    <row r="39" spans="1:26" ht="32.25" customHeight="1" x14ac:dyDescent="0.2">
      <c r="A39" s="79"/>
      <c r="B39" s="80" t="s">
        <v>72</v>
      </c>
      <c r="C39" s="81" t="s">
        <v>73</v>
      </c>
      <c r="D39" s="82">
        <v>15000</v>
      </c>
      <c r="E39" s="83">
        <f>15000*5</f>
        <v>75000</v>
      </c>
      <c r="F39" s="36" t="s">
        <v>32</v>
      </c>
      <c r="G39" s="36" t="s">
        <v>63</v>
      </c>
      <c r="H39" s="36"/>
      <c r="I39" s="36"/>
      <c r="J39" s="36"/>
      <c r="K39" s="84"/>
      <c r="L39" s="85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17"/>
      <c r="X39" s="17"/>
    </row>
    <row r="40" spans="1:26" ht="15.75" customHeight="1" x14ac:dyDescent="0.2">
      <c r="A40" s="363"/>
      <c r="B40" s="80" t="s">
        <v>74</v>
      </c>
      <c r="C40" s="81" t="s">
        <v>75</v>
      </c>
      <c r="D40" s="82">
        <v>1200</v>
      </c>
      <c r="E40" s="83">
        <f>1200*50</f>
        <v>60000</v>
      </c>
      <c r="F40" s="370" t="s">
        <v>65</v>
      </c>
      <c r="G40" s="370" t="s">
        <v>63</v>
      </c>
      <c r="H40" s="36"/>
      <c r="I40" s="36"/>
      <c r="J40" s="36"/>
      <c r="K40" s="84"/>
      <c r="L40" s="85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17"/>
      <c r="X40" s="17"/>
    </row>
    <row r="41" spans="1:26" ht="15.75" customHeight="1" x14ac:dyDescent="0.2">
      <c r="A41" s="365"/>
      <c r="B41" s="88" t="s">
        <v>76</v>
      </c>
      <c r="C41" s="89" t="s">
        <v>67</v>
      </c>
      <c r="D41" s="90">
        <v>350</v>
      </c>
      <c r="E41" s="83">
        <f>350*150</f>
        <v>52500</v>
      </c>
      <c r="F41" s="357"/>
      <c r="G41" s="357"/>
      <c r="H41" s="36"/>
      <c r="I41" s="36"/>
      <c r="J41" s="36"/>
      <c r="K41" s="84"/>
      <c r="L41" s="377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17"/>
      <c r="X41" s="17"/>
    </row>
    <row r="42" spans="1:26" ht="15.75" customHeight="1" x14ac:dyDescent="0.2">
      <c r="A42" s="35"/>
      <c r="B42" s="80" t="s">
        <v>77</v>
      </c>
      <c r="C42" s="81" t="s">
        <v>78</v>
      </c>
      <c r="D42" s="91"/>
      <c r="E42" s="83"/>
      <c r="F42" s="36"/>
      <c r="G42" s="36"/>
      <c r="H42" s="36"/>
      <c r="I42" s="36"/>
      <c r="J42" s="36"/>
      <c r="K42" s="84"/>
      <c r="L42" s="355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17"/>
      <c r="X42" s="17"/>
    </row>
    <row r="43" spans="1:26" ht="31.5" customHeight="1" x14ac:dyDescent="0.2">
      <c r="A43" s="35"/>
      <c r="B43" s="88" t="s">
        <v>79</v>
      </c>
      <c r="C43" s="92" t="s">
        <v>80</v>
      </c>
      <c r="D43" s="91">
        <v>15000</v>
      </c>
      <c r="E43" s="83">
        <f>15000*2</f>
        <v>30000</v>
      </c>
      <c r="F43" s="36" t="s">
        <v>71</v>
      </c>
      <c r="G43" s="36" t="s">
        <v>63</v>
      </c>
      <c r="H43" s="36"/>
      <c r="I43" s="36"/>
      <c r="J43" s="36"/>
      <c r="K43" s="84"/>
      <c r="L43" s="355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17"/>
      <c r="X43" s="17"/>
    </row>
    <row r="44" spans="1:26" ht="27" customHeight="1" x14ac:dyDescent="0.2">
      <c r="A44" s="35"/>
      <c r="B44" s="93" t="s">
        <v>81</v>
      </c>
      <c r="C44" s="94" t="s">
        <v>70</v>
      </c>
      <c r="D44" s="95">
        <v>500</v>
      </c>
      <c r="E44" s="96">
        <f>D44*20</f>
        <v>10000</v>
      </c>
      <c r="F44" s="36" t="s">
        <v>71</v>
      </c>
      <c r="G44" s="36" t="s">
        <v>63</v>
      </c>
      <c r="H44" s="36"/>
      <c r="I44" s="36"/>
      <c r="J44" s="36"/>
      <c r="K44" s="97"/>
      <c r="L44" s="35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60"/>
      <c r="X44" s="60"/>
      <c r="Y44" s="61"/>
      <c r="Z44" s="61"/>
    </row>
    <row r="45" spans="1:26" ht="16.5" customHeight="1" x14ac:dyDescent="0.2">
      <c r="A45" s="98"/>
      <c r="B45" s="99"/>
      <c r="C45" s="45"/>
      <c r="D45" s="100"/>
      <c r="E45" s="101"/>
      <c r="F45" s="36"/>
      <c r="G45" s="36"/>
      <c r="H45" s="36"/>
      <c r="I45" s="36"/>
      <c r="J45" s="36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17"/>
      <c r="X45" s="17"/>
    </row>
    <row r="46" spans="1:26" ht="15.75" customHeight="1" x14ac:dyDescent="0.2">
      <c r="A46" s="102">
        <f>SUM(E47)</f>
        <v>0</v>
      </c>
      <c r="B46" s="376" t="s">
        <v>82</v>
      </c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4"/>
      <c r="W46" s="17"/>
      <c r="X46" s="17"/>
    </row>
    <row r="47" spans="1:26" ht="15.75" customHeight="1" x14ac:dyDescent="0.2">
      <c r="A47" s="103"/>
      <c r="B47" s="104"/>
      <c r="C47" s="105"/>
      <c r="D47" s="106"/>
      <c r="E47" s="107"/>
      <c r="F47" s="108"/>
      <c r="G47" s="109"/>
      <c r="H47" s="42"/>
      <c r="I47" s="56"/>
      <c r="J47" s="42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17"/>
      <c r="X47" s="17"/>
    </row>
    <row r="48" spans="1:26" ht="14.25" customHeight="1" x14ac:dyDescent="0.2">
      <c r="A48" s="102">
        <f>SUM(E49)</f>
        <v>100000</v>
      </c>
      <c r="B48" s="378" t="s">
        <v>83</v>
      </c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9"/>
      <c r="W48" s="17"/>
      <c r="X48" s="17"/>
    </row>
    <row r="49" spans="1:26" ht="28.5" customHeight="1" x14ac:dyDescent="0.2">
      <c r="A49" s="35"/>
      <c r="B49" s="110" t="s">
        <v>84</v>
      </c>
      <c r="C49" s="111" t="s">
        <v>59</v>
      </c>
      <c r="D49" s="112">
        <v>100000</v>
      </c>
      <c r="E49" s="113">
        <f>D49*1</f>
        <v>100000</v>
      </c>
      <c r="F49" s="67"/>
      <c r="G49" s="57"/>
      <c r="H49" s="46"/>
      <c r="I49" s="57"/>
      <c r="J49" s="11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17"/>
      <c r="X49" s="17"/>
    </row>
    <row r="50" spans="1:26" ht="15.75" customHeight="1" x14ac:dyDescent="0.2">
      <c r="A50" s="25"/>
      <c r="B50" s="115"/>
      <c r="C50" s="30"/>
      <c r="D50" s="116"/>
      <c r="E50" s="117"/>
      <c r="F50" s="36"/>
      <c r="G50" s="118"/>
      <c r="H50" s="42"/>
      <c r="I50" s="46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7"/>
      <c r="X50" s="17"/>
    </row>
    <row r="51" spans="1:26" ht="15.75" customHeight="1" x14ac:dyDescent="0.2">
      <c r="A51" s="103"/>
      <c r="B51" s="119" t="s">
        <v>85</v>
      </c>
      <c r="C51" s="120"/>
      <c r="D51" s="121"/>
      <c r="E51" s="120"/>
      <c r="F51" s="122"/>
      <c r="G51" s="123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7"/>
      <c r="X51" s="17"/>
    </row>
    <row r="52" spans="1:26" ht="15.75" customHeight="1" x14ac:dyDescent="0.2">
      <c r="A52" s="103"/>
      <c r="B52" s="88"/>
      <c r="C52" s="125"/>
      <c r="D52" s="125"/>
      <c r="E52" s="126"/>
      <c r="F52" s="127"/>
      <c r="G52" s="47"/>
      <c r="H52" s="42"/>
      <c r="I52" s="42"/>
      <c r="J52" s="42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17"/>
      <c r="X52" s="17"/>
    </row>
    <row r="53" spans="1:26" ht="15.75" customHeight="1" x14ac:dyDescent="0.2">
      <c r="A53" s="103"/>
      <c r="B53" s="88"/>
      <c r="C53" s="128"/>
      <c r="D53" s="129"/>
      <c r="E53" s="44"/>
      <c r="F53" s="127"/>
      <c r="G53" s="47"/>
      <c r="H53" s="42"/>
      <c r="I53" s="42"/>
      <c r="J53" s="42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17"/>
      <c r="X53" s="17"/>
    </row>
    <row r="54" spans="1:26" ht="15.75" customHeight="1" x14ac:dyDescent="0.2">
      <c r="A54" s="103"/>
      <c r="B54" s="130"/>
      <c r="C54" s="27"/>
      <c r="D54" s="131"/>
      <c r="E54" s="132"/>
      <c r="F54" s="133"/>
      <c r="G54" s="31"/>
      <c r="H54" s="134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17"/>
      <c r="X54" s="17"/>
    </row>
    <row r="55" spans="1:26" ht="15.75" customHeight="1" x14ac:dyDescent="0.2">
      <c r="A55" s="135"/>
      <c r="B55" s="379"/>
      <c r="C55" s="380"/>
      <c r="D55" s="380"/>
      <c r="E55" s="380"/>
      <c r="F55" s="380"/>
      <c r="G55" s="380"/>
      <c r="H55" s="380"/>
      <c r="I55" s="380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7"/>
      <c r="X55" s="137"/>
      <c r="Y55" s="136"/>
      <c r="Z55" s="136"/>
    </row>
    <row r="56" spans="1:26" ht="15.75" customHeight="1" x14ac:dyDescent="0.2">
      <c r="A56" s="138"/>
      <c r="B56" s="139"/>
      <c r="C56" s="9"/>
      <c r="D56" s="10"/>
      <c r="E56" s="140"/>
      <c r="F56" s="12"/>
      <c r="G56" s="14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"/>
      <c r="V56" s="1"/>
      <c r="W56" s="1"/>
      <c r="X56" s="1"/>
    </row>
    <row r="57" spans="1:26" ht="15.75" customHeight="1" x14ac:dyDescent="0.25">
      <c r="A57" s="142" t="s">
        <v>86</v>
      </c>
      <c r="B57" s="3"/>
      <c r="C57" s="381">
        <f>SUM(E11:E54)</f>
        <v>1463999</v>
      </c>
      <c r="D57" s="336"/>
      <c r="E57" s="336"/>
      <c r="F57" s="12"/>
      <c r="G57" s="14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"/>
      <c r="V57" s="1"/>
      <c r="W57" s="1"/>
      <c r="X57" s="1"/>
    </row>
    <row r="58" spans="1:26" ht="15.75" customHeight="1" x14ac:dyDescent="0.25">
      <c r="A58" s="143" t="s">
        <v>87</v>
      </c>
      <c r="B58" s="97"/>
      <c r="C58" s="332">
        <f>PRODUCT(C57,0.1)</f>
        <v>146399.9</v>
      </c>
      <c r="D58" s="333"/>
      <c r="E58" s="334"/>
      <c r="F58" s="12"/>
      <c r="G58" s="141"/>
      <c r="H58" s="335"/>
      <c r="I58" s="336"/>
      <c r="J58" s="335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144"/>
      <c r="V58" s="1"/>
      <c r="W58" s="1"/>
      <c r="X58" s="1"/>
    </row>
    <row r="59" spans="1:26" ht="15.75" customHeight="1" x14ac:dyDescent="0.25">
      <c r="A59" s="145" t="s">
        <v>88</v>
      </c>
      <c r="B59" s="146"/>
      <c r="C59" s="337">
        <f>PRODUCT(C57,0.1)</f>
        <v>146399.9</v>
      </c>
      <c r="D59" s="338"/>
      <c r="E59" s="339"/>
      <c r="F59" s="12"/>
      <c r="G59" s="141"/>
      <c r="H59" s="147"/>
      <c r="I59" s="147"/>
      <c r="J59" s="340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148"/>
      <c r="V59" s="1"/>
      <c r="W59" s="1"/>
      <c r="X59" s="1"/>
    </row>
    <row r="60" spans="1:26" ht="15.75" customHeight="1" x14ac:dyDescent="0.25">
      <c r="A60" s="145" t="s">
        <v>89</v>
      </c>
      <c r="B60" s="146"/>
      <c r="C60" s="337">
        <f>SUM(C57:E59)</f>
        <v>1756798.7999999998</v>
      </c>
      <c r="D60" s="338"/>
      <c r="E60" s="339"/>
      <c r="F60" s="12"/>
      <c r="G60" s="141"/>
      <c r="H60" s="147"/>
      <c r="I60" s="147"/>
      <c r="J60" s="340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148"/>
      <c r="V60" s="1"/>
      <c r="W60" s="1"/>
      <c r="X60" s="1"/>
    </row>
    <row r="61" spans="1:26" ht="15.75" customHeight="1" x14ac:dyDescent="0.2">
      <c r="A61" s="149"/>
      <c r="B61" s="3"/>
      <c r="C61" s="9"/>
      <c r="D61" s="10"/>
      <c r="E61" s="11"/>
      <c r="F61" s="12"/>
      <c r="G61" s="141"/>
      <c r="H61" s="147"/>
      <c r="I61" s="147"/>
      <c r="J61" s="340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148"/>
      <c r="V61" s="1"/>
      <c r="W61" s="1"/>
      <c r="X61" s="1"/>
    </row>
    <row r="62" spans="1:26" ht="15.75" customHeight="1" x14ac:dyDescent="0.2">
      <c r="A62" s="150" t="s">
        <v>90</v>
      </c>
      <c r="B62" s="3"/>
      <c r="C62" s="9"/>
      <c r="D62" s="10"/>
      <c r="E62" s="11"/>
      <c r="F62" s="12"/>
      <c r="G62" s="14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"/>
      <c r="V62" s="1"/>
      <c r="W62" s="1"/>
      <c r="X62" s="1"/>
    </row>
    <row r="63" spans="1:26" ht="15.75" customHeight="1" x14ac:dyDescent="0.2">
      <c r="A63" s="60"/>
      <c r="B63" s="3"/>
      <c r="C63" s="9"/>
      <c r="D63" s="10"/>
      <c r="E63" s="11"/>
      <c r="F63" s="12"/>
      <c r="G63" s="14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"/>
      <c r="V63" s="1"/>
      <c r="W63" s="1"/>
      <c r="X63" s="1"/>
    </row>
    <row r="64" spans="1:26" ht="15.75" customHeight="1" x14ac:dyDescent="0.2">
      <c r="A64" s="151" t="s">
        <v>91</v>
      </c>
      <c r="B64" s="139"/>
      <c r="C64" s="341" t="s">
        <v>92</v>
      </c>
      <c r="D64" s="336"/>
      <c r="E64" s="336"/>
      <c r="F64" s="153"/>
      <c r="G64" s="147"/>
      <c r="H64" s="13"/>
      <c r="I64" s="342" t="s">
        <v>93</v>
      </c>
      <c r="J64" s="336"/>
      <c r="K64" s="336"/>
      <c r="L64" s="336"/>
      <c r="M64" s="336"/>
      <c r="N64" s="336"/>
      <c r="O64" s="13"/>
      <c r="P64" s="13"/>
      <c r="Q64" s="342" t="s">
        <v>94</v>
      </c>
      <c r="R64" s="336"/>
      <c r="S64" s="336"/>
      <c r="T64" s="336"/>
      <c r="U64" s="1"/>
      <c r="V64" s="1"/>
      <c r="W64" s="1"/>
      <c r="X64" s="155"/>
    </row>
    <row r="65" spans="1:24" ht="15.75" customHeight="1" x14ac:dyDescent="0.2">
      <c r="A65" s="151"/>
      <c r="B65" s="139"/>
      <c r="C65" s="156"/>
      <c r="D65" s="157"/>
      <c r="E65" s="156"/>
      <c r="F65" s="153"/>
      <c r="G65" s="147"/>
      <c r="H65" s="13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2"/>
      <c r="V65" s="152"/>
      <c r="W65" s="155"/>
      <c r="X65" s="155"/>
    </row>
    <row r="66" spans="1:24" ht="15.75" customHeight="1" x14ac:dyDescent="0.2">
      <c r="A66" s="139"/>
      <c r="B66" s="139"/>
      <c r="C66" s="158"/>
      <c r="D66" s="159"/>
      <c r="E66" s="160"/>
      <c r="F66" s="153"/>
      <c r="G66" s="147"/>
      <c r="H66" s="13"/>
      <c r="I66" s="147"/>
      <c r="J66" s="161"/>
      <c r="K66" s="161"/>
      <c r="L66" s="161"/>
      <c r="M66" s="161"/>
      <c r="N66" s="161"/>
      <c r="O66" s="161"/>
      <c r="P66" s="161"/>
      <c r="Q66" s="147"/>
      <c r="R66" s="161"/>
      <c r="S66" s="147"/>
      <c r="T66" s="147"/>
      <c r="U66" s="155"/>
      <c r="V66" s="155"/>
      <c r="W66" s="155"/>
      <c r="X66" s="155"/>
    </row>
    <row r="67" spans="1:24" ht="15.75" customHeight="1" x14ac:dyDescent="0.2">
      <c r="A67" s="385" t="s">
        <v>95</v>
      </c>
      <c r="B67" s="336"/>
      <c r="C67" s="343" t="s">
        <v>96</v>
      </c>
      <c r="D67" s="336"/>
      <c r="E67" s="336"/>
      <c r="F67" s="336"/>
      <c r="G67" s="13"/>
      <c r="H67" s="13"/>
      <c r="I67" s="344" t="s">
        <v>97</v>
      </c>
      <c r="J67" s="336"/>
      <c r="K67" s="336"/>
      <c r="L67" s="336"/>
      <c r="M67" s="336"/>
      <c r="N67" s="336"/>
      <c r="O67" s="13"/>
      <c r="P67" s="13"/>
      <c r="Q67" s="344" t="s">
        <v>98</v>
      </c>
      <c r="R67" s="336"/>
      <c r="S67" s="336"/>
      <c r="T67" s="336"/>
      <c r="U67" s="1"/>
      <c r="V67" s="1"/>
      <c r="W67" s="1"/>
      <c r="X67" s="1"/>
    </row>
    <row r="68" spans="1:24" ht="15" customHeight="1" x14ac:dyDescent="0.2">
      <c r="A68" s="386" t="s">
        <v>99</v>
      </c>
      <c r="B68" s="336"/>
      <c r="C68" s="387" t="s">
        <v>100</v>
      </c>
      <c r="D68" s="336"/>
      <c r="E68" s="336"/>
      <c r="F68" s="336"/>
      <c r="G68" s="162"/>
      <c r="H68" s="13"/>
      <c r="I68" s="388" t="s">
        <v>101</v>
      </c>
      <c r="J68" s="336"/>
      <c r="K68" s="336"/>
      <c r="L68" s="336"/>
      <c r="M68" s="336"/>
      <c r="N68" s="336"/>
      <c r="O68" s="13"/>
      <c r="P68" s="13"/>
      <c r="Q68" s="389" t="s">
        <v>102</v>
      </c>
      <c r="R68" s="336"/>
      <c r="S68" s="336"/>
      <c r="T68" s="336"/>
      <c r="U68" s="1"/>
      <c r="V68" s="1"/>
      <c r="W68" s="155"/>
      <c r="X68" s="155"/>
    </row>
    <row r="69" spans="1:24" ht="15.75" customHeight="1" x14ac:dyDescent="0.2">
      <c r="A69" s="1"/>
      <c r="B69" s="1"/>
      <c r="C69" s="9"/>
      <c r="D69" s="10"/>
      <c r="E69" s="9"/>
      <c r="F69" s="16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"/>
      <c r="V69" s="1"/>
      <c r="W69" s="1"/>
      <c r="X69" s="1"/>
    </row>
    <row r="70" spans="1:24" ht="15.75" customHeight="1" x14ac:dyDescent="0.2">
      <c r="A70" s="1" t="s">
        <v>103</v>
      </c>
      <c r="B70" s="1"/>
      <c r="C70" s="346" t="s">
        <v>104</v>
      </c>
      <c r="D70" s="336"/>
      <c r="E70" s="336"/>
      <c r="F70" s="163"/>
      <c r="G70" s="13"/>
      <c r="H70" s="13"/>
      <c r="I70" s="390" t="s">
        <v>105</v>
      </c>
      <c r="J70" s="336"/>
      <c r="K70" s="336"/>
      <c r="L70" s="336"/>
      <c r="M70" s="13"/>
      <c r="N70" s="13"/>
      <c r="O70" s="13"/>
      <c r="P70" s="13"/>
      <c r="Q70" s="13" t="s">
        <v>105</v>
      </c>
      <c r="R70" s="13"/>
      <c r="S70" s="13"/>
      <c r="T70" s="13"/>
      <c r="U70" s="1"/>
      <c r="V70" s="1"/>
      <c r="W70" s="1"/>
      <c r="X70" s="1"/>
    </row>
    <row r="71" spans="1:24" ht="15.75" customHeight="1" x14ac:dyDescent="0.25">
      <c r="C71" s="9"/>
      <c r="D71" s="164"/>
      <c r="E71" s="9"/>
      <c r="F71" s="165"/>
      <c r="G71" s="166"/>
      <c r="H71" s="382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</row>
    <row r="72" spans="1:24" ht="15.75" customHeight="1" x14ac:dyDescent="0.25">
      <c r="C72" s="9"/>
      <c r="D72" s="164"/>
      <c r="E72" s="9"/>
      <c r="F72" s="165"/>
      <c r="G72" s="166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8"/>
    </row>
    <row r="73" spans="1:24" ht="15.75" customHeight="1" x14ac:dyDescent="0.25">
      <c r="C73" s="9"/>
      <c r="D73" s="164"/>
      <c r="E73" s="9"/>
      <c r="F73" s="165"/>
      <c r="G73" s="166"/>
      <c r="H73" s="169"/>
      <c r="I73" s="170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2"/>
    </row>
    <row r="74" spans="1:24" ht="15.75" customHeight="1" x14ac:dyDescent="0.25">
      <c r="C74" s="9"/>
      <c r="D74" s="164"/>
      <c r="E74" s="9"/>
      <c r="F74" s="165"/>
      <c r="G74" s="166"/>
      <c r="H74" s="383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</row>
    <row r="75" spans="1:24" ht="15.75" customHeight="1" x14ac:dyDescent="0.25">
      <c r="C75" s="9"/>
      <c r="D75" s="164"/>
      <c r="E75" s="9"/>
      <c r="F75" s="165"/>
      <c r="G75" s="166"/>
      <c r="H75" s="384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</row>
    <row r="76" spans="1:24" ht="15.75" customHeight="1" x14ac:dyDescent="0.25">
      <c r="C76" s="9"/>
      <c r="D76" s="164"/>
      <c r="E76" s="9"/>
      <c r="F76" s="165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</row>
    <row r="77" spans="1:24" ht="15.75" customHeight="1" x14ac:dyDescent="0.25">
      <c r="C77" s="9"/>
      <c r="D77" s="164"/>
      <c r="E77" s="9"/>
      <c r="F77" s="165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</row>
    <row r="78" spans="1:24" ht="15.75" customHeight="1" x14ac:dyDescent="0.25">
      <c r="C78" s="9"/>
      <c r="D78" s="164"/>
      <c r="E78" s="9"/>
      <c r="F78" s="165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</row>
    <row r="79" spans="1:24" ht="15.75" customHeight="1" x14ac:dyDescent="0.25">
      <c r="C79" s="9"/>
      <c r="D79" s="164"/>
      <c r="E79" s="9"/>
      <c r="F79" s="165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</row>
    <row r="80" spans="1:24" ht="15.75" customHeight="1" x14ac:dyDescent="0.25">
      <c r="C80" s="9"/>
      <c r="D80" s="164"/>
      <c r="E80" s="9"/>
      <c r="F80" s="165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</row>
    <row r="81" spans="3:20" ht="15.75" customHeight="1" x14ac:dyDescent="0.25">
      <c r="C81" s="9"/>
      <c r="D81" s="164"/>
      <c r="E81" s="9"/>
      <c r="F81" s="165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</row>
    <row r="82" spans="3:20" ht="15.75" customHeight="1" x14ac:dyDescent="0.25">
      <c r="C82" s="9"/>
      <c r="D82" s="164"/>
      <c r="E82" s="9"/>
      <c r="F82" s="165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</row>
    <row r="83" spans="3:20" ht="15.75" customHeight="1" x14ac:dyDescent="0.25">
      <c r="C83" s="9"/>
      <c r="D83" s="164"/>
      <c r="E83" s="9"/>
      <c r="F83" s="165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</row>
    <row r="84" spans="3:20" ht="15.75" customHeight="1" x14ac:dyDescent="0.25">
      <c r="C84" s="9"/>
      <c r="D84" s="164"/>
      <c r="E84" s="9"/>
      <c r="F84" s="165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</row>
    <row r="85" spans="3:20" ht="15.75" customHeight="1" x14ac:dyDescent="0.25">
      <c r="C85" s="9"/>
      <c r="D85" s="164"/>
      <c r="E85" s="9"/>
      <c r="F85" s="165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</row>
    <row r="86" spans="3:20" ht="15.75" customHeight="1" x14ac:dyDescent="0.25">
      <c r="C86" s="9"/>
      <c r="D86" s="164"/>
      <c r="E86" s="9"/>
      <c r="F86" s="165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</row>
    <row r="87" spans="3:20" ht="15.75" customHeight="1" x14ac:dyDescent="0.25">
      <c r="C87" s="9"/>
      <c r="D87" s="164"/>
      <c r="E87" s="9"/>
      <c r="F87" s="165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</row>
    <row r="88" spans="3:20" ht="15.75" customHeight="1" x14ac:dyDescent="0.25">
      <c r="C88" s="9"/>
      <c r="D88" s="164"/>
      <c r="E88" s="9"/>
      <c r="F88" s="165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</row>
    <row r="89" spans="3:20" ht="15.75" customHeight="1" x14ac:dyDescent="0.25">
      <c r="C89" s="9"/>
      <c r="D89" s="164"/>
      <c r="E89" s="9"/>
      <c r="F89" s="165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</row>
    <row r="90" spans="3:20" ht="15.75" customHeight="1" x14ac:dyDescent="0.25">
      <c r="C90" s="9"/>
      <c r="D90" s="164"/>
      <c r="E90" s="9"/>
      <c r="F90" s="165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</row>
    <row r="91" spans="3:20" ht="15.75" customHeight="1" x14ac:dyDescent="0.25">
      <c r="C91" s="9"/>
      <c r="D91" s="164"/>
      <c r="E91" s="9"/>
      <c r="F91" s="165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</row>
    <row r="92" spans="3:20" ht="15.75" customHeight="1" x14ac:dyDescent="0.25">
      <c r="C92" s="9"/>
      <c r="D92" s="164"/>
      <c r="E92" s="9"/>
      <c r="F92" s="165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</row>
    <row r="93" spans="3:20" ht="15.75" customHeight="1" x14ac:dyDescent="0.25">
      <c r="C93" s="9"/>
      <c r="D93" s="164"/>
      <c r="E93" s="9"/>
      <c r="F93" s="165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</row>
    <row r="94" spans="3:20" ht="15.75" customHeight="1" x14ac:dyDescent="0.25">
      <c r="C94" s="9"/>
      <c r="D94" s="164"/>
      <c r="E94" s="9"/>
      <c r="F94" s="165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</row>
    <row r="95" spans="3:20" ht="15.75" customHeight="1" x14ac:dyDescent="0.25">
      <c r="C95" s="9"/>
      <c r="D95" s="164"/>
      <c r="E95" s="9"/>
      <c r="F95" s="165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</row>
    <row r="96" spans="3:20" ht="15.75" customHeight="1" x14ac:dyDescent="0.25">
      <c r="C96" s="9"/>
      <c r="D96" s="164"/>
      <c r="E96" s="9"/>
      <c r="F96" s="165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</row>
    <row r="97" spans="3:20" ht="15.75" customHeight="1" x14ac:dyDescent="0.25">
      <c r="C97" s="9"/>
      <c r="D97" s="164"/>
      <c r="E97" s="9"/>
      <c r="F97" s="165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</row>
    <row r="98" spans="3:20" ht="15.75" customHeight="1" x14ac:dyDescent="0.25">
      <c r="C98" s="9"/>
      <c r="D98" s="164"/>
      <c r="E98" s="9"/>
      <c r="F98" s="165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</row>
    <row r="99" spans="3:20" ht="15.75" customHeight="1" x14ac:dyDescent="0.25">
      <c r="C99" s="9"/>
      <c r="D99" s="164"/>
      <c r="E99" s="9"/>
      <c r="F99" s="165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</row>
    <row r="100" spans="3:20" ht="15.75" customHeight="1" x14ac:dyDescent="0.25">
      <c r="C100" s="9"/>
      <c r="D100" s="164"/>
      <c r="E100" s="9"/>
      <c r="F100" s="165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</row>
    <row r="101" spans="3:20" ht="15.75" customHeight="1" x14ac:dyDescent="0.25">
      <c r="C101" s="9"/>
      <c r="D101" s="164"/>
      <c r="E101" s="9"/>
      <c r="F101" s="165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</row>
    <row r="102" spans="3:20" ht="15.75" customHeight="1" x14ac:dyDescent="0.25">
      <c r="C102" s="9"/>
      <c r="D102" s="164"/>
      <c r="E102" s="9"/>
      <c r="F102" s="165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</row>
    <row r="103" spans="3:20" ht="15.75" customHeight="1" x14ac:dyDescent="0.25">
      <c r="C103" s="9"/>
      <c r="D103" s="164"/>
      <c r="E103" s="9"/>
      <c r="F103" s="165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</row>
    <row r="104" spans="3:20" ht="15.75" customHeight="1" x14ac:dyDescent="0.25">
      <c r="C104" s="9"/>
      <c r="D104" s="164"/>
      <c r="E104" s="9"/>
      <c r="F104" s="165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</row>
    <row r="105" spans="3:20" ht="15.75" customHeight="1" x14ac:dyDescent="0.25">
      <c r="C105" s="9"/>
      <c r="D105" s="164"/>
      <c r="E105" s="9"/>
      <c r="F105" s="165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</row>
    <row r="106" spans="3:20" ht="15.75" customHeight="1" x14ac:dyDescent="0.25">
      <c r="C106" s="9"/>
      <c r="D106" s="164"/>
      <c r="E106" s="9"/>
      <c r="F106" s="165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</row>
    <row r="107" spans="3:20" ht="15.75" customHeight="1" x14ac:dyDescent="0.25">
      <c r="C107" s="9"/>
      <c r="D107" s="164"/>
      <c r="E107" s="9"/>
      <c r="F107" s="165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</row>
    <row r="108" spans="3:20" ht="15.75" customHeight="1" x14ac:dyDescent="0.25">
      <c r="C108" s="9"/>
      <c r="D108" s="164"/>
      <c r="E108" s="9"/>
      <c r="F108" s="165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</row>
    <row r="109" spans="3:20" ht="15.75" customHeight="1" x14ac:dyDescent="0.25">
      <c r="C109" s="9"/>
      <c r="D109" s="164"/>
      <c r="E109" s="9"/>
      <c r="F109" s="165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</row>
    <row r="110" spans="3:20" ht="15.75" customHeight="1" x14ac:dyDescent="0.25">
      <c r="C110" s="9"/>
      <c r="D110" s="164"/>
      <c r="E110" s="9"/>
      <c r="F110" s="165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</row>
    <row r="111" spans="3:20" ht="15.75" customHeight="1" x14ac:dyDescent="0.25">
      <c r="C111" s="9"/>
      <c r="D111" s="164"/>
      <c r="E111" s="9"/>
      <c r="F111" s="165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</row>
    <row r="112" spans="3:20" ht="15.75" customHeight="1" x14ac:dyDescent="0.25">
      <c r="C112" s="9"/>
      <c r="D112" s="164"/>
      <c r="E112" s="9"/>
      <c r="F112" s="165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</row>
    <row r="113" spans="3:20" ht="15.75" customHeight="1" x14ac:dyDescent="0.25">
      <c r="C113" s="9"/>
      <c r="D113" s="164"/>
      <c r="E113" s="9"/>
      <c r="F113" s="165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</row>
    <row r="114" spans="3:20" ht="15.75" customHeight="1" x14ac:dyDescent="0.25">
      <c r="C114" s="9"/>
      <c r="D114" s="164"/>
      <c r="E114" s="9"/>
      <c r="F114" s="165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</row>
    <row r="115" spans="3:20" ht="15.75" customHeight="1" x14ac:dyDescent="0.25">
      <c r="C115" s="9"/>
      <c r="D115" s="164"/>
      <c r="E115" s="9"/>
      <c r="F115" s="165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</row>
    <row r="116" spans="3:20" ht="15.75" customHeight="1" x14ac:dyDescent="0.25">
      <c r="C116" s="9"/>
      <c r="D116" s="164"/>
      <c r="E116" s="9"/>
      <c r="F116" s="165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</row>
    <row r="117" spans="3:20" ht="15.75" customHeight="1" x14ac:dyDescent="0.25">
      <c r="C117" s="9"/>
      <c r="D117" s="164"/>
      <c r="E117" s="9"/>
      <c r="F117" s="165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</row>
    <row r="118" spans="3:20" ht="15.75" customHeight="1" x14ac:dyDescent="0.25">
      <c r="C118" s="9"/>
      <c r="D118" s="164"/>
      <c r="E118" s="9"/>
      <c r="F118" s="165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</row>
    <row r="119" spans="3:20" ht="15.75" customHeight="1" x14ac:dyDescent="0.25">
      <c r="C119" s="9"/>
      <c r="D119" s="164"/>
      <c r="E119" s="9"/>
      <c r="F119" s="165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</row>
    <row r="120" spans="3:20" ht="15.75" customHeight="1" x14ac:dyDescent="0.25">
      <c r="C120" s="9"/>
      <c r="D120" s="164"/>
      <c r="E120" s="9"/>
      <c r="F120" s="165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</row>
    <row r="121" spans="3:20" ht="15.75" customHeight="1" x14ac:dyDescent="0.25">
      <c r="C121" s="9"/>
      <c r="D121" s="164"/>
      <c r="E121" s="9"/>
      <c r="F121" s="165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</row>
    <row r="122" spans="3:20" ht="15.75" customHeight="1" x14ac:dyDescent="0.25">
      <c r="C122" s="9"/>
      <c r="D122" s="164"/>
      <c r="E122" s="9"/>
      <c r="F122" s="165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</row>
    <row r="123" spans="3:20" ht="15.75" customHeight="1" x14ac:dyDescent="0.25">
      <c r="C123" s="9"/>
      <c r="D123" s="164"/>
      <c r="E123" s="9"/>
      <c r="F123" s="165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</row>
    <row r="124" spans="3:20" ht="15.75" customHeight="1" x14ac:dyDescent="0.25">
      <c r="C124" s="9"/>
      <c r="D124" s="164"/>
      <c r="E124" s="9"/>
      <c r="F124" s="165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</row>
    <row r="125" spans="3:20" ht="15.75" customHeight="1" x14ac:dyDescent="0.25">
      <c r="C125" s="9"/>
      <c r="D125" s="164"/>
      <c r="E125" s="9"/>
      <c r="F125" s="165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</row>
    <row r="126" spans="3:20" ht="15.75" customHeight="1" x14ac:dyDescent="0.25">
      <c r="C126" s="9"/>
      <c r="D126" s="164"/>
      <c r="E126" s="9"/>
      <c r="F126" s="165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</row>
    <row r="127" spans="3:20" ht="15.75" customHeight="1" x14ac:dyDescent="0.25">
      <c r="C127" s="9"/>
      <c r="D127" s="164"/>
      <c r="E127" s="9"/>
      <c r="F127" s="165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</row>
    <row r="128" spans="3:20" ht="15.75" customHeight="1" x14ac:dyDescent="0.25">
      <c r="C128" s="9"/>
      <c r="D128" s="164"/>
      <c r="E128" s="9"/>
      <c r="F128" s="165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</row>
    <row r="129" spans="3:20" ht="15.75" customHeight="1" x14ac:dyDescent="0.25">
      <c r="C129" s="9"/>
      <c r="D129" s="164"/>
      <c r="E129" s="9"/>
      <c r="F129" s="165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</row>
    <row r="130" spans="3:20" ht="15.75" customHeight="1" x14ac:dyDescent="0.25">
      <c r="C130" s="9"/>
      <c r="D130" s="164"/>
      <c r="E130" s="9"/>
      <c r="F130" s="165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</row>
    <row r="131" spans="3:20" ht="15.75" customHeight="1" x14ac:dyDescent="0.25">
      <c r="C131" s="9"/>
      <c r="D131" s="164"/>
      <c r="E131" s="9"/>
      <c r="F131" s="165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</row>
    <row r="132" spans="3:20" ht="15.75" customHeight="1" x14ac:dyDescent="0.25">
      <c r="C132" s="9"/>
      <c r="D132" s="164"/>
      <c r="E132" s="9"/>
      <c r="F132" s="165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</row>
    <row r="133" spans="3:20" ht="15.75" customHeight="1" x14ac:dyDescent="0.25">
      <c r="C133" s="9"/>
      <c r="D133" s="164"/>
      <c r="E133" s="9"/>
      <c r="F133" s="165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</row>
    <row r="134" spans="3:20" ht="15.75" customHeight="1" x14ac:dyDescent="0.25">
      <c r="C134" s="9"/>
      <c r="D134" s="164"/>
      <c r="E134" s="9"/>
      <c r="F134" s="165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</row>
    <row r="135" spans="3:20" ht="15.75" customHeight="1" x14ac:dyDescent="0.25">
      <c r="C135" s="9"/>
      <c r="D135" s="164"/>
      <c r="E135" s="9"/>
      <c r="F135" s="165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</row>
    <row r="136" spans="3:20" ht="15.75" customHeight="1" x14ac:dyDescent="0.25">
      <c r="C136" s="9"/>
      <c r="D136" s="164"/>
      <c r="E136" s="9"/>
      <c r="F136" s="165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</row>
    <row r="137" spans="3:20" ht="15.75" customHeight="1" x14ac:dyDescent="0.25">
      <c r="C137" s="9"/>
      <c r="D137" s="164"/>
      <c r="E137" s="9"/>
      <c r="F137" s="165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</row>
    <row r="138" spans="3:20" ht="15.75" customHeight="1" x14ac:dyDescent="0.25">
      <c r="C138" s="9"/>
      <c r="D138" s="164"/>
      <c r="E138" s="9"/>
      <c r="F138" s="165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</row>
    <row r="139" spans="3:20" ht="15.75" customHeight="1" x14ac:dyDescent="0.25">
      <c r="C139" s="9"/>
      <c r="D139" s="164"/>
      <c r="E139" s="9"/>
      <c r="F139" s="165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</row>
    <row r="140" spans="3:20" ht="15.75" customHeight="1" x14ac:dyDescent="0.25">
      <c r="C140" s="9"/>
      <c r="D140" s="164"/>
      <c r="E140" s="9"/>
      <c r="F140" s="165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</row>
    <row r="141" spans="3:20" ht="15.75" customHeight="1" x14ac:dyDescent="0.25">
      <c r="C141" s="9"/>
      <c r="D141" s="164"/>
      <c r="E141" s="9"/>
      <c r="F141" s="165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</row>
    <row r="142" spans="3:20" ht="15.75" customHeight="1" x14ac:dyDescent="0.25">
      <c r="C142" s="9"/>
      <c r="D142" s="164"/>
      <c r="E142" s="9"/>
      <c r="F142" s="165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</row>
    <row r="143" spans="3:20" ht="15.75" customHeight="1" x14ac:dyDescent="0.25">
      <c r="C143" s="9"/>
      <c r="D143" s="164"/>
      <c r="E143" s="9"/>
      <c r="F143" s="165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</row>
    <row r="144" spans="3:20" ht="15.75" customHeight="1" x14ac:dyDescent="0.25">
      <c r="C144" s="9"/>
      <c r="D144" s="164"/>
      <c r="E144" s="9"/>
      <c r="F144" s="165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</row>
    <row r="145" spans="3:20" ht="15.75" customHeight="1" x14ac:dyDescent="0.25">
      <c r="C145" s="9"/>
      <c r="D145" s="164"/>
      <c r="E145" s="9"/>
      <c r="F145" s="165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</row>
    <row r="146" spans="3:20" ht="15.75" customHeight="1" x14ac:dyDescent="0.25">
      <c r="C146" s="9"/>
      <c r="D146" s="164"/>
      <c r="E146" s="9"/>
      <c r="F146" s="165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</row>
    <row r="147" spans="3:20" ht="15.75" customHeight="1" x14ac:dyDescent="0.25">
      <c r="C147" s="9"/>
      <c r="D147" s="164"/>
      <c r="E147" s="9"/>
      <c r="F147" s="165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</row>
    <row r="148" spans="3:20" ht="15.75" customHeight="1" x14ac:dyDescent="0.25">
      <c r="C148" s="9"/>
      <c r="D148" s="164"/>
      <c r="E148" s="9"/>
      <c r="F148" s="165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</row>
    <row r="149" spans="3:20" ht="15.75" customHeight="1" x14ac:dyDescent="0.25">
      <c r="C149" s="9"/>
      <c r="D149" s="164"/>
      <c r="E149" s="9"/>
      <c r="F149" s="165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</row>
    <row r="150" spans="3:20" ht="15.75" customHeight="1" x14ac:dyDescent="0.25">
      <c r="C150" s="9"/>
      <c r="D150" s="164"/>
      <c r="E150" s="9"/>
      <c r="F150" s="165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</row>
    <row r="151" spans="3:20" ht="15.75" customHeight="1" x14ac:dyDescent="0.25">
      <c r="C151" s="9"/>
      <c r="D151" s="164"/>
      <c r="E151" s="9"/>
      <c r="F151" s="165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</row>
    <row r="152" spans="3:20" ht="15.75" customHeight="1" x14ac:dyDescent="0.25">
      <c r="C152" s="9"/>
      <c r="D152" s="164"/>
      <c r="E152" s="9"/>
      <c r="F152" s="165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</row>
    <row r="153" spans="3:20" ht="15.75" customHeight="1" x14ac:dyDescent="0.25">
      <c r="C153" s="9"/>
      <c r="D153" s="164"/>
      <c r="E153" s="9"/>
      <c r="F153" s="165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</row>
    <row r="154" spans="3:20" ht="15.75" customHeight="1" x14ac:dyDescent="0.25">
      <c r="C154" s="9"/>
      <c r="D154" s="164"/>
      <c r="E154" s="9"/>
      <c r="F154" s="165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</row>
    <row r="155" spans="3:20" ht="15.75" customHeight="1" x14ac:dyDescent="0.25">
      <c r="C155" s="9"/>
      <c r="D155" s="164"/>
      <c r="E155" s="9"/>
      <c r="F155" s="165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</row>
    <row r="156" spans="3:20" ht="15.75" customHeight="1" x14ac:dyDescent="0.25">
      <c r="C156" s="9"/>
      <c r="D156" s="164"/>
      <c r="E156" s="9"/>
      <c r="F156" s="165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</row>
    <row r="157" spans="3:20" ht="15.75" customHeight="1" x14ac:dyDescent="0.25">
      <c r="C157" s="9"/>
      <c r="D157" s="164"/>
      <c r="E157" s="9"/>
      <c r="F157" s="165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</row>
    <row r="158" spans="3:20" ht="15.75" customHeight="1" x14ac:dyDescent="0.25">
      <c r="C158" s="9"/>
      <c r="D158" s="164"/>
      <c r="E158" s="9"/>
      <c r="F158" s="165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</row>
    <row r="159" spans="3:20" ht="15.75" customHeight="1" x14ac:dyDescent="0.25">
      <c r="C159" s="9"/>
      <c r="D159" s="164"/>
      <c r="E159" s="9"/>
      <c r="F159" s="165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</row>
    <row r="160" spans="3:20" ht="15.75" customHeight="1" x14ac:dyDescent="0.25">
      <c r="C160" s="9"/>
      <c r="D160" s="164"/>
      <c r="E160" s="9"/>
      <c r="F160" s="165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</row>
    <row r="161" spans="3:20" ht="15.75" customHeight="1" x14ac:dyDescent="0.25">
      <c r="C161" s="9"/>
      <c r="D161" s="164"/>
      <c r="E161" s="9"/>
      <c r="F161" s="165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</row>
    <row r="162" spans="3:20" ht="15.75" customHeight="1" x14ac:dyDescent="0.25">
      <c r="C162" s="9"/>
      <c r="D162" s="164"/>
      <c r="E162" s="9"/>
      <c r="F162" s="165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</row>
    <row r="163" spans="3:20" ht="15.75" customHeight="1" x14ac:dyDescent="0.25">
      <c r="C163" s="9"/>
      <c r="D163" s="164"/>
      <c r="E163" s="9"/>
      <c r="F163" s="165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</row>
    <row r="164" spans="3:20" ht="15.75" customHeight="1" x14ac:dyDescent="0.25">
      <c r="C164" s="9"/>
      <c r="D164" s="164"/>
      <c r="E164" s="9"/>
      <c r="F164" s="165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</row>
    <row r="165" spans="3:20" ht="15.75" customHeight="1" x14ac:dyDescent="0.25">
      <c r="C165" s="9"/>
      <c r="D165" s="164"/>
      <c r="E165" s="9"/>
      <c r="F165" s="165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</row>
    <row r="166" spans="3:20" ht="15.75" customHeight="1" x14ac:dyDescent="0.25">
      <c r="C166" s="9"/>
      <c r="D166" s="164"/>
      <c r="E166" s="9"/>
      <c r="F166" s="165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</row>
    <row r="167" spans="3:20" ht="15.75" customHeight="1" x14ac:dyDescent="0.25">
      <c r="C167" s="9"/>
      <c r="D167" s="164"/>
      <c r="E167" s="9"/>
      <c r="F167" s="165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</row>
    <row r="168" spans="3:20" ht="15.75" customHeight="1" x14ac:dyDescent="0.25">
      <c r="C168" s="9"/>
      <c r="D168" s="164"/>
      <c r="E168" s="9"/>
      <c r="F168" s="165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</row>
    <row r="169" spans="3:20" ht="15.75" customHeight="1" x14ac:dyDescent="0.25">
      <c r="C169" s="9"/>
      <c r="D169" s="164"/>
      <c r="E169" s="9"/>
      <c r="F169" s="165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</row>
    <row r="170" spans="3:20" ht="15.75" customHeight="1" x14ac:dyDescent="0.25">
      <c r="C170" s="9"/>
      <c r="D170" s="164"/>
      <c r="E170" s="9"/>
      <c r="F170" s="165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</row>
    <row r="171" spans="3:20" ht="15.75" customHeight="1" x14ac:dyDescent="0.25">
      <c r="C171" s="9"/>
      <c r="D171" s="164"/>
      <c r="E171" s="9"/>
      <c r="F171" s="165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</row>
    <row r="172" spans="3:20" ht="15.75" customHeight="1" x14ac:dyDescent="0.25">
      <c r="C172" s="9"/>
      <c r="D172" s="164"/>
      <c r="E172" s="9"/>
      <c r="F172" s="165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</row>
    <row r="173" spans="3:20" ht="15.75" customHeight="1" x14ac:dyDescent="0.25">
      <c r="C173" s="9"/>
      <c r="D173" s="164"/>
      <c r="E173" s="9"/>
      <c r="F173" s="165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</row>
    <row r="174" spans="3:20" ht="15.75" customHeight="1" x14ac:dyDescent="0.25">
      <c r="C174" s="9"/>
      <c r="D174" s="164"/>
      <c r="E174" s="9"/>
      <c r="F174" s="165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</row>
    <row r="175" spans="3:20" ht="15.75" customHeight="1" x14ac:dyDescent="0.25">
      <c r="C175" s="9"/>
      <c r="D175" s="164"/>
      <c r="E175" s="9"/>
      <c r="F175" s="165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</row>
    <row r="176" spans="3:20" ht="15.75" customHeight="1" x14ac:dyDescent="0.25">
      <c r="C176" s="9"/>
      <c r="D176" s="164"/>
      <c r="E176" s="9"/>
      <c r="F176" s="165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</row>
    <row r="177" spans="3:20" ht="15.75" customHeight="1" x14ac:dyDescent="0.25">
      <c r="C177" s="9"/>
      <c r="D177" s="164"/>
      <c r="E177" s="9"/>
      <c r="F177" s="165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</row>
    <row r="178" spans="3:20" ht="15.75" customHeight="1" x14ac:dyDescent="0.25">
      <c r="C178" s="9"/>
      <c r="D178" s="164"/>
      <c r="E178" s="9"/>
      <c r="F178" s="165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</row>
    <row r="179" spans="3:20" ht="15.75" customHeight="1" x14ac:dyDescent="0.25">
      <c r="C179" s="9"/>
      <c r="D179" s="164"/>
      <c r="E179" s="9"/>
      <c r="F179" s="165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</row>
    <row r="180" spans="3:20" ht="15.75" customHeight="1" x14ac:dyDescent="0.25">
      <c r="C180" s="9"/>
      <c r="D180" s="164"/>
      <c r="E180" s="9"/>
      <c r="F180" s="165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</row>
    <row r="181" spans="3:20" ht="15.75" customHeight="1" x14ac:dyDescent="0.25">
      <c r="C181" s="9"/>
      <c r="D181" s="164"/>
      <c r="E181" s="9"/>
      <c r="F181" s="165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</row>
    <row r="182" spans="3:20" ht="15.75" customHeight="1" x14ac:dyDescent="0.25">
      <c r="C182" s="9"/>
      <c r="D182" s="164"/>
      <c r="E182" s="9"/>
      <c r="F182" s="165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</row>
    <row r="183" spans="3:20" ht="15.75" customHeight="1" x14ac:dyDescent="0.25">
      <c r="C183" s="9"/>
      <c r="D183" s="164"/>
      <c r="E183" s="9"/>
      <c r="F183" s="165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</row>
    <row r="184" spans="3:20" ht="15.75" customHeight="1" x14ac:dyDescent="0.25">
      <c r="C184" s="9"/>
      <c r="D184" s="164"/>
      <c r="E184" s="9"/>
      <c r="F184" s="165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</row>
    <row r="185" spans="3:20" ht="15.75" customHeight="1" x14ac:dyDescent="0.25">
      <c r="C185" s="9"/>
      <c r="D185" s="164"/>
      <c r="E185" s="9"/>
      <c r="F185" s="165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</row>
    <row r="186" spans="3:20" ht="15.75" customHeight="1" x14ac:dyDescent="0.25">
      <c r="C186" s="9"/>
      <c r="D186" s="164"/>
      <c r="E186" s="9"/>
      <c r="F186" s="165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</row>
    <row r="187" spans="3:20" ht="15.75" customHeight="1" x14ac:dyDescent="0.25">
      <c r="C187" s="9"/>
      <c r="D187" s="164"/>
      <c r="E187" s="9"/>
      <c r="F187" s="165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</row>
    <row r="188" spans="3:20" ht="15.75" customHeight="1" x14ac:dyDescent="0.25">
      <c r="C188" s="9"/>
      <c r="D188" s="164"/>
      <c r="E188" s="9"/>
      <c r="F188" s="165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</row>
    <row r="189" spans="3:20" ht="15.75" customHeight="1" x14ac:dyDescent="0.25">
      <c r="C189" s="9"/>
      <c r="D189" s="164"/>
      <c r="E189" s="9"/>
      <c r="F189" s="165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</row>
    <row r="190" spans="3:20" ht="15.75" customHeight="1" x14ac:dyDescent="0.25">
      <c r="C190" s="9"/>
      <c r="D190" s="164"/>
      <c r="E190" s="9"/>
      <c r="F190" s="165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</row>
    <row r="191" spans="3:20" ht="15.75" customHeight="1" x14ac:dyDescent="0.25">
      <c r="C191" s="9"/>
      <c r="D191" s="164"/>
      <c r="E191" s="9"/>
      <c r="F191" s="165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</row>
    <row r="192" spans="3:20" ht="15.75" customHeight="1" x14ac:dyDescent="0.25">
      <c r="C192" s="9"/>
      <c r="D192" s="164"/>
      <c r="E192" s="9"/>
      <c r="F192" s="165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</row>
    <row r="193" spans="3:20" ht="15.75" customHeight="1" x14ac:dyDescent="0.25">
      <c r="C193" s="9"/>
      <c r="D193" s="164"/>
      <c r="E193" s="9"/>
      <c r="F193" s="165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</row>
    <row r="194" spans="3:20" ht="15.75" customHeight="1" x14ac:dyDescent="0.25">
      <c r="C194" s="9"/>
      <c r="D194" s="164"/>
      <c r="E194" s="9"/>
      <c r="F194" s="165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</row>
    <row r="195" spans="3:20" ht="15.75" customHeight="1" x14ac:dyDescent="0.25">
      <c r="C195" s="9"/>
      <c r="D195" s="164"/>
      <c r="E195" s="9"/>
      <c r="F195" s="165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</row>
    <row r="196" spans="3:20" ht="15.75" customHeight="1" x14ac:dyDescent="0.25">
      <c r="C196" s="9"/>
      <c r="D196" s="164"/>
      <c r="E196" s="9"/>
      <c r="F196" s="165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</row>
    <row r="197" spans="3:20" ht="15.75" customHeight="1" x14ac:dyDescent="0.25">
      <c r="C197" s="9"/>
      <c r="D197" s="164"/>
      <c r="E197" s="9"/>
      <c r="F197" s="165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</row>
    <row r="198" spans="3:20" ht="15.75" customHeight="1" x14ac:dyDescent="0.25">
      <c r="C198" s="9"/>
      <c r="D198" s="164"/>
      <c r="E198" s="9"/>
      <c r="F198" s="165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</row>
    <row r="199" spans="3:20" ht="15.75" customHeight="1" x14ac:dyDescent="0.25">
      <c r="C199" s="9"/>
      <c r="D199" s="164"/>
      <c r="E199" s="9"/>
      <c r="F199" s="165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</row>
    <row r="200" spans="3:20" ht="15.75" customHeight="1" x14ac:dyDescent="0.25">
      <c r="C200" s="9"/>
      <c r="D200" s="164"/>
      <c r="E200" s="9"/>
      <c r="F200" s="165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</row>
    <row r="201" spans="3:20" ht="15.75" customHeight="1" x14ac:dyDescent="0.25">
      <c r="C201" s="9"/>
      <c r="D201" s="164"/>
      <c r="E201" s="9"/>
      <c r="F201" s="165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</row>
    <row r="202" spans="3:20" ht="15.75" customHeight="1" x14ac:dyDescent="0.25">
      <c r="C202" s="9"/>
      <c r="D202" s="164"/>
      <c r="E202" s="9"/>
      <c r="F202" s="165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</row>
    <row r="203" spans="3:20" ht="15.75" customHeight="1" x14ac:dyDescent="0.25">
      <c r="C203" s="9"/>
      <c r="D203" s="164"/>
      <c r="E203" s="9"/>
      <c r="F203" s="165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</row>
    <row r="204" spans="3:20" ht="15.75" customHeight="1" x14ac:dyDescent="0.25">
      <c r="C204" s="9"/>
      <c r="D204" s="164"/>
      <c r="E204" s="9"/>
      <c r="F204" s="165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</row>
    <row r="205" spans="3:20" ht="15.75" customHeight="1" x14ac:dyDescent="0.25">
      <c r="C205" s="9"/>
      <c r="D205" s="164"/>
      <c r="E205" s="9"/>
      <c r="F205" s="165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</row>
    <row r="206" spans="3:20" ht="15.75" customHeight="1" x14ac:dyDescent="0.25">
      <c r="C206" s="9"/>
      <c r="D206" s="164"/>
      <c r="E206" s="9"/>
      <c r="F206" s="165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</row>
    <row r="207" spans="3:20" ht="15.75" customHeight="1" x14ac:dyDescent="0.25">
      <c r="C207" s="9"/>
      <c r="D207" s="164"/>
      <c r="E207" s="9"/>
      <c r="F207" s="165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</row>
    <row r="208" spans="3:20" ht="15.75" customHeight="1" x14ac:dyDescent="0.25">
      <c r="C208" s="9"/>
      <c r="D208" s="164"/>
      <c r="E208" s="9"/>
      <c r="F208" s="165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</row>
    <row r="209" spans="3:20" ht="15.75" customHeight="1" x14ac:dyDescent="0.25">
      <c r="C209" s="9"/>
      <c r="D209" s="164"/>
      <c r="E209" s="9"/>
      <c r="F209" s="165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</row>
    <row r="210" spans="3:20" ht="15.75" customHeight="1" x14ac:dyDescent="0.25">
      <c r="C210" s="9"/>
      <c r="D210" s="164"/>
      <c r="E210" s="9"/>
      <c r="F210" s="165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</row>
    <row r="211" spans="3:20" ht="15.75" customHeight="1" x14ac:dyDescent="0.25">
      <c r="C211" s="9"/>
      <c r="D211" s="164"/>
      <c r="E211" s="9"/>
      <c r="F211" s="165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</row>
    <row r="212" spans="3:20" ht="15.75" customHeight="1" x14ac:dyDescent="0.25">
      <c r="C212" s="9"/>
      <c r="D212" s="164"/>
      <c r="E212" s="9"/>
      <c r="F212" s="165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</row>
    <row r="213" spans="3:20" ht="15.75" customHeight="1" x14ac:dyDescent="0.25">
      <c r="C213" s="9"/>
      <c r="D213" s="164"/>
      <c r="E213" s="9"/>
      <c r="F213" s="165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</row>
    <row r="214" spans="3:20" ht="15.75" customHeight="1" x14ac:dyDescent="0.25">
      <c r="C214" s="9"/>
      <c r="D214" s="164"/>
      <c r="E214" s="9"/>
      <c r="F214" s="165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</row>
    <row r="215" spans="3:20" ht="15.75" customHeight="1" x14ac:dyDescent="0.25">
      <c r="C215" s="9"/>
      <c r="D215" s="164"/>
      <c r="E215" s="9"/>
      <c r="F215" s="165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</row>
    <row r="216" spans="3:20" ht="15.75" customHeight="1" x14ac:dyDescent="0.25">
      <c r="C216" s="9"/>
      <c r="D216" s="164"/>
      <c r="E216" s="9"/>
      <c r="F216" s="165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</row>
    <row r="217" spans="3:20" ht="15.75" customHeight="1" x14ac:dyDescent="0.25">
      <c r="C217" s="9"/>
      <c r="D217" s="164"/>
      <c r="E217" s="9"/>
      <c r="F217" s="165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</row>
    <row r="218" spans="3:20" ht="15.75" customHeight="1" x14ac:dyDescent="0.25">
      <c r="C218" s="9"/>
      <c r="D218" s="164"/>
      <c r="E218" s="9"/>
      <c r="F218" s="165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</row>
    <row r="219" spans="3:20" ht="15.75" customHeight="1" x14ac:dyDescent="0.25">
      <c r="C219" s="9"/>
      <c r="D219" s="164"/>
      <c r="E219" s="9"/>
      <c r="F219" s="165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</row>
    <row r="220" spans="3:20" ht="15.75" customHeight="1" x14ac:dyDescent="0.25">
      <c r="C220" s="9"/>
      <c r="D220" s="164"/>
      <c r="E220" s="9"/>
      <c r="F220" s="165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</row>
    <row r="221" spans="3:20" ht="15.75" customHeight="1" x14ac:dyDescent="0.25">
      <c r="C221" s="9"/>
      <c r="D221" s="164"/>
      <c r="E221" s="9"/>
      <c r="F221" s="165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</row>
    <row r="222" spans="3:20" ht="15.75" customHeight="1" x14ac:dyDescent="0.25">
      <c r="C222" s="9"/>
      <c r="D222" s="164"/>
      <c r="E222" s="9"/>
      <c r="F222" s="165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</row>
    <row r="223" spans="3:20" ht="15.75" customHeight="1" x14ac:dyDescent="0.25">
      <c r="C223" s="9"/>
      <c r="D223" s="164"/>
      <c r="E223" s="9"/>
      <c r="F223" s="165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</row>
    <row r="224" spans="3:20" ht="15.75" customHeight="1" x14ac:dyDescent="0.25">
      <c r="C224" s="9"/>
      <c r="D224" s="164"/>
      <c r="E224" s="9"/>
      <c r="F224" s="165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</row>
    <row r="225" spans="3:20" ht="15.75" customHeight="1" x14ac:dyDescent="0.25">
      <c r="C225" s="9"/>
      <c r="D225" s="164"/>
      <c r="E225" s="9"/>
      <c r="F225" s="165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</row>
    <row r="226" spans="3:20" ht="15.75" customHeight="1" x14ac:dyDescent="0.25">
      <c r="C226" s="9"/>
      <c r="D226" s="164"/>
      <c r="E226" s="9"/>
      <c r="F226" s="165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</row>
    <row r="227" spans="3:20" ht="15.75" customHeight="1" x14ac:dyDescent="0.25">
      <c r="C227" s="9"/>
      <c r="D227" s="164"/>
      <c r="E227" s="9"/>
      <c r="F227" s="165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</row>
    <row r="228" spans="3:20" ht="15.75" customHeight="1" x14ac:dyDescent="0.25">
      <c r="C228" s="9"/>
      <c r="D228" s="164"/>
      <c r="E228" s="9"/>
      <c r="F228" s="165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</row>
    <row r="229" spans="3:20" ht="15.75" customHeight="1" x14ac:dyDescent="0.25">
      <c r="C229" s="9"/>
      <c r="D229" s="164"/>
      <c r="E229" s="9"/>
      <c r="F229" s="165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</row>
    <row r="230" spans="3:20" ht="15.75" customHeight="1" x14ac:dyDescent="0.25">
      <c r="C230" s="9"/>
      <c r="D230" s="164"/>
      <c r="E230" s="9"/>
      <c r="F230" s="165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</row>
    <row r="231" spans="3:20" ht="15.75" customHeight="1" x14ac:dyDescent="0.25">
      <c r="C231" s="9"/>
      <c r="D231" s="164"/>
      <c r="E231" s="9"/>
      <c r="F231" s="165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</row>
    <row r="232" spans="3:20" ht="15.75" customHeight="1" x14ac:dyDescent="0.25">
      <c r="C232" s="9"/>
      <c r="D232" s="164"/>
      <c r="E232" s="9"/>
      <c r="F232" s="165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</row>
    <row r="233" spans="3:20" ht="15.75" customHeight="1" x14ac:dyDescent="0.25">
      <c r="C233" s="9"/>
      <c r="D233" s="164"/>
      <c r="E233" s="9"/>
      <c r="F233" s="165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</row>
    <row r="234" spans="3:20" ht="15.75" customHeight="1" x14ac:dyDescent="0.25">
      <c r="C234" s="9"/>
      <c r="D234" s="164"/>
      <c r="E234" s="9"/>
      <c r="F234" s="165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</row>
    <row r="235" spans="3:20" ht="15.75" customHeight="1" x14ac:dyDescent="0.25">
      <c r="C235" s="9"/>
      <c r="D235" s="164"/>
      <c r="E235" s="9"/>
      <c r="F235" s="165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</row>
    <row r="236" spans="3:20" ht="15.75" customHeight="1" x14ac:dyDescent="0.25">
      <c r="C236" s="9"/>
      <c r="D236" s="164"/>
      <c r="E236" s="9"/>
      <c r="F236" s="165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</row>
    <row r="237" spans="3:20" ht="15.75" customHeight="1" x14ac:dyDescent="0.25">
      <c r="C237" s="9"/>
      <c r="D237" s="164"/>
      <c r="E237" s="9"/>
      <c r="F237" s="165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</row>
    <row r="238" spans="3:20" ht="15.75" customHeight="1" x14ac:dyDescent="0.25">
      <c r="C238" s="9"/>
      <c r="D238" s="164"/>
      <c r="E238" s="9"/>
      <c r="F238" s="165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</row>
    <row r="239" spans="3:20" ht="15.75" customHeight="1" x14ac:dyDescent="0.25">
      <c r="C239" s="9"/>
      <c r="D239" s="164"/>
      <c r="E239" s="9"/>
      <c r="F239" s="165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</row>
    <row r="240" spans="3:20" ht="15.75" customHeight="1" x14ac:dyDescent="0.25">
      <c r="C240" s="9"/>
      <c r="D240" s="164"/>
      <c r="E240" s="9"/>
      <c r="F240" s="165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</row>
    <row r="241" spans="3:20" ht="15.75" customHeight="1" x14ac:dyDescent="0.25">
      <c r="C241" s="9"/>
      <c r="D241" s="164"/>
      <c r="E241" s="9"/>
      <c r="F241" s="165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3:20" ht="15.75" customHeight="1" x14ac:dyDescent="0.25">
      <c r="C242" s="9"/>
      <c r="D242" s="164"/>
      <c r="E242" s="9"/>
      <c r="F242" s="165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</row>
    <row r="243" spans="3:20" ht="15.75" customHeight="1" x14ac:dyDescent="0.25">
      <c r="C243" s="9"/>
      <c r="D243" s="164"/>
      <c r="E243" s="9"/>
      <c r="F243" s="165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</row>
    <row r="244" spans="3:20" ht="15.75" customHeight="1" x14ac:dyDescent="0.25">
      <c r="C244" s="9"/>
      <c r="D244" s="164"/>
      <c r="E244" s="9"/>
      <c r="F244" s="165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</row>
    <row r="245" spans="3:20" ht="15.75" customHeight="1" x14ac:dyDescent="0.25">
      <c r="C245" s="9"/>
      <c r="D245" s="164"/>
      <c r="E245" s="9"/>
      <c r="F245" s="165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</row>
    <row r="246" spans="3:20" ht="15.75" customHeight="1" x14ac:dyDescent="0.25">
      <c r="C246" s="9"/>
      <c r="D246" s="164"/>
      <c r="E246" s="9"/>
      <c r="F246" s="165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</row>
    <row r="247" spans="3:20" ht="15.75" customHeight="1" x14ac:dyDescent="0.25">
      <c r="C247" s="9"/>
      <c r="D247" s="164"/>
      <c r="E247" s="9"/>
      <c r="F247" s="165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</row>
    <row r="248" spans="3:20" ht="15.75" customHeight="1" x14ac:dyDescent="0.25">
      <c r="C248" s="9"/>
      <c r="D248" s="164"/>
      <c r="E248" s="9"/>
      <c r="F248" s="165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</row>
    <row r="249" spans="3:20" ht="15.75" customHeight="1" x14ac:dyDescent="0.25">
      <c r="C249" s="9"/>
      <c r="D249" s="164"/>
      <c r="E249" s="9"/>
      <c r="F249" s="165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</row>
    <row r="250" spans="3:20" ht="15.75" customHeight="1" x14ac:dyDescent="0.25">
      <c r="C250" s="9"/>
      <c r="D250" s="164"/>
      <c r="E250" s="9"/>
      <c r="F250" s="165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</row>
    <row r="251" spans="3:20" ht="15.75" customHeight="1" x14ac:dyDescent="0.25">
      <c r="C251" s="9"/>
      <c r="D251" s="164"/>
      <c r="E251" s="9"/>
      <c r="F251" s="165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</row>
    <row r="252" spans="3:20" ht="15.75" customHeight="1" x14ac:dyDescent="0.25">
      <c r="C252" s="9"/>
      <c r="D252" s="164"/>
      <c r="E252" s="9"/>
      <c r="F252" s="165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</row>
    <row r="253" spans="3:20" ht="15.75" customHeight="1" x14ac:dyDescent="0.25">
      <c r="C253" s="9"/>
      <c r="D253" s="164"/>
      <c r="E253" s="9"/>
      <c r="F253" s="165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</row>
    <row r="254" spans="3:20" ht="15.75" customHeight="1" x14ac:dyDescent="0.25">
      <c r="C254" s="9"/>
      <c r="D254" s="164"/>
      <c r="E254" s="9"/>
      <c r="F254" s="165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</row>
    <row r="255" spans="3:20" ht="15.75" customHeight="1" x14ac:dyDescent="0.25">
      <c r="C255" s="9"/>
      <c r="D255" s="164"/>
      <c r="E255" s="9"/>
      <c r="F255" s="165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</row>
    <row r="256" spans="3:20" ht="15.75" customHeight="1" x14ac:dyDescent="0.25">
      <c r="C256" s="9"/>
      <c r="D256" s="164"/>
      <c r="E256" s="9"/>
      <c r="F256" s="165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</row>
    <row r="257" spans="3:20" ht="15.75" customHeight="1" x14ac:dyDescent="0.25">
      <c r="C257" s="9"/>
      <c r="D257" s="164"/>
      <c r="E257" s="9"/>
      <c r="F257" s="165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</row>
    <row r="258" spans="3:20" ht="15.75" customHeight="1" x14ac:dyDescent="0.25">
      <c r="C258" s="9"/>
      <c r="D258" s="164"/>
      <c r="E258" s="9"/>
      <c r="F258" s="165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</row>
    <row r="259" spans="3:20" ht="15.75" customHeight="1" x14ac:dyDescent="0.25">
      <c r="C259" s="9"/>
      <c r="D259" s="164"/>
      <c r="E259" s="9"/>
      <c r="F259" s="165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</row>
    <row r="260" spans="3:20" ht="15.75" customHeight="1" x14ac:dyDescent="0.25">
      <c r="C260" s="9"/>
      <c r="D260" s="164"/>
      <c r="E260" s="9"/>
      <c r="F260" s="165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</row>
    <row r="261" spans="3:20" ht="15.75" customHeight="1" x14ac:dyDescent="0.25">
      <c r="C261" s="9"/>
      <c r="D261" s="164"/>
      <c r="E261" s="9"/>
      <c r="F261" s="165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</row>
    <row r="262" spans="3:20" ht="15.75" customHeight="1" x14ac:dyDescent="0.25">
      <c r="C262" s="9"/>
      <c r="D262" s="164"/>
      <c r="E262" s="9"/>
      <c r="F262" s="165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</row>
    <row r="263" spans="3:20" ht="15.75" customHeight="1" x14ac:dyDescent="0.25">
      <c r="C263" s="9"/>
      <c r="D263" s="164"/>
      <c r="E263" s="9"/>
      <c r="F263" s="165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</row>
    <row r="264" spans="3:20" ht="15.75" customHeight="1" x14ac:dyDescent="0.25">
      <c r="C264" s="9"/>
      <c r="D264" s="164"/>
      <c r="E264" s="9"/>
      <c r="F264" s="165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</row>
    <row r="265" spans="3:20" ht="15.75" customHeight="1" x14ac:dyDescent="0.25">
      <c r="C265" s="9"/>
      <c r="D265" s="164"/>
      <c r="E265" s="9"/>
      <c r="F265" s="165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</row>
    <row r="266" spans="3:20" ht="15.75" customHeight="1" x14ac:dyDescent="0.25">
      <c r="C266" s="9"/>
      <c r="D266" s="164"/>
      <c r="E266" s="9"/>
      <c r="F266" s="165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</row>
    <row r="267" spans="3:20" ht="15.75" customHeight="1" x14ac:dyDescent="0.25">
      <c r="C267" s="9"/>
      <c r="D267" s="164"/>
      <c r="E267" s="9"/>
      <c r="F267" s="165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</row>
    <row r="268" spans="3:20" ht="15.75" customHeight="1" x14ac:dyDescent="0.25">
      <c r="C268" s="9"/>
      <c r="D268" s="164"/>
      <c r="E268" s="9"/>
      <c r="F268" s="165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</row>
    <row r="269" spans="3:20" ht="15.75" customHeight="1" x14ac:dyDescent="0.25">
      <c r="C269" s="9"/>
      <c r="D269" s="164"/>
      <c r="E269" s="9"/>
      <c r="F269" s="165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</row>
    <row r="270" spans="3:20" ht="15.75" customHeight="1" x14ac:dyDescent="0.25">
      <c r="C270" s="9"/>
      <c r="D270" s="164"/>
      <c r="E270" s="9"/>
      <c r="F270" s="165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</row>
    <row r="271" spans="3:20" ht="15.75" customHeight="1" x14ac:dyDescent="0.2">
      <c r="C271" s="9"/>
      <c r="D271" s="9"/>
      <c r="E271" s="9"/>
      <c r="F271" s="165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</row>
    <row r="272" spans="3:20" ht="15.75" customHeight="1" x14ac:dyDescent="0.2">
      <c r="C272" s="9"/>
      <c r="D272" s="9"/>
      <c r="E272" s="9"/>
      <c r="F272" s="165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</row>
    <row r="273" spans="3:20" ht="15.75" customHeight="1" x14ac:dyDescent="0.2">
      <c r="C273" s="9"/>
      <c r="D273" s="9"/>
      <c r="E273" s="9"/>
      <c r="F273" s="165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</row>
    <row r="274" spans="3:20" ht="15.75" customHeight="1" x14ac:dyDescent="0.2">
      <c r="C274" s="9"/>
      <c r="D274" s="9"/>
      <c r="E274" s="9"/>
      <c r="F274" s="165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</row>
    <row r="275" spans="3:20" ht="15.75" customHeight="1" x14ac:dyDescent="0.2">
      <c r="C275" s="9"/>
      <c r="D275" s="9"/>
      <c r="E275" s="9"/>
      <c r="F275" s="165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</row>
    <row r="276" spans="3:20" ht="15.75" customHeight="1" x14ac:dyDescent="0.2">
      <c r="C276" s="9"/>
      <c r="D276" s="9"/>
      <c r="E276" s="9"/>
      <c r="F276" s="165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</row>
    <row r="277" spans="3:20" ht="15.75" customHeight="1" x14ac:dyDescent="0.2">
      <c r="C277" s="9"/>
      <c r="D277" s="9"/>
      <c r="E277" s="9"/>
      <c r="F277" s="165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</row>
    <row r="278" spans="3:20" ht="15.75" customHeight="1" x14ac:dyDescent="0.2">
      <c r="C278" s="9"/>
      <c r="D278" s="9"/>
      <c r="E278" s="9"/>
      <c r="F278" s="165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</row>
    <row r="279" spans="3:20" ht="15.75" customHeight="1" x14ac:dyDescent="0.2">
      <c r="C279" s="9"/>
      <c r="D279" s="9"/>
      <c r="E279" s="9"/>
      <c r="F279" s="165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</row>
    <row r="280" spans="3:20" ht="15.75" customHeight="1" x14ac:dyDescent="0.2">
      <c r="C280" s="9"/>
      <c r="D280" s="9"/>
      <c r="E280" s="9"/>
      <c r="F280" s="165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</row>
    <row r="281" spans="3:20" ht="15.75" customHeight="1" x14ac:dyDescent="0.2">
      <c r="C281" s="9"/>
      <c r="D281" s="9"/>
      <c r="E281" s="9"/>
      <c r="F281" s="165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</row>
    <row r="282" spans="3:20" ht="15.75" customHeight="1" x14ac:dyDescent="0.2">
      <c r="C282" s="9"/>
      <c r="D282" s="9"/>
      <c r="E282" s="9"/>
      <c r="F282" s="165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</row>
    <row r="283" spans="3:20" ht="15.75" customHeight="1" x14ac:dyDescent="0.2">
      <c r="C283" s="9"/>
      <c r="D283" s="9"/>
      <c r="E283" s="9"/>
      <c r="F283" s="165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</row>
    <row r="284" spans="3:20" ht="15.75" customHeight="1" x14ac:dyDescent="0.2">
      <c r="C284" s="9"/>
      <c r="D284" s="9"/>
      <c r="E284" s="9"/>
      <c r="F284" s="165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</row>
    <row r="285" spans="3:20" ht="15.75" customHeight="1" x14ac:dyDescent="0.2">
      <c r="C285" s="9"/>
      <c r="D285" s="9"/>
      <c r="E285" s="9"/>
      <c r="F285" s="165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</row>
    <row r="286" spans="3:20" ht="15.75" customHeight="1" x14ac:dyDescent="0.2">
      <c r="C286" s="9"/>
      <c r="D286" s="9"/>
      <c r="E286" s="9"/>
      <c r="F286" s="165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</row>
    <row r="287" spans="3:20" ht="15.75" customHeight="1" x14ac:dyDescent="0.2">
      <c r="C287" s="9"/>
      <c r="D287" s="9"/>
      <c r="E287" s="9"/>
      <c r="F287" s="165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</row>
    <row r="288" spans="3:20" ht="15.75" customHeight="1" x14ac:dyDescent="0.2">
      <c r="C288" s="9"/>
      <c r="D288" s="9"/>
      <c r="E288" s="9"/>
      <c r="F288" s="165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</row>
    <row r="289" spans="3:20" ht="15.75" customHeight="1" x14ac:dyDescent="0.2">
      <c r="C289" s="9"/>
      <c r="D289" s="9"/>
      <c r="E289" s="9"/>
      <c r="F289" s="165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</row>
    <row r="290" spans="3:20" ht="15.75" customHeight="1" x14ac:dyDescent="0.2">
      <c r="C290" s="9"/>
      <c r="D290" s="9"/>
      <c r="E290" s="9"/>
      <c r="F290" s="165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</row>
    <row r="291" spans="3:20" ht="15.75" customHeight="1" x14ac:dyDescent="0.2">
      <c r="C291" s="9"/>
      <c r="D291" s="9"/>
      <c r="E291" s="9"/>
      <c r="F291" s="165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</row>
    <row r="292" spans="3:20" ht="15.75" customHeight="1" x14ac:dyDescent="0.2">
      <c r="C292" s="9"/>
      <c r="D292" s="9"/>
      <c r="E292" s="9"/>
      <c r="F292" s="165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</row>
    <row r="293" spans="3:20" ht="15.75" customHeight="1" x14ac:dyDescent="0.2">
      <c r="C293" s="9"/>
      <c r="D293" s="9"/>
      <c r="E293" s="9"/>
      <c r="F293" s="165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</row>
    <row r="294" spans="3:20" ht="15.75" customHeight="1" x14ac:dyDescent="0.2">
      <c r="C294" s="9"/>
      <c r="D294" s="9"/>
      <c r="E294" s="9"/>
      <c r="F294" s="165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</row>
    <row r="295" spans="3:20" ht="15.75" customHeight="1" x14ac:dyDescent="0.2">
      <c r="C295" s="9"/>
      <c r="D295" s="9"/>
      <c r="E295" s="9"/>
      <c r="F295" s="165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</row>
    <row r="296" spans="3:20" ht="15.75" customHeight="1" x14ac:dyDescent="0.2">
      <c r="C296" s="9"/>
      <c r="D296" s="9"/>
      <c r="E296" s="9"/>
      <c r="F296" s="165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</row>
    <row r="297" spans="3:20" ht="15.75" customHeight="1" x14ac:dyDescent="0.2">
      <c r="C297" s="9"/>
      <c r="D297" s="9"/>
      <c r="E297" s="9"/>
      <c r="F297" s="165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</row>
    <row r="298" spans="3:20" ht="15.75" customHeight="1" x14ac:dyDescent="0.2">
      <c r="C298" s="9"/>
      <c r="D298" s="9"/>
      <c r="E298" s="9"/>
      <c r="F298" s="165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</row>
    <row r="299" spans="3:20" ht="15.75" customHeight="1" x14ac:dyDescent="0.2">
      <c r="C299" s="9"/>
      <c r="D299" s="9"/>
      <c r="E299" s="9"/>
      <c r="F299" s="165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</row>
    <row r="300" spans="3:20" ht="15.75" customHeight="1" x14ac:dyDescent="0.2">
      <c r="C300" s="9"/>
      <c r="D300" s="9"/>
      <c r="E300" s="9"/>
      <c r="F300" s="165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</row>
    <row r="301" spans="3:20" ht="15.75" customHeight="1" x14ac:dyDescent="0.2">
      <c r="C301" s="9"/>
      <c r="D301" s="9"/>
      <c r="E301" s="9"/>
      <c r="F301" s="165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</row>
    <row r="302" spans="3:20" ht="15.75" customHeight="1" x14ac:dyDescent="0.2">
      <c r="C302" s="9"/>
      <c r="D302" s="9"/>
      <c r="E302" s="9"/>
      <c r="F302" s="165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</row>
    <row r="303" spans="3:20" ht="15.75" customHeight="1" x14ac:dyDescent="0.2">
      <c r="C303" s="9"/>
      <c r="D303" s="9"/>
      <c r="E303" s="9"/>
      <c r="F303" s="165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</row>
    <row r="304" spans="3:20" ht="15.75" customHeight="1" x14ac:dyDescent="0.2">
      <c r="C304" s="9"/>
      <c r="D304" s="9"/>
      <c r="E304" s="9"/>
      <c r="F304" s="165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</row>
    <row r="305" spans="3:20" ht="15.75" customHeight="1" x14ac:dyDescent="0.2">
      <c r="C305" s="9"/>
      <c r="D305" s="9"/>
      <c r="E305" s="9"/>
      <c r="F305" s="165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</row>
    <row r="306" spans="3:20" ht="15.75" customHeight="1" x14ac:dyDescent="0.2">
      <c r="C306" s="9"/>
      <c r="D306" s="9"/>
      <c r="E306" s="9"/>
      <c r="F306" s="165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</row>
    <row r="307" spans="3:20" ht="15.75" customHeight="1" x14ac:dyDescent="0.2">
      <c r="C307" s="9"/>
      <c r="D307" s="9"/>
      <c r="E307" s="9"/>
      <c r="F307" s="165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</row>
    <row r="308" spans="3:20" ht="15.75" customHeight="1" x14ac:dyDescent="0.2">
      <c r="C308" s="9"/>
      <c r="D308" s="9"/>
      <c r="E308" s="9"/>
      <c r="F308" s="165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</row>
    <row r="309" spans="3:20" ht="15.75" customHeight="1" x14ac:dyDescent="0.2">
      <c r="C309" s="9"/>
      <c r="D309" s="9"/>
      <c r="E309" s="9"/>
      <c r="F309" s="165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</row>
    <row r="310" spans="3:20" ht="15.75" customHeight="1" x14ac:dyDescent="0.2">
      <c r="C310" s="9"/>
      <c r="D310" s="9"/>
      <c r="E310" s="9"/>
      <c r="F310" s="165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</row>
    <row r="311" spans="3:20" ht="15.75" customHeight="1" x14ac:dyDescent="0.2">
      <c r="C311" s="9"/>
      <c r="D311" s="9"/>
      <c r="E311" s="9"/>
      <c r="F311" s="165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</row>
    <row r="312" spans="3:20" ht="15.75" customHeight="1" x14ac:dyDescent="0.2">
      <c r="C312" s="9"/>
      <c r="D312" s="9"/>
      <c r="E312" s="9"/>
      <c r="F312" s="165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</row>
    <row r="313" spans="3:20" ht="15.75" customHeight="1" x14ac:dyDescent="0.2">
      <c r="C313" s="9"/>
      <c r="D313" s="9"/>
      <c r="E313" s="9"/>
      <c r="F313" s="165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</row>
    <row r="314" spans="3:20" ht="15.75" customHeight="1" x14ac:dyDescent="0.2">
      <c r="C314" s="9"/>
      <c r="D314" s="9"/>
      <c r="E314" s="9"/>
      <c r="F314" s="165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</row>
    <row r="315" spans="3:20" ht="15.75" customHeight="1" x14ac:dyDescent="0.2">
      <c r="C315" s="9"/>
      <c r="D315" s="9"/>
      <c r="E315" s="9"/>
      <c r="F315" s="165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</row>
    <row r="316" spans="3:20" ht="15.75" customHeight="1" x14ac:dyDescent="0.2">
      <c r="C316" s="9"/>
      <c r="D316" s="9"/>
      <c r="E316" s="9"/>
      <c r="F316" s="165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</row>
    <row r="317" spans="3:20" ht="15.75" customHeight="1" x14ac:dyDescent="0.2">
      <c r="C317" s="9"/>
      <c r="D317" s="9"/>
      <c r="E317" s="9"/>
      <c r="F317" s="165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</row>
    <row r="318" spans="3:20" ht="15.75" customHeight="1" x14ac:dyDescent="0.2">
      <c r="C318" s="9"/>
      <c r="D318" s="9"/>
      <c r="E318" s="9"/>
      <c r="F318" s="165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</row>
    <row r="319" spans="3:20" ht="15.75" customHeight="1" x14ac:dyDescent="0.2">
      <c r="C319" s="9"/>
      <c r="D319" s="9"/>
      <c r="E319" s="9"/>
      <c r="F319" s="165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</row>
    <row r="320" spans="3:20" ht="15.75" customHeight="1" x14ac:dyDescent="0.2">
      <c r="C320" s="9"/>
      <c r="D320" s="9"/>
      <c r="E320" s="9"/>
      <c r="F320" s="165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</row>
    <row r="321" spans="3:20" ht="15.75" customHeight="1" x14ac:dyDescent="0.2">
      <c r="C321" s="9"/>
      <c r="D321" s="9"/>
      <c r="E321" s="9"/>
      <c r="F321" s="165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</row>
    <row r="322" spans="3:20" ht="15.75" customHeight="1" x14ac:dyDescent="0.2">
      <c r="C322" s="9"/>
      <c r="D322" s="9"/>
      <c r="E322" s="9"/>
      <c r="F322" s="165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</row>
    <row r="323" spans="3:20" ht="15.75" customHeight="1" x14ac:dyDescent="0.2">
      <c r="C323" s="9"/>
      <c r="D323" s="9"/>
      <c r="E323" s="9"/>
      <c r="F323" s="165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</row>
    <row r="324" spans="3:20" ht="15.75" customHeight="1" x14ac:dyDescent="0.2">
      <c r="C324" s="9"/>
      <c r="D324" s="9"/>
      <c r="E324" s="9"/>
      <c r="F324" s="165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</row>
    <row r="325" spans="3:20" ht="15.75" customHeight="1" x14ac:dyDescent="0.2">
      <c r="C325" s="9"/>
      <c r="D325" s="9"/>
      <c r="E325" s="9"/>
      <c r="F325" s="165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</row>
    <row r="326" spans="3:20" ht="15.75" customHeight="1" x14ac:dyDescent="0.2">
      <c r="C326" s="9"/>
      <c r="D326" s="9"/>
      <c r="E326" s="9"/>
      <c r="F326" s="165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</row>
    <row r="327" spans="3:20" ht="15.75" customHeight="1" x14ac:dyDescent="0.2">
      <c r="C327" s="9"/>
      <c r="D327" s="9"/>
      <c r="E327" s="9"/>
      <c r="F327" s="165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</row>
    <row r="328" spans="3:20" ht="15.75" customHeight="1" x14ac:dyDescent="0.2">
      <c r="C328" s="9"/>
      <c r="D328" s="9"/>
      <c r="E328" s="9"/>
      <c r="F328" s="165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</row>
    <row r="329" spans="3:20" ht="15.75" customHeight="1" x14ac:dyDescent="0.2">
      <c r="C329" s="9"/>
      <c r="D329" s="9"/>
      <c r="E329" s="9"/>
      <c r="F329" s="165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</row>
    <row r="330" spans="3:20" ht="15.75" customHeight="1" x14ac:dyDescent="0.2">
      <c r="C330" s="9"/>
      <c r="D330" s="9"/>
      <c r="E330" s="9"/>
      <c r="F330" s="165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</row>
    <row r="331" spans="3:20" ht="15.75" customHeight="1" x14ac:dyDescent="0.2">
      <c r="C331" s="9"/>
      <c r="D331" s="9"/>
      <c r="E331" s="9"/>
      <c r="F331" s="165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</row>
    <row r="332" spans="3:20" ht="15.75" customHeight="1" x14ac:dyDescent="0.2">
      <c r="C332" s="9"/>
      <c r="D332" s="9"/>
      <c r="E332" s="9"/>
      <c r="F332" s="165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</row>
    <row r="333" spans="3:20" ht="15.75" customHeight="1" x14ac:dyDescent="0.2">
      <c r="C333" s="9"/>
      <c r="D333" s="9"/>
      <c r="E333" s="9"/>
      <c r="F333" s="165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</row>
    <row r="334" spans="3:20" ht="15.75" customHeight="1" x14ac:dyDescent="0.2">
      <c r="C334" s="9"/>
      <c r="D334" s="9"/>
      <c r="E334" s="9"/>
      <c r="F334" s="165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</row>
    <row r="335" spans="3:20" ht="15.75" customHeight="1" x14ac:dyDescent="0.2">
      <c r="C335" s="9"/>
      <c r="D335" s="9"/>
      <c r="E335" s="9"/>
      <c r="F335" s="165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</row>
    <row r="336" spans="3:20" ht="15.75" customHeight="1" x14ac:dyDescent="0.2">
      <c r="C336" s="9"/>
      <c r="D336" s="9"/>
      <c r="E336" s="9"/>
      <c r="F336" s="165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</row>
    <row r="337" spans="3:20" ht="15.75" customHeight="1" x14ac:dyDescent="0.2">
      <c r="C337" s="9"/>
      <c r="D337" s="9"/>
      <c r="E337" s="9"/>
      <c r="F337" s="165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</row>
    <row r="338" spans="3:20" ht="15.75" customHeight="1" x14ac:dyDescent="0.2">
      <c r="C338" s="9"/>
      <c r="D338" s="9"/>
      <c r="E338" s="9"/>
      <c r="F338" s="165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</row>
    <row r="339" spans="3:20" ht="15.75" customHeight="1" x14ac:dyDescent="0.2">
      <c r="C339" s="9"/>
      <c r="D339" s="9"/>
      <c r="E339" s="9"/>
      <c r="F339" s="165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</row>
    <row r="340" spans="3:20" ht="15.75" customHeight="1" x14ac:dyDescent="0.2">
      <c r="C340" s="9"/>
      <c r="D340" s="9"/>
      <c r="E340" s="9"/>
      <c r="F340" s="165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</row>
    <row r="341" spans="3:20" ht="15.75" customHeight="1" x14ac:dyDescent="0.2">
      <c r="C341" s="9"/>
      <c r="D341" s="9"/>
      <c r="E341" s="9"/>
      <c r="F341" s="165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</row>
    <row r="342" spans="3:20" ht="15.75" customHeight="1" x14ac:dyDescent="0.2">
      <c r="C342" s="9"/>
      <c r="D342" s="9"/>
      <c r="E342" s="9"/>
      <c r="F342" s="165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</row>
    <row r="343" spans="3:20" ht="15.75" customHeight="1" x14ac:dyDescent="0.2">
      <c r="C343" s="9"/>
      <c r="D343" s="9"/>
      <c r="E343" s="9"/>
      <c r="F343" s="165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</row>
    <row r="344" spans="3:20" ht="15.75" customHeight="1" x14ac:dyDescent="0.2">
      <c r="C344" s="9"/>
      <c r="D344" s="9"/>
      <c r="E344" s="9"/>
      <c r="F344" s="165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</row>
    <row r="345" spans="3:20" ht="15.75" customHeight="1" x14ac:dyDescent="0.2">
      <c r="C345" s="9"/>
      <c r="D345" s="9"/>
      <c r="E345" s="9"/>
      <c r="F345" s="165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</row>
    <row r="346" spans="3:20" ht="15.75" customHeight="1" x14ac:dyDescent="0.2">
      <c r="C346" s="9"/>
      <c r="D346" s="9"/>
      <c r="E346" s="9"/>
      <c r="F346" s="165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</row>
    <row r="347" spans="3:20" ht="15.75" customHeight="1" x14ac:dyDescent="0.2">
      <c r="C347" s="9"/>
      <c r="D347" s="9"/>
      <c r="E347" s="9"/>
      <c r="F347" s="165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</row>
    <row r="348" spans="3:20" ht="15.75" customHeight="1" x14ac:dyDescent="0.2">
      <c r="C348" s="9"/>
      <c r="D348" s="9"/>
      <c r="E348" s="9"/>
      <c r="F348" s="165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</row>
    <row r="349" spans="3:20" ht="15.75" customHeight="1" x14ac:dyDescent="0.2">
      <c r="C349" s="9"/>
      <c r="D349" s="9"/>
      <c r="E349" s="9"/>
      <c r="F349" s="165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</row>
    <row r="350" spans="3:20" ht="15.75" customHeight="1" x14ac:dyDescent="0.2">
      <c r="C350" s="9"/>
      <c r="D350" s="9"/>
      <c r="E350" s="9"/>
      <c r="F350" s="165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</row>
    <row r="351" spans="3:20" ht="15.75" customHeight="1" x14ac:dyDescent="0.2">
      <c r="C351" s="9"/>
      <c r="D351" s="9"/>
      <c r="E351" s="9"/>
      <c r="F351" s="165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</row>
    <row r="352" spans="3:20" ht="15.75" customHeight="1" x14ac:dyDescent="0.2">
      <c r="C352" s="9"/>
      <c r="D352" s="9"/>
      <c r="E352" s="9"/>
      <c r="F352" s="165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</row>
    <row r="353" spans="3:20" ht="15.75" customHeight="1" x14ac:dyDescent="0.2">
      <c r="C353" s="9"/>
      <c r="D353" s="9"/>
      <c r="E353" s="9"/>
      <c r="F353" s="165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</row>
    <row r="354" spans="3:20" ht="15.75" customHeight="1" x14ac:dyDescent="0.2">
      <c r="C354" s="9"/>
      <c r="D354" s="9"/>
      <c r="E354" s="9"/>
      <c r="F354" s="165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</row>
    <row r="355" spans="3:20" ht="15.75" customHeight="1" x14ac:dyDescent="0.2">
      <c r="C355" s="9"/>
      <c r="D355" s="9"/>
      <c r="E355" s="9"/>
      <c r="F355" s="165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</row>
    <row r="356" spans="3:20" ht="15.75" customHeight="1" x14ac:dyDescent="0.2">
      <c r="C356" s="9"/>
      <c r="D356" s="9"/>
      <c r="E356" s="9"/>
      <c r="F356" s="165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</row>
    <row r="357" spans="3:20" ht="15.75" customHeight="1" x14ac:dyDescent="0.2">
      <c r="C357" s="9"/>
      <c r="D357" s="9"/>
      <c r="E357" s="9"/>
      <c r="F357" s="165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</row>
    <row r="358" spans="3:20" ht="15.75" customHeight="1" x14ac:dyDescent="0.2">
      <c r="C358" s="9"/>
      <c r="D358" s="9"/>
      <c r="E358" s="9"/>
      <c r="F358" s="165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</row>
    <row r="359" spans="3:20" ht="15.75" customHeight="1" x14ac:dyDescent="0.2">
      <c r="C359" s="9"/>
      <c r="D359" s="9"/>
      <c r="E359" s="9"/>
      <c r="F359" s="165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</row>
    <row r="360" spans="3:20" ht="15.75" customHeight="1" x14ac:dyDescent="0.2">
      <c r="C360" s="9"/>
      <c r="D360" s="9"/>
      <c r="E360" s="9"/>
      <c r="F360" s="165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</row>
    <row r="361" spans="3:20" ht="15.75" customHeight="1" x14ac:dyDescent="0.2">
      <c r="C361" s="9"/>
      <c r="D361" s="9"/>
      <c r="E361" s="9"/>
      <c r="F361" s="165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</row>
    <row r="362" spans="3:20" ht="15.75" customHeight="1" x14ac:dyDescent="0.2">
      <c r="C362" s="9"/>
      <c r="D362" s="9"/>
      <c r="E362" s="9"/>
      <c r="F362" s="165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</row>
    <row r="363" spans="3:20" ht="15.75" customHeight="1" x14ac:dyDescent="0.2">
      <c r="C363" s="9"/>
      <c r="D363" s="9"/>
      <c r="E363" s="9"/>
      <c r="F363" s="165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</row>
    <row r="364" spans="3:20" ht="15.75" customHeight="1" x14ac:dyDescent="0.2">
      <c r="C364" s="9"/>
      <c r="D364" s="9"/>
      <c r="E364" s="9"/>
      <c r="F364" s="165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</row>
    <row r="365" spans="3:20" ht="15.75" customHeight="1" x14ac:dyDescent="0.2">
      <c r="C365" s="9"/>
      <c r="D365" s="9"/>
      <c r="E365" s="9"/>
      <c r="F365" s="165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</row>
    <row r="366" spans="3:20" ht="15.75" customHeight="1" x14ac:dyDescent="0.2">
      <c r="C366" s="9"/>
      <c r="D366" s="9"/>
      <c r="E366" s="9"/>
      <c r="F366" s="165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</row>
    <row r="367" spans="3:20" ht="15.75" customHeight="1" x14ac:dyDescent="0.2">
      <c r="C367" s="9"/>
      <c r="D367" s="9"/>
      <c r="E367" s="9"/>
      <c r="F367" s="165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</row>
    <row r="368" spans="3:20" ht="15.75" customHeight="1" x14ac:dyDescent="0.2">
      <c r="C368" s="9"/>
      <c r="D368" s="9"/>
      <c r="E368" s="9"/>
      <c r="F368" s="165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</row>
    <row r="369" spans="3:20" ht="15.75" customHeight="1" x14ac:dyDescent="0.2">
      <c r="C369" s="9"/>
      <c r="D369" s="9"/>
      <c r="E369" s="9"/>
      <c r="F369" s="165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</row>
    <row r="370" spans="3:20" ht="15.75" customHeight="1" x14ac:dyDescent="0.2">
      <c r="C370" s="9"/>
      <c r="D370" s="9"/>
      <c r="E370" s="9"/>
      <c r="F370" s="165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</row>
    <row r="371" spans="3:20" ht="15.75" customHeight="1" x14ac:dyDescent="0.2">
      <c r="C371" s="9"/>
      <c r="D371" s="9"/>
      <c r="E371" s="9"/>
      <c r="F371" s="165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</row>
    <row r="372" spans="3:20" ht="15.75" customHeight="1" x14ac:dyDescent="0.2">
      <c r="C372" s="9"/>
      <c r="D372" s="9"/>
      <c r="E372" s="9"/>
      <c r="F372" s="165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</row>
    <row r="373" spans="3:20" ht="15.75" customHeight="1" x14ac:dyDescent="0.2">
      <c r="C373" s="9"/>
      <c r="D373" s="9"/>
      <c r="E373" s="9"/>
      <c r="F373" s="165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</row>
    <row r="374" spans="3:20" ht="15.75" customHeight="1" x14ac:dyDescent="0.2">
      <c r="C374" s="9"/>
      <c r="D374" s="9"/>
      <c r="E374" s="9"/>
      <c r="F374" s="165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</row>
    <row r="375" spans="3:20" ht="15.75" customHeight="1" x14ac:dyDescent="0.2">
      <c r="C375" s="9"/>
      <c r="D375" s="9"/>
      <c r="E375" s="9"/>
      <c r="F375" s="165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</row>
    <row r="376" spans="3:20" ht="15.75" customHeight="1" x14ac:dyDescent="0.2">
      <c r="C376" s="9"/>
      <c r="D376" s="9"/>
      <c r="E376" s="9"/>
      <c r="F376" s="165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</row>
    <row r="377" spans="3:20" ht="15.75" customHeight="1" x14ac:dyDescent="0.2">
      <c r="C377" s="9"/>
      <c r="D377" s="9"/>
      <c r="E377" s="9"/>
      <c r="F377" s="165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</row>
    <row r="378" spans="3:20" ht="15.75" customHeight="1" x14ac:dyDescent="0.2">
      <c r="C378" s="9"/>
      <c r="D378" s="9"/>
      <c r="E378" s="9"/>
      <c r="F378" s="165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</row>
    <row r="379" spans="3:20" ht="15.75" customHeight="1" x14ac:dyDescent="0.2">
      <c r="C379" s="9"/>
      <c r="D379" s="9"/>
      <c r="E379" s="9"/>
      <c r="F379" s="165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</row>
    <row r="380" spans="3:20" ht="15.75" customHeight="1" x14ac:dyDescent="0.2">
      <c r="C380" s="9"/>
      <c r="D380" s="9"/>
      <c r="E380" s="9"/>
      <c r="F380" s="165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</row>
    <row r="381" spans="3:20" ht="15.75" customHeight="1" x14ac:dyDescent="0.2">
      <c r="C381" s="9"/>
      <c r="D381" s="9"/>
      <c r="E381" s="9"/>
      <c r="F381" s="165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</row>
    <row r="382" spans="3:20" ht="15.75" customHeight="1" x14ac:dyDescent="0.2">
      <c r="C382" s="9"/>
      <c r="D382" s="9"/>
      <c r="E382" s="9"/>
      <c r="F382" s="165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</row>
    <row r="383" spans="3:20" ht="15.75" customHeight="1" x14ac:dyDescent="0.2">
      <c r="C383" s="9"/>
      <c r="D383" s="9"/>
      <c r="E383" s="9"/>
      <c r="F383" s="165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</row>
    <row r="384" spans="3:20" ht="15.75" customHeight="1" x14ac:dyDescent="0.2">
      <c r="C384" s="9"/>
      <c r="D384" s="9"/>
      <c r="E384" s="9"/>
      <c r="F384" s="165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</row>
    <row r="385" spans="3:20" ht="15.75" customHeight="1" x14ac:dyDescent="0.2">
      <c r="C385" s="9"/>
      <c r="D385" s="9"/>
      <c r="E385" s="9"/>
      <c r="F385" s="165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</row>
    <row r="386" spans="3:20" ht="15.75" customHeight="1" x14ac:dyDescent="0.2">
      <c r="C386" s="9"/>
      <c r="D386" s="9"/>
      <c r="E386" s="9"/>
      <c r="F386" s="165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</row>
    <row r="387" spans="3:20" ht="15.75" customHeight="1" x14ac:dyDescent="0.2">
      <c r="C387" s="9"/>
      <c r="D387" s="9"/>
      <c r="E387" s="9"/>
      <c r="F387" s="165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</row>
    <row r="388" spans="3:20" ht="15.75" customHeight="1" x14ac:dyDescent="0.2">
      <c r="C388" s="9"/>
      <c r="D388" s="9"/>
      <c r="E388" s="9"/>
      <c r="F388" s="165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</row>
    <row r="389" spans="3:20" ht="15.75" customHeight="1" x14ac:dyDescent="0.2">
      <c r="C389" s="9"/>
      <c r="D389" s="9"/>
      <c r="E389" s="9"/>
      <c r="F389" s="165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</row>
    <row r="390" spans="3:20" ht="15.75" customHeight="1" x14ac:dyDescent="0.2">
      <c r="C390" s="9"/>
      <c r="D390" s="9"/>
      <c r="E390" s="9"/>
      <c r="F390" s="165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</row>
    <row r="391" spans="3:20" ht="15.75" customHeight="1" x14ac:dyDescent="0.2">
      <c r="C391" s="9"/>
      <c r="D391" s="9"/>
      <c r="E391" s="9"/>
      <c r="F391" s="165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</row>
    <row r="392" spans="3:20" ht="15.75" customHeight="1" x14ac:dyDescent="0.2">
      <c r="C392" s="9"/>
      <c r="D392" s="9"/>
      <c r="E392" s="9"/>
      <c r="F392" s="165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</row>
    <row r="393" spans="3:20" ht="15.75" customHeight="1" x14ac:dyDescent="0.2">
      <c r="C393" s="9"/>
      <c r="D393" s="9"/>
      <c r="E393" s="9"/>
      <c r="F393" s="165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</row>
    <row r="394" spans="3:20" ht="15.75" customHeight="1" x14ac:dyDescent="0.2">
      <c r="C394" s="9"/>
      <c r="D394" s="9"/>
      <c r="E394" s="9"/>
      <c r="F394" s="165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</row>
    <row r="395" spans="3:20" ht="15.75" customHeight="1" x14ac:dyDescent="0.2">
      <c r="C395" s="9"/>
      <c r="D395" s="9"/>
      <c r="E395" s="9"/>
      <c r="F395" s="165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</row>
    <row r="396" spans="3:20" ht="15.75" customHeight="1" x14ac:dyDescent="0.2">
      <c r="C396" s="9"/>
      <c r="D396" s="9"/>
      <c r="E396" s="9"/>
      <c r="F396" s="165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</row>
    <row r="397" spans="3:20" ht="15.75" customHeight="1" x14ac:dyDescent="0.2">
      <c r="C397" s="9"/>
      <c r="D397" s="9"/>
      <c r="E397" s="9"/>
      <c r="F397" s="165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</row>
    <row r="398" spans="3:20" ht="15.75" customHeight="1" x14ac:dyDescent="0.2">
      <c r="C398" s="9"/>
      <c r="D398" s="9"/>
      <c r="E398" s="9"/>
      <c r="F398" s="165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</row>
    <row r="399" spans="3:20" ht="15.75" customHeight="1" x14ac:dyDescent="0.2">
      <c r="C399" s="9"/>
      <c r="D399" s="9"/>
      <c r="E399" s="9"/>
      <c r="F399" s="165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</row>
    <row r="400" spans="3:20" ht="15.75" customHeight="1" x14ac:dyDescent="0.2">
      <c r="C400" s="9"/>
      <c r="D400" s="9"/>
      <c r="E400" s="9"/>
      <c r="F400" s="165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</row>
    <row r="401" spans="3:20" ht="15.75" customHeight="1" x14ac:dyDescent="0.2">
      <c r="C401" s="9"/>
      <c r="D401" s="9"/>
      <c r="E401" s="9"/>
      <c r="F401" s="165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</row>
    <row r="402" spans="3:20" ht="15.75" customHeight="1" x14ac:dyDescent="0.2">
      <c r="C402" s="9"/>
      <c r="D402" s="9"/>
      <c r="E402" s="9"/>
      <c r="F402" s="165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</row>
    <row r="403" spans="3:20" ht="15.75" customHeight="1" x14ac:dyDescent="0.2">
      <c r="C403" s="9"/>
      <c r="D403" s="9"/>
      <c r="E403" s="9"/>
      <c r="F403" s="165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</row>
    <row r="404" spans="3:20" ht="15.75" customHeight="1" x14ac:dyDescent="0.2">
      <c r="C404" s="9"/>
      <c r="D404" s="9"/>
      <c r="E404" s="9"/>
      <c r="F404" s="165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</row>
    <row r="405" spans="3:20" ht="15.75" customHeight="1" x14ac:dyDescent="0.2">
      <c r="C405" s="9"/>
      <c r="D405" s="9"/>
      <c r="E405" s="9"/>
      <c r="F405" s="165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</row>
    <row r="406" spans="3:20" ht="15.75" customHeight="1" x14ac:dyDescent="0.2">
      <c r="C406" s="9"/>
      <c r="D406" s="9"/>
      <c r="E406" s="9"/>
      <c r="F406" s="165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</row>
    <row r="407" spans="3:20" ht="15.75" customHeight="1" x14ac:dyDescent="0.2">
      <c r="C407" s="9"/>
      <c r="D407" s="9"/>
      <c r="E407" s="9"/>
      <c r="F407" s="165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</row>
    <row r="408" spans="3:20" ht="15.75" customHeight="1" x14ac:dyDescent="0.2">
      <c r="C408" s="9"/>
      <c r="D408" s="9"/>
      <c r="E408" s="9"/>
      <c r="F408" s="165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</row>
    <row r="409" spans="3:20" ht="15.75" customHeight="1" x14ac:dyDescent="0.2">
      <c r="C409" s="9"/>
      <c r="D409" s="9"/>
      <c r="E409" s="9"/>
      <c r="F409" s="165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</row>
    <row r="410" spans="3:20" ht="15.75" customHeight="1" x14ac:dyDescent="0.2">
      <c r="C410" s="9"/>
      <c r="D410" s="9"/>
      <c r="E410" s="9"/>
      <c r="F410" s="165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</row>
    <row r="411" spans="3:20" ht="15.75" customHeight="1" x14ac:dyDescent="0.2">
      <c r="C411" s="9"/>
      <c r="D411" s="9"/>
      <c r="E411" s="9"/>
      <c r="F411" s="165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</row>
    <row r="412" spans="3:20" ht="15.75" customHeight="1" x14ac:dyDescent="0.2">
      <c r="C412" s="9"/>
      <c r="D412" s="9"/>
      <c r="E412" s="9"/>
      <c r="F412" s="165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</row>
    <row r="413" spans="3:20" ht="15.75" customHeight="1" x14ac:dyDescent="0.2">
      <c r="C413" s="9"/>
      <c r="D413" s="9"/>
      <c r="E413" s="9"/>
      <c r="F413" s="165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</row>
    <row r="414" spans="3:20" ht="15.75" customHeight="1" x14ac:dyDescent="0.2">
      <c r="C414" s="9"/>
      <c r="D414" s="9"/>
      <c r="E414" s="9"/>
      <c r="F414" s="165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</row>
    <row r="415" spans="3:20" ht="15.75" customHeight="1" x14ac:dyDescent="0.2">
      <c r="C415" s="9"/>
      <c r="D415" s="9"/>
      <c r="E415" s="9"/>
      <c r="F415" s="165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</row>
    <row r="416" spans="3:20" ht="15.75" customHeight="1" x14ac:dyDescent="0.2">
      <c r="C416" s="9"/>
      <c r="D416" s="9"/>
      <c r="E416" s="9"/>
      <c r="F416" s="165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</row>
    <row r="417" spans="3:20" ht="15.75" customHeight="1" x14ac:dyDescent="0.2">
      <c r="C417" s="9"/>
      <c r="D417" s="9"/>
      <c r="E417" s="9"/>
      <c r="F417" s="165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</row>
    <row r="418" spans="3:20" ht="15.75" customHeight="1" x14ac:dyDescent="0.2">
      <c r="C418" s="9"/>
      <c r="D418" s="9"/>
      <c r="E418" s="9"/>
      <c r="F418" s="165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</row>
    <row r="419" spans="3:20" ht="15.75" customHeight="1" x14ac:dyDescent="0.2">
      <c r="C419" s="9"/>
      <c r="D419" s="9"/>
      <c r="E419" s="9"/>
      <c r="F419" s="165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</row>
    <row r="420" spans="3:20" ht="15.75" customHeight="1" x14ac:dyDescent="0.2">
      <c r="C420" s="9"/>
      <c r="D420" s="9"/>
      <c r="E420" s="9"/>
      <c r="F420" s="165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</row>
    <row r="421" spans="3:20" ht="15.75" customHeight="1" x14ac:dyDescent="0.2">
      <c r="C421" s="9"/>
      <c r="D421" s="9"/>
      <c r="E421" s="9"/>
      <c r="F421" s="165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</row>
    <row r="422" spans="3:20" ht="15.75" customHeight="1" x14ac:dyDescent="0.2">
      <c r="C422" s="9"/>
      <c r="D422" s="9"/>
      <c r="E422" s="9"/>
      <c r="F422" s="165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</row>
    <row r="423" spans="3:20" ht="15.75" customHeight="1" x14ac:dyDescent="0.2">
      <c r="C423" s="9"/>
      <c r="D423" s="9"/>
      <c r="E423" s="9"/>
      <c r="F423" s="165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</row>
    <row r="424" spans="3:20" ht="15.75" customHeight="1" x14ac:dyDescent="0.2">
      <c r="C424" s="9"/>
      <c r="D424" s="9"/>
      <c r="E424" s="9"/>
      <c r="F424" s="165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</row>
    <row r="425" spans="3:20" ht="15.75" customHeight="1" x14ac:dyDescent="0.2">
      <c r="C425" s="9"/>
      <c r="D425" s="9"/>
      <c r="E425" s="9"/>
      <c r="F425" s="165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</row>
    <row r="426" spans="3:20" ht="15.75" customHeight="1" x14ac:dyDescent="0.2">
      <c r="C426" s="9"/>
      <c r="D426" s="9"/>
      <c r="E426" s="9"/>
      <c r="F426" s="165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</row>
    <row r="427" spans="3:20" ht="15.75" customHeight="1" x14ac:dyDescent="0.2">
      <c r="C427" s="9"/>
      <c r="D427" s="9"/>
      <c r="E427" s="9"/>
      <c r="F427" s="165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</row>
    <row r="428" spans="3:20" ht="15.75" customHeight="1" x14ac:dyDescent="0.2">
      <c r="C428" s="9"/>
      <c r="D428" s="9"/>
      <c r="E428" s="9"/>
      <c r="F428" s="165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</row>
    <row r="429" spans="3:20" ht="15.75" customHeight="1" x14ac:dyDescent="0.2">
      <c r="C429" s="9"/>
      <c r="D429" s="9"/>
      <c r="E429" s="9"/>
      <c r="F429" s="165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</row>
    <row r="430" spans="3:20" ht="15.75" customHeight="1" x14ac:dyDescent="0.2">
      <c r="C430" s="9"/>
      <c r="D430" s="9"/>
      <c r="E430" s="9"/>
      <c r="F430" s="165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</row>
    <row r="431" spans="3:20" ht="15.75" customHeight="1" x14ac:dyDescent="0.2">
      <c r="C431" s="9"/>
      <c r="D431" s="9"/>
      <c r="E431" s="9"/>
      <c r="F431" s="165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</row>
    <row r="432" spans="3:20" ht="15.75" customHeight="1" x14ac:dyDescent="0.2">
      <c r="C432" s="9"/>
      <c r="D432" s="9"/>
      <c r="E432" s="9"/>
      <c r="F432" s="165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</row>
    <row r="433" spans="3:20" ht="15.75" customHeight="1" x14ac:dyDescent="0.2">
      <c r="C433" s="9"/>
      <c r="D433" s="9"/>
      <c r="E433" s="9"/>
      <c r="F433" s="165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</row>
    <row r="434" spans="3:20" ht="15.75" customHeight="1" x14ac:dyDescent="0.2">
      <c r="C434" s="9"/>
      <c r="D434" s="9"/>
      <c r="E434" s="9"/>
      <c r="F434" s="165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</row>
    <row r="435" spans="3:20" ht="15.75" customHeight="1" x14ac:dyDescent="0.2">
      <c r="C435" s="9"/>
      <c r="D435" s="9"/>
      <c r="E435" s="9"/>
      <c r="F435" s="165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</row>
    <row r="436" spans="3:20" ht="15.75" customHeight="1" x14ac:dyDescent="0.2">
      <c r="C436" s="9"/>
      <c r="D436" s="9"/>
      <c r="E436" s="9"/>
      <c r="F436" s="165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</row>
    <row r="437" spans="3:20" ht="15.75" customHeight="1" x14ac:dyDescent="0.2">
      <c r="C437" s="9"/>
      <c r="D437" s="9"/>
      <c r="E437" s="9"/>
      <c r="F437" s="165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</row>
    <row r="438" spans="3:20" ht="15.75" customHeight="1" x14ac:dyDescent="0.2">
      <c r="C438" s="9"/>
      <c r="D438" s="9"/>
      <c r="E438" s="9"/>
      <c r="F438" s="165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</row>
    <row r="439" spans="3:20" ht="15.75" customHeight="1" x14ac:dyDescent="0.2">
      <c r="C439" s="9"/>
      <c r="D439" s="9"/>
      <c r="E439" s="9"/>
      <c r="F439" s="165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</row>
    <row r="440" spans="3:20" ht="15.75" customHeight="1" x14ac:dyDescent="0.2">
      <c r="C440" s="9"/>
      <c r="D440" s="9"/>
      <c r="E440" s="9"/>
      <c r="F440" s="165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</row>
    <row r="441" spans="3:20" ht="15.75" customHeight="1" x14ac:dyDescent="0.2">
      <c r="C441" s="9"/>
      <c r="D441" s="9"/>
      <c r="E441" s="9"/>
      <c r="F441" s="165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</row>
    <row r="442" spans="3:20" ht="15.75" customHeight="1" x14ac:dyDescent="0.2">
      <c r="C442" s="9"/>
      <c r="D442" s="9"/>
      <c r="E442" s="9"/>
      <c r="F442" s="165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</row>
    <row r="443" spans="3:20" ht="15.75" customHeight="1" x14ac:dyDescent="0.2">
      <c r="C443" s="9"/>
      <c r="D443" s="9"/>
      <c r="E443" s="9"/>
      <c r="F443" s="165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</row>
    <row r="444" spans="3:20" ht="15.75" customHeight="1" x14ac:dyDescent="0.2">
      <c r="C444" s="9"/>
      <c r="D444" s="9"/>
      <c r="E444" s="9"/>
      <c r="F444" s="165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</row>
    <row r="445" spans="3:20" ht="15.75" customHeight="1" x14ac:dyDescent="0.2">
      <c r="C445" s="9"/>
      <c r="D445" s="9"/>
      <c r="E445" s="9"/>
      <c r="F445" s="165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</row>
    <row r="446" spans="3:20" ht="15.75" customHeight="1" x14ac:dyDescent="0.2">
      <c r="C446" s="9"/>
      <c r="D446" s="9"/>
      <c r="E446" s="9"/>
      <c r="F446" s="165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</row>
    <row r="447" spans="3:20" ht="15.75" customHeight="1" x14ac:dyDescent="0.2">
      <c r="C447" s="9"/>
      <c r="D447" s="9"/>
      <c r="E447" s="9"/>
      <c r="F447" s="165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</row>
    <row r="448" spans="3:20" ht="15.75" customHeight="1" x14ac:dyDescent="0.2">
      <c r="C448" s="9"/>
      <c r="D448" s="9"/>
      <c r="E448" s="9"/>
      <c r="F448" s="165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</row>
    <row r="449" spans="3:20" ht="15.75" customHeight="1" x14ac:dyDescent="0.2">
      <c r="C449" s="9"/>
      <c r="D449" s="9"/>
      <c r="E449" s="9"/>
      <c r="F449" s="165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</row>
    <row r="450" spans="3:20" ht="15.75" customHeight="1" x14ac:dyDescent="0.2">
      <c r="C450" s="9"/>
      <c r="D450" s="9"/>
      <c r="E450" s="9"/>
      <c r="F450" s="165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</row>
    <row r="451" spans="3:20" ht="15.75" customHeight="1" x14ac:dyDescent="0.2">
      <c r="C451" s="9"/>
      <c r="D451" s="9"/>
      <c r="E451" s="9"/>
      <c r="F451" s="165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</row>
    <row r="452" spans="3:20" ht="15.75" customHeight="1" x14ac:dyDescent="0.2">
      <c r="C452" s="9"/>
      <c r="D452" s="9"/>
      <c r="E452" s="9"/>
      <c r="F452" s="165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</row>
    <row r="453" spans="3:20" ht="15.75" customHeight="1" x14ac:dyDescent="0.2">
      <c r="C453" s="9"/>
      <c r="D453" s="9"/>
      <c r="E453" s="9"/>
      <c r="F453" s="165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</row>
    <row r="454" spans="3:20" ht="15.75" customHeight="1" x14ac:dyDescent="0.2">
      <c r="C454" s="9"/>
      <c r="D454" s="9"/>
      <c r="E454" s="9"/>
      <c r="F454" s="165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</row>
    <row r="455" spans="3:20" ht="15.75" customHeight="1" x14ac:dyDescent="0.2">
      <c r="C455" s="9"/>
      <c r="D455" s="9"/>
      <c r="E455" s="9"/>
      <c r="F455" s="165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</row>
    <row r="456" spans="3:20" ht="15.75" customHeight="1" x14ac:dyDescent="0.2">
      <c r="C456" s="9"/>
      <c r="D456" s="9"/>
      <c r="E456" s="9"/>
      <c r="F456" s="165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</row>
    <row r="457" spans="3:20" ht="15.75" customHeight="1" x14ac:dyDescent="0.2">
      <c r="C457" s="9"/>
      <c r="D457" s="9"/>
      <c r="E457" s="9"/>
      <c r="F457" s="165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</row>
    <row r="458" spans="3:20" ht="15.75" customHeight="1" x14ac:dyDescent="0.2">
      <c r="C458" s="9"/>
      <c r="D458" s="9"/>
      <c r="E458" s="9"/>
      <c r="F458" s="165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</row>
    <row r="459" spans="3:20" ht="15.75" customHeight="1" x14ac:dyDescent="0.2">
      <c r="C459" s="9"/>
      <c r="D459" s="9"/>
      <c r="E459" s="9"/>
      <c r="F459" s="165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</row>
    <row r="460" spans="3:20" ht="15.75" customHeight="1" x14ac:dyDescent="0.2">
      <c r="C460" s="9"/>
      <c r="D460" s="9"/>
      <c r="E460" s="9"/>
      <c r="F460" s="165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</row>
    <row r="461" spans="3:20" ht="15.75" customHeight="1" x14ac:dyDescent="0.2">
      <c r="C461" s="9"/>
      <c r="D461" s="9"/>
      <c r="E461" s="9"/>
      <c r="F461" s="165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</row>
    <row r="462" spans="3:20" ht="15.75" customHeight="1" x14ac:dyDescent="0.2">
      <c r="C462" s="9"/>
      <c r="D462" s="9"/>
      <c r="E462" s="9"/>
      <c r="F462" s="165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</row>
    <row r="463" spans="3:20" ht="15.75" customHeight="1" x14ac:dyDescent="0.2">
      <c r="C463" s="9"/>
      <c r="D463" s="9"/>
      <c r="E463" s="9"/>
      <c r="F463" s="165"/>
      <c r="H463" s="166"/>
    </row>
    <row r="464" spans="3:20" ht="15.75" customHeight="1" x14ac:dyDescent="0.2">
      <c r="C464" s="9"/>
      <c r="D464" s="9"/>
      <c r="E464" s="9"/>
      <c r="F464" s="165"/>
      <c r="H464" s="166"/>
    </row>
    <row r="465" spans="3:8" ht="15.75" customHeight="1" x14ac:dyDescent="0.2">
      <c r="C465" s="9"/>
      <c r="D465" s="9"/>
      <c r="E465" s="9"/>
      <c r="F465" s="165"/>
      <c r="H465" s="166"/>
    </row>
    <row r="466" spans="3:8" ht="15.75" customHeight="1" x14ac:dyDescent="0.2">
      <c r="C466" s="9"/>
      <c r="D466" s="9"/>
      <c r="E466" s="9"/>
      <c r="F466" s="165"/>
      <c r="H466" s="166"/>
    </row>
    <row r="467" spans="3:8" ht="15.75" customHeight="1" x14ac:dyDescent="0.2">
      <c r="C467" s="9"/>
      <c r="D467" s="9"/>
      <c r="E467" s="9"/>
      <c r="F467" s="165"/>
      <c r="H467" s="166"/>
    </row>
    <row r="468" spans="3:8" ht="15.75" customHeight="1" x14ac:dyDescent="0.2">
      <c r="C468" s="9"/>
      <c r="D468" s="9"/>
      <c r="E468" s="9"/>
      <c r="F468" s="165"/>
      <c r="H468" s="166"/>
    </row>
    <row r="469" spans="3:8" ht="15.75" customHeight="1" x14ac:dyDescent="0.2">
      <c r="C469" s="9"/>
      <c r="D469" s="9"/>
      <c r="E469" s="9"/>
      <c r="F469" s="165"/>
      <c r="H469" s="166"/>
    </row>
    <row r="470" spans="3:8" ht="15.75" customHeight="1" x14ac:dyDescent="0.2">
      <c r="C470" s="9"/>
      <c r="D470" s="9"/>
      <c r="E470" s="9"/>
      <c r="F470" s="165"/>
      <c r="H470" s="166"/>
    </row>
    <row r="471" spans="3:8" ht="15.75" customHeight="1" x14ac:dyDescent="0.2">
      <c r="C471" s="9"/>
      <c r="D471" s="9"/>
      <c r="E471" s="9"/>
      <c r="F471" s="165"/>
      <c r="H471" s="166"/>
    </row>
    <row r="472" spans="3:8" ht="15.75" customHeight="1" x14ac:dyDescent="0.2">
      <c r="C472" s="9"/>
      <c r="D472" s="9"/>
      <c r="E472" s="9"/>
      <c r="F472" s="165"/>
      <c r="H472" s="166"/>
    </row>
    <row r="473" spans="3:8" ht="15.75" customHeight="1" x14ac:dyDescent="0.2">
      <c r="C473" s="9"/>
      <c r="D473" s="9"/>
      <c r="E473" s="9"/>
      <c r="F473" s="165"/>
      <c r="H473" s="166"/>
    </row>
    <row r="474" spans="3:8" ht="15.75" customHeight="1" x14ac:dyDescent="0.2">
      <c r="C474" s="9"/>
      <c r="D474" s="9"/>
      <c r="E474" s="9"/>
      <c r="F474" s="165"/>
      <c r="H474" s="166"/>
    </row>
    <row r="475" spans="3:8" ht="15.75" customHeight="1" x14ac:dyDescent="0.2">
      <c r="C475" s="9"/>
      <c r="D475" s="9"/>
      <c r="E475" s="9"/>
      <c r="F475" s="165"/>
      <c r="H475" s="166"/>
    </row>
    <row r="476" spans="3:8" ht="15.75" customHeight="1" x14ac:dyDescent="0.2">
      <c r="C476" s="9"/>
      <c r="D476" s="9"/>
      <c r="E476" s="9"/>
      <c r="F476" s="165"/>
      <c r="H476" s="166"/>
    </row>
    <row r="477" spans="3:8" ht="15.75" customHeight="1" x14ac:dyDescent="0.2">
      <c r="C477" s="9"/>
      <c r="D477" s="9"/>
      <c r="E477" s="9"/>
      <c r="F477" s="165"/>
      <c r="H477" s="166"/>
    </row>
    <row r="478" spans="3:8" ht="15.75" customHeight="1" x14ac:dyDescent="0.2">
      <c r="C478" s="9"/>
      <c r="D478" s="9"/>
      <c r="E478" s="9"/>
      <c r="F478" s="165"/>
      <c r="H478" s="166"/>
    </row>
    <row r="479" spans="3:8" ht="15.75" customHeight="1" x14ac:dyDescent="0.2">
      <c r="C479" s="9"/>
      <c r="D479" s="9"/>
      <c r="E479" s="9"/>
      <c r="F479" s="165"/>
      <c r="H479" s="166"/>
    </row>
    <row r="480" spans="3:8" ht="15.75" customHeight="1" x14ac:dyDescent="0.2">
      <c r="C480" s="9"/>
      <c r="D480" s="9"/>
      <c r="E480" s="9"/>
      <c r="F480" s="165"/>
      <c r="H480" s="166"/>
    </row>
    <row r="481" spans="3:8" ht="15.75" customHeight="1" x14ac:dyDescent="0.2">
      <c r="C481" s="9"/>
      <c r="D481" s="9"/>
      <c r="E481" s="9"/>
      <c r="F481" s="165"/>
      <c r="H481" s="166"/>
    </row>
    <row r="482" spans="3:8" ht="15.75" customHeight="1" x14ac:dyDescent="0.2">
      <c r="C482" s="9"/>
      <c r="D482" s="9"/>
      <c r="E482" s="9"/>
      <c r="F482" s="165"/>
      <c r="H482" s="166"/>
    </row>
    <row r="483" spans="3:8" ht="15.75" customHeight="1" x14ac:dyDescent="0.2">
      <c r="C483" s="9"/>
      <c r="D483" s="9"/>
      <c r="E483" s="9"/>
      <c r="F483" s="165"/>
      <c r="H483" s="166"/>
    </row>
    <row r="484" spans="3:8" ht="15.75" customHeight="1" x14ac:dyDescent="0.2">
      <c r="C484" s="9"/>
      <c r="D484" s="9"/>
      <c r="E484" s="9"/>
      <c r="F484" s="165"/>
      <c r="H484" s="166"/>
    </row>
    <row r="485" spans="3:8" ht="15.75" customHeight="1" x14ac:dyDescent="0.2">
      <c r="C485" s="9"/>
      <c r="D485" s="9"/>
      <c r="E485" s="9"/>
      <c r="F485" s="165"/>
      <c r="H485" s="166"/>
    </row>
    <row r="486" spans="3:8" ht="15.75" customHeight="1" x14ac:dyDescent="0.2">
      <c r="C486" s="9"/>
      <c r="D486" s="9"/>
      <c r="E486" s="9"/>
      <c r="F486" s="165"/>
      <c r="H486" s="166"/>
    </row>
    <row r="487" spans="3:8" ht="15.75" customHeight="1" x14ac:dyDescent="0.2">
      <c r="C487" s="9"/>
      <c r="D487" s="9"/>
      <c r="E487" s="9"/>
      <c r="F487" s="165"/>
      <c r="H487" s="166"/>
    </row>
    <row r="488" spans="3:8" ht="15.75" customHeight="1" x14ac:dyDescent="0.2">
      <c r="C488" s="9"/>
      <c r="D488" s="9"/>
      <c r="E488" s="9"/>
      <c r="F488" s="165"/>
      <c r="H488" s="166"/>
    </row>
    <row r="489" spans="3:8" ht="15.75" customHeight="1" x14ac:dyDescent="0.2">
      <c r="C489" s="9"/>
      <c r="D489" s="9"/>
      <c r="E489" s="9"/>
      <c r="F489" s="165"/>
      <c r="H489" s="166"/>
    </row>
    <row r="490" spans="3:8" ht="15.75" customHeight="1" x14ac:dyDescent="0.2">
      <c r="C490" s="9"/>
      <c r="D490" s="9"/>
      <c r="E490" s="9"/>
      <c r="F490" s="165"/>
      <c r="H490" s="166"/>
    </row>
    <row r="491" spans="3:8" ht="15.75" customHeight="1" x14ac:dyDescent="0.2">
      <c r="C491" s="9"/>
      <c r="D491" s="9"/>
      <c r="E491" s="9"/>
      <c r="F491" s="165"/>
      <c r="H491" s="166"/>
    </row>
    <row r="492" spans="3:8" ht="15.75" customHeight="1" x14ac:dyDescent="0.2">
      <c r="C492" s="9"/>
      <c r="D492" s="9"/>
      <c r="E492" s="9"/>
      <c r="F492" s="165"/>
      <c r="H492" s="166"/>
    </row>
    <row r="493" spans="3:8" ht="15.75" customHeight="1" x14ac:dyDescent="0.2">
      <c r="C493" s="9"/>
      <c r="D493" s="9"/>
      <c r="E493" s="9"/>
      <c r="F493" s="165"/>
      <c r="H493" s="166"/>
    </row>
    <row r="494" spans="3:8" ht="15.75" customHeight="1" x14ac:dyDescent="0.2">
      <c r="C494" s="9"/>
      <c r="D494" s="9"/>
      <c r="E494" s="9"/>
      <c r="F494" s="165"/>
      <c r="H494" s="166"/>
    </row>
    <row r="495" spans="3:8" ht="15.75" customHeight="1" x14ac:dyDescent="0.2">
      <c r="C495" s="9"/>
      <c r="D495" s="9"/>
      <c r="E495" s="9"/>
      <c r="F495" s="165"/>
      <c r="H495" s="166"/>
    </row>
    <row r="496" spans="3:8" ht="15.75" customHeight="1" x14ac:dyDescent="0.2">
      <c r="C496" s="9"/>
      <c r="D496" s="9"/>
      <c r="E496" s="9"/>
      <c r="F496" s="165"/>
      <c r="H496" s="166"/>
    </row>
    <row r="497" spans="3:8" ht="15.75" customHeight="1" x14ac:dyDescent="0.2">
      <c r="C497" s="9"/>
      <c r="D497" s="9"/>
      <c r="E497" s="9"/>
      <c r="F497" s="165"/>
      <c r="H497" s="166"/>
    </row>
    <row r="498" spans="3:8" ht="15.75" customHeight="1" x14ac:dyDescent="0.2">
      <c r="C498" s="9"/>
      <c r="D498" s="9"/>
      <c r="E498" s="9"/>
      <c r="F498" s="165"/>
      <c r="H498" s="166"/>
    </row>
    <row r="499" spans="3:8" ht="15.75" customHeight="1" x14ac:dyDescent="0.2">
      <c r="C499" s="9"/>
      <c r="D499" s="9"/>
      <c r="E499" s="9"/>
      <c r="F499" s="165"/>
      <c r="H499" s="166"/>
    </row>
    <row r="500" spans="3:8" ht="15.75" customHeight="1" x14ac:dyDescent="0.2">
      <c r="C500" s="9"/>
      <c r="D500" s="9"/>
      <c r="E500" s="9"/>
      <c r="F500" s="165"/>
      <c r="H500" s="166"/>
    </row>
    <row r="501" spans="3:8" ht="15.75" customHeight="1" x14ac:dyDescent="0.2">
      <c r="C501" s="9"/>
      <c r="D501" s="9"/>
      <c r="E501" s="9"/>
      <c r="F501" s="165"/>
      <c r="H501" s="166"/>
    </row>
    <row r="502" spans="3:8" ht="15.75" customHeight="1" x14ac:dyDescent="0.2">
      <c r="C502" s="9"/>
      <c r="D502" s="9"/>
      <c r="E502" s="9"/>
      <c r="F502" s="165"/>
      <c r="H502" s="166"/>
    </row>
    <row r="503" spans="3:8" ht="15.75" customHeight="1" x14ac:dyDescent="0.2">
      <c r="C503" s="9"/>
      <c r="D503" s="9"/>
      <c r="E503" s="9"/>
      <c r="F503" s="165"/>
      <c r="H503" s="166"/>
    </row>
    <row r="504" spans="3:8" ht="15.75" customHeight="1" x14ac:dyDescent="0.2">
      <c r="C504" s="9"/>
      <c r="D504" s="9"/>
      <c r="E504" s="9"/>
      <c r="F504" s="165"/>
      <c r="H504" s="166"/>
    </row>
    <row r="505" spans="3:8" ht="15.75" customHeight="1" x14ac:dyDescent="0.2">
      <c r="C505" s="9"/>
      <c r="D505" s="9"/>
      <c r="E505" s="9"/>
      <c r="F505" s="165"/>
      <c r="H505" s="166"/>
    </row>
    <row r="506" spans="3:8" ht="15.75" customHeight="1" x14ac:dyDescent="0.2">
      <c r="C506" s="9"/>
      <c r="D506" s="9"/>
      <c r="E506" s="9"/>
      <c r="F506" s="165"/>
      <c r="H506" s="166"/>
    </row>
    <row r="507" spans="3:8" ht="15.75" customHeight="1" x14ac:dyDescent="0.2">
      <c r="C507" s="9"/>
      <c r="D507" s="9"/>
      <c r="E507" s="9"/>
      <c r="F507" s="165"/>
      <c r="H507" s="166"/>
    </row>
    <row r="508" spans="3:8" ht="15.75" customHeight="1" x14ac:dyDescent="0.2">
      <c r="C508" s="9"/>
      <c r="D508" s="9"/>
      <c r="E508" s="9"/>
      <c r="F508" s="165"/>
      <c r="H508" s="166"/>
    </row>
    <row r="509" spans="3:8" ht="15.75" customHeight="1" x14ac:dyDescent="0.2">
      <c r="C509" s="9"/>
      <c r="D509" s="9"/>
      <c r="E509" s="9"/>
      <c r="F509" s="165"/>
      <c r="H509" s="166"/>
    </row>
    <row r="510" spans="3:8" ht="15.75" customHeight="1" x14ac:dyDescent="0.2">
      <c r="C510" s="9"/>
      <c r="D510" s="9"/>
      <c r="E510" s="9"/>
      <c r="F510" s="165"/>
      <c r="H510" s="166"/>
    </row>
    <row r="511" spans="3:8" ht="15.75" customHeight="1" x14ac:dyDescent="0.2">
      <c r="C511" s="9"/>
      <c r="D511" s="9"/>
      <c r="E511" s="9"/>
      <c r="F511" s="165"/>
      <c r="H511" s="166"/>
    </row>
    <row r="512" spans="3:8" ht="15.75" customHeight="1" x14ac:dyDescent="0.2">
      <c r="C512" s="9"/>
      <c r="D512" s="9"/>
      <c r="E512" s="9"/>
      <c r="F512" s="165"/>
      <c r="H512" s="166"/>
    </row>
    <row r="513" spans="3:8" ht="15.75" customHeight="1" x14ac:dyDescent="0.2">
      <c r="C513" s="9"/>
      <c r="D513" s="9"/>
      <c r="E513" s="9"/>
      <c r="F513" s="165"/>
      <c r="H513" s="166"/>
    </row>
    <row r="514" spans="3:8" ht="15.75" customHeight="1" x14ac:dyDescent="0.2">
      <c r="C514" s="9"/>
      <c r="D514" s="9"/>
      <c r="E514" s="9"/>
      <c r="F514" s="165"/>
      <c r="H514" s="166"/>
    </row>
    <row r="515" spans="3:8" ht="15.75" customHeight="1" x14ac:dyDescent="0.2">
      <c r="C515" s="9"/>
      <c r="D515" s="9"/>
      <c r="E515" s="9"/>
      <c r="F515" s="165"/>
      <c r="H515" s="166"/>
    </row>
    <row r="516" spans="3:8" ht="15.75" customHeight="1" x14ac:dyDescent="0.2">
      <c r="C516" s="9"/>
      <c r="D516" s="9"/>
      <c r="E516" s="9"/>
      <c r="F516" s="165"/>
      <c r="H516" s="166"/>
    </row>
    <row r="517" spans="3:8" ht="15.75" customHeight="1" x14ac:dyDescent="0.2">
      <c r="C517" s="9"/>
      <c r="D517" s="9"/>
      <c r="E517" s="9"/>
      <c r="F517" s="165"/>
      <c r="H517" s="166"/>
    </row>
    <row r="518" spans="3:8" ht="15.75" customHeight="1" x14ac:dyDescent="0.2">
      <c r="C518" s="9"/>
      <c r="D518" s="9"/>
      <c r="E518" s="9"/>
      <c r="F518" s="165"/>
      <c r="H518" s="166"/>
    </row>
    <row r="519" spans="3:8" ht="15.75" customHeight="1" x14ac:dyDescent="0.2">
      <c r="C519" s="9"/>
      <c r="D519" s="9"/>
      <c r="E519" s="9"/>
      <c r="F519" s="165"/>
      <c r="H519" s="166"/>
    </row>
    <row r="520" spans="3:8" ht="15.75" customHeight="1" x14ac:dyDescent="0.2">
      <c r="C520" s="9"/>
      <c r="D520" s="9"/>
      <c r="E520" s="9"/>
      <c r="F520" s="165"/>
      <c r="H520" s="166"/>
    </row>
    <row r="521" spans="3:8" ht="15.75" customHeight="1" x14ac:dyDescent="0.2">
      <c r="C521" s="9"/>
      <c r="D521" s="9"/>
      <c r="E521" s="9"/>
      <c r="F521" s="165"/>
      <c r="H521" s="166"/>
    </row>
    <row r="522" spans="3:8" ht="15.75" customHeight="1" x14ac:dyDescent="0.2">
      <c r="C522" s="9"/>
      <c r="D522" s="9"/>
      <c r="E522" s="9"/>
      <c r="F522" s="165"/>
      <c r="H522" s="166"/>
    </row>
    <row r="523" spans="3:8" ht="15.75" customHeight="1" x14ac:dyDescent="0.2">
      <c r="C523" s="9"/>
      <c r="D523" s="9"/>
      <c r="E523" s="9"/>
      <c r="F523" s="165"/>
      <c r="H523" s="166"/>
    </row>
    <row r="524" spans="3:8" ht="15.75" customHeight="1" x14ac:dyDescent="0.2">
      <c r="C524" s="9"/>
      <c r="D524" s="9"/>
      <c r="E524" s="9"/>
      <c r="F524" s="165"/>
      <c r="H524" s="166"/>
    </row>
    <row r="525" spans="3:8" ht="15.75" customHeight="1" x14ac:dyDescent="0.2">
      <c r="C525" s="9"/>
      <c r="D525" s="9"/>
      <c r="E525" s="9"/>
      <c r="F525" s="165"/>
      <c r="H525" s="166"/>
    </row>
    <row r="526" spans="3:8" ht="15.75" customHeight="1" x14ac:dyDescent="0.2">
      <c r="C526" s="9"/>
      <c r="D526" s="9"/>
      <c r="E526" s="9"/>
      <c r="F526" s="165"/>
      <c r="H526" s="166"/>
    </row>
    <row r="527" spans="3:8" ht="15.75" customHeight="1" x14ac:dyDescent="0.2">
      <c r="C527" s="9"/>
      <c r="D527" s="9"/>
      <c r="E527" s="9"/>
      <c r="F527" s="165"/>
      <c r="H527" s="166"/>
    </row>
    <row r="528" spans="3:8" ht="15.75" customHeight="1" x14ac:dyDescent="0.2">
      <c r="C528" s="9"/>
      <c r="D528" s="9"/>
      <c r="E528" s="9"/>
      <c r="F528" s="165"/>
      <c r="H528" s="166"/>
    </row>
    <row r="529" spans="3:8" ht="15.75" customHeight="1" x14ac:dyDescent="0.2">
      <c r="C529" s="9"/>
      <c r="D529" s="9"/>
      <c r="E529" s="9"/>
      <c r="F529" s="165"/>
      <c r="H529" s="166"/>
    </row>
    <row r="530" spans="3:8" ht="15.75" customHeight="1" x14ac:dyDescent="0.2">
      <c r="C530" s="9"/>
      <c r="D530" s="9"/>
      <c r="E530" s="9"/>
      <c r="F530" s="165"/>
      <c r="H530" s="166"/>
    </row>
    <row r="531" spans="3:8" ht="15.75" customHeight="1" x14ac:dyDescent="0.2">
      <c r="C531" s="9"/>
      <c r="D531" s="9"/>
      <c r="E531" s="9"/>
      <c r="F531" s="165"/>
      <c r="H531" s="166"/>
    </row>
    <row r="532" spans="3:8" ht="15.75" customHeight="1" x14ac:dyDescent="0.2">
      <c r="C532" s="9"/>
      <c r="D532" s="9"/>
      <c r="E532" s="9"/>
      <c r="F532" s="165"/>
      <c r="H532" s="166"/>
    </row>
    <row r="533" spans="3:8" ht="15.75" customHeight="1" x14ac:dyDescent="0.2">
      <c r="C533" s="9"/>
      <c r="D533" s="9"/>
      <c r="E533" s="9"/>
      <c r="F533" s="165"/>
      <c r="H533" s="166"/>
    </row>
    <row r="534" spans="3:8" ht="15.75" customHeight="1" x14ac:dyDescent="0.2">
      <c r="C534" s="9"/>
      <c r="D534" s="9"/>
      <c r="E534" s="9"/>
      <c r="F534" s="165"/>
      <c r="H534" s="166"/>
    </row>
    <row r="535" spans="3:8" ht="15.75" customHeight="1" x14ac:dyDescent="0.2">
      <c r="C535" s="9"/>
      <c r="D535" s="9"/>
      <c r="E535" s="9"/>
      <c r="F535" s="165"/>
      <c r="H535" s="166"/>
    </row>
    <row r="536" spans="3:8" ht="15.75" customHeight="1" x14ac:dyDescent="0.2">
      <c r="C536" s="9"/>
      <c r="D536" s="9"/>
      <c r="E536" s="9"/>
      <c r="F536" s="165"/>
      <c r="H536" s="166"/>
    </row>
    <row r="537" spans="3:8" ht="15.75" customHeight="1" x14ac:dyDescent="0.2">
      <c r="C537" s="9"/>
      <c r="D537" s="9"/>
      <c r="E537" s="9"/>
      <c r="F537" s="165"/>
      <c r="H537" s="166"/>
    </row>
    <row r="538" spans="3:8" ht="15.75" customHeight="1" x14ac:dyDescent="0.2">
      <c r="C538" s="9"/>
      <c r="D538" s="9"/>
      <c r="E538" s="9"/>
      <c r="F538" s="165"/>
      <c r="H538" s="166"/>
    </row>
    <row r="539" spans="3:8" ht="15.75" customHeight="1" x14ac:dyDescent="0.2">
      <c r="C539" s="9"/>
      <c r="D539" s="9"/>
      <c r="E539" s="9"/>
      <c r="F539" s="165"/>
      <c r="H539" s="166"/>
    </row>
    <row r="540" spans="3:8" ht="15.75" customHeight="1" x14ac:dyDescent="0.2">
      <c r="C540" s="9"/>
      <c r="D540" s="9"/>
      <c r="E540" s="9"/>
      <c r="F540" s="165"/>
      <c r="H540" s="166"/>
    </row>
    <row r="541" spans="3:8" ht="15.75" customHeight="1" x14ac:dyDescent="0.2">
      <c r="C541" s="9"/>
      <c r="D541" s="9"/>
      <c r="E541" s="9"/>
      <c r="F541" s="165"/>
      <c r="H541" s="166"/>
    </row>
    <row r="542" spans="3:8" ht="15.75" customHeight="1" x14ac:dyDescent="0.2">
      <c r="C542" s="9"/>
      <c r="D542" s="9"/>
      <c r="E542" s="9"/>
      <c r="F542" s="165"/>
      <c r="H542" s="166"/>
    </row>
    <row r="543" spans="3:8" ht="15.75" customHeight="1" x14ac:dyDescent="0.2">
      <c r="C543" s="9"/>
      <c r="D543" s="9"/>
      <c r="E543" s="9"/>
      <c r="F543" s="165"/>
      <c r="H543" s="166"/>
    </row>
    <row r="544" spans="3:8" ht="15.75" customHeight="1" x14ac:dyDescent="0.2">
      <c r="C544" s="9"/>
      <c r="D544" s="9"/>
      <c r="E544" s="9"/>
      <c r="F544" s="165"/>
      <c r="H544" s="166"/>
    </row>
    <row r="545" spans="3:8" ht="15.75" customHeight="1" x14ac:dyDescent="0.2">
      <c r="C545" s="9"/>
      <c r="D545" s="9"/>
      <c r="E545" s="9"/>
      <c r="F545" s="165"/>
      <c r="H545" s="166"/>
    </row>
    <row r="546" spans="3:8" ht="15.75" customHeight="1" x14ac:dyDescent="0.2">
      <c r="C546" s="9"/>
      <c r="D546" s="9"/>
      <c r="E546" s="9"/>
      <c r="F546" s="165"/>
      <c r="H546" s="166"/>
    </row>
    <row r="547" spans="3:8" ht="15.75" customHeight="1" x14ac:dyDescent="0.2">
      <c r="C547" s="9"/>
      <c r="D547" s="9"/>
      <c r="E547" s="9"/>
      <c r="F547" s="165"/>
      <c r="H547" s="166"/>
    </row>
    <row r="548" spans="3:8" ht="15.75" customHeight="1" x14ac:dyDescent="0.2">
      <c r="C548" s="9"/>
      <c r="D548" s="9"/>
      <c r="E548" s="9"/>
      <c r="F548" s="165"/>
      <c r="H548" s="166"/>
    </row>
    <row r="549" spans="3:8" ht="15.75" customHeight="1" x14ac:dyDescent="0.2">
      <c r="C549" s="9"/>
      <c r="D549" s="9"/>
      <c r="E549" s="9"/>
      <c r="F549" s="165"/>
      <c r="H549" s="166"/>
    </row>
    <row r="550" spans="3:8" ht="15.75" customHeight="1" x14ac:dyDescent="0.2">
      <c r="C550" s="9"/>
      <c r="D550" s="9"/>
      <c r="E550" s="9"/>
      <c r="F550" s="165"/>
      <c r="H550" s="166"/>
    </row>
    <row r="551" spans="3:8" ht="15.75" customHeight="1" x14ac:dyDescent="0.2">
      <c r="C551" s="9"/>
      <c r="D551" s="9"/>
      <c r="E551" s="9"/>
      <c r="F551" s="165"/>
      <c r="H551" s="166"/>
    </row>
    <row r="552" spans="3:8" ht="15.75" customHeight="1" x14ac:dyDescent="0.2">
      <c r="C552" s="9"/>
      <c r="D552" s="9"/>
      <c r="E552" s="9"/>
      <c r="F552" s="165"/>
      <c r="H552" s="166"/>
    </row>
    <row r="553" spans="3:8" ht="15.75" customHeight="1" x14ac:dyDescent="0.2">
      <c r="C553" s="9"/>
      <c r="D553" s="9"/>
      <c r="E553" s="9"/>
      <c r="F553" s="165"/>
      <c r="H553" s="166"/>
    </row>
    <row r="554" spans="3:8" ht="15.75" customHeight="1" x14ac:dyDescent="0.2">
      <c r="C554" s="9"/>
      <c r="D554" s="9"/>
      <c r="E554" s="9"/>
      <c r="F554" s="165"/>
      <c r="H554" s="166"/>
    </row>
    <row r="555" spans="3:8" ht="15.75" customHeight="1" x14ac:dyDescent="0.2">
      <c r="C555" s="9"/>
      <c r="D555" s="9"/>
      <c r="E555" s="9"/>
      <c r="F555" s="165"/>
      <c r="H555" s="166"/>
    </row>
    <row r="556" spans="3:8" ht="15.75" customHeight="1" x14ac:dyDescent="0.2">
      <c r="C556" s="9"/>
      <c r="D556" s="9"/>
      <c r="E556" s="9"/>
      <c r="F556" s="165"/>
      <c r="H556" s="166"/>
    </row>
    <row r="557" spans="3:8" ht="15.75" customHeight="1" x14ac:dyDescent="0.2">
      <c r="C557" s="9"/>
      <c r="D557" s="9"/>
      <c r="E557" s="9"/>
      <c r="F557" s="165"/>
      <c r="H557" s="166"/>
    </row>
    <row r="558" spans="3:8" ht="15.75" customHeight="1" x14ac:dyDescent="0.2">
      <c r="C558" s="9"/>
      <c r="D558" s="9"/>
      <c r="E558" s="9"/>
      <c r="F558" s="165"/>
      <c r="H558" s="166"/>
    </row>
    <row r="559" spans="3:8" ht="15.75" customHeight="1" x14ac:dyDescent="0.2">
      <c r="C559" s="9"/>
      <c r="D559" s="9"/>
      <c r="E559" s="9"/>
      <c r="F559" s="165"/>
      <c r="H559" s="166"/>
    </row>
    <row r="560" spans="3:8" ht="15.75" customHeight="1" x14ac:dyDescent="0.2">
      <c r="C560" s="9"/>
      <c r="D560" s="9"/>
      <c r="E560" s="9"/>
      <c r="F560" s="165"/>
      <c r="H560" s="166"/>
    </row>
    <row r="561" spans="3:8" ht="15.75" customHeight="1" x14ac:dyDescent="0.2">
      <c r="C561" s="9"/>
      <c r="D561" s="9"/>
      <c r="E561" s="9"/>
      <c r="F561" s="165"/>
      <c r="H561" s="166"/>
    </row>
    <row r="562" spans="3:8" ht="15.75" customHeight="1" x14ac:dyDescent="0.2">
      <c r="C562" s="9"/>
      <c r="D562" s="9"/>
      <c r="E562" s="9"/>
      <c r="F562" s="165"/>
      <c r="H562" s="166"/>
    </row>
    <row r="563" spans="3:8" ht="15.75" customHeight="1" x14ac:dyDescent="0.2">
      <c r="C563" s="9"/>
      <c r="D563" s="9"/>
      <c r="E563" s="9"/>
      <c r="F563" s="165"/>
      <c r="H563" s="166"/>
    </row>
    <row r="564" spans="3:8" ht="15.75" customHeight="1" x14ac:dyDescent="0.2">
      <c r="C564" s="9"/>
      <c r="D564" s="9"/>
      <c r="E564" s="9"/>
      <c r="F564" s="165"/>
      <c r="H564" s="166"/>
    </row>
    <row r="565" spans="3:8" ht="15.75" customHeight="1" x14ac:dyDescent="0.2">
      <c r="C565" s="9"/>
      <c r="D565" s="9"/>
      <c r="E565" s="9"/>
      <c r="F565" s="165"/>
      <c r="H565" s="166"/>
    </row>
    <row r="566" spans="3:8" ht="15.75" customHeight="1" x14ac:dyDescent="0.2">
      <c r="C566" s="9"/>
      <c r="D566" s="9"/>
      <c r="E566" s="9"/>
      <c r="F566" s="165"/>
      <c r="H566" s="166"/>
    </row>
    <row r="567" spans="3:8" ht="15.75" customHeight="1" x14ac:dyDescent="0.2">
      <c r="C567" s="9"/>
      <c r="D567" s="9"/>
      <c r="E567" s="9"/>
      <c r="F567" s="165"/>
      <c r="H567" s="166"/>
    </row>
    <row r="568" spans="3:8" ht="15.75" customHeight="1" x14ac:dyDescent="0.2">
      <c r="C568" s="9"/>
      <c r="D568" s="9"/>
      <c r="E568" s="9"/>
      <c r="F568" s="165"/>
      <c r="H568" s="166"/>
    </row>
    <row r="569" spans="3:8" ht="15.75" customHeight="1" x14ac:dyDescent="0.2">
      <c r="C569" s="9"/>
      <c r="D569" s="9"/>
      <c r="E569" s="9"/>
      <c r="F569" s="165"/>
      <c r="H569" s="166"/>
    </row>
    <row r="570" spans="3:8" ht="15.75" customHeight="1" x14ac:dyDescent="0.2">
      <c r="C570" s="9"/>
      <c r="D570" s="9"/>
      <c r="E570" s="9"/>
      <c r="F570" s="165"/>
      <c r="H570" s="166"/>
    </row>
    <row r="571" spans="3:8" ht="15.75" customHeight="1" x14ac:dyDescent="0.2">
      <c r="C571" s="9"/>
      <c r="D571" s="9"/>
      <c r="E571" s="9"/>
      <c r="F571" s="165"/>
      <c r="H571" s="166"/>
    </row>
    <row r="572" spans="3:8" ht="15.75" customHeight="1" x14ac:dyDescent="0.2">
      <c r="C572" s="9"/>
      <c r="D572" s="9"/>
      <c r="E572" s="9"/>
      <c r="F572" s="165"/>
      <c r="H572" s="166"/>
    </row>
    <row r="573" spans="3:8" ht="15.75" customHeight="1" x14ac:dyDescent="0.2">
      <c r="C573" s="9"/>
      <c r="D573" s="9"/>
      <c r="E573" s="9"/>
      <c r="F573" s="165"/>
      <c r="H573" s="166"/>
    </row>
    <row r="574" spans="3:8" ht="15.75" customHeight="1" x14ac:dyDescent="0.2">
      <c r="C574" s="9"/>
      <c r="D574" s="9"/>
      <c r="E574" s="9"/>
      <c r="F574" s="165"/>
      <c r="H574" s="166"/>
    </row>
    <row r="575" spans="3:8" ht="15.75" customHeight="1" x14ac:dyDescent="0.2">
      <c r="C575" s="9"/>
      <c r="D575" s="9"/>
      <c r="E575" s="9"/>
      <c r="F575" s="165"/>
      <c r="H575" s="166"/>
    </row>
    <row r="576" spans="3:8" ht="15.75" customHeight="1" x14ac:dyDescent="0.2">
      <c r="C576" s="9"/>
      <c r="D576" s="9"/>
      <c r="E576" s="9"/>
      <c r="F576" s="165"/>
      <c r="H576" s="166"/>
    </row>
    <row r="577" spans="3:8" ht="15.75" customHeight="1" x14ac:dyDescent="0.2">
      <c r="C577" s="9"/>
      <c r="D577" s="9"/>
      <c r="E577" s="9"/>
      <c r="F577" s="165"/>
      <c r="H577" s="166"/>
    </row>
    <row r="578" spans="3:8" ht="15.75" customHeight="1" x14ac:dyDescent="0.2">
      <c r="C578" s="9"/>
      <c r="D578" s="9"/>
      <c r="E578" s="9"/>
      <c r="F578" s="165"/>
      <c r="H578" s="166"/>
    </row>
    <row r="579" spans="3:8" ht="15.75" customHeight="1" x14ac:dyDescent="0.2">
      <c r="C579" s="9"/>
      <c r="D579" s="9"/>
      <c r="E579" s="9"/>
      <c r="F579" s="165"/>
      <c r="H579" s="166"/>
    </row>
    <row r="580" spans="3:8" ht="15.75" customHeight="1" x14ac:dyDescent="0.2">
      <c r="C580" s="9"/>
      <c r="D580" s="9"/>
      <c r="E580" s="9"/>
      <c r="F580" s="165"/>
      <c r="H580" s="166"/>
    </row>
    <row r="581" spans="3:8" ht="15.75" customHeight="1" x14ac:dyDescent="0.2">
      <c r="C581" s="9"/>
      <c r="D581" s="9"/>
      <c r="E581" s="9"/>
      <c r="F581" s="165"/>
      <c r="H581" s="166"/>
    </row>
    <row r="582" spans="3:8" ht="15.75" customHeight="1" x14ac:dyDescent="0.2">
      <c r="C582" s="9"/>
      <c r="D582" s="9"/>
      <c r="E582" s="9"/>
      <c r="F582" s="165"/>
      <c r="H582" s="166"/>
    </row>
    <row r="583" spans="3:8" ht="15.75" customHeight="1" x14ac:dyDescent="0.2">
      <c r="C583" s="9"/>
      <c r="D583" s="9"/>
      <c r="E583" s="9"/>
      <c r="F583" s="165"/>
      <c r="H583" s="166"/>
    </row>
    <row r="584" spans="3:8" ht="15.75" customHeight="1" x14ac:dyDescent="0.2">
      <c r="C584" s="9"/>
      <c r="D584" s="9"/>
      <c r="E584" s="9"/>
      <c r="F584" s="165"/>
      <c r="H584" s="166"/>
    </row>
    <row r="585" spans="3:8" ht="15.75" customHeight="1" x14ac:dyDescent="0.2">
      <c r="C585" s="9"/>
      <c r="D585" s="9"/>
      <c r="E585" s="9"/>
      <c r="F585" s="165"/>
      <c r="H585" s="166"/>
    </row>
    <row r="586" spans="3:8" ht="15.75" customHeight="1" x14ac:dyDescent="0.2">
      <c r="C586" s="9"/>
      <c r="D586" s="9"/>
      <c r="E586" s="9"/>
      <c r="F586" s="165"/>
      <c r="H586" s="166"/>
    </row>
    <row r="587" spans="3:8" ht="15.75" customHeight="1" x14ac:dyDescent="0.2">
      <c r="C587" s="9"/>
      <c r="D587" s="9"/>
      <c r="E587" s="9"/>
      <c r="F587" s="165"/>
      <c r="H587" s="166"/>
    </row>
    <row r="588" spans="3:8" ht="15.75" customHeight="1" x14ac:dyDescent="0.2">
      <c r="C588" s="9"/>
      <c r="D588" s="9"/>
      <c r="E588" s="9"/>
      <c r="F588" s="165"/>
      <c r="H588" s="166"/>
    </row>
    <row r="589" spans="3:8" ht="15.75" customHeight="1" x14ac:dyDescent="0.2">
      <c r="C589" s="9"/>
      <c r="D589" s="9"/>
      <c r="E589" s="9"/>
      <c r="F589" s="165"/>
      <c r="H589" s="166"/>
    </row>
    <row r="590" spans="3:8" ht="15.75" customHeight="1" x14ac:dyDescent="0.2">
      <c r="C590" s="9"/>
      <c r="D590" s="9"/>
      <c r="E590" s="9"/>
      <c r="F590" s="165"/>
      <c r="H590" s="166"/>
    </row>
    <row r="591" spans="3:8" ht="15.75" customHeight="1" x14ac:dyDescent="0.2">
      <c r="C591" s="9"/>
      <c r="D591" s="9"/>
      <c r="E591" s="9"/>
      <c r="F591" s="165"/>
      <c r="H591" s="166"/>
    </row>
    <row r="592" spans="3:8" ht="15.75" customHeight="1" x14ac:dyDescent="0.2">
      <c r="C592" s="9"/>
      <c r="D592" s="9"/>
      <c r="E592" s="9"/>
      <c r="F592" s="165"/>
      <c r="H592" s="166"/>
    </row>
    <row r="593" spans="3:8" ht="15.75" customHeight="1" x14ac:dyDescent="0.2">
      <c r="C593" s="9"/>
      <c r="D593" s="9"/>
      <c r="E593" s="9"/>
      <c r="F593" s="165"/>
      <c r="H593" s="166"/>
    </row>
    <row r="594" spans="3:8" ht="15.75" customHeight="1" x14ac:dyDescent="0.2">
      <c r="C594" s="9"/>
      <c r="D594" s="9"/>
      <c r="E594" s="9"/>
      <c r="F594" s="165"/>
      <c r="H594" s="166"/>
    </row>
    <row r="595" spans="3:8" ht="15.75" customHeight="1" x14ac:dyDescent="0.2">
      <c r="C595" s="9"/>
      <c r="D595" s="9"/>
      <c r="E595" s="9"/>
      <c r="F595" s="165"/>
      <c r="H595" s="166"/>
    </row>
    <row r="596" spans="3:8" ht="15.75" customHeight="1" x14ac:dyDescent="0.2">
      <c r="C596" s="9"/>
      <c r="D596" s="9"/>
      <c r="E596" s="9"/>
      <c r="F596" s="165"/>
      <c r="H596" s="166"/>
    </row>
    <row r="597" spans="3:8" ht="15.75" customHeight="1" x14ac:dyDescent="0.2">
      <c r="C597" s="9"/>
      <c r="D597" s="9"/>
      <c r="E597" s="9"/>
      <c r="F597" s="165"/>
      <c r="H597" s="166"/>
    </row>
    <row r="598" spans="3:8" ht="15.75" customHeight="1" x14ac:dyDescent="0.2">
      <c r="C598" s="9"/>
      <c r="D598" s="9"/>
      <c r="E598" s="9"/>
      <c r="F598" s="165"/>
      <c r="H598" s="166"/>
    </row>
    <row r="599" spans="3:8" ht="15.75" customHeight="1" x14ac:dyDescent="0.2">
      <c r="C599" s="9"/>
      <c r="D599" s="9"/>
      <c r="E599" s="9"/>
      <c r="F599" s="165"/>
      <c r="H599" s="166"/>
    </row>
    <row r="600" spans="3:8" ht="15.75" customHeight="1" x14ac:dyDescent="0.2">
      <c r="C600" s="9"/>
      <c r="D600" s="9"/>
      <c r="E600" s="9"/>
      <c r="F600" s="165"/>
      <c r="H600" s="166"/>
    </row>
    <row r="601" spans="3:8" ht="15.75" customHeight="1" x14ac:dyDescent="0.2">
      <c r="C601" s="9"/>
      <c r="D601" s="9"/>
      <c r="E601" s="9"/>
      <c r="F601" s="165"/>
      <c r="H601" s="166"/>
    </row>
    <row r="602" spans="3:8" ht="15.75" customHeight="1" x14ac:dyDescent="0.2">
      <c r="C602" s="9"/>
      <c r="D602" s="9"/>
      <c r="E602" s="9"/>
      <c r="F602" s="165"/>
      <c r="H602" s="166"/>
    </row>
    <row r="603" spans="3:8" ht="15.75" customHeight="1" x14ac:dyDescent="0.2">
      <c r="C603" s="9"/>
      <c r="D603" s="9"/>
      <c r="E603" s="9"/>
      <c r="F603" s="165"/>
      <c r="H603" s="166"/>
    </row>
    <row r="604" spans="3:8" ht="15.75" customHeight="1" x14ac:dyDescent="0.2">
      <c r="C604" s="9"/>
      <c r="D604" s="9"/>
      <c r="E604" s="9"/>
      <c r="F604" s="165"/>
      <c r="H604" s="166"/>
    </row>
    <row r="605" spans="3:8" ht="15.75" customHeight="1" x14ac:dyDescent="0.2">
      <c r="C605" s="9"/>
      <c r="D605" s="9"/>
      <c r="E605" s="9"/>
      <c r="F605" s="165"/>
      <c r="H605" s="166"/>
    </row>
    <row r="606" spans="3:8" ht="15.75" customHeight="1" x14ac:dyDescent="0.2">
      <c r="C606" s="9"/>
      <c r="D606" s="9"/>
      <c r="E606" s="9"/>
      <c r="F606" s="165"/>
      <c r="H606" s="166"/>
    </row>
    <row r="607" spans="3:8" ht="15.75" customHeight="1" x14ac:dyDescent="0.2">
      <c r="C607" s="9"/>
      <c r="D607" s="9"/>
      <c r="E607" s="9"/>
      <c r="F607" s="165"/>
      <c r="H607" s="166"/>
    </row>
    <row r="608" spans="3:8" ht="15.75" customHeight="1" x14ac:dyDescent="0.2">
      <c r="C608" s="9"/>
      <c r="D608" s="9"/>
      <c r="E608" s="9"/>
      <c r="F608" s="165"/>
      <c r="H608" s="166"/>
    </row>
    <row r="609" spans="3:8" ht="15.75" customHeight="1" x14ac:dyDescent="0.2">
      <c r="C609" s="9"/>
      <c r="D609" s="9"/>
      <c r="E609" s="9"/>
      <c r="F609" s="165"/>
      <c r="H609" s="166"/>
    </row>
    <row r="610" spans="3:8" ht="15.75" customHeight="1" x14ac:dyDescent="0.2">
      <c r="C610" s="9"/>
      <c r="D610" s="9"/>
      <c r="E610" s="9"/>
      <c r="F610" s="165"/>
      <c r="H610" s="166"/>
    </row>
    <row r="611" spans="3:8" ht="15.75" customHeight="1" x14ac:dyDescent="0.2">
      <c r="C611" s="9"/>
      <c r="D611" s="9"/>
      <c r="E611" s="9"/>
      <c r="F611" s="165"/>
      <c r="H611" s="166"/>
    </row>
    <row r="612" spans="3:8" ht="15.75" customHeight="1" x14ac:dyDescent="0.2">
      <c r="C612" s="9"/>
      <c r="D612" s="9"/>
      <c r="E612" s="9"/>
      <c r="F612" s="165"/>
      <c r="H612" s="166"/>
    </row>
    <row r="613" spans="3:8" ht="15.75" customHeight="1" x14ac:dyDescent="0.2">
      <c r="C613" s="9"/>
      <c r="D613" s="9"/>
      <c r="E613" s="9"/>
      <c r="F613" s="165"/>
      <c r="H613" s="166"/>
    </row>
    <row r="614" spans="3:8" ht="15.75" customHeight="1" x14ac:dyDescent="0.2">
      <c r="C614" s="9"/>
      <c r="D614" s="9"/>
      <c r="E614" s="9"/>
      <c r="F614" s="165"/>
      <c r="H614" s="166"/>
    </row>
    <row r="615" spans="3:8" ht="15.75" customHeight="1" x14ac:dyDescent="0.2">
      <c r="C615" s="9"/>
      <c r="D615" s="9"/>
      <c r="E615" s="9"/>
      <c r="F615" s="165"/>
      <c r="H615" s="166"/>
    </row>
    <row r="616" spans="3:8" ht="15.75" customHeight="1" x14ac:dyDescent="0.2">
      <c r="C616" s="9"/>
      <c r="D616" s="9"/>
      <c r="E616" s="9"/>
      <c r="F616" s="165"/>
      <c r="H616" s="166"/>
    </row>
    <row r="617" spans="3:8" ht="15.75" customHeight="1" x14ac:dyDescent="0.2">
      <c r="C617" s="9"/>
      <c r="D617" s="9"/>
      <c r="E617" s="9"/>
      <c r="F617" s="165"/>
      <c r="H617" s="166"/>
    </row>
    <row r="618" spans="3:8" ht="15.75" customHeight="1" x14ac:dyDescent="0.2">
      <c r="C618" s="9"/>
      <c r="D618" s="9"/>
      <c r="E618" s="9"/>
      <c r="F618" s="165"/>
      <c r="H618" s="166"/>
    </row>
    <row r="619" spans="3:8" ht="15.75" customHeight="1" x14ac:dyDescent="0.2">
      <c r="C619" s="9"/>
      <c r="D619" s="9"/>
      <c r="E619" s="9"/>
      <c r="F619" s="165"/>
      <c r="H619" s="166"/>
    </row>
    <row r="620" spans="3:8" ht="15.75" customHeight="1" x14ac:dyDescent="0.2">
      <c r="C620" s="9"/>
      <c r="D620" s="9"/>
      <c r="E620" s="9"/>
      <c r="F620" s="165"/>
      <c r="H620" s="166"/>
    </row>
    <row r="621" spans="3:8" ht="15.75" customHeight="1" x14ac:dyDescent="0.2">
      <c r="C621" s="9"/>
      <c r="D621" s="9"/>
      <c r="E621" s="9"/>
      <c r="F621" s="165"/>
      <c r="H621" s="166"/>
    </row>
    <row r="622" spans="3:8" ht="15.75" customHeight="1" x14ac:dyDescent="0.2">
      <c r="C622" s="9"/>
      <c r="D622" s="9"/>
      <c r="E622" s="9"/>
      <c r="F622" s="165"/>
      <c r="H622" s="166"/>
    </row>
    <row r="623" spans="3:8" ht="15.75" customHeight="1" x14ac:dyDescent="0.2">
      <c r="C623" s="9"/>
      <c r="D623" s="9"/>
      <c r="E623" s="9"/>
      <c r="F623" s="165"/>
      <c r="H623" s="166"/>
    </row>
    <row r="624" spans="3:8" ht="15.75" customHeight="1" x14ac:dyDescent="0.2">
      <c r="C624" s="9"/>
      <c r="D624" s="9"/>
      <c r="E624" s="9"/>
      <c r="F624" s="165"/>
      <c r="H624" s="166"/>
    </row>
    <row r="625" spans="3:8" ht="15.75" customHeight="1" x14ac:dyDescent="0.2">
      <c r="C625" s="9"/>
      <c r="D625" s="9"/>
      <c r="E625" s="9"/>
      <c r="F625" s="165"/>
      <c r="H625" s="166"/>
    </row>
    <row r="626" spans="3:8" ht="15.75" customHeight="1" x14ac:dyDescent="0.2">
      <c r="C626" s="9"/>
      <c r="D626" s="9"/>
      <c r="E626" s="9"/>
      <c r="F626" s="165"/>
      <c r="H626" s="166"/>
    </row>
    <row r="627" spans="3:8" ht="15.75" customHeight="1" x14ac:dyDescent="0.2">
      <c r="C627" s="9"/>
      <c r="D627" s="9"/>
      <c r="E627" s="9"/>
      <c r="F627" s="165"/>
      <c r="H627" s="166"/>
    </row>
    <row r="628" spans="3:8" ht="15.75" customHeight="1" x14ac:dyDescent="0.2">
      <c r="C628" s="9"/>
      <c r="D628" s="9"/>
      <c r="E628" s="9"/>
      <c r="F628" s="165"/>
      <c r="H628" s="166"/>
    </row>
    <row r="629" spans="3:8" ht="15.75" customHeight="1" x14ac:dyDescent="0.2">
      <c r="C629" s="9"/>
      <c r="D629" s="9"/>
      <c r="E629" s="9"/>
      <c r="F629" s="165"/>
      <c r="H629" s="166"/>
    </row>
    <row r="630" spans="3:8" ht="15.75" customHeight="1" x14ac:dyDescent="0.2">
      <c r="C630" s="9"/>
      <c r="D630" s="9"/>
      <c r="E630" s="9"/>
      <c r="F630" s="165"/>
      <c r="H630" s="166"/>
    </row>
    <row r="631" spans="3:8" ht="15.75" customHeight="1" x14ac:dyDescent="0.2">
      <c r="C631" s="9"/>
      <c r="D631" s="9"/>
      <c r="E631" s="9"/>
      <c r="F631" s="165"/>
      <c r="H631" s="166"/>
    </row>
    <row r="632" spans="3:8" ht="15.75" customHeight="1" x14ac:dyDescent="0.2">
      <c r="C632" s="9"/>
      <c r="D632" s="9"/>
      <c r="E632" s="9"/>
      <c r="F632" s="165"/>
      <c r="H632" s="166"/>
    </row>
    <row r="633" spans="3:8" ht="15.75" customHeight="1" x14ac:dyDescent="0.2">
      <c r="C633" s="9"/>
      <c r="D633" s="9"/>
      <c r="E633" s="9"/>
      <c r="F633" s="165"/>
      <c r="H633" s="166"/>
    </row>
    <row r="634" spans="3:8" ht="15.75" customHeight="1" x14ac:dyDescent="0.2">
      <c r="C634" s="9"/>
      <c r="D634" s="9"/>
      <c r="E634" s="9"/>
      <c r="F634" s="165"/>
      <c r="H634" s="166"/>
    </row>
    <row r="635" spans="3:8" ht="15.75" customHeight="1" x14ac:dyDescent="0.2">
      <c r="C635" s="9"/>
      <c r="D635" s="9"/>
      <c r="E635" s="9"/>
      <c r="F635" s="165"/>
      <c r="H635" s="166"/>
    </row>
    <row r="636" spans="3:8" ht="15.75" customHeight="1" x14ac:dyDescent="0.2">
      <c r="C636" s="9"/>
      <c r="D636" s="9"/>
      <c r="E636" s="9"/>
      <c r="F636" s="165"/>
      <c r="H636" s="166"/>
    </row>
    <row r="637" spans="3:8" ht="15.75" customHeight="1" x14ac:dyDescent="0.2">
      <c r="C637" s="9"/>
      <c r="D637" s="9"/>
      <c r="E637" s="9"/>
      <c r="F637" s="165"/>
      <c r="H637" s="166"/>
    </row>
    <row r="638" spans="3:8" ht="15.75" customHeight="1" x14ac:dyDescent="0.2">
      <c r="C638" s="9"/>
      <c r="D638" s="9"/>
      <c r="E638" s="9"/>
      <c r="F638" s="165"/>
      <c r="H638" s="166"/>
    </row>
    <row r="639" spans="3:8" ht="15.75" customHeight="1" x14ac:dyDescent="0.2">
      <c r="C639" s="9"/>
      <c r="D639" s="9"/>
      <c r="E639" s="9"/>
      <c r="F639" s="165"/>
      <c r="H639" s="166"/>
    </row>
    <row r="640" spans="3:8" ht="15.75" customHeight="1" x14ac:dyDescent="0.2">
      <c r="C640" s="9"/>
      <c r="D640" s="9"/>
      <c r="E640" s="9"/>
      <c r="F640" s="165"/>
      <c r="H640" s="166"/>
    </row>
    <row r="641" spans="3:8" ht="15.75" customHeight="1" x14ac:dyDescent="0.2">
      <c r="C641" s="9"/>
      <c r="D641" s="9"/>
      <c r="E641" s="9"/>
      <c r="F641" s="165"/>
      <c r="H641" s="166"/>
    </row>
    <row r="642" spans="3:8" ht="15.75" customHeight="1" x14ac:dyDescent="0.2">
      <c r="C642" s="9"/>
      <c r="D642" s="9"/>
      <c r="E642" s="9"/>
      <c r="F642" s="165"/>
      <c r="H642" s="166"/>
    </row>
    <row r="643" spans="3:8" ht="15.75" customHeight="1" x14ac:dyDescent="0.2">
      <c r="C643" s="9"/>
      <c r="D643" s="9"/>
      <c r="E643" s="9"/>
      <c r="F643" s="165"/>
      <c r="H643" s="166"/>
    </row>
    <row r="644" spans="3:8" ht="15.75" customHeight="1" x14ac:dyDescent="0.2">
      <c r="C644" s="9"/>
      <c r="D644" s="9"/>
      <c r="E644" s="9"/>
      <c r="F644" s="165"/>
      <c r="H644" s="166"/>
    </row>
    <row r="645" spans="3:8" ht="15.75" customHeight="1" x14ac:dyDescent="0.2">
      <c r="C645" s="9"/>
      <c r="D645" s="9"/>
      <c r="E645" s="9"/>
      <c r="F645" s="165"/>
      <c r="H645" s="166"/>
    </row>
    <row r="646" spans="3:8" ht="15.75" customHeight="1" x14ac:dyDescent="0.2">
      <c r="C646" s="9"/>
      <c r="D646" s="9"/>
      <c r="E646" s="9"/>
      <c r="F646" s="165"/>
      <c r="H646" s="166"/>
    </row>
    <row r="647" spans="3:8" ht="15.75" customHeight="1" x14ac:dyDescent="0.2">
      <c r="C647" s="9"/>
      <c r="D647" s="9"/>
      <c r="E647" s="9"/>
      <c r="F647" s="165"/>
      <c r="H647" s="166"/>
    </row>
    <row r="648" spans="3:8" ht="15.75" customHeight="1" x14ac:dyDescent="0.2">
      <c r="C648" s="9"/>
      <c r="D648" s="9"/>
      <c r="E648" s="9"/>
      <c r="F648" s="165"/>
      <c r="H648" s="166"/>
    </row>
    <row r="649" spans="3:8" ht="15.75" customHeight="1" x14ac:dyDescent="0.2">
      <c r="C649" s="9"/>
      <c r="D649" s="9"/>
      <c r="E649" s="9"/>
      <c r="F649" s="165"/>
      <c r="H649" s="166"/>
    </row>
    <row r="650" spans="3:8" ht="15.75" customHeight="1" x14ac:dyDescent="0.2">
      <c r="C650" s="9"/>
      <c r="D650" s="9"/>
      <c r="E650" s="9"/>
      <c r="F650" s="165"/>
      <c r="H650" s="166"/>
    </row>
    <row r="651" spans="3:8" ht="15.75" customHeight="1" x14ac:dyDescent="0.2">
      <c r="C651" s="9"/>
      <c r="D651" s="9"/>
      <c r="E651" s="9"/>
      <c r="F651" s="165"/>
      <c r="H651" s="166"/>
    </row>
    <row r="652" spans="3:8" ht="15.75" customHeight="1" x14ac:dyDescent="0.2">
      <c r="C652" s="9"/>
      <c r="D652" s="9"/>
      <c r="E652" s="9"/>
      <c r="F652" s="165"/>
      <c r="H652" s="166"/>
    </row>
    <row r="653" spans="3:8" ht="15.75" customHeight="1" x14ac:dyDescent="0.2">
      <c r="C653" s="9"/>
      <c r="D653" s="9"/>
      <c r="E653" s="9"/>
      <c r="F653" s="165"/>
      <c r="H653" s="166"/>
    </row>
    <row r="654" spans="3:8" ht="15.75" customHeight="1" x14ac:dyDescent="0.2">
      <c r="C654" s="9"/>
      <c r="D654" s="9"/>
      <c r="E654" s="9"/>
      <c r="F654" s="165"/>
      <c r="H654" s="166"/>
    </row>
    <row r="655" spans="3:8" ht="15.75" customHeight="1" x14ac:dyDescent="0.2">
      <c r="C655" s="9"/>
      <c r="D655" s="9"/>
      <c r="E655" s="9"/>
      <c r="F655" s="165"/>
      <c r="H655" s="166"/>
    </row>
    <row r="656" spans="3:8" ht="15.75" customHeight="1" x14ac:dyDescent="0.2">
      <c r="C656" s="9"/>
      <c r="D656" s="9"/>
      <c r="E656" s="9"/>
      <c r="F656" s="165"/>
      <c r="H656" s="166"/>
    </row>
    <row r="657" spans="3:8" ht="15.75" customHeight="1" x14ac:dyDescent="0.2">
      <c r="C657" s="9"/>
      <c r="D657" s="9"/>
      <c r="E657" s="9"/>
      <c r="F657" s="165"/>
      <c r="H657" s="166"/>
    </row>
    <row r="658" spans="3:8" ht="15.75" customHeight="1" x14ac:dyDescent="0.2">
      <c r="C658" s="9"/>
      <c r="D658" s="9"/>
      <c r="E658" s="9"/>
      <c r="F658" s="165"/>
      <c r="H658" s="166"/>
    </row>
    <row r="659" spans="3:8" ht="15.75" customHeight="1" x14ac:dyDescent="0.2">
      <c r="C659" s="9"/>
      <c r="D659" s="9"/>
      <c r="E659" s="9"/>
      <c r="F659" s="165"/>
      <c r="H659" s="166"/>
    </row>
    <row r="660" spans="3:8" ht="15.75" customHeight="1" x14ac:dyDescent="0.2">
      <c r="C660" s="9"/>
      <c r="D660" s="9"/>
      <c r="E660" s="9"/>
      <c r="F660" s="165"/>
      <c r="H660" s="166"/>
    </row>
    <row r="661" spans="3:8" ht="15.75" customHeight="1" x14ac:dyDescent="0.2">
      <c r="C661" s="9"/>
      <c r="D661" s="9"/>
      <c r="E661" s="9"/>
      <c r="F661" s="165"/>
      <c r="H661" s="166"/>
    </row>
    <row r="662" spans="3:8" ht="15.75" customHeight="1" x14ac:dyDescent="0.2">
      <c r="C662" s="9"/>
      <c r="D662" s="9"/>
      <c r="E662" s="9"/>
      <c r="F662" s="165"/>
      <c r="H662" s="166"/>
    </row>
    <row r="663" spans="3:8" ht="15.75" customHeight="1" x14ac:dyDescent="0.2">
      <c r="C663" s="9"/>
      <c r="D663" s="9"/>
      <c r="E663" s="9"/>
      <c r="F663" s="165"/>
      <c r="H663" s="166"/>
    </row>
    <row r="664" spans="3:8" ht="15.75" customHeight="1" x14ac:dyDescent="0.2">
      <c r="C664" s="9"/>
      <c r="D664" s="9"/>
      <c r="E664" s="9"/>
      <c r="F664" s="165"/>
      <c r="H664" s="166"/>
    </row>
    <row r="665" spans="3:8" ht="15.75" customHeight="1" x14ac:dyDescent="0.2">
      <c r="C665" s="9"/>
      <c r="D665" s="9"/>
      <c r="E665" s="9"/>
      <c r="F665" s="165"/>
      <c r="H665" s="166"/>
    </row>
    <row r="666" spans="3:8" ht="15.75" customHeight="1" x14ac:dyDescent="0.2">
      <c r="C666" s="9"/>
      <c r="D666" s="9"/>
      <c r="E666" s="9"/>
      <c r="F666" s="165"/>
      <c r="H666" s="166"/>
    </row>
    <row r="667" spans="3:8" ht="15.75" customHeight="1" x14ac:dyDescent="0.2">
      <c r="C667" s="9"/>
      <c r="D667" s="9"/>
      <c r="E667" s="9"/>
      <c r="F667" s="165"/>
      <c r="H667" s="166"/>
    </row>
    <row r="668" spans="3:8" ht="15.75" customHeight="1" x14ac:dyDescent="0.2">
      <c r="C668" s="9"/>
      <c r="D668" s="9"/>
      <c r="E668" s="9"/>
      <c r="F668" s="165"/>
      <c r="H668" s="166"/>
    </row>
    <row r="669" spans="3:8" ht="15.75" customHeight="1" x14ac:dyDescent="0.2">
      <c r="C669" s="9"/>
      <c r="D669" s="9"/>
      <c r="E669" s="9"/>
      <c r="F669" s="165"/>
      <c r="H669" s="166"/>
    </row>
    <row r="670" spans="3:8" ht="15.75" customHeight="1" x14ac:dyDescent="0.2">
      <c r="C670" s="9"/>
      <c r="D670" s="9"/>
      <c r="E670" s="9"/>
      <c r="F670" s="165"/>
      <c r="H670" s="166"/>
    </row>
    <row r="671" spans="3:8" ht="15.75" customHeight="1" x14ac:dyDescent="0.2">
      <c r="C671" s="9"/>
      <c r="D671" s="9"/>
      <c r="E671" s="9"/>
      <c r="F671" s="165"/>
      <c r="H671" s="166"/>
    </row>
    <row r="672" spans="3:8" ht="15.75" customHeight="1" x14ac:dyDescent="0.2">
      <c r="C672" s="9"/>
      <c r="D672" s="9"/>
      <c r="E672" s="9"/>
      <c r="F672" s="165"/>
      <c r="H672" s="166"/>
    </row>
    <row r="673" spans="3:8" ht="15.75" customHeight="1" x14ac:dyDescent="0.2">
      <c r="C673" s="9"/>
      <c r="D673" s="9"/>
      <c r="E673" s="9"/>
      <c r="F673" s="165"/>
      <c r="H673" s="166"/>
    </row>
    <row r="674" spans="3:8" ht="15.75" customHeight="1" x14ac:dyDescent="0.2">
      <c r="C674" s="9"/>
      <c r="D674" s="9"/>
      <c r="E674" s="9"/>
      <c r="F674" s="165"/>
      <c r="H674" s="166"/>
    </row>
    <row r="675" spans="3:8" ht="15.75" customHeight="1" x14ac:dyDescent="0.2">
      <c r="C675" s="9"/>
      <c r="D675" s="9"/>
      <c r="E675" s="9"/>
      <c r="F675" s="165"/>
      <c r="H675" s="166"/>
    </row>
    <row r="676" spans="3:8" ht="15.75" customHeight="1" x14ac:dyDescent="0.2">
      <c r="C676" s="9"/>
      <c r="D676" s="9"/>
      <c r="E676" s="9"/>
      <c r="F676" s="165"/>
      <c r="H676" s="166"/>
    </row>
    <row r="677" spans="3:8" ht="15.75" customHeight="1" x14ac:dyDescent="0.2">
      <c r="C677" s="9"/>
      <c r="D677" s="9"/>
      <c r="E677" s="9"/>
      <c r="F677" s="165"/>
      <c r="H677" s="166"/>
    </row>
    <row r="678" spans="3:8" ht="15.75" customHeight="1" x14ac:dyDescent="0.2">
      <c r="C678" s="9"/>
      <c r="D678" s="9"/>
      <c r="E678" s="9"/>
      <c r="F678" s="165"/>
      <c r="H678" s="166"/>
    </row>
    <row r="679" spans="3:8" ht="15.75" customHeight="1" x14ac:dyDescent="0.2">
      <c r="C679" s="9"/>
      <c r="D679" s="9"/>
      <c r="E679" s="9"/>
      <c r="F679" s="165"/>
      <c r="H679" s="166"/>
    </row>
    <row r="680" spans="3:8" ht="15.75" customHeight="1" x14ac:dyDescent="0.2">
      <c r="C680" s="9"/>
      <c r="D680" s="9"/>
      <c r="E680" s="9"/>
      <c r="F680" s="165"/>
      <c r="H680" s="166"/>
    </row>
    <row r="681" spans="3:8" ht="15.75" customHeight="1" x14ac:dyDescent="0.2">
      <c r="C681" s="9"/>
      <c r="D681" s="9"/>
      <c r="E681" s="9"/>
      <c r="F681" s="165"/>
      <c r="H681" s="166"/>
    </row>
    <row r="682" spans="3:8" ht="15.75" customHeight="1" x14ac:dyDescent="0.2">
      <c r="C682" s="9"/>
      <c r="D682" s="9"/>
      <c r="E682" s="9"/>
      <c r="F682" s="165"/>
      <c r="H682" s="166"/>
    </row>
    <row r="683" spans="3:8" ht="15.75" customHeight="1" x14ac:dyDescent="0.2">
      <c r="C683" s="9"/>
      <c r="D683" s="9"/>
      <c r="E683" s="9"/>
      <c r="F683" s="165"/>
      <c r="H683" s="166"/>
    </row>
    <row r="684" spans="3:8" ht="15.75" customHeight="1" x14ac:dyDescent="0.2">
      <c r="C684" s="9"/>
      <c r="D684" s="9"/>
      <c r="E684" s="9"/>
      <c r="F684" s="165"/>
      <c r="H684" s="166"/>
    </row>
    <row r="685" spans="3:8" ht="15.75" customHeight="1" x14ac:dyDescent="0.2">
      <c r="C685" s="9"/>
      <c r="D685" s="9"/>
      <c r="E685" s="9"/>
      <c r="F685" s="165"/>
      <c r="H685" s="166"/>
    </row>
    <row r="686" spans="3:8" ht="15.75" customHeight="1" x14ac:dyDescent="0.2">
      <c r="C686" s="9"/>
      <c r="D686" s="9"/>
      <c r="E686" s="9"/>
      <c r="F686" s="165"/>
      <c r="H686" s="166"/>
    </row>
    <row r="687" spans="3:8" ht="15.75" customHeight="1" x14ac:dyDescent="0.2">
      <c r="C687" s="9"/>
      <c r="D687" s="9"/>
      <c r="E687" s="9"/>
      <c r="F687" s="165"/>
      <c r="H687" s="166"/>
    </row>
    <row r="688" spans="3:8" ht="15.75" customHeight="1" x14ac:dyDescent="0.2">
      <c r="C688" s="9"/>
      <c r="D688" s="9"/>
      <c r="E688" s="9"/>
      <c r="F688" s="165"/>
      <c r="H688" s="166"/>
    </row>
    <row r="689" spans="3:8" ht="15.75" customHeight="1" x14ac:dyDescent="0.2">
      <c r="C689" s="9"/>
      <c r="D689" s="9"/>
      <c r="E689" s="9"/>
      <c r="F689" s="165"/>
      <c r="H689" s="166"/>
    </row>
    <row r="690" spans="3:8" ht="15.75" customHeight="1" x14ac:dyDescent="0.2">
      <c r="C690" s="9"/>
      <c r="D690" s="9"/>
      <c r="E690" s="9"/>
      <c r="F690" s="165"/>
      <c r="H690" s="166"/>
    </row>
    <row r="691" spans="3:8" ht="15.75" customHeight="1" x14ac:dyDescent="0.2">
      <c r="C691" s="9"/>
      <c r="D691" s="9"/>
      <c r="E691" s="9"/>
      <c r="F691" s="165"/>
      <c r="H691" s="166"/>
    </row>
    <row r="692" spans="3:8" ht="15.75" customHeight="1" x14ac:dyDescent="0.2">
      <c r="C692" s="9"/>
      <c r="D692" s="9"/>
      <c r="E692" s="9"/>
      <c r="F692" s="165"/>
      <c r="H692" s="166"/>
    </row>
    <row r="693" spans="3:8" ht="15.75" customHeight="1" x14ac:dyDescent="0.2">
      <c r="C693" s="9"/>
      <c r="D693" s="9"/>
      <c r="E693" s="9"/>
      <c r="F693" s="165"/>
      <c r="H693" s="166"/>
    </row>
    <row r="694" spans="3:8" ht="15.75" customHeight="1" x14ac:dyDescent="0.2">
      <c r="C694" s="9"/>
      <c r="D694" s="9"/>
      <c r="E694" s="9"/>
      <c r="F694" s="165"/>
      <c r="H694" s="166"/>
    </row>
    <row r="695" spans="3:8" ht="15.75" customHeight="1" x14ac:dyDescent="0.2">
      <c r="C695" s="9"/>
      <c r="D695" s="9"/>
      <c r="E695" s="9"/>
      <c r="F695" s="165"/>
      <c r="H695" s="166"/>
    </row>
    <row r="696" spans="3:8" ht="15.75" customHeight="1" x14ac:dyDescent="0.2">
      <c r="C696" s="9"/>
      <c r="D696" s="9"/>
      <c r="E696" s="9"/>
      <c r="F696" s="165"/>
      <c r="H696" s="166"/>
    </row>
    <row r="697" spans="3:8" ht="15.75" customHeight="1" x14ac:dyDescent="0.2">
      <c r="C697" s="9"/>
      <c r="D697" s="9"/>
      <c r="E697" s="9"/>
      <c r="F697" s="165"/>
      <c r="H697" s="166"/>
    </row>
    <row r="698" spans="3:8" ht="15.75" customHeight="1" x14ac:dyDescent="0.2">
      <c r="C698" s="9"/>
      <c r="D698" s="9"/>
      <c r="E698" s="9"/>
      <c r="F698" s="165"/>
      <c r="H698" s="166"/>
    </row>
    <row r="699" spans="3:8" ht="15.75" customHeight="1" x14ac:dyDescent="0.2">
      <c r="C699" s="9"/>
      <c r="D699" s="9"/>
      <c r="E699" s="9"/>
      <c r="F699" s="165"/>
      <c r="H699" s="166"/>
    </row>
    <row r="700" spans="3:8" ht="15.75" customHeight="1" x14ac:dyDescent="0.2">
      <c r="C700" s="9"/>
      <c r="D700" s="9"/>
      <c r="E700" s="9"/>
      <c r="F700" s="165"/>
      <c r="H700" s="166"/>
    </row>
    <row r="701" spans="3:8" ht="15.75" customHeight="1" x14ac:dyDescent="0.2">
      <c r="C701" s="9"/>
      <c r="D701" s="9"/>
      <c r="E701" s="9"/>
      <c r="F701" s="165"/>
      <c r="H701" s="166"/>
    </row>
    <row r="702" spans="3:8" ht="15.75" customHeight="1" x14ac:dyDescent="0.2">
      <c r="C702" s="9"/>
      <c r="D702" s="9"/>
      <c r="E702" s="9"/>
      <c r="F702" s="165"/>
      <c r="H702" s="166"/>
    </row>
    <row r="703" spans="3:8" ht="15.75" customHeight="1" x14ac:dyDescent="0.2">
      <c r="C703" s="9"/>
      <c r="D703" s="9"/>
      <c r="E703" s="9"/>
      <c r="F703" s="165"/>
      <c r="H703" s="166"/>
    </row>
    <row r="704" spans="3:8" ht="15.75" customHeight="1" x14ac:dyDescent="0.2">
      <c r="C704" s="9"/>
      <c r="D704" s="9"/>
      <c r="E704" s="9"/>
      <c r="F704" s="165"/>
      <c r="H704" s="166"/>
    </row>
    <row r="705" spans="3:8" ht="15.75" customHeight="1" x14ac:dyDescent="0.2">
      <c r="C705" s="9"/>
      <c r="D705" s="9"/>
      <c r="E705" s="9"/>
      <c r="F705" s="165"/>
      <c r="H705" s="166"/>
    </row>
    <row r="706" spans="3:8" ht="15.75" customHeight="1" x14ac:dyDescent="0.2">
      <c r="C706" s="9"/>
      <c r="D706" s="9"/>
      <c r="E706" s="9"/>
      <c r="F706" s="165"/>
      <c r="H706" s="166"/>
    </row>
    <row r="707" spans="3:8" ht="15.75" customHeight="1" x14ac:dyDescent="0.2">
      <c r="C707" s="9"/>
      <c r="D707" s="9"/>
      <c r="E707" s="9"/>
      <c r="F707" s="165"/>
      <c r="H707" s="166"/>
    </row>
    <row r="708" spans="3:8" ht="15.75" customHeight="1" x14ac:dyDescent="0.2">
      <c r="C708" s="9"/>
      <c r="D708" s="9"/>
      <c r="E708" s="9"/>
      <c r="F708" s="165"/>
      <c r="H708" s="166"/>
    </row>
    <row r="709" spans="3:8" ht="15.75" customHeight="1" x14ac:dyDescent="0.2">
      <c r="C709" s="9"/>
      <c r="D709" s="9"/>
      <c r="E709" s="9"/>
      <c r="F709" s="165"/>
      <c r="H709" s="166"/>
    </row>
    <row r="710" spans="3:8" ht="15.75" customHeight="1" x14ac:dyDescent="0.2">
      <c r="C710" s="9"/>
      <c r="D710" s="9"/>
      <c r="E710" s="9"/>
      <c r="F710" s="165"/>
      <c r="H710" s="166"/>
    </row>
    <row r="711" spans="3:8" ht="15.75" customHeight="1" x14ac:dyDescent="0.2">
      <c r="C711" s="9"/>
      <c r="D711" s="9"/>
      <c r="E711" s="9"/>
      <c r="F711" s="165"/>
      <c r="H711" s="166"/>
    </row>
    <row r="712" spans="3:8" ht="15.75" customHeight="1" x14ac:dyDescent="0.2">
      <c r="C712" s="9"/>
      <c r="D712" s="9"/>
      <c r="E712" s="9"/>
      <c r="F712" s="165"/>
      <c r="H712" s="166"/>
    </row>
    <row r="713" spans="3:8" ht="15.75" customHeight="1" x14ac:dyDescent="0.2">
      <c r="C713" s="9"/>
      <c r="D713" s="9"/>
      <c r="E713" s="9"/>
      <c r="F713" s="165"/>
      <c r="H713" s="166"/>
    </row>
    <row r="714" spans="3:8" ht="15.75" customHeight="1" x14ac:dyDescent="0.2">
      <c r="C714" s="9"/>
      <c r="D714" s="9"/>
      <c r="E714" s="9"/>
      <c r="F714" s="165"/>
      <c r="H714" s="166"/>
    </row>
    <row r="715" spans="3:8" ht="15.75" customHeight="1" x14ac:dyDescent="0.2">
      <c r="C715" s="9"/>
      <c r="D715" s="9"/>
      <c r="E715" s="9"/>
      <c r="F715" s="165"/>
      <c r="H715" s="166"/>
    </row>
    <row r="716" spans="3:8" ht="15.75" customHeight="1" x14ac:dyDescent="0.2">
      <c r="C716" s="9"/>
      <c r="D716" s="9"/>
      <c r="E716" s="9"/>
      <c r="F716" s="165"/>
      <c r="H716" s="166"/>
    </row>
    <row r="717" spans="3:8" ht="15.75" customHeight="1" x14ac:dyDescent="0.2">
      <c r="C717" s="9"/>
      <c r="D717" s="9"/>
      <c r="E717" s="9"/>
      <c r="F717" s="165"/>
      <c r="H717" s="166"/>
    </row>
    <row r="718" spans="3:8" ht="15.75" customHeight="1" x14ac:dyDescent="0.2">
      <c r="C718" s="9"/>
      <c r="D718" s="9"/>
      <c r="E718" s="9"/>
      <c r="F718" s="165"/>
      <c r="H718" s="166"/>
    </row>
    <row r="719" spans="3:8" ht="15.75" customHeight="1" x14ac:dyDescent="0.2">
      <c r="C719" s="9"/>
      <c r="D719" s="9"/>
      <c r="E719" s="9"/>
      <c r="F719" s="165"/>
      <c r="H719" s="166"/>
    </row>
    <row r="720" spans="3:8" ht="15.75" customHeight="1" x14ac:dyDescent="0.2">
      <c r="C720" s="9"/>
      <c r="D720" s="9"/>
      <c r="E720" s="9"/>
      <c r="F720" s="165"/>
      <c r="H720" s="166"/>
    </row>
    <row r="721" spans="3:8" ht="15.75" customHeight="1" x14ac:dyDescent="0.2">
      <c r="C721" s="9"/>
      <c r="D721" s="9"/>
      <c r="E721" s="9"/>
      <c r="F721" s="165"/>
      <c r="H721" s="166"/>
    </row>
    <row r="722" spans="3:8" ht="15.75" customHeight="1" x14ac:dyDescent="0.2">
      <c r="C722" s="9"/>
      <c r="D722" s="9"/>
      <c r="E722" s="9"/>
      <c r="F722" s="165"/>
      <c r="H722" s="166"/>
    </row>
    <row r="723" spans="3:8" ht="15.75" customHeight="1" x14ac:dyDescent="0.2">
      <c r="C723" s="9"/>
      <c r="D723" s="9"/>
      <c r="E723" s="9"/>
      <c r="F723" s="165"/>
      <c r="H723" s="166"/>
    </row>
    <row r="724" spans="3:8" ht="15.75" customHeight="1" x14ac:dyDescent="0.2">
      <c r="C724" s="9"/>
      <c r="D724" s="9"/>
      <c r="E724" s="9"/>
      <c r="F724" s="165"/>
      <c r="H724" s="166"/>
    </row>
    <row r="725" spans="3:8" ht="15.75" customHeight="1" x14ac:dyDescent="0.2">
      <c r="C725" s="9"/>
      <c r="D725" s="9"/>
      <c r="E725" s="9"/>
      <c r="F725" s="165"/>
      <c r="H725" s="166"/>
    </row>
    <row r="726" spans="3:8" ht="15.75" customHeight="1" x14ac:dyDescent="0.2">
      <c r="C726" s="9"/>
      <c r="D726" s="9"/>
      <c r="E726" s="9"/>
      <c r="F726" s="165"/>
      <c r="H726" s="166"/>
    </row>
    <row r="727" spans="3:8" ht="15.75" customHeight="1" x14ac:dyDescent="0.2">
      <c r="C727" s="9"/>
      <c r="D727" s="9"/>
      <c r="E727" s="9"/>
      <c r="F727" s="165"/>
      <c r="H727" s="166"/>
    </row>
    <row r="728" spans="3:8" ht="15.75" customHeight="1" x14ac:dyDescent="0.2">
      <c r="C728" s="9"/>
      <c r="D728" s="9"/>
      <c r="E728" s="9"/>
      <c r="F728" s="165"/>
      <c r="H728" s="166"/>
    </row>
    <row r="729" spans="3:8" ht="15.75" customHeight="1" x14ac:dyDescent="0.2">
      <c r="C729" s="9"/>
      <c r="D729" s="9"/>
      <c r="E729" s="9"/>
      <c r="F729" s="165"/>
      <c r="H729" s="166"/>
    </row>
    <row r="730" spans="3:8" ht="15.75" customHeight="1" x14ac:dyDescent="0.2">
      <c r="C730" s="9"/>
      <c r="D730" s="9"/>
      <c r="E730" s="9"/>
      <c r="F730" s="165"/>
      <c r="H730" s="166"/>
    </row>
    <row r="731" spans="3:8" ht="15.75" customHeight="1" x14ac:dyDescent="0.2">
      <c r="C731" s="9"/>
      <c r="D731" s="9"/>
      <c r="E731" s="9"/>
      <c r="F731" s="165"/>
      <c r="H731" s="166"/>
    </row>
    <row r="732" spans="3:8" ht="15.75" customHeight="1" x14ac:dyDescent="0.2">
      <c r="C732" s="9"/>
      <c r="D732" s="9"/>
      <c r="E732" s="9"/>
      <c r="F732" s="165"/>
      <c r="H732" s="166"/>
    </row>
    <row r="733" spans="3:8" ht="15.75" customHeight="1" x14ac:dyDescent="0.2">
      <c r="C733" s="9"/>
      <c r="D733" s="9"/>
      <c r="E733" s="9"/>
      <c r="F733" s="165"/>
      <c r="H733" s="166"/>
    </row>
    <row r="734" spans="3:8" ht="15.75" customHeight="1" x14ac:dyDescent="0.2">
      <c r="C734" s="9"/>
      <c r="D734" s="9"/>
      <c r="E734" s="9"/>
      <c r="F734" s="165"/>
      <c r="H734" s="166"/>
    </row>
    <row r="735" spans="3:8" ht="15.75" customHeight="1" x14ac:dyDescent="0.2">
      <c r="C735" s="9"/>
      <c r="D735" s="9"/>
      <c r="E735" s="9"/>
      <c r="F735" s="165"/>
      <c r="H735" s="166"/>
    </row>
    <row r="736" spans="3:8" ht="15.75" customHeight="1" x14ac:dyDescent="0.2">
      <c r="C736" s="9"/>
      <c r="D736" s="9"/>
      <c r="E736" s="9"/>
      <c r="F736" s="165"/>
      <c r="H736" s="166"/>
    </row>
    <row r="737" spans="3:8" ht="15.75" customHeight="1" x14ac:dyDescent="0.2">
      <c r="C737" s="9"/>
      <c r="D737" s="9"/>
      <c r="E737" s="9"/>
      <c r="F737" s="165"/>
      <c r="H737" s="166"/>
    </row>
    <row r="738" spans="3:8" ht="15.75" customHeight="1" x14ac:dyDescent="0.2">
      <c r="C738" s="9"/>
      <c r="D738" s="9"/>
      <c r="E738" s="9"/>
      <c r="F738" s="165"/>
      <c r="H738" s="166"/>
    </row>
    <row r="739" spans="3:8" ht="15.75" customHeight="1" x14ac:dyDescent="0.2">
      <c r="C739" s="9"/>
      <c r="D739" s="9"/>
      <c r="E739" s="9"/>
      <c r="F739" s="165"/>
      <c r="H739" s="166"/>
    </row>
    <row r="740" spans="3:8" ht="15.75" customHeight="1" x14ac:dyDescent="0.2">
      <c r="C740" s="9"/>
      <c r="D740" s="9"/>
      <c r="E740" s="9"/>
      <c r="F740" s="165"/>
      <c r="H740" s="166"/>
    </row>
    <row r="741" spans="3:8" ht="15.75" customHeight="1" x14ac:dyDescent="0.2">
      <c r="C741" s="9"/>
      <c r="D741" s="9"/>
      <c r="E741" s="9"/>
      <c r="F741" s="165"/>
      <c r="H741" s="166"/>
    </row>
    <row r="742" spans="3:8" ht="15.75" customHeight="1" x14ac:dyDescent="0.2">
      <c r="C742" s="9"/>
      <c r="D742" s="9"/>
      <c r="E742" s="9"/>
      <c r="F742" s="165"/>
      <c r="H742" s="166"/>
    </row>
    <row r="743" spans="3:8" ht="15.75" customHeight="1" x14ac:dyDescent="0.2">
      <c r="C743" s="9"/>
      <c r="D743" s="9"/>
      <c r="E743" s="9"/>
      <c r="F743" s="165"/>
      <c r="H743" s="166"/>
    </row>
    <row r="744" spans="3:8" ht="15.75" customHeight="1" x14ac:dyDescent="0.2">
      <c r="C744" s="9"/>
      <c r="D744" s="9"/>
      <c r="E744" s="9"/>
      <c r="F744" s="165"/>
      <c r="H744" s="166"/>
    </row>
    <row r="745" spans="3:8" ht="15.75" customHeight="1" x14ac:dyDescent="0.2">
      <c r="C745" s="9"/>
      <c r="D745" s="9"/>
      <c r="E745" s="9"/>
      <c r="F745" s="165"/>
      <c r="H745" s="166"/>
    </row>
    <row r="746" spans="3:8" ht="15.75" customHeight="1" x14ac:dyDescent="0.2">
      <c r="C746" s="9"/>
      <c r="D746" s="9"/>
      <c r="E746" s="9"/>
      <c r="F746" s="165"/>
      <c r="H746" s="166"/>
    </row>
    <row r="747" spans="3:8" ht="15.75" customHeight="1" x14ac:dyDescent="0.2">
      <c r="C747" s="9"/>
      <c r="D747" s="9"/>
      <c r="E747" s="9"/>
      <c r="F747" s="165"/>
      <c r="H747" s="166"/>
    </row>
    <row r="748" spans="3:8" ht="15.75" customHeight="1" x14ac:dyDescent="0.2">
      <c r="C748" s="9"/>
      <c r="D748" s="9"/>
      <c r="E748" s="9"/>
      <c r="F748" s="165"/>
      <c r="H748" s="166"/>
    </row>
    <row r="749" spans="3:8" ht="15.75" customHeight="1" x14ac:dyDescent="0.2">
      <c r="C749" s="9"/>
      <c r="D749" s="9"/>
      <c r="E749" s="9"/>
      <c r="F749" s="165"/>
      <c r="H749" s="166"/>
    </row>
    <row r="750" spans="3:8" ht="15.75" customHeight="1" x14ac:dyDescent="0.2">
      <c r="C750" s="9"/>
      <c r="D750" s="9"/>
      <c r="E750" s="9"/>
      <c r="F750" s="165"/>
      <c r="H750" s="166"/>
    </row>
    <row r="751" spans="3:8" ht="15.75" customHeight="1" x14ac:dyDescent="0.2">
      <c r="C751" s="9"/>
      <c r="D751" s="9"/>
      <c r="E751" s="9"/>
      <c r="F751" s="165"/>
      <c r="H751" s="166"/>
    </row>
    <row r="752" spans="3:8" ht="15.75" customHeight="1" x14ac:dyDescent="0.2">
      <c r="C752" s="9"/>
      <c r="D752" s="9"/>
      <c r="E752" s="9"/>
      <c r="F752" s="165"/>
      <c r="H752" s="166"/>
    </row>
    <row r="753" spans="3:8" ht="15.75" customHeight="1" x14ac:dyDescent="0.2">
      <c r="C753" s="9"/>
      <c r="D753" s="9"/>
      <c r="E753" s="9"/>
      <c r="F753" s="165"/>
      <c r="H753" s="166"/>
    </row>
    <row r="754" spans="3:8" ht="15.75" customHeight="1" x14ac:dyDescent="0.2">
      <c r="C754" s="9"/>
      <c r="D754" s="9"/>
      <c r="E754" s="9"/>
      <c r="F754" s="165"/>
      <c r="H754" s="166"/>
    </row>
    <row r="755" spans="3:8" ht="15.75" customHeight="1" x14ac:dyDescent="0.2">
      <c r="C755" s="9"/>
      <c r="D755" s="9"/>
      <c r="E755" s="9"/>
      <c r="F755" s="165"/>
      <c r="H755" s="166"/>
    </row>
    <row r="756" spans="3:8" ht="15.75" customHeight="1" x14ac:dyDescent="0.2">
      <c r="C756" s="9"/>
      <c r="D756" s="9"/>
      <c r="E756" s="9"/>
      <c r="F756" s="165"/>
      <c r="H756" s="166"/>
    </row>
    <row r="757" spans="3:8" ht="15.75" customHeight="1" x14ac:dyDescent="0.2">
      <c r="C757" s="9"/>
      <c r="D757" s="9"/>
      <c r="E757" s="9"/>
      <c r="F757" s="165"/>
      <c r="H757" s="166"/>
    </row>
    <row r="758" spans="3:8" ht="15.75" customHeight="1" x14ac:dyDescent="0.2">
      <c r="C758" s="9"/>
      <c r="D758" s="9"/>
      <c r="E758" s="9"/>
      <c r="F758" s="165"/>
      <c r="H758" s="166"/>
    </row>
    <row r="759" spans="3:8" ht="15.75" customHeight="1" x14ac:dyDescent="0.2">
      <c r="C759" s="9"/>
      <c r="D759" s="9"/>
      <c r="E759" s="9"/>
      <c r="F759" s="165"/>
      <c r="H759" s="166"/>
    </row>
    <row r="760" spans="3:8" ht="15.75" customHeight="1" x14ac:dyDescent="0.2">
      <c r="C760" s="9"/>
      <c r="D760" s="9"/>
      <c r="E760" s="9"/>
      <c r="F760" s="165"/>
      <c r="H760" s="166"/>
    </row>
    <row r="761" spans="3:8" ht="15.75" customHeight="1" x14ac:dyDescent="0.2">
      <c r="C761" s="9"/>
      <c r="D761" s="9"/>
      <c r="E761" s="9"/>
      <c r="F761" s="165"/>
      <c r="H761" s="166"/>
    </row>
    <row r="762" spans="3:8" ht="15.75" customHeight="1" x14ac:dyDescent="0.2">
      <c r="C762" s="9"/>
      <c r="D762" s="9"/>
      <c r="E762" s="9"/>
      <c r="F762" s="165"/>
      <c r="H762" s="166"/>
    </row>
    <row r="763" spans="3:8" ht="15.75" customHeight="1" x14ac:dyDescent="0.2">
      <c r="C763" s="9"/>
      <c r="D763" s="9"/>
      <c r="E763" s="9"/>
      <c r="F763" s="165"/>
      <c r="H763" s="166"/>
    </row>
    <row r="764" spans="3:8" ht="15.75" customHeight="1" x14ac:dyDescent="0.2">
      <c r="C764" s="9"/>
      <c r="D764" s="9"/>
      <c r="E764" s="9"/>
      <c r="F764" s="165"/>
      <c r="H764" s="166"/>
    </row>
    <row r="765" spans="3:8" ht="15.75" customHeight="1" x14ac:dyDescent="0.2">
      <c r="C765" s="9"/>
      <c r="D765" s="9"/>
      <c r="E765" s="9"/>
      <c r="F765" s="165"/>
      <c r="H765" s="166"/>
    </row>
    <row r="766" spans="3:8" ht="15.75" customHeight="1" x14ac:dyDescent="0.2">
      <c r="C766" s="9"/>
      <c r="D766" s="9"/>
      <c r="E766" s="9"/>
      <c r="F766" s="165"/>
      <c r="H766" s="166"/>
    </row>
    <row r="767" spans="3:8" ht="15.75" customHeight="1" x14ac:dyDescent="0.2">
      <c r="C767" s="9"/>
      <c r="D767" s="9"/>
      <c r="E767" s="9"/>
      <c r="F767" s="165"/>
      <c r="H767" s="166"/>
    </row>
    <row r="768" spans="3:8" ht="15.75" customHeight="1" x14ac:dyDescent="0.2">
      <c r="C768" s="9"/>
      <c r="D768" s="9"/>
      <c r="E768" s="9"/>
      <c r="F768" s="165"/>
      <c r="H768" s="166"/>
    </row>
    <row r="769" spans="3:8" ht="15.75" customHeight="1" x14ac:dyDescent="0.2">
      <c r="C769" s="9"/>
      <c r="D769" s="9"/>
      <c r="E769" s="9"/>
      <c r="F769" s="165"/>
      <c r="H769" s="166"/>
    </row>
    <row r="770" spans="3:8" ht="15.75" customHeight="1" x14ac:dyDescent="0.2">
      <c r="C770" s="9"/>
      <c r="D770" s="9"/>
      <c r="E770" s="9"/>
      <c r="F770" s="165"/>
      <c r="H770" s="166"/>
    </row>
    <row r="771" spans="3:8" ht="15.75" customHeight="1" x14ac:dyDescent="0.2">
      <c r="C771" s="9"/>
      <c r="D771" s="9"/>
      <c r="E771" s="9"/>
      <c r="F771" s="165"/>
      <c r="H771" s="166"/>
    </row>
    <row r="772" spans="3:8" ht="15.75" customHeight="1" x14ac:dyDescent="0.2">
      <c r="C772" s="9"/>
      <c r="D772" s="9"/>
      <c r="E772" s="9"/>
      <c r="F772" s="165"/>
      <c r="H772" s="166"/>
    </row>
    <row r="773" spans="3:8" ht="15.75" customHeight="1" x14ac:dyDescent="0.2">
      <c r="C773" s="9"/>
      <c r="D773" s="9"/>
      <c r="E773" s="9"/>
      <c r="F773" s="165"/>
      <c r="H773" s="166"/>
    </row>
    <row r="774" spans="3:8" ht="15.75" customHeight="1" x14ac:dyDescent="0.2">
      <c r="C774" s="9"/>
      <c r="D774" s="9"/>
      <c r="E774" s="9"/>
      <c r="F774" s="165"/>
      <c r="H774" s="166"/>
    </row>
    <row r="775" spans="3:8" ht="15.75" customHeight="1" x14ac:dyDescent="0.2">
      <c r="C775" s="9"/>
      <c r="D775" s="9"/>
      <c r="E775" s="9"/>
      <c r="F775" s="165"/>
      <c r="H775" s="166"/>
    </row>
    <row r="776" spans="3:8" ht="15.75" customHeight="1" x14ac:dyDescent="0.2">
      <c r="C776" s="9"/>
      <c r="D776" s="9"/>
      <c r="E776" s="9"/>
      <c r="F776" s="165"/>
      <c r="H776" s="166"/>
    </row>
    <row r="777" spans="3:8" ht="15.75" customHeight="1" x14ac:dyDescent="0.2">
      <c r="C777" s="9"/>
      <c r="D777" s="9"/>
      <c r="E777" s="9"/>
      <c r="F777" s="165"/>
      <c r="H777" s="166"/>
    </row>
    <row r="778" spans="3:8" ht="15.75" customHeight="1" x14ac:dyDescent="0.2">
      <c r="C778" s="9"/>
      <c r="D778" s="9"/>
      <c r="E778" s="9"/>
      <c r="F778" s="165"/>
      <c r="H778" s="166"/>
    </row>
    <row r="779" spans="3:8" ht="15.75" customHeight="1" x14ac:dyDescent="0.2">
      <c r="C779" s="9"/>
      <c r="D779" s="9"/>
      <c r="E779" s="9"/>
      <c r="F779" s="165"/>
      <c r="H779" s="166"/>
    </row>
    <row r="780" spans="3:8" ht="15.75" customHeight="1" x14ac:dyDescent="0.2">
      <c r="C780" s="9"/>
      <c r="D780" s="9"/>
      <c r="E780" s="9"/>
      <c r="F780" s="165"/>
      <c r="H780" s="166"/>
    </row>
    <row r="781" spans="3:8" ht="15.75" customHeight="1" x14ac:dyDescent="0.2">
      <c r="C781" s="9"/>
      <c r="D781" s="9"/>
      <c r="E781" s="9"/>
      <c r="F781" s="165"/>
      <c r="H781" s="166"/>
    </row>
    <row r="782" spans="3:8" ht="15.75" customHeight="1" x14ac:dyDescent="0.2">
      <c r="C782" s="9"/>
      <c r="D782" s="9"/>
      <c r="E782" s="9"/>
      <c r="F782" s="165"/>
      <c r="H782" s="166"/>
    </row>
    <row r="783" spans="3:8" ht="15.75" customHeight="1" x14ac:dyDescent="0.2">
      <c r="C783" s="9"/>
      <c r="D783" s="9"/>
      <c r="E783" s="9"/>
      <c r="F783" s="165"/>
      <c r="H783" s="166"/>
    </row>
    <row r="784" spans="3:8" ht="15.75" customHeight="1" x14ac:dyDescent="0.2">
      <c r="C784" s="9"/>
      <c r="D784" s="9"/>
      <c r="E784" s="9"/>
      <c r="F784" s="165"/>
      <c r="H784" s="166"/>
    </row>
    <row r="785" spans="3:8" ht="15.75" customHeight="1" x14ac:dyDescent="0.2">
      <c r="C785" s="9"/>
      <c r="D785" s="9"/>
      <c r="E785" s="9"/>
      <c r="F785" s="165"/>
      <c r="H785" s="166"/>
    </row>
    <row r="786" spans="3:8" ht="15.75" customHeight="1" x14ac:dyDescent="0.2">
      <c r="C786" s="9"/>
      <c r="D786" s="9"/>
      <c r="E786" s="9"/>
      <c r="F786" s="165"/>
      <c r="H786" s="166"/>
    </row>
    <row r="787" spans="3:8" ht="15.75" customHeight="1" x14ac:dyDescent="0.2">
      <c r="C787" s="9"/>
      <c r="D787" s="9"/>
      <c r="E787" s="9"/>
      <c r="F787" s="165"/>
      <c r="H787" s="166"/>
    </row>
    <row r="788" spans="3:8" ht="15.75" customHeight="1" x14ac:dyDescent="0.2">
      <c r="C788" s="9"/>
      <c r="D788" s="9"/>
      <c r="E788" s="9"/>
      <c r="F788" s="165"/>
      <c r="H788" s="166"/>
    </row>
    <row r="789" spans="3:8" ht="15.75" customHeight="1" x14ac:dyDescent="0.2">
      <c r="C789" s="9"/>
      <c r="D789" s="9"/>
      <c r="E789" s="9"/>
      <c r="F789" s="165"/>
      <c r="H789" s="166"/>
    </row>
    <row r="790" spans="3:8" ht="15.75" customHeight="1" x14ac:dyDescent="0.2">
      <c r="C790" s="9"/>
      <c r="D790" s="9"/>
      <c r="E790" s="9"/>
      <c r="F790" s="165"/>
      <c r="H790" s="166"/>
    </row>
    <row r="791" spans="3:8" ht="15.75" customHeight="1" x14ac:dyDescent="0.2">
      <c r="C791" s="9"/>
      <c r="D791" s="9"/>
      <c r="E791" s="9"/>
      <c r="F791" s="165"/>
      <c r="H791" s="166"/>
    </row>
    <row r="792" spans="3:8" ht="15.75" customHeight="1" x14ac:dyDescent="0.2">
      <c r="C792" s="9"/>
      <c r="D792" s="9"/>
      <c r="E792" s="9"/>
      <c r="F792" s="165"/>
      <c r="H792" s="166"/>
    </row>
    <row r="793" spans="3:8" ht="15.75" customHeight="1" x14ac:dyDescent="0.2">
      <c r="C793" s="9"/>
      <c r="D793" s="9"/>
      <c r="E793" s="9"/>
      <c r="F793" s="165"/>
      <c r="H793" s="166"/>
    </row>
    <row r="794" spans="3:8" ht="15.75" customHeight="1" x14ac:dyDescent="0.2">
      <c r="C794" s="9"/>
      <c r="D794" s="9"/>
      <c r="E794" s="9"/>
      <c r="F794" s="165"/>
      <c r="H794" s="166"/>
    </row>
    <row r="795" spans="3:8" ht="15.75" customHeight="1" x14ac:dyDescent="0.2">
      <c r="C795" s="9"/>
      <c r="D795" s="9"/>
      <c r="E795" s="9"/>
      <c r="F795" s="165"/>
      <c r="H795" s="166"/>
    </row>
    <row r="796" spans="3:8" ht="15.75" customHeight="1" x14ac:dyDescent="0.2">
      <c r="C796" s="9"/>
      <c r="D796" s="9"/>
      <c r="E796" s="9"/>
      <c r="F796" s="165"/>
      <c r="H796" s="166"/>
    </row>
    <row r="797" spans="3:8" ht="15.75" customHeight="1" x14ac:dyDescent="0.2">
      <c r="C797" s="9"/>
      <c r="D797" s="9"/>
      <c r="E797" s="9"/>
      <c r="F797" s="165"/>
      <c r="H797" s="166"/>
    </row>
    <row r="798" spans="3:8" ht="15.75" customHeight="1" x14ac:dyDescent="0.2">
      <c r="C798" s="9"/>
      <c r="D798" s="9"/>
      <c r="E798" s="9"/>
      <c r="F798" s="165"/>
      <c r="H798" s="166"/>
    </row>
    <row r="799" spans="3:8" ht="15.75" customHeight="1" x14ac:dyDescent="0.2">
      <c r="C799" s="9"/>
      <c r="D799" s="9"/>
      <c r="E799" s="9"/>
      <c r="F799" s="165"/>
      <c r="H799" s="166"/>
    </row>
    <row r="800" spans="3:8" ht="15.75" customHeight="1" x14ac:dyDescent="0.2">
      <c r="C800" s="9"/>
      <c r="D800" s="9"/>
      <c r="E800" s="9"/>
      <c r="F800" s="165"/>
      <c r="H800" s="166"/>
    </row>
    <row r="801" spans="3:8" ht="15.75" customHeight="1" x14ac:dyDescent="0.2">
      <c r="C801" s="9"/>
      <c r="D801" s="9"/>
      <c r="E801" s="9"/>
      <c r="F801" s="165"/>
      <c r="H801" s="166"/>
    </row>
    <row r="802" spans="3:8" ht="15.75" customHeight="1" x14ac:dyDescent="0.2">
      <c r="C802" s="9"/>
      <c r="D802" s="9"/>
      <c r="E802" s="9"/>
      <c r="F802" s="165"/>
      <c r="H802" s="166"/>
    </row>
    <row r="803" spans="3:8" ht="15.75" customHeight="1" x14ac:dyDescent="0.2">
      <c r="C803" s="9"/>
      <c r="D803" s="9"/>
      <c r="E803" s="9"/>
      <c r="F803" s="165"/>
      <c r="H803" s="166"/>
    </row>
    <row r="804" spans="3:8" ht="15.75" customHeight="1" x14ac:dyDescent="0.2">
      <c r="C804" s="9"/>
      <c r="D804" s="9"/>
      <c r="E804" s="9"/>
      <c r="F804" s="165"/>
      <c r="H804" s="166"/>
    </row>
    <row r="805" spans="3:8" ht="15.75" customHeight="1" x14ac:dyDescent="0.2">
      <c r="C805" s="9"/>
      <c r="D805" s="9"/>
      <c r="E805" s="9"/>
      <c r="F805" s="165"/>
      <c r="H805" s="166"/>
    </row>
    <row r="806" spans="3:8" ht="15.75" customHeight="1" x14ac:dyDescent="0.2">
      <c r="C806" s="9"/>
      <c r="D806" s="9"/>
      <c r="E806" s="9"/>
      <c r="F806" s="165"/>
      <c r="H806" s="166"/>
    </row>
    <row r="807" spans="3:8" ht="15.75" customHeight="1" x14ac:dyDescent="0.2">
      <c r="C807" s="9"/>
      <c r="D807" s="9"/>
      <c r="E807" s="9"/>
      <c r="F807" s="165"/>
      <c r="H807" s="166"/>
    </row>
    <row r="808" spans="3:8" ht="15.75" customHeight="1" x14ac:dyDescent="0.2">
      <c r="C808" s="9"/>
      <c r="D808" s="9"/>
      <c r="E808" s="9"/>
      <c r="F808" s="165"/>
      <c r="H808" s="166"/>
    </row>
    <row r="809" spans="3:8" ht="15.75" customHeight="1" x14ac:dyDescent="0.2">
      <c r="C809" s="9"/>
      <c r="D809" s="9"/>
      <c r="E809" s="9"/>
      <c r="F809" s="165"/>
      <c r="H809" s="166"/>
    </row>
    <row r="810" spans="3:8" ht="15.75" customHeight="1" x14ac:dyDescent="0.2">
      <c r="C810" s="9"/>
      <c r="D810" s="9"/>
      <c r="E810" s="9"/>
      <c r="F810" s="165"/>
      <c r="H810" s="166"/>
    </row>
    <row r="811" spans="3:8" ht="15.75" customHeight="1" x14ac:dyDescent="0.2">
      <c r="C811" s="9"/>
      <c r="D811" s="9"/>
      <c r="E811" s="9"/>
      <c r="F811" s="165"/>
      <c r="H811" s="166"/>
    </row>
    <row r="812" spans="3:8" ht="15.75" customHeight="1" x14ac:dyDescent="0.2">
      <c r="C812" s="9"/>
      <c r="D812" s="9"/>
      <c r="E812" s="9"/>
      <c r="F812" s="165"/>
      <c r="H812" s="166"/>
    </row>
    <row r="813" spans="3:8" ht="15.75" customHeight="1" x14ac:dyDescent="0.2">
      <c r="C813" s="9"/>
      <c r="D813" s="9"/>
      <c r="E813" s="9"/>
      <c r="F813" s="165"/>
      <c r="H813" s="166"/>
    </row>
    <row r="814" spans="3:8" ht="15.75" customHeight="1" x14ac:dyDescent="0.2">
      <c r="C814" s="9"/>
      <c r="D814" s="9"/>
      <c r="E814" s="9"/>
      <c r="F814" s="165"/>
      <c r="H814" s="166"/>
    </row>
    <row r="815" spans="3:8" ht="15.75" customHeight="1" x14ac:dyDescent="0.2">
      <c r="C815" s="9"/>
      <c r="D815" s="9"/>
      <c r="E815" s="9"/>
      <c r="F815" s="165"/>
      <c r="H815" s="166"/>
    </row>
    <row r="816" spans="3:8" ht="15.75" customHeight="1" x14ac:dyDescent="0.2">
      <c r="C816" s="9"/>
      <c r="D816" s="9"/>
      <c r="E816" s="9"/>
      <c r="F816" s="165"/>
      <c r="H816" s="166"/>
    </row>
    <row r="817" spans="3:8" ht="15.75" customHeight="1" x14ac:dyDescent="0.2">
      <c r="C817" s="9"/>
      <c r="D817" s="9"/>
      <c r="E817" s="9"/>
      <c r="F817" s="165"/>
      <c r="H817" s="166"/>
    </row>
    <row r="818" spans="3:8" ht="15.75" customHeight="1" x14ac:dyDescent="0.2">
      <c r="C818" s="9"/>
      <c r="D818" s="9"/>
      <c r="E818" s="9"/>
      <c r="F818" s="165"/>
      <c r="H818" s="166"/>
    </row>
    <row r="819" spans="3:8" ht="15.75" customHeight="1" x14ac:dyDescent="0.2">
      <c r="C819" s="9"/>
      <c r="D819" s="9"/>
      <c r="E819" s="9"/>
      <c r="F819" s="165"/>
      <c r="H819" s="166"/>
    </row>
    <row r="820" spans="3:8" ht="15.75" customHeight="1" x14ac:dyDescent="0.2">
      <c r="C820" s="9"/>
      <c r="D820" s="9"/>
      <c r="E820" s="9"/>
      <c r="F820" s="165"/>
      <c r="H820" s="166"/>
    </row>
    <row r="821" spans="3:8" ht="15.75" customHeight="1" x14ac:dyDescent="0.2">
      <c r="C821" s="9"/>
      <c r="D821" s="9"/>
      <c r="E821" s="9"/>
      <c r="F821" s="165"/>
      <c r="H821" s="166"/>
    </row>
    <row r="822" spans="3:8" ht="15.75" customHeight="1" x14ac:dyDescent="0.2">
      <c r="C822" s="9"/>
      <c r="D822" s="9"/>
      <c r="E822" s="9"/>
      <c r="F822" s="165"/>
      <c r="H822" s="166"/>
    </row>
    <row r="823" spans="3:8" ht="15.75" customHeight="1" x14ac:dyDescent="0.2">
      <c r="C823" s="9"/>
      <c r="D823" s="9"/>
      <c r="E823" s="9"/>
      <c r="F823" s="165"/>
      <c r="H823" s="166"/>
    </row>
    <row r="824" spans="3:8" ht="15.75" customHeight="1" x14ac:dyDescent="0.2">
      <c r="C824" s="9"/>
      <c r="D824" s="9"/>
      <c r="E824" s="9"/>
      <c r="F824" s="165"/>
      <c r="H824" s="166"/>
    </row>
    <row r="825" spans="3:8" ht="15.75" customHeight="1" x14ac:dyDescent="0.2">
      <c r="C825" s="9"/>
      <c r="D825" s="9"/>
      <c r="E825" s="9"/>
      <c r="F825" s="165"/>
      <c r="H825" s="166"/>
    </row>
    <row r="826" spans="3:8" ht="15.75" customHeight="1" x14ac:dyDescent="0.2">
      <c r="C826" s="9"/>
      <c r="D826" s="9"/>
      <c r="E826" s="9"/>
      <c r="F826" s="165"/>
      <c r="H826" s="166"/>
    </row>
    <row r="827" spans="3:8" ht="15.75" customHeight="1" x14ac:dyDescent="0.2">
      <c r="C827" s="9"/>
      <c r="D827" s="9"/>
      <c r="E827" s="9"/>
      <c r="F827" s="165"/>
      <c r="H827" s="166"/>
    </row>
    <row r="828" spans="3:8" ht="15.75" customHeight="1" x14ac:dyDescent="0.2">
      <c r="C828" s="9"/>
      <c r="D828" s="9"/>
      <c r="E828" s="9"/>
      <c r="F828" s="165"/>
      <c r="H828" s="166"/>
    </row>
    <row r="829" spans="3:8" ht="15.75" customHeight="1" x14ac:dyDescent="0.2">
      <c r="C829" s="9"/>
      <c r="D829" s="9"/>
      <c r="E829" s="9"/>
      <c r="F829" s="165"/>
      <c r="H829" s="166"/>
    </row>
    <row r="830" spans="3:8" ht="15.75" customHeight="1" x14ac:dyDescent="0.2">
      <c r="C830" s="9"/>
      <c r="D830" s="9"/>
      <c r="E830" s="9"/>
      <c r="F830" s="165"/>
      <c r="H830" s="166"/>
    </row>
    <row r="831" spans="3:8" ht="15.75" customHeight="1" x14ac:dyDescent="0.2">
      <c r="C831" s="9"/>
      <c r="D831" s="9"/>
      <c r="E831" s="9"/>
      <c r="F831" s="165"/>
      <c r="H831" s="166"/>
    </row>
    <row r="832" spans="3:8" ht="15.75" customHeight="1" x14ac:dyDescent="0.2">
      <c r="C832" s="9"/>
      <c r="D832" s="9"/>
      <c r="E832" s="9"/>
      <c r="F832" s="165"/>
      <c r="H832" s="166"/>
    </row>
    <row r="833" spans="3:8" ht="15.75" customHeight="1" x14ac:dyDescent="0.2">
      <c r="C833" s="9"/>
      <c r="D833" s="9"/>
      <c r="E833" s="9"/>
      <c r="F833" s="165"/>
      <c r="H833" s="166"/>
    </row>
    <row r="834" spans="3:8" ht="15.75" customHeight="1" x14ac:dyDescent="0.2">
      <c r="C834" s="9"/>
      <c r="D834" s="9"/>
      <c r="E834" s="9"/>
      <c r="F834" s="165"/>
      <c r="H834" s="166"/>
    </row>
    <row r="835" spans="3:8" ht="15.75" customHeight="1" x14ac:dyDescent="0.2">
      <c r="C835" s="9"/>
      <c r="D835" s="9"/>
      <c r="E835" s="9"/>
      <c r="F835" s="165"/>
      <c r="H835" s="166"/>
    </row>
    <row r="836" spans="3:8" ht="15.75" customHeight="1" x14ac:dyDescent="0.2">
      <c r="C836" s="9"/>
      <c r="D836" s="9"/>
      <c r="E836" s="9"/>
      <c r="F836" s="165"/>
      <c r="H836" s="166"/>
    </row>
    <row r="837" spans="3:8" ht="15.75" customHeight="1" x14ac:dyDescent="0.2">
      <c r="C837" s="9"/>
      <c r="D837" s="9"/>
      <c r="E837" s="9"/>
      <c r="F837" s="165"/>
      <c r="H837" s="166"/>
    </row>
    <row r="838" spans="3:8" ht="15.75" customHeight="1" x14ac:dyDescent="0.2">
      <c r="C838" s="9"/>
      <c r="D838" s="9"/>
      <c r="E838" s="9"/>
      <c r="F838" s="165"/>
      <c r="H838" s="166"/>
    </row>
    <row r="839" spans="3:8" ht="15.75" customHeight="1" x14ac:dyDescent="0.2">
      <c r="C839" s="9"/>
      <c r="D839" s="9"/>
      <c r="E839" s="9"/>
      <c r="F839" s="165"/>
      <c r="H839" s="166"/>
    </row>
    <row r="840" spans="3:8" ht="15.75" customHeight="1" x14ac:dyDescent="0.2">
      <c r="C840" s="9"/>
      <c r="D840" s="9"/>
      <c r="E840" s="9"/>
      <c r="F840" s="165"/>
      <c r="H840" s="166"/>
    </row>
    <row r="841" spans="3:8" ht="15.75" customHeight="1" x14ac:dyDescent="0.2">
      <c r="C841" s="9"/>
      <c r="D841" s="9"/>
      <c r="E841" s="9"/>
      <c r="F841" s="165"/>
      <c r="H841" s="166"/>
    </row>
    <row r="842" spans="3:8" ht="15.75" customHeight="1" x14ac:dyDescent="0.2">
      <c r="C842" s="9"/>
      <c r="D842" s="9"/>
      <c r="E842" s="9"/>
      <c r="F842" s="165"/>
      <c r="H842" s="166"/>
    </row>
    <row r="843" spans="3:8" ht="15.75" customHeight="1" x14ac:dyDescent="0.2">
      <c r="C843" s="9"/>
      <c r="D843" s="9"/>
      <c r="E843" s="9"/>
      <c r="F843" s="165"/>
      <c r="H843" s="166"/>
    </row>
    <row r="844" spans="3:8" ht="15.75" customHeight="1" x14ac:dyDescent="0.2">
      <c r="C844" s="9"/>
      <c r="D844" s="9"/>
      <c r="E844" s="9"/>
      <c r="F844" s="165"/>
      <c r="H844" s="166"/>
    </row>
    <row r="845" spans="3:8" ht="15.75" customHeight="1" x14ac:dyDescent="0.2">
      <c r="C845" s="9"/>
      <c r="D845" s="9"/>
      <c r="E845" s="9"/>
      <c r="F845" s="165"/>
      <c r="H845" s="166"/>
    </row>
    <row r="846" spans="3:8" ht="15.75" customHeight="1" x14ac:dyDescent="0.2">
      <c r="C846" s="9"/>
      <c r="D846" s="9"/>
      <c r="E846" s="9"/>
      <c r="F846" s="165"/>
      <c r="H846" s="166"/>
    </row>
    <row r="847" spans="3:8" ht="15.75" customHeight="1" x14ac:dyDescent="0.2">
      <c r="C847" s="9"/>
      <c r="D847" s="9"/>
      <c r="E847" s="9"/>
      <c r="F847" s="165"/>
      <c r="H847" s="166"/>
    </row>
    <row r="848" spans="3:8" ht="15.75" customHeight="1" x14ac:dyDescent="0.2">
      <c r="C848" s="9"/>
      <c r="D848" s="9"/>
      <c r="E848" s="9"/>
      <c r="F848" s="165"/>
      <c r="H848" s="166"/>
    </row>
    <row r="849" spans="3:8" ht="15.75" customHeight="1" x14ac:dyDescent="0.2">
      <c r="C849" s="9"/>
      <c r="D849" s="9"/>
      <c r="E849" s="9"/>
      <c r="F849" s="165"/>
      <c r="H849" s="166"/>
    </row>
    <row r="850" spans="3:8" ht="15.75" customHeight="1" x14ac:dyDescent="0.2">
      <c r="C850" s="9"/>
      <c r="D850" s="9"/>
      <c r="E850" s="9"/>
      <c r="F850" s="165"/>
      <c r="H850" s="166"/>
    </row>
    <row r="851" spans="3:8" ht="15.75" customHeight="1" x14ac:dyDescent="0.2">
      <c r="C851" s="9"/>
      <c r="D851" s="9"/>
      <c r="E851" s="9"/>
      <c r="F851" s="165"/>
      <c r="H851" s="166"/>
    </row>
    <row r="852" spans="3:8" ht="15.75" customHeight="1" x14ac:dyDescent="0.2">
      <c r="C852" s="9"/>
      <c r="D852" s="9"/>
      <c r="E852" s="9"/>
      <c r="F852" s="165"/>
      <c r="H852" s="166"/>
    </row>
    <row r="853" spans="3:8" ht="15.75" customHeight="1" x14ac:dyDescent="0.2">
      <c r="C853" s="9"/>
      <c r="D853" s="9"/>
      <c r="E853" s="9"/>
      <c r="F853" s="165"/>
      <c r="H853" s="166"/>
    </row>
    <row r="854" spans="3:8" ht="15.75" customHeight="1" x14ac:dyDescent="0.2">
      <c r="C854" s="9"/>
      <c r="D854" s="9"/>
      <c r="E854" s="9"/>
      <c r="F854" s="165"/>
      <c r="H854" s="166"/>
    </row>
    <row r="855" spans="3:8" ht="15.75" customHeight="1" x14ac:dyDescent="0.2">
      <c r="C855" s="9"/>
      <c r="D855" s="9"/>
      <c r="E855" s="9"/>
      <c r="F855" s="165"/>
      <c r="H855" s="166"/>
    </row>
    <row r="856" spans="3:8" ht="15.75" customHeight="1" x14ac:dyDescent="0.2">
      <c r="C856" s="9"/>
      <c r="D856" s="9"/>
      <c r="E856" s="9"/>
      <c r="F856" s="165"/>
      <c r="H856" s="166"/>
    </row>
    <row r="857" spans="3:8" ht="15.75" customHeight="1" x14ac:dyDescent="0.2">
      <c r="C857" s="9"/>
      <c r="D857" s="9"/>
      <c r="E857" s="9"/>
      <c r="F857" s="165"/>
      <c r="H857" s="166"/>
    </row>
    <row r="858" spans="3:8" ht="15.75" customHeight="1" x14ac:dyDescent="0.2">
      <c r="C858" s="9"/>
      <c r="D858" s="9"/>
      <c r="E858" s="9"/>
      <c r="F858" s="165"/>
      <c r="H858" s="166"/>
    </row>
    <row r="859" spans="3:8" ht="15.75" customHeight="1" x14ac:dyDescent="0.2">
      <c r="C859" s="9"/>
      <c r="D859" s="9"/>
      <c r="E859" s="9"/>
      <c r="F859" s="165"/>
      <c r="H859" s="166"/>
    </row>
    <row r="860" spans="3:8" ht="15.75" customHeight="1" x14ac:dyDescent="0.2">
      <c r="C860" s="9"/>
      <c r="D860" s="9"/>
      <c r="E860" s="9"/>
      <c r="F860" s="165"/>
      <c r="H860" s="166"/>
    </row>
    <row r="861" spans="3:8" ht="15.75" customHeight="1" x14ac:dyDescent="0.2">
      <c r="C861" s="9"/>
      <c r="D861" s="9"/>
      <c r="E861" s="9"/>
      <c r="F861" s="165"/>
      <c r="H861" s="166"/>
    </row>
    <row r="862" spans="3:8" ht="15.75" customHeight="1" x14ac:dyDescent="0.2">
      <c r="C862" s="9"/>
      <c r="D862" s="9"/>
      <c r="E862" s="9"/>
      <c r="F862" s="165"/>
      <c r="H862" s="166"/>
    </row>
    <row r="863" spans="3:8" ht="15.75" customHeight="1" x14ac:dyDescent="0.2">
      <c r="C863" s="9"/>
      <c r="D863" s="9"/>
      <c r="E863" s="9"/>
      <c r="F863" s="165"/>
      <c r="H863" s="166"/>
    </row>
    <row r="864" spans="3:8" ht="15.75" customHeight="1" x14ac:dyDescent="0.2">
      <c r="C864" s="9"/>
      <c r="D864" s="9"/>
      <c r="E864" s="9"/>
      <c r="F864" s="165"/>
      <c r="H864" s="166"/>
    </row>
    <row r="865" spans="3:8" ht="15.75" customHeight="1" x14ac:dyDescent="0.2">
      <c r="C865" s="9"/>
      <c r="D865" s="9"/>
      <c r="E865" s="9"/>
      <c r="F865" s="165"/>
      <c r="H865" s="166"/>
    </row>
    <row r="866" spans="3:8" ht="15.75" customHeight="1" x14ac:dyDescent="0.2">
      <c r="C866" s="9"/>
      <c r="D866" s="9"/>
      <c r="E866" s="9"/>
      <c r="F866" s="165"/>
      <c r="H866" s="166"/>
    </row>
    <row r="867" spans="3:8" ht="15.75" customHeight="1" x14ac:dyDescent="0.2">
      <c r="C867" s="9"/>
      <c r="D867" s="9"/>
      <c r="E867" s="9"/>
      <c r="F867" s="165"/>
      <c r="H867" s="166"/>
    </row>
    <row r="868" spans="3:8" ht="15.75" customHeight="1" x14ac:dyDescent="0.2">
      <c r="C868" s="9"/>
      <c r="D868" s="9"/>
      <c r="E868" s="9"/>
      <c r="F868" s="165"/>
      <c r="H868" s="166"/>
    </row>
    <row r="869" spans="3:8" ht="15.75" customHeight="1" x14ac:dyDescent="0.2">
      <c r="C869" s="9"/>
      <c r="D869" s="9"/>
      <c r="E869" s="9"/>
      <c r="F869" s="165"/>
      <c r="H869" s="166"/>
    </row>
    <row r="870" spans="3:8" ht="15.75" customHeight="1" x14ac:dyDescent="0.2">
      <c r="C870" s="9"/>
      <c r="D870" s="9"/>
      <c r="E870" s="9"/>
      <c r="F870" s="165"/>
      <c r="H870" s="166"/>
    </row>
    <row r="871" spans="3:8" ht="15.75" customHeight="1" x14ac:dyDescent="0.2">
      <c r="C871" s="9"/>
      <c r="D871" s="9"/>
      <c r="E871" s="9"/>
      <c r="F871" s="165"/>
      <c r="H871" s="166"/>
    </row>
    <row r="872" spans="3:8" ht="15.75" customHeight="1" x14ac:dyDescent="0.2">
      <c r="C872" s="9"/>
      <c r="D872" s="9"/>
      <c r="E872" s="9"/>
      <c r="F872" s="165"/>
      <c r="H872" s="166"/>
    </row>
    <row r="873" spans="3:8" ht="15.75" customHeight="1" x14ac:dyDescent="0.2">
      <c r="C873" s="9"/>
      <c r="D873" s="9"/>
      <c r="E873" s="9"/>
      <c r="F873" s="165"/>
      <c r="H873" s="166"/>
    </row>
    <row r="874" spans="3:8" ht="15.75" customHeight="1" x14ac:dyDescent="0.2">
      <c r="C874" s="9"/>
      <c r="D874" s="9"/>
      <c r="E874" s="9"/>
      <c r="F874" s="165"/>
      <c r="H874" s="166"/>
    </row>
    <row r="875" spans="3:8" ht="15.75" customHeight="1" x14ac:dyDescent="0.2">
      <c r="C875" s="9"/>
      <c r="D875" s="9"/>
      <c r="E875" s="9"/>
      <c r="F875" s="165"/>
      <c r="H875" s="166"/>
    </row>
    <row r="876" spans="3:8" ht="15.75" customHeight="1" x14ac:dyDescent="0.2">
      <c r="C876" s="9"/>
      <c r="D876" s="9"/>
      <c r="E876" s="9"/>
      <c r="F876" s="165"/>
      <c r="H876" s="166"/>
    </row>
    <row r="877" spans="3:8" ht="15.75" customHeight="1" x14ac:dyDescent="0.2">
      <c r="C877" s="9"/>
      <c r="D877" s="9"/>
      <c r="E877" s="9"/>
      <c r="F877" s="165"/>
      <c r="H877" s="166"/>
    </row>
    <row r="878" spans="3:8" ht="15.75" customHeight="1" x14ac:dyDescent="0.2">
      <c r="C878" s="9"/>
      <c r="D878" s="9"/>
      <c r="E878" s="9"/>
      <c r="F878" s="165"/>
      <c r="H878" s="166"/>
    </row>
    <row r="879" spans="3:8" ht="15.75" customHeight="1" x14ac:dyDescent="0.2">
      <c r="C879" s="9"/>
      <c r="D879" s="9"/>
      <c r="E879" s="9"/>
      <c r="F879" s="165"/>
      <c r="H879" s="166"/>
    </row>
    <row r="880" spans="3:8" ht="15.75" customHeight="1" x14ac:dyDescent="0.2">
      <c r="C880" s="9"/>
      <c r="D880" s="9"/>
      <c r="E880" s="9"/>
      <c r="F880" s="165"/>
      <c r="H880" s="166"/>
    </row>
    <row r="881" spans="3:8" ht="15.75" customHeight="1" x14ac:dyDescent="0.2">
      <c r="C881" s="9"/>
      <c r="D881" s="9"/>
      <c r="E881" s="9"/>
      <c r="F881" s="165"/>
      <c r="H881" s="166"/>
    </row>
    <row r="882" spans="3:8" ht="15.75" customHeight="1" x14ac:dyDescent="0.2">
      <c r="C882" s="9"/>
      <c r="D882" s="9"/>
      <c r="E882" s="9"/>
      <c r="F882" s="165"/>
      <c r="H882" s="166"/>
    </row>
    <row r="883" spans="3:8" ht="15.75" customHeight="1" x14ac:dyDescent="0.2">
      <c r="C883" s="9"/>
      <c r="D883" s="9"/>
      <c r="E883" s="9"/>
      <c r="F883" s="165"/>
      <c r="H883" s="166"/>
    </row>
    <row r="884" spans="3:8" ht="15.75" customHeight="1" x14ac:dyDescent="0.2">
      <c r="C884" s="9"/>
      <c r="D884" s="9"/>
      <c r="E884" s="9"/>
      <c r="F884" s="165"/>
      <c r="H884" s="166"/>
    </row>
    <row r="885" spans="3:8" ht="15.75" customHeight="1" x14ac:dyDescent="0.2">
      <c r="C885" s="9"/>
      <c r="D885" s="9"/>
      <c r="E885" s="9"/>
      <c r="F885" s="165"/>
      <c r="H885" s="166"/>
    </row>
    <row r="886" spans="3:8" ht="15.75" customHeight="1" x14ac:dyDescent="0.2">
      <c r="C886" s="9"/>
      <c r="D886" s="9"/>
      <c r="E886" s="9"/>
      <c r="F886" s="165"/>
      <c r="H886" s="166"/>
    </row>
    <row r="887" spans="3:8" ht="15.75" customHeight="1" x14ac:dyDescent="0.2">
      <c r="C887" s="9"/>
      <c r="D887" s="9"/>
      <c r="E887" s="9"/>
      <c r="F887" s="165"/>
      <c r="H887" s="166"/>
    </row>
    <row r="888" spans="3:8" ht="15.75" customHeight="1" x14ac:dyDescent="0.2">
      <c r="C888" s="9"/>
      <c r="D888" s="9"/>
      <c r="E888" s="9"/>
      <c r="F888" s="165"/>
      <c r="H888" s="166"/>
    </row>
    <row r="889" spans="3:8" ht="15.75" customHeight="1" x14ac:dyDescent="0.2">
      <c r="C889" s="9"/>
      <c r="D889" s="9"/>
      <c r="E889" s="9"/>
      <c r="F889" s="165"/>
      <c r="H889" s="166"/>
    </row>
    <row r="890" spans="3:8" ht="15.75" customHeight="1" x14ac:dyDescent="0.2">
      <c r="C890" s="9"/>
      <c r="D890" s="9"/>
      <c r="E890" s="9"/>
      <c r="F890" s="165"/>
      <c r="H890" s="166"/>
    </row>
    <row r="891" spans="3:8" ht="15.75" customHeight="1" x14ac:dyDescent="0.2">
      <c r="C891" s="9"/>
      <c r="D891" s="9"/>
      <c r="E891" s="9"/>
      <c r="F891" s="165"/>
      <c r="H891" s="166"/>
    </row>
    <row r="892" spans="3:8" ht="15.75" customHeight="1" x14ac:dyDescent="0.2">
      <c r="C892" s="9"/>
      <c r="D892" s="9"/>
      <c r="E892" s="9"/>
      <c r="F892" s="165"/>
      <c r="H892" s="166"/>
    </row>
    <row r="893" spans="3:8" ht="15.75" customHeight="1" x14ac:dyDescent="0.2">
      <c r="C893" s="9"/>
      <c r="D893" s="9"/>
      <c r="E893" s="9"/>
      <c r="F893" s="165"/>
      <c r="H893" s="166"/>
    </row>
    <row r="894" spans="3:8" ht="15.75" customHeight="1" x14ac:dyDescent="0.2">
      <c r="C894" s="9"/>
      <c r="D894" s="9"/>
      <c r="E894" s="9"/>
      <c r="F894" s="165"/>
      <c r="H894" s="166"/>
    </row>
    <row r="895" spans="3:8" ht="15.75" customHeight="1" x14ac:dyDescent="0.2">
      <c r="C895" s="9"/>
      <c r="D895" s="9"/>
      <c r="E895" s="9"/>
      <c r="F895" s="165"/>
      <c r="H895" s="166"/>
    </row>
    <row r="896" spans="3:8" ht="15.75" customHeight="1" x14ac:dyDescent="0.2">
      <c r="C896" s="9"/>
      <c r="D896" s="9"/>
      <c r="E896" s="9"/>
      <c r="F896" s="165"/>
      <c r="H896" s="166"/>
    </row>
    <row r="897" spans="3:8" ht="15.75" customHeight="1" x14ac:dyDescent="0.2">
      <c r="C897" s="9"/>
      <c r="D897" s="9"/>
      <c r="E897" s="9"/>
      <c r="F897" s="165"/>
      <c r="H897" s="166"/>
    </row>
    <row r="898" spans="3:8" ht="15.75" customHeight="1" x14ac:dyDescent="0.2">
      <c r="C898" s="9"/>
      <c r="D898" s="9"/>
      <c r="E898" s="9"/>
      <c r="F898" s="165"/>
      <c r="H898" s="166"/>
    </row>
    <row r="899" spans="3:8" ht="15.75" customHeight="1" x14ac:dyDescent="0.2">
      <c r="C899" s="9"/>
      <c r="D899" s="9"/>
      <c r="E899" s="9"/>
      <c r="F899" s="165"/>
      <c r="H899" s="166"/>
    </row>
    <row r="900" spans="3:8" ht="15.75" customHeight="1" x14ac:dyDescent="0.2">
      <c r="C900" s="9"/>
      <c r="D900" s="9"/>
      <c r="E900" s="9"/>
      <c r="F900" s="165"/>
      <c r="H900" s="166"/>
    </row>
    <row r="901" spans="3:8" ht="15.75" customHeight="1" x14ac:dyDescent="0.2">
      <c r="C901" s="9"/>
      <c r="D901" s="9"/>
      <c r="E901" s="9"/>
      <c r="F901" s="165"/>
      <c r="H901" s="166"/>
    </row>
    <row r="902" spans="3:8" ht="15.75" customHeight="1" x14ac:dyDescent="0.2">
      <c r="C902" s="9"/>
      <c r="D902" s="9"/>
      <c r="E902" s="9"/>
      <c r="F902" s="165"/>
      <c r="H902" s="166"/>
    </row>
    <row r="903" spans="3:8" ht="15.75" customHeight="1" x14ac:dyDescent="0.2">
      <c r="C903" s="9"/>
      <c r="D903" s="9"/>
      <c r="E903" s="9"/>
      <c r="F903" s="165"/>
      <c r="H903" s="166"/>
    </row>
    <row r="904" spans="3:8" ht="15.75" customHeight="1" x14ac:dyDescent="0.2">
      <c r="C904" s="9"/>
      <c r="D904" s="9"/>
      <c r="E904" s="9"/>
      <c r="F904" s="165"/>
      <c r="H904" s="166"/>
    </row>
    <row r="905" spans="3:8" ht="15.75" customHeight="1" x14ac:dyDescent="0.2">
      <c r="C905" s="9"/>
      <c r="D905" s="9"/>
      <c r="E905" s="9"/>
      <c r="F905" s="165"/>
      <c r="H905" s="166"/>
    </row>
    <row r="906" spans="3:8" ht="15.75" customHeight="1" x14ac:dyDescent="0.2">
      <c r="C906" s="9"/>
      <c r="D906" s="9"/>
      <c r="E906" s="9"/>
      <c r="F906" s="165"/>
      <c r="H906" s="166"/>
    </row>
    <row r="907" spans="3:8" ht="15.75" customHeight="1" x14ac:dyDescent="0.2">
      <c r="C907" s="9"/>
      <c r="D907" s="9"/>
      <c r="E907" s="9"/>
      <c r="F907" s="165"/>
      <c r="H907" s="166"/>
    </row>
    <row r="908" spans="3:8" ht="15.75" customHeight="1" x14ac:dyDescent="0.2">
      <c r="C908" s="9"/>
      <c r="D908" s="9"/>
      <c r="E908" s="9"/>
      <c r="F908" s="165"/>
      <c r="H908" s="166"/>
    </row>
    <row r="909" spans="3:8" ht="15.75" customHeight="1" x14ac:dyDescent="0.2">
      <c r="C909" s="9"/>
      <c r="D909" s="9"/>
      <c r="E909" s="9"/>
      <c r="F909" s="165"/>
      <c r="H909" s="166"/>
    </row>
    <row r="910" spans="3:8" ht="15.75" customHeight="1" x14ac:dyDescent="0.2">
      <c r="C910" s="9"/>
      <c r="D910" s="9"/>
      <c r="E910" s="9"/>
      <c r="F910" s="165"/>
      <c r="H910" s="166"/>
    </row>
    <row r="911" spans="3:8" ht="15.75" customHeight="1" x14ac:dyDescent="0.2">
      <c r="C911" s="9"/>
      <c r="D911" s="9"/>
      <c r="E911" s="9"/>
      <c r="F911" s="165"/>
      <c r="H911" s="166"/>
    </row>
    <row r="912" spans="3:8" ht="15.75" customHeight="1" x14ac:dyDescent="0.2">
      <c r="C912" s="9"/>
      <c r="D912" s="9"/>
      <c r="E912" s="9"/>
      <c r="F912" s="165"/>
      <c r="H912" s="166"/>
    </row>
    <row r="913" spans="3:8" ht="15.75" customHeight="1" x14ac:dyDescent="0.2">
      <c r="C913" s="9"/>
      <c r="D913" s="9"/>
      <c r="E913" s="9"/>
      <c r="F913" s="165"/>
      <c r="H913" s="166"/>
    </row>
    <row r="914" spans="3:8" ht="15.75" customHeight="1" x14ac:dyDescent="0.2">
      <c r="C914" s="9"/>
      <c r="D914" s="9"/>
      <c r="E914" s="9"/>
      <c r="F914" s="165"/>
      <c r="H914" s="166"/>
    </row>
    <row r="915" spans="3:8" ht="15.75" customHeight="1" x14ac:dyDescent="0.2">
      <c r="C915" s="9"/>
      <c r="D915" s="9"/>
      <c r="E915" s="9"/>
      <c r="F915" s="165"/>
      <c r="H915" s="166"/>
    </row>
    <row r="916" spans="3:8" ht="15.75" customHeight="1" x14ac:dyDescent="0.2">
      <c r="C916" s="9"/>
      <c r="D916" s="9"/>
      <c r="E916" s="9"/>
      <c r="F916" s="165"/>
      <c r="H916" s="166"/>
    </row>
    <row r="917" spans="3:8" ht="15.75" customHeight="1" x14ac:dyDescent="0.2">
      <c r="C917" s="9"/>
      <c r="D917" s="9"/>
      <c r="E917" s="9"/>
      <c r="F917" s="165"/>
      <c r="H917" s="166"/>
    </row>
    <row r="918" spans="3:8" ht="15.75" customHeight="1" x14ac:dyDescent="0.2">
      <c r="C918" s="9"/>
      <c r="D918" s="9"/>
      <c r="E918" s="9"/>
      <c r="F918" s="165"/>
      <c r="H918" s="166"/>
    </row>
    <row r="919" spans="3:8" ht="15.75" customHeight="1" x14ac:dyDescent="0.2">
      <c r="C919" s="9"/>
      <c r="D919" s="9"/>
      <c r="E919" s="9"/>
      <c r="F919" s="165"/>
      <c r="H919" s="166"/>
    </row>
    <row r="920" spans="3:8" ht="15.75" customHeight="1" x14ac:dyDescent="0.2">
      <c r="C920" s="9"/>
      <c r="D920" s="9"/>
      <c r="E920" s="9"/>
      <c r="F920" s="165"/>
      <c r="H920" s="166"/>
    </row>
    <row r="921" spans="3:8" ht="15.75" customHeight="1" x14ac:dyDescent="0.2">
      <c r="C921" s="9"/>
      <c r="D921" s="9"/>
      <c r="E921" s="9"/>
      <c r="F921" s="165"/>
      <c r="H921" s="166"/>
    </row>
    <row r="922" spans="3:8" ht="15.75" customHeight="1" x14ac:dyDescent="0.2">
      <c r="C922" s="9"/>
      <c r="D922" s="9"/>
      <c r="E922" s="9"/>
      <c r="F922" s="165"/>
      <c r="H922" s="166"/>
    </row>
    <row r="923" spans="3:8" ht="15.75" customHeight="1" x14ac:dyDescent="0.2">
      <c r="C923" s="9"/>
      <c r="D923" s="9"/>
      <c r="E923" s="9"/>
      <c r="F923" s="165"/>
      <c r="H923" s="166"/>
    </row>
    <row r="924" spans="3:8" ht="15.75" customHeight="1" x14ac:dyDescent="0.2">
      <c r="C924" s="9"/>
      <c r="D924" s="9"/>
      <c r="E924" s="9"/>
      <c r="F924" s="165"/>
      <c r="H924" s="166"/>
    </row>
    <row r="925" spans="3:8" ht="15.75" customHeight="1" x14ac:dyDescent="0.2">
      <c r="C925" s="9"/>
      <c r="D925" s="9"/>
      <c r="E925" s="9"/>
      <c r="F925" s="165"/>
      <c r="H925" s="166"/>
    </row>
    <row r="926" spans="3:8" ht="15.75" customHeight="1" x14ac:dyDescent="0.2">
      <c r="C926" s="9"/>
      <c r="D926" s="9"/>
      <c r="E926" s="9"/>
      <c r="F926" s="165"/>
      <c r="H926" s="166"/>
    </row>
    <row r="927" spans="3:8" ht="15.75" customHeight="1" x14ac:dyDescent="0.2">
      <c r="C927" s="9"/>
      <c r="D927" s="9"/>
      <c r="E927" s="9"/>
      <c r="F927" s="165"/>
      <c r="H927" s="166"/>
    </row>
    <row r="928" spans="3:8" ht="15.75" customHeight="1" x14ac:dyDescent="0.2">
      <c r="C928" s="9"/>
      <c r="D928" s="9"/>
      <c r="E928" s="9"/>
      <c r="F928" s="165"/>
      <c r="H928" s="166"/>
    </row>
    <row r="929" spans="3:8" ht="15.75" customHeight="1" x14ac:dyDescent="0.2">
      <c r="C929" s="9"/>
      <c r="D929" s="9"/>
      <c r="E929" s="9"/>
      <c r="F929" s="165"/>
      <c r="H929" s="166"/>
    </row>
    <row r="930" spans="3:8" ht="15.75" customHeight="1" x14ac:dyDescent="0.2">
      <c r="C930" s="9"/>
      <c r="D930" s="9"/>
      <c r="E930" s="9"/>
      <c r="F930" s="165"/>
      <c r="H930" s="166"/>
    </row>
    <row r="931" spans="3:8" ht="15.75" customHeight="1" x14ac:dyDescent="0.2">
      <c r="C931" s="9"/>
      <c r="D931" s="9"/>
      <c r="E931" s="9"/>
      <c r="F931" s="165"/>
      <c r="H931" s="166"/>
    </row>
    <row r="932" spans="3:8" ht="15.75" customHeight="1" x14ac:dyDescent="0.2">
      <c r="C932" s="9"/>
      <c r="D932" s="9"/>
      <c r="E932" s="9"/>
      <c r="F932" s="165"/>
      <c r="H932" s="166"/>
    </row>
    <row r="933" spans="3:8" ht="15.75" customHeight="1" x14ac:dyDescent="0.2">
      <c r="C933" s="9"/>
      <c r="D933" s="9"/>
      <c r="E933" s="9"/>
      <c r="F933" s="165"/>
      <c r="H933" s="166"/>
    </row>
    <row r="934" spans="3:8" ht="15.75" customHeight="1" x14ac:dyDescent="0.2">
      <c r="C934" s="9"/>
      <c r="D934" s="9"/>
      <c r="E934" s="9"/>
      <c r="F934" s="165"/>
      <c r="H934" s="166"/>
    </row>
    <row r="935" spans="3:8" ht="15.75" customHeight="1" x14ac:dyDescent="0.2">
      <c r="C935" s="9"/>
      <c r="D935" s="9"/>
      <c r="E935" s="9"/>
      <c r="F935" s="165"/>
      <c r="H935" s="166"/>
    </row>
    <row r="936" spans="3:8" ht="15.75" customHeight="1" x14ac:dyDescent="0.2">
      <c r="C936" s="9"/>
      <c r="D936" s="9"/>
      <c r="E936" s="9"/>
      <c r="F936" s="165"/>
      <c r="H936" s="166"/>
    </row>
    <row r="937" spans="3:8" ht="15.75" customHeight="1" x14ac:dyDescent="0.2">
      <c r="C937" s="9"/>
      <c r="D937" s="9"/>
      <c r="E937" s="9"/>
      <c r="F937" s="165"/>
      <c r="H937" s="166"/>
    </row>
    <row r="938" spans="3:8" ht="15.75" customHeight="1" x14ac:dyDescent="0.2">
      <c r="C938" s="9"/>
      <c r="D938" s="9"/>
      <c r="E938" s="9"/>
      <c r="F938" s="165"/>
      <c r="H938" s="166"/>
    </row>
    <row r="939" spans="3:8" ht="15.75" customHeight="1" x14ac:dyDescent="0.2">
      <c r="C939" s="9"/>
      <c r="D939" s="9"/>
      <c r="E939" s="9"/>
      <c r="F939" s="165"/>
      <c r="H939" s="166"/>
    </row>
    <row r="940" spans="3:8" ht="15.75" customHeight="1" x14ac:dyDescent="0.2">
      <c r="C940" s="9"/>
      <c r="D940" s="9"/>
      <c r="E940" s="9"/>
      <c r="F940" s="165"/>
      <c r="H940" s="166"/>
    </row>
    <row r="941" spans="3:8" ht="15.75" customHeight="1" x14ac:dyDescent="0.2">
      <c r="C941" s="9"/>
      <c r="D941" s="9"/>
      <c r="E941" s="9"/>
      <c r="F941" s="165"/>
      <c r="H941" s="166"/>
    </row>
    <row r="942" spans="3:8" ht="15.75" customHeight="1" x14ac:dyDescent="0.2">
      <c r="C942" s="9"/>
      <c r="D942" s="9"/>
      <c r="E942" s="9"/>
      <c r="F942" s="165"/>
      <c r="H942" s="166"/>
    </row>
    <row r="943" spans="3:8" ht="15.75" customHeight="1" x14ac:dyDescent="0.2">
      <c r="C943" s="9"/>
      <c r="D943" s="9"/>
      <c r="E943" s="9"/>
      <c r="F943" s="165"/>
      <c r="H943" s="166"/>
    </row>
    <row r="944" spans="3:8" ht="15.75" customHeight="1" x14ac:dyDescent="0.2">
      <c r="C944" s="9"/>
      <c r="D944" s="9"/>
      <c r="E944" s="9"/>
      <c r="F944" s="165"/>
      <c r="H944" s="166"/>
    </row>
    <row r="945" spans="3:8" ht="15.75" customHeight="1" x14ac:dyDescent="0.2">
      <c r="C945" s="9"/>
      <c r="D945" s="9"/>
      <c r="E945" s="9"/>
      <c r="F945" s="165"/>
      <c r="H945" s="166"/>
    </row>
    <row r="946" spans="3:8" ht="15.75" customHeight="1" x14ac:dyDescent="0.2">
      <c r="C946" s="9"/>
      <c r="D946" s="9"/>
      <c r="E946" s="9"/>
      <c r="F946" s="165"/>
      <c r="H946" s="166"/>
    </row>
    <row r="947" spans="3:8" ht="15.75" customHeight="1" x14ac:dyDescent="0.2">
      <c r="C947" s="9"/>
      <c r="D947" s="9"/>
      <c r="E947" s="9"/>
      <c r="F947" s="165"/>
      <c r="H947" s="166"/>
    </row>
    <row r="948" spans="3:8" ht="15.75" customHeight="1" x14ac:dyDescent="0.2">
      <c r="C948" s="9"/>
      <c r="D948" s="9"/>
      <c r="E948" s="9"/>
      <c r="F948" s="165"/>
      <c r="H948" s="166"/>
    </row>
    <row r="949" spans="3:8" ht="15.75" customHeight="1" x14ac:dyDescent="0.2">
      <c r="C949" s="9"/>
      <c r="D949" s="9"/>
      <c r="E949" s="9"/>
      <c r="F949" s="165"/>
      <c r="H949" s="166"/>
    </row>
    <row r="950" spans="3:8" ht="15.75" customHeight="1" x14ac:dyDescent="0.2">
      <c r="C950" s="9"/>
      <c r="D950" s="9"/>
      <c r="E950" s="9"/>
      <c r="F950" s="165"/>
      <c r="H950" s="166"/>
    </row>
    <row r="951" spans="3:8" ht="15.75" customHeight="1" x14ac:dyDescent="0.2">
      <c r="C951" s="9"/>
      <c r="D951" s="9"/>
      <c r="E951" s="9"/>
      <c r="F951" s="165"/>
      <c r="H951" s="166"/>
    </row>
    <row r="952" spans="3:8" ht="15.75" customHeight="1" x14ac:dyDescent="0.2">
      <c r="C952" s="9"/>
      <c r="D952" s="9"/>
      <c r="E952" s="9"/>
      <c r="F952" s="165"/>
      <c r="H952" s="166"/>
    </row>
    <row r="953" spans="3:8" ht="15.75" customHeight="1" x14ac:dyDescent="0.2">
      <c r="C953" s="9"/>
      <c r="D953" s="9"/>
      <c r="E953" s="9"/>
      <c r="F953" s="165"/>
      <c r="H953" s="166"/>
    </row>
    <row r="954" spans="3:8" ht="15.75" customHeight="1" x14ac:dyDescent="0.2">
      <c r="C954" s="9"/>
      <c r="D954" s="9"/>
      <c r="E954" s="9"/>
      <c r="F954" s="165"/>
      <c r="H954" s="166"/>
    </row>
    <row r="955" spans="3:8" ht="15.75" customHeight="1" x14ac:dyDescent="0.2">
      <c r="C955" s="9"/>
      <c r="D955" s="9"/>
      <c r="E955" s="9"/>
      <c r="F955" s="165"/>
      <c r="H955" s="166"/>
    </row>
    <row r="956" spans="3:8" ht="15.75" customHeight="1" x14ac:dyDescent="0.2">
      <c r="C956" s="9"/>
      <c r="D956" s="9"/>
      <c r="E956" s="9"/>
      <c r="F956" s="165"/>
      <c r="H956" s="166"/>
    </row>
    <row r="957" spans="3:8" ht="15.75" customHeight="1" x14ac:dyDescent="0.2">
      <c r="C957" s="9"/>
      <c r="D957" s="9"/>
      <c r="E957" s="9"/>
      <c r="F957" s="165"/>
      <c r="H957" s="166"/>
    </row>
    <row r="958" spans="3:8" ht="15.75" customHeight="1" x14ac:dyDescent="0.2">
      <c r="C958" s="9"/>
      <c r="D958" s="9"/>
      <c r="E958" s="9"/>
      <c r="F958" s="165"/>
      <c r="H958" s="166"/>
    </row>
    <row r="959" spans="3:8" ht="15.75" customHeight="1" x14ac:dyDescent="0.2">
      <c r="C959" s="9"/>
      <c r="D959" s="9"/>
      <c r="E959" s="9"/>
      <c r="F959" s="165"/>
      <c r="H959" s="166"/>
    </row>
    <row r="960" spans="3:8" ht="15.75" customHeight="1" x14ac:dyDescent="0.2">
      <c r="C960" s="9"/>
      <c r="D960" s="9"/>
      <c r="E960" s="9"/>
      <c r="F960" s="165"/>
      <c r="H960" s="166"/>
    </row>
    <row r="961" spans="3:8" ht="15.75" customHeight="1" x14ac:dyDescent="0.2">
      <c r="C961" s="9"/>
      <c r="D961" s="9"/>
      <c r="E961" s="9"/>
      <c r="F961" s="165"/>
      <c r="H961" s="166"/>
    </row>
    <row r="962" spans="3:8" ht="15.75" customHeight="1" x14ac:dyDescent="0.2">
      <c r="C962" s="9"/>
      <c r="D962" s="9"/>
      <c r="E962" s="9"/>
      <c r="F962" s="165"/>
      <c r="H962" s="166"/>
    </row>
    <row r="963" spans="3:8" ht="15.75" customHeight="1" x14ac:dyDescent="0.2">
      <c r="C963" s="9"/>
      <c r="D963" s="9"/>
      <c r="E963" s="9"/>
      <c r="F963" s="165"/>
      <c r="H963" s="166"/>
    </row>
    <row r="964" spans="3:8" ht="15.75" customHeight="1" x14ac:dyDescent="0.2">
      <c r="C964" s="9"/>
      <c r="D964" s="9"/>
      <c r="E964" s="9"/>
      <c r="F964" s="165"/>
      <c r="H964" s="166"/>
    </row>
    <row r="965" spans="3:8" ht="15.75" customHeight="1" x14ac:dyDescent="0.2">
      <c r="C965" s="9"/>
      <c r="D965" s="9"/>
      <c r="E965" s="9"/>
      <c r="F965" s="165"/>
      <c r="H965" s="166"/>
    </row>
    <row r="966" spans="3:8" ht="15.75" customHeight="1" x14ac:dyDescent="0.2">
      <c r="C966" s="9"/>
      <c r="D966" s="9"/>
      <c r="E966" s="9"/>
      <c r="F966" s="165"/>
      <c r="H966" s="166"/>
    </row>
    <row r="967" spans="3:8" ht="15.75" customHeight="1" x14ac:dyDescent="0.2">
      <c r="C967" s="9"/>
      <c r="D967" s="9"/>
      <c r="E967" s="9"/>
      <c r="F967" s="165"/>
      <c r="H967" s="166"/>
    </row>
    <row r="968" spans="3:8" ht="15.75" customHeight="1" x14ac:dyDescent="0.2">
      <c r="C968" s="9"/>
      <c r="D968" s="9"/>
      <c r="E968" s="9"/>
      <c r="F968" s="165"/>
      <c r="H968" s="166"/>
    </row>
    <row r="969" spans="3:8" ht="15.75" customHeight="1" x14ac:dyDescent="0.2">
      <c r="C969" s="9"/>
      <c r="D969" s="9"/>
      <c r="E969" s="9"/>
      <c r="F969" s="165"/>
      <c r="H969" s="166"/>
    </row>
    <row r="970" spans="3:8" ht="15.75" customHeight="1" x14ac:dyDescent="0.2">
      <c r="C970" s="9"/>
      <c r="D970" s="9"/>
      <c r="E970" s="9"/>
      <c r="F970" s="165"/>
      <c r="H970" s="166"/>
    </row>
    <row r="971" spans="3:8" ht="15.75" customHeight="1" x14ac:dyDescent="0.2">
      <c r="C971" s="9"/>
      <c r="D971" s="9"/>
      <c r="E971" s="9"/>
      <c r="F971" s="165"/>
      <c r="H971" s="166"/>
    </row>
    <row r="972" spans="3:8" ht="15.75" customHeight="1" x14ac:dyDescent="0.2">
      <c r="C972" s="9"/>
      <c r="D972" s="9"/>
      <c r="E972" s="9"/>
      <c r="F972" s="165"/>
      <c r="H972" s="166"/>
    </row>
    <row r="973" spans="3:8" ht="15.75" customHeight="1" x14ac:dyDescent="0.2">
      <c r="C973" s="9"/>
      <c r="D973" s="9"/>
      <c r="E973" s="9"/>
      <c r="F973" s="165"/>
      <c r="H973" s="166"/>
    </row>
    <row r="974" spans="3:8" ht="15.75" customHeight="1" x14ac:dyDescent="0.2">
      <c r="C974" s="9"/>
      <c r="D974" s="9"/>
      <c r="E974" s="9"/>
      <c r="F974" s="165"/>
      <c r="H974" s="166"/>
    </row>
    <row r="975" spans="3:8" ht="15.75" customHeight="1" x14ac:dyDescent="0.2">
      <c r="C975" s="9"/>
      <c r="D975" s="9"/>
      <c r="E975" s="9"/>
      <c r="F975" s="165"/>
      <c r="H975" s="166"/>
    </row>
    <row r="976" spans="3:8" ht="15.75" customHeight="1" x14ac:dyDescent="0.2">
      <c r="C976" s="9"/>
      <c r="D976" s="9"/>
      <c r="E976" s="9"/>
      <c r="F976" s="165"/>
      <c r="H976" s="166"/>
    </row>
    <row r="977" spans="3:8" ht="15.75" customHeight="1" x14ac:dyDescent="0.2">
      <c r="C977" s="9"/>
      <c r="D977" s="9"/>
      <c r="E977" s="9"/>
      <c r="F977" s="165"/>
      <c r="H977" s="166"/>
    </row>
    <row r="978" spans="3:8" ht="15.75" customHeight="1" x14ac:dyDescent="0.2">
      <c r="C978" s="9"/>
      <c r="D978" s="9"/>
      <c r="E978" s="9"/>
      <c r="F978" s="165"/>
      <c r="H978" s="166"/>
    </row>
    <row r="979" spans="3:8" ht="15.75" customHeight="1" x14ac:dyDescent="0.2">
      <c r="C979" s="9"/>
      <c r="D979" s="9"/>
      <c r="E979" s="9"/>
      <c r="F979" s="165"/>
      <c r="H979" s="166"/>
    </row>
    <row r="980" spans="3:8" ht="15.75" customHeight="1" x14ac:dyDescent="0.2">
      <c r="C980" s="9"/>
      <c r="D980" s="9"/>
      <c r="E980" s="9"/>
      <c r="F980" s="165"/>
      <c r="H980" s="166"/>
    </row>
    <row r="981" spans="3:8" ht="15.75" customHeight="1" x14ac:dyDescent="0.2">
      <c r="C981" s="9"/>
      <c r="D981" s="9"/>
      <c r="E981" s="9"/>
      <c r="F981" s="165"/>
      <c r="H981" s="166"/>
    </row>
    <row r="982" spans="3:8" ht="15.75" customHeight="1" x14ac:dyDescent="0.2">
      <c r="C982" s="9"/>
      <c r="D982" s="9"/>
      <c r="E982" s="9"/>
      <c r="F982" s="165"/>
      <c r="H982" s="166"/>
    </row>
    <row r="983" spans="3:8" ht="15.75" customHeight="1" x14ac:dyDescent="0.2">
      <c r="C983" s="9"/>
      <c r="D983" s="9"/>
      <c r="E983" s="9"/>
      <c r="F983" s="165"/>
      <c r="H983" s="166"/>
    </row>
    <row r="984" spans="3:8" ht="15.75" customHeight="1" x14ac:dyDescent="0.2">
      <c r="C984" s="9"/>
      <c r="D984" s="9"/>
      <c r="E984" s="9"/>
      <c r="F984" s="165"/>
      <c r="H984" s="166"/>
    </row>
    <row r="985" spans="3:8" ht="15.75" customHeight="1" x14ac:dyDescent="0.2">
      <c r="C985" s="9"/>
      <c r="D985" s="9"/>
      <c r="E985" s="9"/>
      <c r="F985" s="165"/>
      <c r="H985" s="166"/>
    </row>
    <row r="986" spans="3:8" ht="15.75" customHeight="1" x14ac:dyDescent="0.2">
      <c r="C986" s="9"/>
      <c r="D986" s="9"/>
      <c r="E986" s="9"/>
      <c r="F986" s="165"/>
      <c r="H986" s="166"/>
    </row>
    <row r="987" spans="3:8" ht="15.75" customHeight="1" x14ac:dyDescent="0.2">
      <c r="C987" s="9"/>
      <c r="D987" s="9"/>
      <c r="E987" s="9"/>
      <c r="F987" s="165"/>
      <c r="H987" s="166"/>
    </row>
    <row r="988" spans="3:8" ht="15.75" customHeight="1" x14ac:dyDescent="0.2">
      <c r="C988" s="9"/>
      <c r="D988" s="9"/>
      <c r="E988" s="9"/>
      <c r="F988" s="165"/>
      <c r="H988" s="166"/>
    </row>
    <row r="989" spans="3:8" ht="15.75" customHeight="1" x14ac:dyDescent="0.2">
      <c r="C989" s="9"/>
      <c r="D989" s="9"/>
      <c r="E989" s="9"/>
      <c r="F989" s="165"/>
      <c r="H989" s="166"/>
    </row>
    <row r="990" spans="3:8" ht="15.75" customHeight="1" x14ac:dyDescent="0.2">
      <c r="C990" s="9"/>
      <c r="D990" s="9"/>
      <c r="E990" s="9"/>
      <c r="F990" s="165"/>
      <c r="H990" s="166"/>
    </row>
  </sheetData>
  <mergeCells count="65">
    <mergeCell ref="C57:E57"/>
    <mergeCell ref="H71:T71"/>
    <mergeCell ref="H74:T74"/>
    <mergeCell ref="H75:T75"/>
    <mergeCell ref="A67:B67"/>
    <mergeCell ref="A68:B68"/>
    <mergeCell ref="C68:F68"/>
    <mergeCell ref="I68:N68"/>
    <mergeCell ref="Q68:T68"/>
    <mergeCell ref="C70:E70"/>
    <mergeCell ref="I70:L70"/>
    <mergeCell ref="A40:A41"/>
    <mergeCell ref="L41:L44"/>
    <mergeCell ref="B46:V46"/>
    <mergeCell ref="B48:V48"/>
    <mergeCell ref="B55:I55"/>
    <mergeCell ref="B22:V22"/>
    <mergeCell ref="H23:H26"/>
    <mergeCell ref="B33:V33"/>
    <mergeCell ref="G35:G37"/>
    <mergeCell ref="A23:A27"/>
    <mergeCell ref="A28:A31"/>
    <mergeCell ref="A35:A37"/>
    <mergeCell ref="F35:F37"/>
    <mergeCell ref="F40:F41"/>
    <mergeCell ref="G40:G41"/>
    <mergeCell ref="F23:F27"/>
    <mergeCell ref="G23:G27"/>
    <mergeCell ref="F28:F31"/>
    <mergeCell ref="G28:G31"/>
    <mergeCell ref="Y10:Y14"/>
    <mergeCell ref="A11:A14"/>
    <mergeCell ref="B19:V19"/>
    <mergeCell ref="A15:A16"/>
    <mergeCell ref="G15:G16"/>
    <mergeCell ref="H15:H16"/>
    <mergeCell ref="F11:F14"/>
    <mergeCell ref="F15:F16"/>
    <mergeCell ref="C67:F67"/>
    <mergeCell ref="I67:N67"/>
    <mergeCell ref="Q67:T67"/>
    <mergeCell ref="A1:V1"/>
    <mergeCell ref="A2:V2"/>
    <mergeCell ref="A3:V3"/>
    <mergeCell ref="A8:A9"/>
    <mergeCell ref="B8:B9"/>
    <mergeCell ref="D8:D9"/>
    <mergeCell ref="E8:E9"/>
    <mergeCell ref="G11:G14"/>
    <mergeCell ref="H11:H14"/>
    <mergeCell ref="H8:V8"/>
    <mergeCell ref="B10:V10"/>
    <mergeCell ref="F8:F9"/>
    <mergeCell ref="G8:G9"/>
    <mergeCell ref="J60:T60"/>
    <mergeCell ref="J61:T61"/>
    <mergeCell ref="C60:E60"/>
    <mergeCell ref="C64:E64"/>
    <mergeCell ref="I64:N64"/>
    <mergeCell ref="Q64:T64"/>
    <mergeCell ref="C58:E58"/>
    <mergeCell ref="H58:I58"/>
    <mergeCell ref="J58:T58"/>
    <mergeCell ref="C59:E59"/>
    <mergeCell ref="J59:T59"/>
  </mergeCells>
  <hyperlinks>
    <hyperlink ref="Y10" r:id="rId1" xr:uid="{00000000-0004-0000-0000-000000000000}"/>
    <hyperlink ref="Y15" r:id="rId2" xr:uid="{00000000-0004-0000-0000-000001000000}"/>
  </hyperlink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32" man="1"/>
  </rowBreaks>
  <colBreaks count="2" manualBreakCount="2">
    <brk man="1"/>
    <brk id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77"/>
  <sheetViews>
    <sheetView workbookViewId="0"/>
  </sheetViews>
  <sheetFormatPr defaultColWidth="12.625" defaultRowHeight="15" customHeight="1" x14ac:dyDescent="0.2"/>
  <cols>
    <col min="1" max="1" width="9.5" customWidth="1"/>
    <col min="2" max="2" width="68" customWidth="1"/>
    <col min="3" max="3" width="11.625" customWidth="1"/>
    <col min="4" max="4" width="12.625" customWidth="1"/>
    <col min="5" max="5" width="13.875" customWidth="1"/>
    <col min="6" max="6" width="10.75" customWidth="1"/>
    <col min="7" max="7" width="10.375" customWidth="1"/>
    <col min="8" max="8" width="5.375" customWidth="1"/>
    <col min="9" max="9" width="4.75" customWidth="1"/>
    <col min="10" max="10" width="7.625" customWidth="1"/>
    <col min="11" max="11" width="12" customWidth="1"/>
    <col min="12" max="12" width="21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345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1"/>
      <c r="X1" s="1"/>
    </row>
    <row r="2" spans="1:25" ht="14.25" x14ac:dyDescent="0.2">
      <c r="A2" s="346" t="s">
        <v>1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"/>
      <c r="X2" s="1"/>
    </row>
    <row r="3" spans="1:25" x14ac:dyDescent="0.25">
      <c r="A3" s="347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1"/>
      <c r="X3" s="1"/>
    </row>
    <row r="4" spans="1:25" x14ac:dyDescent="0.2">
      <c r="A4" s="2" t="s">
        <v>2</v>
      </c>
      <c r="B4" s="3"/>
      <c r="C4" s="4"/>
      <c r="D4" s="5"/>
      <c r="E4" s="4"/>
      <c r="F4" s="6"/>
      <c r="G4" s="3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8"/>
      <c r="B5" s="3"/>
      <c r="C5" s="9"/>
      <c r="D5" s="10"/>
      <c r="E5" s="11"/>
      <c r="F5" s="12"/>
      <c r="G5" s="12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3</v>
      </c>
      <c r="B6" s="2"/>
      <c r="C6" s="14"/>
      <c r="D6" s="14"/>
      <c r="E6" s="14"/>
      <c r="F6" s="15"/>
      <c r="G6" s="12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8" t="s">
        <v>4</v>
      </c>
      <c r="B7" s="3"/>
      <c r="C7" s="9"/>
      <c r="D7" s="10"/>
      <c r="E7" s="11"/>
      <c r="F7" s="12"/>
      <c r="G7" s="12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348" t="s">
        <v>5</v>
      </c>
      <c r="B8" s="350" t="s">
        <v>6</v>
      </c>
      <c r="C8" s="16" t="s">
        <v>7</v>
      </c>
      <c r="D8" s="352" t="s">
        <v>8</v>
      </c>
      <c r="E8" s="353" t="s">
        <v>9</v>
      </c>
      <c r="F8" s="368" t="s">
        <v>10</v>
      </c>
      <c r="G8" s="350" t="s">
        <v>11</v>
      </c>
      <c r="H8" s="358" t="s">
        <v>12</v>
      </c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60"/>
      <c r="W8" s="17"/>
      <c r="X8" s="17"/>
    </row>
    <row r="9" spans="1:25" ht="38.25" x14ac:dyDescent="0.2">
      <c r="A9" s="349"/>
      <c r="B9" s="351"/>
      <c r="C9" s="18" t="s">
        <v>13</v>
      </c>
      <c r="D9" s="351"/>
      <c r="E9" s="351"/>
      <c r="F9" s="351"/>
      <c r="G9" s="351"/>
      <c r="H9" s="19" t="s">
        <v>106</v>
      </c>
      <c r="I9" s="20" t="s">
        <v>107</v>
      </c>
      <c r="J9" s="20" t="s">
        <v>108</v>
      </c>
      <c r="K9" s="20" t="s">
        <v>17</v>
      </c>
      <c r="L9" s="20" t="s">
        <v>18</v>
      </c>
      <c r="M9" s="20" t="s">
        <v>19</v>
      </c>
      <c r="N9" s="20" t="s">
        <v>20</v>
      </c>
      <c r="O9" s="20" t="s">
        <v>21</v>
      </c>
      <c r="P9" s="20" t="s">
        <v>22</v>
      </c>
      <c r="Q9" s="20" t="s">
        <v>23</v>
      </c>
      <c r="R9" s="20" t="s">
        <v>24</v>
      </c>
      <c r="S9" s="20" t="s">
        <v>25</v>
      </c>
      <c r="T9" s="20" t="s">
        <v>26</v>
      </c>
      <c r="U9" s="21" t="str">
        <f>$V$9</f>
        <v>REMARKS</v>
      </c>
      <c r="V9" s="20" t="s">
        <v>27</v>
      </c>
      <c r="W9" s="17"/>
      <c r="X9" s="17"/>
      <c r="Y9" s="22" t="s">
        <v>28</v>
      </c>
    </row>
    <row r="10" spans="1:25" ht="14.25" x14ac:dyDescent="0.2">
      <c r="A10" s="23">
        <f>SUM(E11:E17)</f>
        <v>20850</v>
      </c>
      <c r="B10" s="391" t="s">
        <v>29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92"/>
      <c r="W10" s="17"/>
      <c r="X10" s="17"/>
      <c r="Y10" s="362" t="s">
        <v>30</v>
      </c>
    </row>
    <row r="11" spans="1:25" ht="15.75" customHeight="1" x14ac:dyDescent="0.2">
      <c r="A11" s="405" t="s">
        <v>109</v>
      </c>
      <c r="B11" s="26" t="s">
        <v>110</v>
      </c>
      <c r="C11" s="27" t="s">
        <v>75</v>
      </c>
      <c r="D11" s="29">
        <v>40</v>
      </c>
      <c r="E11" s="29">
        <f t="shared" ref="E11:E14" si="0">D11*50</f>
        <v>2000</v>
      </c>
      <c r="F11" s="370" t="s">
        <v>71</v>
      </c>
      <c r="G11" s="31"/>
      <c r="H11" s="394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17"/>
      <c r="X11" s="17"/>
      <c r="Y11" s="336"/>
    </row>
    <row r="12" spans="1:25" ht="15.75" customHeight="1" x14ac:dyDescent="0.2">
      <c r="A12" s="364"/>
      <c r="B12" s="26" t="s">
        <v>111</v>
      </c>
      <c r="C12" s="27" t="s">
        <v>75</v>
      </c>
      <c r="D12" s="29">
        <v>60</v>
      </c>
      <c r="E12" s="29">
        <f t="shared" si="0"/>
        <v>3000</v>
      </c>
      <c r="F12" s="355"/>
      <c r="G12" s="31"/>
      <c r="H12" s="355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17"/>
      <c r="X12" s="17"/>
      <c r="Y12" s="336"/>
    </row>
    <row r="13" spans="1:25" ht="15.75" customHeight="1" x14ac:dyDescent="0.2">
      <c r="A13" s="364"/>
      <c r="B13" s="26" t="s">
        <v>112</v>
      </c>
      <c r="C13" s="27" t="s">
        <v>75</v>
      </c>
      <c r="D13" s="29">
        <v>75</v>
      </c>
      <c r="E13" s="29">
        <f t="shared" si="0"/>
        <v>3750</v>
      </c>
      <c r="F13" s="355"/>
      <c r="G13" s="31"/>
      <c r="H13" s="355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17"/>
      <c r="X13" s="17"/>
      <c r="Y13" s="336"/>
    </row>
    <row r="14" spans="1:25" ht="15.75" customHeight="1" x14ac:dyDescent="0.2">
      <c r="A14" s="364"/>
      <c r="B14" s="26" t="s">
        <v>113</v>
      </c>
      <c r="C14" s="27" t="s">
        <v>75</v>
      </c>
      <c r="D14" s="29">
        <v>150</v>
      </c>
      <c r="E14" s="29">
        <f t="shared" si="0"/>
        <v>7500</v>
      </c>
      <c r="F14" s="355"/>
      <c r="G14" s="31"/>
      <c r="H14" s="355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17"/>
      <c r="X14" s="17"/>
      <c r="Y14" s="336"/>
    </row>
    <row r="15" spans="1:25" ht="15.75" customHeight="1" x14ac:dyDescent="0.2">
      <c r="A15" s="364"/>
      <c r="B15" s="33" t="s">
        <v>114</v>
      </c>
      <c r="C15" s="27" t="s">
        <v>70</v>
      </c>
      <c r="D15" s="29">
        <v>80</v>
      </c>
      <c r="E15" s="29">
        <f>D15*20</f>
        <v>1600</v>
      </c>
      <c r="F15" s="355"/>
      <c r="G15" s="31"/>
      <c r="H15" s="355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17"/>
      <c r="X15" s="17"/>
      <c r="Y15" s="24" t="s">
        <v>37</v>
      </c>
    </row>
    <row r="16" spans="1:25" ht="15.75" customHeight="1" x14ac:dyDescent="0.2">
      <c r="A16" s="364"/>
      <c r="B16" s="34" t="s">
        <v>115</v>
      </c>
      <c r="C16" s="27" t="s">
        <v>116</v>
      </c>
      <c r="D16" s="29">
        <v>300</v>
      </c>
      <c r="E16" s="29">
        <f t="shared" ref="E16:E17" si="1">D16*5</f>
        <v>1500</v>
      </c>
      <c r="F16" s="355"/>
      <c r="G16" s="31"/>
      <c r="H16" s="355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17"/>
      <c r="X16" s="17"/>
      <c r="Y16" s="22" t="s">
        <v>39</v>
      </c>
    </row>
    <row r="17" spans="1:25" ht="15.75" customHeight="1" x14ac:dyDescent="0.2">
      <c r="A17" s="364"/>
      <c r="B17" s="34" t="s">
        <v>117</v>
      </c>
      <c r="C17" s="27" t="s">
        <v>116</v>
      </c>
      <c r="D17" s="29">
        <v>300</v>
      </c>
      <c r="E17" s="29">
        <f t="shared" si="1"/>
        <v>1500</v>
      </c>
      <c r="F17" s="355"/>
      <c r="G17" s="31"/>
      <c r="H17" s="355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/>
      <c r="X17" s="17"/>
      <c r="Y17" s="22" t="s">
        <v>39</v>
      </c>
    </row>
    <row r="18" spans="1:25" ht="15.75" customHeight="1" x14ac:dyDescent="0.2">
      <c r="A18" s="364"/>
      <c r="B18" s="34" t="s">
        <v>118</v>
      </c>
      <c r="C18" s="27" t="s">
        <v>73</v>
      </c>
      <c r="D18" s="29">
        <v>6000</v>
      </c>
      <c r="E18" s="29">
        <f>6000*5</f>
        <v>30000</v>
      </c>
      <c r="F18" s="357"/>
      <c r="G18" s="31"/>
      <c r="H18" s="355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17"/>
      <c r="X18" s="17"/>
      <c r="Y18" s="22"/>
    </row>
    <row r="19" spans="1:25" ht="15.75" hidden="1" customHeight="1" x14ac:dyDescent="0.2">
      <c r="A19" s="103"/>
      <c r="B19" s="34" t="s">
        <v>119</v>
      </c>
      <c r="C19" s="27" t="s">
        <v>120</v>
      </c>
      <c r="D19" s="29"/>
      <c r="E19" s="29"/>
      <c r="F19" s="370" t="s">
        <v>71</v>
      </c>
      <c r="G19" s="31"/>
      <c r="H19" s="174"/>
      <c r="I19" s="395">
        <v>1</v>
      </c>
      <c r="J19" s="396">
        <v>1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17"/>
      <c r="X19" s="17"/>
      <c r="Y19" s="22"/>
    </row>
    <row r="20" spans="1:25" ht="15.75" hidden="1" customHeight="1" x14ac:dyDescent="0.2">
      <c r="A20" s="103"/>
      <c r="B20" s="34" t="s">
        <v>121</v>
      </c>
      <c r="C20" s="27" t="s">
        <v>75</v>
      </c>
      <c r="D20" s="29"/>
      <c r="E20" s="29"/>
      <c r="F20" s="355"/>
      <c r="G20" s="31"/>
      <c r="H20" s="174"/>
      <c r="I20" s="355"/>
      <c r="J20" s="355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17"/>
      <c r="X20" s="17"/>
      <c r="Y20" s="22"/>
    </row>
    <row r="21" spans="1:25" ht="15.75" hidden="1" customHeight="1" x14ac:dyDescent="0.2">
      <c r="A21" s="103"/>
      <c r="B21" s="34" t="s">
        <v>122</v>
      </c>
      <c r="C21" s="27" t="s">
        <v>75</v>
      </c>
      <c r="D21" s="29"/>
      <c r="E21" s="29"/>
      <c r="F21" s="357"/>
      <c r="G21" s="31"/>
      <c r="H21" s="174"/>
      <c r="I21" s="355"/>
      <c r="J21" s="355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17"/>
      <c r="X21" s="17"/>
      <c r="Y21" s="22"/>
    </row>
    <row r="22" spans="1:25" ht="15.75" customHeight="1" x14ac:dyDescent="0.2">
      <c r="A22" s="406" t="s">
        <v>123</v>
      </c>
      <c r="B22" s="34" t="s">
        <v>124</v>
      </c>
      <c r="C22" s="27" t="s">
        <v>73</v>
      </c>
      <c r="D22" s="29">
        <v>1500</v>
      </c>
      <c r="E22" s="29">
        <f t="shared" ref="E22:E25" si="2">1500*5</f>
        <v>7500</v>
      </c>
      <c r="F22" s="370" t="s">
        <v>71</v>
      </c>
      <c r="G22" s="31"/>
      <c r="H22" s="174"/>
      <c r="I22" s="355"/>
      <c r="J22" s="3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17"/>
      <c r="X22" s="17"/>
      <c r="Y22" s="22"/>
    </row>
    <row r="23" spans="1:25" ht="15.75" customHeight="1" x14ac:dyDescent="0.2">
      <c r="A23" s="364"/>
      <c r="B23" s="34" t="s">
        <v>125</v>
      </c>
      <c r="C23" s="27" t="s">
        <v>73</v>
      </c>
      <c r="D23" s="29">
        <v>1500</v>
      </c>
      <c r="E23" s="29">
        <f t="shared" si="2"/>
        <v>7500</v>
      </c>
      <c r="F23" s="355"/>
      <c r="G23" s="31"/>
      <c r="H23" s="174"/>
      <c r="I23" s="355"/>
      <c r="J23" s="3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17"/>
      <c r="X23" s="17"/>
      <c r="Y23" s="22"/>
    </row>
    <row r="24" spans="1:25" ht="15.75" customHeight="1" x14ac:dyDescent="0.2">
      <c r="A24" s="364"/>
      <c r="B24" s="34" t="s">
        <v>126</v>
      </c>
      <c r="C24" s="27" t="s">
        <v>73</v>
      </c>
      <c r="D24" s="29">
        <v>1500</v>
      </c>
      <c r="E24" s="29">
        <f t="shared" si="2"/>
        <v>7500</v>
      </c>
      <c r="F24" s="355"/>
      <c r="G24" s="31"/>
      <c r="H24" s="174"/>
      <c r="I24" s="355"/>
      <c r="J24" s="37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17"/>
      <c r="X24" s="17"/>
      <c r="Y24" s="22"/>
    </row>
    <row r="25" spans="1:25" ht="15.75" customHeight="1" x14ac:dyDescent="0.2">
      <c r="A25" s="364"/>
      <c r="B25" s="34" t="s">
        <v>127</v>
      </c>
      <c r="C25" s="27" t="s">
        <v>73</v>
      </c>
      <c r="D25" s="29">
        <v>1500</v>
      </c>
      <c r="E25" s="29">
        <f t="shared" si="2"/>
        <v>7500</v>
      </c>
      <c r="F25" s="355"/>
      <c r="G25" s="31"/>
      <c r="H25" s="174"/>
      <c r="I25" s="355"/>
      <c r="J25" s="3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17"/>
      <c r="X25" s="17"/>
      <c r="Y25" s="22"/>
    </row>
    <row r="26" spans="1:25" ht="15.75" customHeight="1" x14ac:dyDescent="0.2">
      <c r="A26" s="364"/>
      <c r="B26" s="34" t="s">
        <v>128</v>
      </c>
      <c r="C26" s="27" t="s">
        <v>129</v>
      </c>
      <c r="D26" s="29">
        <v>650</v>
      </c>
      <c r="E26" s="29">
        <f>D26*10</f>
        <v>6500</v>
      </c>
      <c r="F26" s="355"/>
      <c r="G26" s="31"/>
      <c r="H26" s="174"/>
      <c r="I26" s="355"/>
      <c r="J26" s="37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17"/>
      <c r="X26" s="17"/>
      <c r="Y26" s="22"/>
    </row>
    <row r="27" spans="1:25" ht="15.75" customHeight="1" x14ac:dyDescent="0.2">
      <c r="A27" s="364"/>
      <c r="B27" s="34" t="s">
        <v>130</v>
      </c>
      <c r="C27" s="27" t="s">
        <v>131</v>
      </c>
      <c r="D27" s="29">
        <v>300</v>
      </c>
      <c r="E27" s="29">
        <f>300*15</f>
        <v>4500</v>
      </c>
      <c r="F27" s="357"/>
      <c r="G27" s="31"/>
      <c r="H27" s="174"/>
      <c r="I27" s="355"/>
      <c r="J27" s="37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17"/>
      <c r="X27" s="17"/>
      <c r="Y27" s="22"/>
    </row>
    <row r="28" spans="1:25" ht="15.75" hidden="1" customHeight="1" x14ac:dyDescent="0.2">
      <c r="A28" s="103"/>
      <c r="B28" s="366" t="s">
        <v>40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9"/>
      <c r="W28" s="17"/>
      <c r="X28" s="17"/>
    </row>
    <row r="29" spans="1:25" ht="15.75" hidden="1" customHeight="1" x14ac:dyDescent="0.2">
      <c r="A29" s="103"/>
      <c r="B29" s="38"/>
      <c r="C29" s="38"/>
      <c r="D29" s="38"/>
      <c r="E29" s="38"/>
      <c r="F29" s="39"/>
      <c r="G29" s="38"/>
      <c r="H29" s="40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17"/>
      <c r="X29" s="17"/>
    </row>
    <row r="30" spans="1:25" ht="15.75" hidden="1" customHeight="1" x14ac:dyDescent="0.2">
      <c r="A30" s="103"/>
      <c r="B30" s="38"/>
      <c r="C30" s="38"/>
      <c r="D30" s="38"/>
      <c r="E30" s="38"/>
      <c r="F30" s="39"/>
      <c r="G30" s="38"/>
      <c r="H30" s="40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17"/>
      <c r="X30" s="17"/>
    </row>
    <row r="31" spans="1:25" ht="15.75" customHeight="1" x14ac:dyDescent="0.2">
      <c r="A31" s="103"/>
      <c r="B31" s="393" t="s">
        <v>132</v>
      </c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9"/>
      <c r="W31" s="17"/>
      <c r="X31" s="17"/>
    </row>
    <row r="32" spans="1:25" ht="21" customHeight="1" x14ac:dyDescent="0.2">
      <c r="A32" s="173" t="s">
        <v>133</v>
      </c>
      <c r="B32" s="176" t="s">
        <v>134</v>
      </c>
      <c r="C32" s="46" t="s">
        <v>135</v>
      </c>
      <c r="D32" s="54">
        <v>49999</v>
      </c>
      <c r="E32" s="177">
        <f t="shared" ref="E32:E33" si="3">D32</f>
        <v>49999</v>
      </c>
      <c r="F32" s="67" t="s">
        <v>136</v>
      </c>
      <c r="G32" s="38"/>
      <c r="H32" s="178">
        <v>1</v>
      </c>
      <c r="I32" s="37"/>
      <c r="J32" s="37"/>
      <c r="K32" s="37"/>
      <c r="L32" s="46" t="s">
        <v>137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17"/>
      <c r="X32" s="17"/>
    </row>
    <row r="33" spans="1:24" ht="29.25" customHeight="1" x14ac:dyDescent="0.2">
      <c r="A33" s="173" t="s">
        <v>138</v>
      </c>
      <c r="B33" s="179" t="s">
        <v>139</v>
      </c>
      <c r="C33" s="46" t="s">
        <v>135</v>
      </c>
      <c r="D33" s="54">
        <v>49999</v>
      </c>
      <c r="E33" s="177">
        <f t="shared" si="3"/>
        <v>49999</v>
      </c>
      <c r="F33" s="67" t="s">
        <v>136</v>
      </c>
      <c r="G33" s="38"/>
      <c r="H33" s="178">
        <v>1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17"/>
      <c r="X33" s="17"/>
    </row>
    <row r="34" spans="1:24" ht="15.75" customHeight="1" x14ac:dyDescent="0.2">
      <c r="A34" s="103"/>
      <c r="B34" s="366" t="s">
        <v>41</v>
      </c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9"/>
      <c r="W34" s="17"/>
      <c r="X34" s="17"/>
    </row>
    <row r="35" spans="1:24" ht="15.75" customHeight="1" x14ac:dyDescent="0.2">
      <c r="A35" s="405" t="s">
        <v>140</v>
      </c>
      <c r="B35" s="41" t="s">
        <v>42</v>
      </c>
      <c r="C35" s="42" t="s">
        <v>141</v>
      </c>
      <c r="D35" s="43">
        <v>2500</v>
      </c>
      <c r="E35" s="44">
        <f>2500*15</f>
        <v>37500</v>
      </c>
      <c r="F35" s="370" t="s">
        <v>32</v>
      </c>
      <c r="G35" s="180"/>
      <c r="H35" s="397">
        <v>1</v>
      </c>
      <c r="I35" s="45"/>
      <c r="J35" s="46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17"/>
      <c r="X35" s="17"/>
    </row>
    <row r="36" spans="1:24" ht="15.75" customHeight="1" x14ac:dyDescent="0.2">
      <c r="A36" s="364"/>
      <c r="B36" s="41" t="s">
        <v>45</v>
      </c>
      <c r="C36" s="42" t="s">
        <v>142</v>
      </c>
      <c r="D36" s="43">
        <v>4000</v>
      </c>
      <c r="E36" s="44">
        <f>4000*20</f>
        <v>80000</v>
      </c>
      <c r="F36" s="355"/>
      <c r="G36" s="180"/>
      <c r="H36" s="355"/>
      <c r="I36" s="45"/>
      <c r="J36" s="46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17"/>
      <c r="X36" s="17"/>
    </row>
    <row r="37" spans="1:24" ht="15.75" customHeight="1" x14ac:dyDescent="0.2">
      <c r="A37" s="364"/>
      <c r="B37" s="41" t="s">
        <v>47</v>
      </c>
      <c r="C37" s="42" t="s">
        <v>143</v>
      </c>
      <c r="D37" s="43">
        <v>5000</v>
      </c>
      <c r="E37" s="44">
        <f>5000*10</f>
        <v>50000</v>
      </c>
      <c r="F37" s="355"/>
      <c r="G37" s="180"/>
      <c r="H37" s="355"/>
      <c r="I37" s="45"/>
      <c r="J37" s="46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17"/>
      <c r="X37" s="17"/>
    </row>
    <row r="38" spans="1:24" ht="15.75" hidden="1" customHeight="1" x14ac:dyDescent="0.2">
      <c r="A38" s="364"/>
      <c r="B38" s="48" t="s">
        <v>48</v>
      </c>
      <c r="C38" s="49" t="s">
        <v>49</v>
      </c>
      <c r="D38" s="50"/>
      <c r="E38" s="51"/>
      <c r="F38" s="355"/>
      <c r="G38" s="181"/>
      <c r="H38" s="355"/>
      <c r="I38" s="45"/>
      <c r="J38" s="46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17"/>
      <c r="X38" s="17"/>
    </row>
    <row r="39" spans="1:24" ht="15.75" customHeight="1" x14ac:dyDescent="0.2">
      <c r="A39" s="364"/>
      <c r="B39" s="182" t="s">
        <v>144</v>
      </c>
      <c r="C39" s="49" t="s">
        <v>145</v>
      </c>
      <c r="D39" s="50">
        <v>300</v>
      </c>
      <c r="E39" s="51">
        <f>300*30</f>
        <v>9000</v>
      </c>
      <c r="F39" s="355"/>
      <c r="G39" s="183"/>
      <c r="H39" s="355"/>
      <c r="I39" s="45"/>
      <c r="J39" s="46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17"/>
      <c r="X39" s="17"/>
    </row>
    <row r="40" spans="1:24" ht="15.75" customHeight="1" x14ac:dyDescent="0.2">
      <c r="A40" s="364"/>
      <c r="B40" s="182" t="s">
        <v>146</v>
      </c>
      <c r="C40" s="42" t="s">
        <v>147</v>
      </c>
      <c r="D40" s="43">
        <v>2000</v>
      </c>
      <c r="E40" s="44">
        <v>10000</v>
      </c>
      <c r="F40" s="355"/>
      <c r="G40" s="180"/>
      <c r="H40" s="355"/>
      <c r="I40" s="45"/>
      <c r="J40" s="46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17"/>
      <c r="X40" s="17"/>
    </row>
    <row r="41" spans="1:24" ht="15.75" customHeight="1" x14ac:dyDescent="0.2">
      <c r="A41" s="364"/>
      <c r="B41" s="182" t="s">
        <v>148</v>
      </c>
      <c r="C41" s="42" t="s">
        <v>147</v>
      </c>
      <c r="D41" s="43">
        <v>2500</v>
      </c>
      <c r="E41" s="44">
        <f t="shared" ref="E41:E42" si="4">2500*5</f>
        <v>12500</v>
      </c>
      <c r="F41" s="355"/>
      <c r="G41" s="180"/>
      <c r="H41" s="355"/>
      <c r="I41" s="45"/>
      <c r="J41" s="46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17"/>
      <c r="X41" s="17"/>
    </row>
    <row r="42" spans="1:24" ht="15.75" customHeight="1" x14ac:dyDescent="0.2">
      <c r="A42" s="364"/>
      <c r="B42" s="63" t="s">
        <v>149</v>
      </c>
      <c r="C42" s="42" t="s">
        <v>147</v>
      </c>
      <c r="D42" s="43">
        <v>2500</v>
      </c>
      <c r="E42" s="44">
        <f t="shared" si="4"/>
        <v>12500</v>
      </c>
      <c r="F42" s="357"/>
      <c r="G42" s="180"/>
      <c r="H42" s="357"/>
      <c r="I42" s="45"/>
      <c r="J42" s="46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17"/>
      <c r="X42" s="17"/>
    </row>
    <row r="43" spans="1:24" ht="15.75" customHeight="1" x14ac:dyDescent="0.2">
      <c r="A43" s="407" t="s">
        <v>150</v>
      </c>
      <c r="B43" s="41" t="s">
        <v>42</v>
      </c>
      <c r="C43" s="42" t="s">
        <v>151</v>
      </c>
      <c r="D43" s="43">
        <v>2500</v>
      </c>
      <c r="E43" s="44">
        <f>2500*100</f>
        <v>250000</v>
      </c>
      <c r="F43" s="370" t="s">
        <v>32</v>
      </c>
      <c r="G43" s="47"/>
      <c r="H43" s="42"/>
      <c r="I43" s="46"/>
      <c r="J43" s="398">
        <v>1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17"/>
      <c r="X43" s="17"/>
    </row>
    <row r="44" spans="1:24" ht="15.75" customHeight="1" x14ac:dyDescent="0.2">
      <c r="A44" s="364"/>
      <c r="B44" s="41" t="s">
        <v>45</v>
      </c>
      <c r="C44" s="42" t="s">
        <v>142</v>
      </c>
      <c r="D44" s="43">
        <v>5000</v>
      </c>
      <c r="E44" s="44">
        <f t="shared" ref="E44:E45" si="5">5000*20</f>
        <v>100000</v>
      </c>
      <c r="F44" s="355"/>
      <c r="G44" s="47"/>
      <c r="H44" s="42"/>
      <c r="I44" s="46"/>
      <c r="J44" s="355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17"/>
      <c r="X44" s="17"/>
    </row>
    <row r="45" spans="1:24" ht="15.75" customHeight="1" x14ac:dyDescent="0.2">
      <c r="A45" s="364"/>
      <c r="B45" s="41" t="s">
        <v>47</v>
      </c>
      <c r="C45" s="42" t="s">
        <v>142</v>
      </c>
      <c r="D45" s="43">
        <v>5000</v>
      </c>
      <c r="E45" s="44">
        <f t="shared" si="5"/>
        <v>100000</v>
      </c>
      <c r="F45" s="355"/>
      <c r="G45" s="47"/>
      <c r="H45" s="42"/>
      <c r="I45" s="46"/>
      <c r="J45" s="355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17"/>
      <c r="X45" s="17"/>
    </row>
    <row r="46" spans="1:24" ht="15.75" customHeight="1" x14ac:dyDescent="0.2">
      <c r="A46" s="364"/>
      <c r="B46" s="182" t="s">
        <v>144</v>
      </c>
      <c r="C46" s="49" t="s">
        <v>152</v>
      </c>
      <c r="D46" s="50">
        <v>300</v>
      </c>
      <c r="E46" s="51">
        <f>300*100</f>
        <v>30000</v>
      </c>
      <c r="F46" s="355"/>
      <c r="G46" s="47"/>
      <c r="H46" s="42"/>
      <c r="I46" s="46"/>
      <c r="J46" s="355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17"/>
      <c r="X46" s="17"/>
    </row>
    <row r="47" spans="1:24" ht="15.75" customHeight="1" x14ac:dyDescent="0.2">
      <c r="A47" s="364"/>
      <c r="B47" s="182" t="s">
        <v>146</v>
      </c>
      <c r="C47" s="42" t="s">
        <v>51</v>
      </c>
      <c r="D47" s="43">
        <v>2000</v>
      </c>
      <c r="E47" s="44">
        <f>2000*10</f>
        <v>20000</v>
      </c>
      <c r="F47" s="355"/>
      <c r="G47" s="47"/>
      <c r="H47" s="42"/>
      <c r="I47" s="46"/>
      <c r="J47" s="355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17"/>
      <c r="X47" s="17"/>
    </row>
    <row r="48" spans="1:24" ht="15.75" customHeight="1" x14ac:dyDescent="0.2">
      <c r="A48" s="364"/>
      <c r="B48" s="182" t="s">
        <v>148</v>
      </c>
      <c r="C48" s="42" t="s">
        <v>147</v>
      </c>
      <c r="D48" s="43">
        <v>2500</v>
      </c>
      <c r="E48" s="44">
        <f>2500*5</f>
        <v>12500</v>
      </c>
      <c r="F48" s="355"/>
      <c r="G48" s="47"/>
      <c r="H48" s="42"/>
      <c r="I48" s="46"/>
      <c r="J48" s="355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17"/>
      <c r="X48" s="17"/>
    </row>
    <row r="49" spans="1:24" ht="15.75" customHeight="1" x14ac:dyDescent="0.2">
      <c r="A49" s="364"/>
      <c r="B49" s="63" t="s">
        <v>149</v>
      </c>
      <c r="C49" s="42" t="s">
        <v>51</v>
      </c>
      <c r="D49" s="43">
        <v>2500</v>
      </c>
      <c r="E49" s="44">
        <f>2500*10</f>
        <v>25000</v>
      </c>
      <c r="F49" s="357"/>
      <c r="G49" s="47"/>
      <c r="H49" s="42"/>
      <c r="I49" s="46"/>
      <c r="J49" s="357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17"/>
      <c r="X49" s="17"/>
    </row>
    <row r="50" spans="1:24" ht="15.75" customHeight="1" x14ac:dyDescent="0.2">
      <c r="A50" s="407" t="s">
        <v>153</v>
      </c>
      <c r="B50" s="184" t="s">
        <v>154</v>
      </c>
      <c r="C50" s="42" t="s">
        <v>155</v>
      </c>
      <c r="D50" s="43">
        <v>2000</v>
      </c>
      <c r="E50" s="185">
        <f>2000*10</f>
        <v>20000</v>
      </c>
      <c r="F50" s="370" t="s">
        <v>32</v>
      </c>
      <c r="G50" s="47"/>
      <c r="H50" s="42"/>
      <c r="I50" s="46"/>
      <c r="J50" s="398">
        <v>1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17"/>
      <c r="X50" s="17"/>
    </row>
    <row r="51" spans="1:24" ht="15.75" customHeight="1" x14ac:dyDescent="0.2">
      <c r="A51" s="364"/>
      <c r="B51" s="186" t="s">
        <v>156</v>
      </c>
      <c r="C51" s="42" t="s">
        <v>157</v>
      </c>
      <c r="D51" s="43">
        <v>4000</v>
      </c>
      <c r="E51" s="132">
        <f>4000*5</f>
        <v>20000</v>
      </c>
      <c r="F51" s="355"/>
      <c r="G51" s="47"/>
      <c r="H51" s="42"/>
      <c r="I51" s="46"/>
      <c r="J51" s="355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17"/>
      <c r="X51" s="17"/>
    </row>
    <row r="52" spans="1:24" ht="15.75" customHeight="1" x14ac:dyDescent="0.2">
      <c r="A52" s="364"/>
      <c r="B52" s="187" t="s">
        <v>158</v>
      </c>
      <c r="C52" s="42" t="s">
        <v>159</v>
      </c>
      <c r="D52" s="43">
        <v>1500</v>
      </c>
      <c r="E52" s="188">
        <f>1500*20</f>
        <v>30000</v>
      </c>
      <c r="F52" s="355"/>
      <c r="G52" s="47"/>
      <c r="H52" s="42"/>
      <c r="I52" s="46"/>
      <c r="J52" s="355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17"/>
      <c r="X52" s="17"/>
    </row>
    <row r="53" spans="1:24" ht="15.75" customHeight="1" x14ac:dyDescent="0.2">
      <c r="A53" s="364"/>
      <c r="B53" s="189" t="s">
        <v>160</v>
      </c>
      <c r="C53" s="190" t="s">
        <v>161</v>
      </c>
      <c r="D53" s="191">
        <v>800</v>
      </c>
      <c r="E53" s="192">
        <f t="shared" ref="E53:E54" si="6">D53*6</f>
        <v>4800</v>
      </c>
      <c r="F53" s="355"/>
      <c r="G53" s="47"/>
      <c r="H53" s="42"/>
      <c r="I53" s="46"/>
      <c r="J53" s="355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17"/>
      <c r="X53" s="17"/>
    </row>
    <row r="54" spans="1:24" ht="15.75" customHeight="1" x14ac:dyDescent="0.2">
      <c r="A54" s="364"/>
      <c r="B54" s="189" t="s">
        <v>162</v>
      </c>
      <c r="C54" s="190" t="s">
        <v>161</v>
      </c>
      <c r="D54" s="191">
        <v>650</v>
      </c>
      <c r="E54" s="192">
        <f t="shared" si="6"/>
        <v>3900</v>
      </c>
      <c r="F54" s="355"/>
      <c r="G54" s="47"/>
      <c r="H54" s="42"/>
      <c r="I54" s="46"/>
      <c r="J54" s="355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17"/>
      <c r="X54" s="17"/>
    </row>
    <row r="55" spans="1:24" ht="15.75" hidden="1" customHeight="1" x14ac:dyDescent="0.2">
      <c r="A55" s="364"/>
      <c r="B55" s="189" t="s">
        <v>163</v>
      </c>
      <c r="C55" s="190" t="s">
        <v>164</v>
      </c>
      <c r="D55" s="193" t="s">
        <v>165</v>
      </c>
      <c r="E55" s="194"/>
      <c r="F55" s="355"/>
      <c r="G55" s="47"/>
      <c r="H55" s="42"/>
      <c r="I55" s="46"/>
      <c r="J55" s="355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17"/>
      <c r="X55" s="17"/>
    </row>
    <row r="56" spans="1:24" ht="15.75" customHeight="1" x14ac:dyDescent="0.2">
      <c r="A56" s="364"/>
      <c r="B56" s="195" t="s">
        <v>163</v>
      </c>
      <c r="C56" s="196" t="s">
        <v>73</v>
      </c>
      <c r="D56" s="197">
        <v>2000</v>
      </c>
      <c r="E56" s="198">
        <f>2000*5</f>
        <v>10000</v>
      </c>
      <c r="F56" s="355"/>
      <c r="G56" s="52"/>
      <c r="H56" s="196"/>
      <c r="I56" s="46"/>
      <c r="J56" s="355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17"/>
      <c r="X56" s="17"/>
    </row>
    <row r="57" spans="1:24" ht="15.75" customHeight="1" x14ac:dyDescent="0.2">
      <c r="A57" s="364"/>
      <c r="B57" s="99" t="s">
        <v>166</v>
      </c>
      <c r="C57" s="196" t="s">
        <v>167</v>
      </c>
      <c r="D57" s="197">
        <v>30000</v>
      </c>
      <c r="E57" s="198">
        <v>30000</v>
      </c>
      <c r="F57" s="355"/>
      <c r="G57" s="52"/>
      <c r="H57" s="196"/>
      <c r="I57" s="46"/>
      <c r="J57" s="355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17"/>
      <c r="X57" s="17"/>
    </row>
    <row r="58" spans="1:24" ht="15.75" customHeight="1" x14ac:dyDescent="0.2">
      <c r="A58" s="364"/>
      <c r="B58" s="99" t="s">
        <v>168</v>
      </c>
      <c r="C58" s="196" t="s">
        <v>80</v>
      </c>
      <c r="D58" s="197">
        <v>3000</v>
      </c>
      <c r="E58" s="198">
        <f>D58*2</f>
        <v>6000</v>
      </c>
      <c r="F58" s="355"/>
      <c r="G58" s="52"/>
      <c r="H58" s="196"/>
      <c r="I58" s="46"/>
      <c r="J58" s="355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17"/>
      <c r="X58" s="17"/>
    </row>
    <row r="59" spans="1:24" ht="15.75" customHeight="1" x14ac:dyDescent="0.2">
      <c r="A59" s="364"/>
      <c r="B59" s="199" t="s">
        <v>169</v>
      </c>
      <c r="C59" s="128" t="s">
        <v>70</v>
      </c>
      <c r="D59" s="200">
        <v>300</v>
      </c>
      <c r="E59" s="201">
        <f>D59*20</f>
        <v>6000</v>
      </c>
      <c r="F59" s="355"/>
      <c r="G59" s="52"/>
      <c r="H59" s="196"/>
      <c r="I59" s="46"/>
      <c r="J59" s="355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17"/>
      <c r="X59" s="17"/>
    </row>
    <row r="60" spans="1:24" ht="15.75" customHeight="1" x14ac:dyDescent="0.2">
      <c r="A60" s="364"/>
      <c r="B60" s="199" t="s">
        <v>170</v>
      </c>
      <c r="C60" s="128" t="s">
        <v>73</v>
      </c>
      <c r="D60" s="200">
        <v>2500</v>
      </c>
      <c r="E60" s="201">
        <f>2500*5</f>
        <v>12500</v>
      </c>
      <c r="F60" s="355"/>
      <c r="G60" s="52"/>
      <c r="H60" s="196"/>
      <c r="I60" s="46"/>
      <c r="J60" s="355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17"/>
      <c r="X60" s="17"/>
    </row>
    <row r="61" spans="1:24" ht="15.75" customHeight="1" x14ac:dyDescent="0.2">
      <c r="A61" s="364"/>
      <c r="B61" s="202" t="s">
        <v>171</v>
      </c>
      <c r="C61" s="196" t="s">
        <v>172</v>
      </c>
      <c r="D61" s="197">
        <v>4000</v>
      </c>
      <c r="E61" s="198">
        <f>D61*8</f>
        <v>32000</v>
      </c>
      <c r="F61" s="355"/>
      <c r="G61" s="52"/>
      <c r="H61" s="196"/>
      <c r="I61" s="45"/>
      <c r="J61" s="355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17"/>
      <c r="X61" s="17"/>
    </row>
    <row r="62" spans="1:24" ht="15.75" customHeight="1" x14ac:dyDescent="0.2">
      <c r="A62" s="364"/>
      <c r="B62" s="99" t="s">
        <v>173</v>
      </c>
      <c r="C62" s="196" t="s">
        <v>73</v>
      </c>
      <c r="D62" s="197">
        <v>5000</v>
      </c>
      <c r="E62" s="198">
        <f>D62*5</f>
        <v>25000</v>
      </c>
      <c r="F62" s="355"/>
      <c r="G62" s="52"/>
      <c r="H62" s="196"/>
      <c r="I62" s="45"/>
      <c r="J62" s="355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17"/>
      <c r="X62" s="17"/>
    </row>
    <row r="63" spans="1:24" ht="15.75" customHeight="1" x14ac:dyDescent="0.2">
      <c r="A63" s="364"/>
      <c r="B63" s="99" t="s">
        <v>174</v>
      </c>
      <c r="C63" s="196" t="s">
        <v>80</v>
      </c>
      <c r="D63" s="197">
        <v>25000</v>
      </c>
      <c r="E63" s="198">
        <f>D63*2</f>
        <v>50000</v>
      </c>
      <c r="F63" s="355"/>
      <c r="G63" s="52"/>
      <c r="H63" s="196"/>
      <c r="I63" s="45"/>
      <c r="J63" s="355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17"/>
      <c r="X63" s="17"/>
    </row>
    <row r="64" spans="1:24" ht="15.75" customHeight="1" x14ac:dyDescent="0.2">
      <c r="A64" s="364"/>
      <c r="B64" s="99" t="s">
        <v>175</v>
      </c>
      <c r="C64" s="196" t="s">
        <v>70</v>
      </c>
      <c r="D64" s="197">
        <v>100</v>
      </c>
      <c r="E64" s="198">
        <f>D64*20</f>
        <v>2000</v>
      </c>
      <c r="F64" s="355"/>
      <c r="G64" s="52"/>
      <c r="H64" s="196"/>
      <c r="I64" s="196"/>
      <c r="J64" s="355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17"/>
      <c r="X64" s="17"/>
    </row>
    <row r="65" spans="1:24" ht="32.25" customHeight="1" x14ac:dyDescent="0.2">
      <c r="A65" s="364"/>
      <c r="B65" s="203" t="s">
        <v>176</v>
      </c>
      <c r="C65" s="204" t="s">
        <v>59</v>
      </c>
      <c r="D65" s="205">
        <v>7000</v>
      </c>
      <c r="E65" s="206">
        <v>7000</v>
      </c>
      <c r="F65" s="355"/>
      <c r="G65" s="52"/>
      <c r="H65" s="196"/>
      <c r="I65" s="196"/>
      <c r="J65" s="355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17"/>
      <c r="X65" s="17"/>
    </row>
    <row r="66" spans="1:24" ht="15.75" customHeight="1" x14ac:dyDescent="0.2">
      <c r="A66" s="364"/>
      <c r="B66" s="207" t="s">
        <v>177</v>
      </c>
      <c r="C66" s="128" t="s">
        <v>167</v>
      </c>
      <c r="D66" s="200">
        <v>3000</v>
      </c>
      <c r="E66" s="201">
        <f>D66*1</f>
        <v>3000</v>
      </c>
      <c r="F66" s="355"/>
      <c r="G66" s="52"/>
      <c r="H66" s="196"/>
      <c r="I66" s="196"/>
      <c r="J66" s="355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17"/>
      <c r="X66" s="17"/>
    </row>
    <row r="67" spans="1:24" ht="15.75" customHeight="1" x14ac:dyDescent="0.2">
      <c r="A67" s="364"/>
      <c r="B67" s="207" t="s">
        <v>178</v>
      </c>
      <c r="C67" s="128" t="s">
        <v>80</v>
      </c>
      <c r="D67" s="200">
        <v>1500</v>
      </c>
      <c r="E67" s="201">
        <f>1500*2</f>
        <v>3000</v>
      </c>
      <c r="F67" s="355"/>
      <c r="G67" s="52"/>
      <c r="H67" s="196"/>
      <c r="I67" s="196"/>
      <c r="J67" s="35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17"/>
      <c r="X67" s="17"/>
    </row>
    <row r="68" spans="1:24" ht="15.75" customHeight="1" x14ac:dyDescent="0.2">
      <c r="A68" s="364"/>
      <c r="B68" s="208" t="s">
        <v>179</v>
      </c>
      <c r="C68" s="209" t="s">
        <v>73</v>
      </c>
      <c r="D68" s="210">
        <v>300</v>
      </c>
      <c r="E68" s="211">
        <f>D68*5</f>
        <v>1500</v>
      </c>
      <c r="F68" s="357"/>
      <c r="G68" s="52"/>
      <c r="H68" s="196"/>
      <c r="I68" s="196"/>
      <c r="J68" s="357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17"/>
      <c r="X68" s="17"/>
    </row>
    <row r="69" spans="1:24" ht="15.75" customHeight="1" x14ac:dyDescent="0.2">
      <c r="A69" s="406" t="s">
        <v>180</v>
      </c>
      <c r="B69" s="41" t="s">
        <v>42</v>
      </c>
      <c r="C69" s="42" t="s">
        <v>142</v>
      </c>
      <c r="D69" s="43">
        <v>2500</v>
      </c>
      <c r="E69" s="44">
        <f>2500*20</f>
        <v>50000</v>
      </c>
      <c r="F69" s="370" t="s">
        <v>32</v>
      </c>
      <c r="G69" s="402" t="s">
        <v>181</v>
      </c>
      <c r="H69" s="45"/>
      <c r="I69" s="403">
        <v>1</v>
      </c>
      <c r="J69" s="404">
        <v>1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17"/>
      <c r="X69" s="17"/>
    </row>
    <row r="70" spans="1:24" ht="15.75" customHeight="1" x14ac:dyDescent="0.2">
      <c r="A70" s="364"/>
      <c r="B70" s="41" t="s">
        <v>182</v>
      </c>
      <c r="C70" s="42" t="s">
        <v>183</v>
      </c>
      <c r="D70" s="43">
        <v>5000</v>
      </c>
      <c r="E70" s="44">
        <f>5000*30</f>
        <v>150000</v>
      </c>
      <c r="F70" s="355"/>
      <c r="G70" s="355"/>
      <c r="H70" s="212"/>
      <c r="I70" s="355"/>
      <c r="J70" s="355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17"/>
      <c r="X70" s="17"/>
    </row>
    <row r="71" spans="1:24" ht="15.75" customHeight="1" x14ac:dyDescent="0.2">
      <c r="A71" s="364"/>
      <c r="B71" s="41" t="s">
        <v>47</v>
      </c>
      <c r="C71" s="42" t="s">
        <v>142</v>
      </c>
      <c r="D71" s="43">
        <v>5000</v>
      </c>
      <c r="E71" s="44">
        <f>5000*20</f>
        <v>100000</v>
      </c>
      <c r="F71" s="357"/>
      <c r="G71" s="357"/>
      <c r="H71" s="212"/>
      <c r="I71" s="357"/>
      <c r="J71" s="35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17"/>
      <c r="X71" s="17"/>
    </row>
    <row r="72" spans="1:24" ht="15.75" customHeight="1" x14ac:dyDescent="0.2">
      <c r="A72" s="25" t="s">
        <v>184</v>
      </c>
      <c r="B72" s="41" t="s">
        <v>45</v>
      </c>
      <c r="C72" s="196" t="s">
        <v>183</v>
      </c>
      <c r="D72" s="197">
        <v>5000</v>
      </c>
      <c r="E72" s="198">
        <f>5000*30</f>
        <v>150000</v>
      </c>
      <c r="F72" s="213" t="s">
        <v>32</v>
      </c>
      <c r="G72" s="52"/>
      <c r="H72" s="214"/>
      <c r="I72" s="76"/>
      <c r="J72" s="215">
        <v>1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17"/>
      <c r="X72" s="17"/>
    </row>
    <row r="73" spans="1:24" ht="15.75" customHeight="1" x14ac:dyDescent="0.2">
      <c r="A73" s="406" t="s">
        <v>185</v>
      </c>
      <c r="B73" s="182" t="s">
        <v>144</v>
      </c>
      <c r="C73" s="49" t="s">
        <v>152</v>
      </c>
      <c r="D73" s="50">
        <v>350</v>
      </c>
      <c r="E73" s="51">
        <f>350*100</f>
        <v>35000</v>
      </c>
      <c r="F73" s="369" t="s">
        <v>32</v>
      </c>
      <c r="G73" s="399" t="s">
        <v>186</v>
      </c>
      <c r="H73" s="214"/>
      <c r="I73" s="400">
        <v>1</v>
      </c>
      <c r="J73" s="401">
        <v>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17"/>
      <c r="X73" s="17"/>
    </row>
    <row r="74" spans="1:24" ht="15.75" customHeight="1" x14ac:dyDescent="0.2">
      <c r="A74" s="364"/>
      <c r="B74" s="182" t="s">
        <v>146</v>
      </c>
      <c r="C74" s="42" t="s">
        <v>187</v>
      </c>
      <c r="D74" s="43">
        <v>2000</v>
      </c>
      <c r="E74" s="44">
        <f>2000*20</f>
        <v>40000</v>
      </c>
      <c r="F74" s="357"/>
      <c r="G74" s="357"/>
      <c r="H74" s="214"/>
      <c r="I74" s="357"/>
      <c r="J74" s="357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17"/>
      <c r="X74" s="17"/>
    </row>
    <row r="75" spans="1:24" ht="15.75" customHeight="1" x14ac:dyDescent="0.2">
      <c r="A75" s="406" t="s">
        <v>188</v>
      </c>
      <c r="B75" s="182" t="s">
        <v>148</v>
      </c>
      <c r="C75" s="42" t="s">
        <v>187</v>
      </c>
      <c r="D75" s="43">
        <v>2500</v>
      </c>
      <c r="E75" s="44">
        <f t="shared" ref="E75:E76" si="7">2500*20</f>
        <v>50000</v>
      </c>
      <c r="F75" s="369" t="s">
        <v>32</v>
      </c>
      <c r="G75" s="399" t="s">
        <v>189</v>
      </c>
      <c r="H75" s="214"/>
      <c r="I75" s="400">
        <v>1</v>
      </c>
      <c r="J75" s="401">
        <v>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17"/>
      <c r="X75" s="17"/>
    </row>
    <row r="76" spans="1:24" ht="15.75" customHeight="1" x14ac:dyDescent="0.2">
      <c r="A76" s="364"/>
      <c r="B76" s="63" t="s">
        <v>149</v>
      </c>
      <c r="C76" s="42" t="s">
        <v>187</v>
      </c>
      <c r="D76" s="43">
        <v>2500</v>
      </c>
      <c r="E76" s="44">
        <f t="shared" si="7"/>
        <v>50000</v>
      </c>
      <c r="F76" s="357"/>
      <c r="G76" s="357"/>
      <c r="H76" s="214"/>
      <c r="I76" s="357"/>
      <c r="J76" s="357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17"/>
      <c r="X76" s="17"/>
    </row>
    <row r="77" spans="1:24" ht="15.75" customHeight="1" x14ac:dyDescent="0.2">
      <c r="A77" s="25"/>
      <c r="B77" s="63" t="s">
        <v>190</v>
      </c>
      <c r="C77" s="196" t="s">
        <v>191</v>
      </c>
      <c r="D77" s="197">
        <v>350</v>
      </c>
      <c r="E77" s="198">
        <f>350*200</f>
        <v>70000</v>
      </c>
      <c r="F77" s="213" t="s">
        <v>32</v>
      </c>
      <c r="G77" s="52"/>
      <c r="H77" s="214"/>
      <c r="I77" s="76"/>
      <c r="J77" s="215">
        <v>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17"/>
      <c r="X77" s="17"/>
    </row>
    <row r="78" spans="1:24" ht="15.75" customHeight="1" x14ac:dyDescent="0.2">
      <c r="A78" s="23">
        <f>SUM(E79:E95)</f>
        <v>149500</v>
      </c>
      <c r="B78" s="376" t="s">
        <v>60</v>
      </c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4"/>
      <c r="W78" s="17"/>
      <c r="X78" s="17"/>
    </row>
    <row r="79" spans="1:24" ht="15.75" customHeight="1" x14ac:dyDescent="0.2">
      <c r="A79" s="409" t="s">
        <v>192</v>
      </c>
      <c r="B79" s="88" t="s">
        <v>193</v>
      </c>
      <c r="C79" s="128">
        <v>2</v>
      </c>
      <c r="D79" s="216">
        <v>5000</v>
      </c>
      <c r="E79" s="217">
        <f t="shared" ref="E79:E81" si="8">D79*C79</f>
        <v>10000</v>
      </c>
      <c r="F79" s="369" t="s">
        <v>32</v>
      </c>
      <c r="G79" s="218"/>
      <c r="H79" s="408">
        <v>1</v>
      </c>
      <c r="I79" s="84"/>
      <c r="J79" s="219"/>
      <c r="K79" s="84"/>
      <c r="L79" s="377" t="s">
        <v>194</v>
      </c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17"/>
      <c r="X79" s="17"/>
    </row>
    <row r="80" spans="1:24" ht="15.75" customHeight="1" x14ac:dyDescent="0.2">
      <c r="A80" s="410"/>
      <c r="B80" s="88" t="s">
        <v>195</v>
      </c>
      <c r="C80" s="220">
        <v>2</v>
      </c>
      <c r="D80" s="221">
        <v>3000</v>
      </c>
      <c r="E80" s="217">
        <f t="shared" si="8"/>
        <v>6000</v>
      </c>
      <c r="F80" s="355"/>
      <c r="G80" s="218"/>
      <c r="H80" s="355"/>
      <c r="I80" s="84"/>
      <c r="J80" s="219"/>
      <c r="K80" s="84"/>
      <c r="L80" s="355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17"/>
      <c r="X80" s="17"/>
    </row>
    <row r="81" spans="1:24" ht="15.75" customHeight="1" x14ac:dyDescent="0.2">
      <c r="A81" s="410"/>
      <c r="B81" s="88" t="s">
        <v>196</v>
      </c>
      <c r="C81" s="220">
        <v>5</v>
      </c>
      <c r="D81" s="221">
        <v>2000</v>
      </c>
      <c r="E81" s="217">
        <f t="shared" si="8"/>
        <v>10000</v>
      </c>
      <c r="F81" s="355"/>
      <c r="G81" s="218"/>
      <c r="H81" s="355"/>
      <c r="I81" s="84"/>
      <c r="J81" s="219"/>
      <c r="K81" s="84"/>
      <c r="L81" s="355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17"/>
      <c r="X81" s="17"/>
    </row>
    <row r="82" spans="1:24" ht="15.75" customHeight="1" x14ac:dyDescent="0.2">
      <c r="A82" s="410"/>
      <c r="B82" s="222" t="s">
        <v>197</v>
      </c>
      <c r="C82" s="223">
        <v>2</v>
      </c>
      <c r="D82" s="224">
        <v>10000</v>
      </c>
      <c r="E82" s="225">
        <f>10000*2</f>
        <v>20000</v>
      </c>
      <c r="F82" s="355"/>
      <c r="G82" s="218"/>
      <c r="H82" s="355"/>
      <c r="I82" s="84"/>
      <c r="J82" s="219"/>
      <c r="K82" s="84"/>
      <c r="L82" s="355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17"/>
      <c r="X82" s="17"/>
    </row>
    <row r="83" spans="1:24" ht="15.75" customHeight="1" x14ac:dyDescent="0.2">
      <c r="A83" s="410"/>
      <c r="B83" s="99" t="s">
        <v>198</v>
      </c>
      <c r="C83" s="196" t="s">
        <v>159</v>
      </c>
      <c r="D83" s="220">
        <v>350</v>
      </c>
      <c r="E83" s="198">
        <f>D83*20</f>
        <v>7000</v>
      </c>
      <c r="F83" s="355"/>
      <c r="G83" s="218"/>
      <c r="H83" s="355"/>
      <c r="I83" s="196"/>
      <c r="J83" s="196"/>
      <c r="K83" s="52"/>
      <c r="L83" s="355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17"/>
      <c r="X83" s="17"/>
    </row>
    <row r="84" spans="1:24" ht="15.75" customHeight="1" x14ac:dyDescent="0.2">
      <c r="A84" s="410"/>
      <c r="B84" s="226" t="s">
        <v>199</v>
      </c>
      <c r="C84" s="227" t="s">
        <v>73</v>
      </c>
      <c r="D84" s="228">
        <v>5000</v>
      </c>
      <c r="E84" s="229">
        <f>5000*5</f>
        <v>25000</v>
      </c>
      <c r="F84" s="355"/>
      <c r="G84" s="218"/>
      <c r="H84" s="355"/>
      <c r="I84" s="196"/>
      <c r="J84" s="196"/>
      <c r="K84" s="52"/>
      <c r="L84" s="355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17"/>
      <c r="X84" s="17"/>
    </row>
    <row r="85" spans="1:24" ht="15.75" customHeight="1" x14ac:dyDescent="0.2">
      <c r="A85" s="410"/>
      <c r="B85" s="226" t="s">
        <v>200</v>
      </c>
      <c r="C85" s="227" t="s">
        <v>73</v>
      </c>
      <c r="D85" s="228">
        <v>1500</v>
      </c>
      <c r="E85" s="229">
        <f>1500*5</f>
        <v>7500</v>
      </c>
      <c r="F85" s="355"/>
      <c r="G85" s="218"/>
      <c r="H85" s="355"/>
      <c r="I85" s="196"/>
      <c r="J85" s="196"/>
      <c r="K85" s="52"/>
      <c r="L85" s="355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7"/>
      <c r="X85" s="17"/>
    </row>
    <row r="86" spans="1:24" ht="15.75" customHeight="1" x14ac:dyDescent="0.2">
      <c r="A86" s="410"/>
      <c r="B86" s="226" t="s">
        <v>201</v>
      </c>
      <c r="C86" s="227" t="s">
        <v>73</v>
      </c>
      <c r="D86" s="228">
        <v>3000</v>
      </c>
      <c r="E86" s="229">
        <f>3000*5</f>
        <v>15000</v>
      </c>
      <c r="F86" s="355"/>
      <c r="G86" s="218"/>
      <c r="H86" s="355"/>
      <c r="I86" s="196"/>
      <c r="J86" s="196"/>
      <c r="K86" s="52"/>
      <c r="L86" s="355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7"/>
      <c r="X86" s="17"/>
    </row>
    <row r="87" spans="1:24" ht="15.75" customHeight="1" x14ac:dyDescent="0.2">
      <c r="A87" s="410"/>
      <c r="B87" s="208" t="s">
        <v>202</v>
      </c>
      <c r="C87" s="230">
        <v>4</v>
      </c>
      <c r="D87" s="231">
        <v>10000</v>
      </c>
      <c r="E87" s="232">
        <f>D87*C87</f>
        <v>40000</v>
      </c>
      <c r="F87" s="357"/>
      <c r="G87" s="218"/>
      <c r="H87" s="357"/>
      <c r="I87" s="84"/>
      <c r="J87" s="219"/>
      <c r="K87" s="84"/>
      <c r="L87" s="357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17"/>
      <c r="X87" s="17"/>
    </row>
    <row r="88" spans="1:24" ht="15.75" customHeight="1" x14ac:dyDescent="0.2">
      <c r="A88" s="233"/>
      <c r="B88" s="208"/>
      <c r="C88" s="209"/>
      <c r="D88" s="210"/>
      <c r="E88" s="211">
        <f>D88*5</f>
        <v>0</v>
      </c>
      <c r="F88" s="369" t="s">
        <v>71</v>
      </c>
      <c r="G88" s="84"/>
      <c r="H88" s="45"/>
      <c r="I88" s="84"/>
      <c r="J88" s="398">
        <v>1</v>
      </c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17"/>
      <c r="X88" s="17"/>
    </row>
    <row r="89" spans="1:24" ht="15.75" customHeight="1" x14ac:dyDescent="0.2">
      <c r="A89" s="233"/>
      <c r="B89" s="234" t="s">
        <v>203</v>
      </c>
      <c r="C89" s="128">
        <v>10</v>
      </c>
      <c r="D89" s="200">
        <v>400</v>
      </c>
      <c r="E89" s="201">
        <f t="shared" ref="E89:E91" si="9">D89*C89</f>
        <v>4000</v>
      </c>
      <c r="F89" s="355"/>
      <c r="G89" s="84"/>
      <c r="H89" s="45"/>
      <c r="I89" s="84"/>
      <c r="J89" s="355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17"/>
      <c r="X89" s="17"/>
    </row>
    <row r="90" spans="1:24" ht="14.25" customHeight="1" x14ac:dyDescent="0.2">
      <c r="A90" s="233"/>
      <c r="B90" s="207" t="s">
        <v>204</v>
      </c>
      <c r="C90" s="128">
        <v>2</v>
      </c>
      <c r="D90" s="200">
        <v>500</v>
      </c>
      <c r="E90" s="201">
        <f t="shared" si="9"/>
        <v>1000</v>
      </c>
      <c r="F90" s="355"/>
      <c r="G90" s="84"/>
      <c r="H90" s="45"/>
      <c r="I90" s="84"/>
      <c r="J90" s="355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17"/>
      <c r="X90" s="17"/>
    </row>
    <row r="91" spans="1:24" ht="14.25" customHeight="1" x14ac:dyDescent="0.2">
      <c r="A91" s="233"/>
      <c r="B91" s="234" t="s">
        <v>205</v>
      </c>
      <c r="C91" s="128">
        <v>20</v>
      </c>
      <c r="D91" s="200">
        <v>60</v>
      </c>
      <c r="E91" s="201">
        <f t="shared" si="9"/>
        <v>1200</v>
      </c>
      <c r="F91" s="355"/>
      <c r="G91" s="84"/>
      <c r="H91" s="45"/>
      <c r="I91" s="84"/>
      <c r="J91" s="355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17"/>
      <c r="X91" s="17"/>
    </row>
    <row r="92" spans="1:24" ht="15.75" customHeight="1" x14ac:dyDescent="0.2">
      <c r="A92" s="103"/>
      <c r="B92" s="99" t="s">
        <v>206</v>
      </c>
      <c r="C92" s="196" t="s">
        <v>159</v>
      </c>
      <c r="D92" s="197">
        <v>80</v>
      </c>
      <c r="E92" s="198">
        <f>D92*20</f>
        <v>1600</v>
      </c>
      <c r="F92" s="355"/>
      <c r="G92" s="52"/>
      <c r="H92" s="45"/>
      <c r="I92" s="196"/>
      <c r="J92" s="35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17"/>
      <c r="X92" s="17"/>
    </row>
    <row r="93" spans="1:24" ht="14.25" customHeight="1" x14ac:dyDescent="0.2">
      <c r="A93" s="233"/>
      <c r="B93" s="99" t="s">
        <v>207</v>
      </c>
      <c r="C93" s="196" t="s">
        <v>129</v>
      </c>
      <c r="D93" s="197">
        <v>50</v>
      </c>
      <c r="E93" s="198">
        <f t="shared" ref="E93:E95" si="10">D93*10</f>
        <v>500</v>
      </c>
      <c r="F93" s="355"/>
      <c r="G93" s="84"/>
      <c r="H93" s="45"/>
      <c r="I93" s="84"/>
      <c r="J93" s="355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17"/>
      <c r="X93" s="17"/>
    </row>
    <row r="94" spans="1:24" ht="14.25" customHeight="1" x14ac:dyDescent="0.2">
      <c r="A94" s="233"/>
      <c r="B94" s="99" t="s">
        <v>208</v>
      </c>
      <c r="C94" s="196" t="s">
        <v>129</v>
      </c>
      <c r="D94" s="197">
        <v>40</v>
      </c>
      <c r="E94" s="198">
        <f t="shared" si="10"/>
        <v>400</v>
      </c>
      <c r="F94" s="355"/>
      <c r="G94" s="84"/>
      <c r="H94" s="45"/>
      <c r="I94" s="84"/>
      <c r="J94" s="355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17"/>
      <c r="X94" s="17"/>
    </row>
    <row r="95" spans="1:24" ht="14.25" customHeight="1" x14ac:dyDescent="0.2">
      <c r="A95" s="233"/>
      <c r="B95" s="99" t="s">
        <v>209</v>
      </c>
      <c r="C95" s="196" t="s">
        <v>129</v>
      </c>
      <c r="D95" s="197">
        <v>30</v>
      </c>
      <c r="E95" s="198">
        <f t="shared" si="10"/>
        <v>300</v>
      </c>
      <c r="F95" s="357"/>
      <c r="G95" s="84"/>
      <c r="H95" s="45"/>
      <c r="I95" s="84"/>
      <c r="J95" s="357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17"/>
      <c r="X95" s="17"/>
    </row>
    <row r="96" spans="1:24" ht="16.5" customHeight="1" x14ac:dyDescent="0.2">
      <c r="A96" s="233"/>
      <c r="B96" s="99" t="s">
        <v>210</v>
      </c>
      <c r="C96" s="204" t="s">
        <v>80</v>
      </c>
      <c r="D96" s="205">
        <v>18000</v>
      </c>
      <c r="E96" s="206">
        <f>18000*2</f>
        <v>36000</v>
      </c>
      <c r="F96" s="213" t="s">
        <v>71</v>
      </c>
      <c r="G96" s="219"/>
      <c r="H96" s="196"/>
      <c r="I96" s="84"/>
      <c r="J96" s="235">
        <v>1</v>
      </c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17"/>
      <c r="X96" s="17"/>
    </row>
    <row r="97" spans="1:24" ht="15.75" customHeight="1" x14ac:dyDescent="0.2">
      <c r="A97" s="236"/>
      <c r="B97" s="88" t="s">
        <v>211</v>
      </c>
      <c r="C97" s="237" t="s">
        <v>70</v>
      </c>
      <c r="D97" s="238">
        <v>450</v>
      </c>
      <c r="E97" s="238">
        <f>450*20</f>
        <v>9000</v>
      </c>
      <c r="F97" s="370" t="s">
        <v>71</v>
      </c>
      <c r="G97" s="109"/>
      <c r="H97" s="118"/>
      <c r="I97" s="109"/>
      <c r="J97" s="404">
        <v>1</v>
      </c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7"/>
      <c r="X97" s="17"/>
    </row>
    <row r="98" spans="1:24" ht="15.75" customHeight="1" x14ac:dyDescent="0.2">
      <c r="A98" s="236"/>
      <c r="B98" s="239" t="s">
        <v>212</v>
      </c>
      <c r="C98" s="237" t="s">
        <v>70</v>
      </c>
      <c r="D98" s="240">
        <v>500</v>
      </c>
      <c r="E98" s="240">
        <v>10000</v>
      </c>
      <c r="F98" s="355"/>
      <c r="G98" s="109"/>
      <c r="H98" s="118"/>
      <c r="I98" s="109"/>
      <c r="J98" s="355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7"/>
      <c r="X98" s="17"/>
    </row>
    <row r="99" spans="1:24" ht="15.75" customHeight="1" x14ac:dyDescent="0.2">
      <c r="A99" s="236"/>
      <c r="B99" s="241" t="s">
        <v>213</v>
      </c>
      <c r="C99" s="242" t="s">
        <v>75</v>
      </c>
      <c r="D99" s="106">
        <v>350</v>
      </c>
      <c r="E99" s="107">
        <f>60*350</f>
        <v>21000</v>
      </c>
      <c r="F99" s="355"/>
      <c r="G99" s="109"/>
      <c r="H99" s="118"/>
      <c r="I99" s="109"/>
      <c r="J99" s="355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7"/>
      <c r="X99" s="17"/>
    </row>
    <row r="100" spans="1:24" ht="15.75" customHeight="1" x14ac:dyDescent="0.2">
      <c r="A100" s="236"/>
      <c r="B100" s="243" t="s">
        <v>214</v>
      </c>
      <c r="C100" s="108" t="s">
        <v>215</v>
      </c>
      <c r="D100" s="244">
        <v>850</v>
      </c>
      <c r="E100" s="245">
        <f>850*60</f>
        <v>51000</v>
      </c>
      <c r="F100" s="357"/>
      <c r="G100" s="109"/>
      <c r="H100" s="118"/>
      <c r="I100" s="109"/>
      <c r="J100" s="357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7"/>
      <c r="X100" s="17"/>
    </row>
    <row r="101" spans="1:24" ht="16.5" customHeight="1" x14ac:dyDescent="0.2">
      <c r="A101" s="98" t="s">
        <v>216</v>
      </c>
      <c r="B101" s="99" t="s">
        <v>217</v>
      </c>
      <c r="C101" s="45" t="s">
        <v>167</v>
      </c>
      <c r="D101" s="100">
        <v>85000</v>
      </c>
      <c r="E101" s="101">
        <v>85000</v>
      </c>
      <c r="F101" s="246" t="s">
        <v>32</v>
      </c>
      <c r="G101" s="219"/>
      <c r="H101" s="247">
        <v>1</v>
      </c>
      <c r="I101" s="84"/>
      <c r="J101" s="219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17"/>
      <c r="X101" s="17"/>
    </row>
    <row r="102" spans="1:24" ht="15.75" customHeight="1" x14ac:dyDescent="0.2">
      <c r="A102" s="102">
        <f>SUM(E103)</f>
        <v>56000</v>
      </c>
      <c r="B102" s="376" t="s">
        <v>82</v>
      </c>
      <c r="C102" s="333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4"/>
      <c r="W102" s="17"/>
      <c r="X102" s="17"/>
    </row>
    <row r="103" spans="1:24" ht="15.75" customHeight="1" x14ac:dyDescent="0.2">
      <c r="A103" s="103"/>
      <c r="B103" s="104" t="s">
        <v>218</v>
      </c>
      <c r="C103" s="105" t="s">
        <v>219</v>
      </c>
      <c r="D103" s="106">
        <v>800</v>
      </c>
      <c r="E103" s="107">
        <v>56000</v>
      </c>
      <c r="F103" s="108" t="s">
        <v>32</v>
      </c>
      <c r="G103" s="109"/>
      <c r="H103" s="42"/>
      <c r="I103" s="248">
        <v>1</v>
      </c>
      <c r="J103" s="4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17"/>
      <c r="X103" s="17"/>
    </row>
    <row r="104" spans="1:24" ht="14.25" customHeight="1" x14ac:dyDescent="0.2">
      <c r="A104" s="102">
        <f>SUM(E105:E128)</f>
        <v>775120</v>
      </c>
      <c r="B104" s="378" t="s">
        <v>83</v>
      </c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9"/>
      <c r="W104" s="17"/>
      <c r="X104" s="17"/>
    </row>
    <row r="105" spans="1:24" ht="18" customHeight="1" x14ac:dyDescent="0.2">
      <c r="A105" s="405" t="s">
        <v>220</v>
      </c>
      <c r="B105" s="241" t="s">
        <v>221</v>
      </c>
      <c r="C105" s="128">
        <v>35</v>
      </c>
      <c r="D105" s="129">
        <v>900</v>
      </c>
      <c r="E105" s="249">
        <f t="shared" ref="E105:E112" si="11">D105*C105</f>
        <v>31500</v>
      </c>
      <c r="F105" s="369" t="s">
        <v>222</v>
      </c>
      <c r="G105" s="84"/>
      <c r="H105" s="408">
        <v>1</v>
      </c>
      <c r="I105" s="84"/>
      <c r="J105" s="250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17"/>
      <c r="X105" s="17"/>
    </row>
    <row r="106" spans="1:24" ht="15.75" customHeight="1" x14ac:dyDescent="0.2">
      <c r="A106" s="364"/>
      <c r="B106" s="241" t="s">
        <v>223</v>
      </c>
      <c r="C106" s="128">
        <v>35</v>
      </c>
      <c r="D106" s="129">
        <v>700</v>
      </c>
      <c r="E106" s="249">
        <f t="shared" si="11"/>
        <v>24500</v>
      </c>
      <c r="F106" s="355"/>
      <c r="G106" s="84"/>
      <c r="H106" s="355"/>
      <c r="I106" s="84"/>
      <c r="J106" s="250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17"/>
      <c r="X106" s="17"/>
    </row>
    <row r="107" spans="1:24" ht="14.25" customHeight="1" x14ac:dyDescent="0.2">
      <c r="A107" s="364"/>
      <c r="B107" s="241" t="s">
        <v>224</v>
      </c>
      <c r="C107" s="128">
        <v>35</v>
      </c>
      <c r="D107" s="129">
        <v>1100</v>
      </c>
      <c r="E107" s="249">
        <f t="shared" si="11"/>
        <v>38500</v>
      </c>
      <c r="F107" s="355"/>
      <c r="G107" s="84"/>
      <c r="H107" s="355"/>
      <c r="I107" s="84"/>
      <c r="J107" s="250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17"/>
      <c r="X107" s="17"/>
    </row>
    <row r="108" spans="1:24" ht="15" customHeight="1" x14ac:dyDescent="0.2">
      <c r="A108" s="364"/>
      <c r="B108" s="241" t="s">
        <v>225</v>
      </c>
      <c r="C108" s="128">
        <v>35</v>
      </c>
      <c r="D108" s="129">
        <v>700</v>
      </c>
      <c r="E108" s="249">
        <f t="shared" si="11"/>
        <v>24500</v>
      </c>
      <c r="F108" s="355"/>
      <c r="G108" s="84"/>
      <c r="H108" s="355"/>
      <c r="I108" s="84"/>
      <c r="J108" s="250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17"/>
      <c r="X108" s="17"/>
    </row>
    <row r="109" spans="1:24" ht="16.5" customHeight="1" x14ac:dyDescent="0.2">
      <c r="A109" s="364"/>
      <c r="B109" s="241" t="s">
        <v>226</v>
      </c>
      <c r="C109" s="128">
        <v>35</v>
      </c>
      <c r="D109" s="129">
        <v>1100</v>
      </c>
      <c r="E109" s="249">
        <f t="shared" si="11"/>
        <v>38500</v>
      </c>
      <c r="F109" s="355"/>
      <c r="G109" s="84"/>
      <c r="H109" s="355"/>
      <c r="I109" s="84"/>
      <c r="J109" s="250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17"/>
      <c r="X109" s="17"/>
    </row>
    <row r="110" spans="1:24" ht="16.5" customHeight="1" x14ac:dyDescent="0.2">
      <c r="A110" s="364"/>
      <c r="B110" s="176" t="s">
        <v>227</v>
      </c>
      <c r="C110" s="128">
        <v>35</v>
      </c>
      <c r="D110" s="251">
        <v>2000</v>
      </c>
      <c r="E110" s="249">
        <f t="shared" si="11"/>
        <v>70000</v>
      </c>
      <c r="F110" s="355"/>
      <c r="G110" s="84"/>
      <c r="H110" s="355"/>
      <c r="I110" s="84"/>
      <c r="J110" s="250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17"/>
      <c r="X110" s="17"/>
    </row>
    <row r="111" spans="1:24" ht="16.5" customHeight="1" x14ac:dyDescent="0.2">
      <c r="A111" s="364"/>
      <c r="B111" s="252" t="s">
        <v>228</v>
      </c>
      <c r="C111" s="128">
        <v>24</v>
      </c>
      <c r="D111" s="129">
        <v>1580</v>
      </c>
      <c r="E111" s="249">
        <f t="shared" si="11"/>
        <v>37920</v>
      </c>
      <c r="F111" s="355"/>
      <c r="G111" s="84"/>
      <c r="H111" s="355"/>
      <c r="I111" s="84"/>
      <c r="J111" s="250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17"/>
      <c r="X111" s="17"/>
    </row>
    <row r="112" spans="1:24" ht="16.5" customHeight="1" x14ac:dyDescent="0.2">
      <c r="A112" s="364"/>
      <c r="B112" s="252" t="s">
        <v>229</v>
      </c>
      <c r="C112" s="128">
        <v>10</v>
      </c>
      <c r="D112" s="253">
        <v>775</v>
      </c>
      <c r="E112" s="249">
        <f t="shared" si="11"/>
        <v>7750</v>
      </c>
      <c r="F112" s="355"/>
      <c r="G112" s="84"/>
      <c r="H112" s="355"/>
      <c r="I112" s="84"/>
      <c r="J112" s="250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17"/>
      <c r="X112" s="17"/>
    </row>
    <row r="113" spans="1:24" ht="16.5" customHeight="1" x14ac:dyDescent="0.2">
      <c r="A113" s="364"/>
      <c r="B113" s="252" t="s">
        <v>230</v>
      </c>
      <c r="C113" s="128" t="s">
        <v>59</v>
      </c>
      <c r="D113" s="253">
        <v>15000</v>
      </c>
      <c r="E113" s="249">
        <v>15000</v>
      </c>
      <c r="F113" s="357"/>
      <c r="G113" s="84"/>
      <c r="H113" s="357"/>
      <c r="I113" s="84"/>
      <c r="J113" s="250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17"/>
      <c r="X113" s="17"/>
    </row>
    <row r="114" spans="1:24" ht="16.5" customHeight="1" x14ac:dyDescent="0.2">
      <c r="A114" s="254" t="s">
        <v>231</v>
      </c>
      <c r="B114" s="255" t="s">
        <v>232</v>
      </c>
      <c r="C114" s="256">
        <v>36</v>
      </c>
      <c r="D114" s="257">
        <v>4800</v>
      </c>
      <c r="E114" s="113">
        <f t="shared" ref="E114:E117" si="12">D114*C114</f>
        <v>172800</v>
      </c>
      <c r="F114" s="258" t="s">
        <v>222</v>
      </c>
      <c r="G114" s="84"/>
      <c r="H114" s="259">
        <v>1</v>
      </c>
      <c r="I114" s="84"/>
      <c r="J114" s="85"/>
      <c r="K114" s="84"/>
      <c r="L114" s="219" t="s">
        <v>233</v>
      </c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17"/>
      <c r="X114" s="17"/>
    </row>
    <row r="115" spans="1:24" ht="16.5" customHeight="1" x14ac:dyDescent="0.2">
      <c r="A115" s="254" t="s">
        <v>234</v>
      </c>
      <c r="B115" s="260" t="s">
        <v>235</v>
      </c>
      <c r="C115" s="213">
        <v>28</v>
      </c>
      <c r="D115" s="253">
        <v>8000</v>
      </c>
      <c r="E115" s="249">
        <f t="shared" si="12"/>
        <v>224000</v>
      </c>
      <c r="F115" s="258" t="s">
        <v>222</v>
      </c>
      <c r="G115" s="84"/>
      <c r="H115" s="259">
        <v>1</v>
      </c>
      <c r="I115" s="84"/>
      <c r="J115" s="85"/>
      <c r="K115" s="84"/>
      <c r="L115" s="219" t="s">
        <v>236</v>
      </c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17"/>
      <c r="X115" s="17"/>
    </row>
    <row r="116" spans="1:24" ht="16.5" customHeight="1" x14ac:dyDescent="0.2">
      <c r="A116" s="261" t="s">
        <v>237</v>
      </c>
      <c r="B116" s="176" t="s">
        <v>238</v>
      </c>
      <c r="C116" s="76">
        <v>1</v>
      </c>
      <c r="D116" s="262">
        <v>1500</v>
      </c>
      <c r="E116" s="253">
        <f t="shared" si="12"/>
        <v>1500</v>
      </c>
      <c r="F116" s="36" t="s">
        <v>222</v>
      </c>
      <c r="G116" s="84"/>
      <c r="H116" s="204"/>
      <c r="I116" s="400">
        <v>1</v>
      </c>
      <c r="J116" s="85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17"/>
      <c r="X116" s="17"/>
    </row>
    <row r="117" spans="1:24" ht="15.75" customHeight="1" x14ac:dyDescent="0.2">
      <c r="A117" s="411" t="s">
        <v>239</v>
      </c>
      <c r="B117" s="125" t="s">
        <v>240</v>
      </c>
      <c r="C117" s="76">
        <v>3</v>
      </c>
      <c r="D117" s="262">
        <v>1350</v>
      </c>
      <c r="E117" s="253">
        <f t="shared" si="12"/>
        <v>4050</v>
      </c>
      <c r="F117" s="369" t="s">
        <v>222</v>
      </c>
      <c r="G117" s="263"/>
      <c r="H117" s="226"/>
      <c r="I117" s="355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17"/>
      <c r="X117" s="17"/>
    </row>
    <row r="118" spans="1:24" ht="15.75" customHeight="1" x14ac:dyDescent="0.2">
      <c r="A118" s="364"/>
      <c r="B118" s="125" t="s">
        <v>230</v>
      </c>
      <c r="C118" s="76" t="s">
        <v>59</v>
      </c>
      <c r="D118" s="262">
        <v>1000</v>
      </c>
      <c r="E118" s="253">
        <v>1000</v>
      </c>
      <c r="F118" s="357"/>
      <c r="G118" s="263"/>
      <c r="H118" s="226"/>
      <c r="I118" s="357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17"/>
      <c r="X118" s="17"/>
    </row>
    <row r="119" spans="1:24" ht="15.75" customHeight="1" x14ac:dyDescent="0.2">
      <c r="A119" s="261" t="s">
        <v>241</v>
      </c>
      <c r="B119" s="264" t="s">
        <v>242</v>
      </c>
      <c r="C119" s="265">
        <v>1</v>
      </c>
      <c r="D119" s="262">
        <v>15000</v>
      </c>
      <c r="E119" s="253">
        <f>D119</f>
        <v>15000</v>
      </c>
      <c r="F119" s="370" t="s">
        <v>222</v>
      </c>
      <c r="G119" s="263"/>
      <c r="H119" s="226"/>
      <c r="I119" s="400">
        <v>1</v>
      </c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17"/>
      <c r="X119" s="17"/>
    </row>
    <row r="120" spans="1:24" ht="15.75" customHeight="1" x14ac:dyDescent="0.2">
      <c r="A120" s="261" t="s">
        <v>241</v>
      </c>
      <c r="B120" s="264" t="s">
        <v>243</v>
      </c>
      <c r="C120" s="265">
        <v>1</v>
      </c>
      <c r="D120" s="262">
        <v>1500</v>
      </c>
      <c r="E120" s="253">
        <f>D120*C120</f>
        <v>1500</v>
      </c>
      <c r="F120" s="355"/>
      <c r="G120" s="263"/>
      <c r="H120" s="226"/>
      <c r="I120" s="355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17"/>
      <c r="X120" s="17"/>
    </row>
    <row r="121" spans="1:24" ht="15.75" customHeight="1" x14ac:dyDescent="0.2">
      <c r="A121" s="261" t="s">
        <v>241</v>
      </c>
      <c r="B121" s="264" t="s">
        <v>244</v>
      </c>
      <c r="C121" s="265">
        <v>1</v>
      </c>
      <c r="D121" s="262">
        <v>15000</v>
      </c>
      <c r="E121" s="262">
        <v>15000</v>
      </c>
      <c r="F121" s="355"/>
      <c r="G121" s="263"/>
      <c r="H121" s="226"/>
      <c r="I121" s="355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17"/>
      <c r="X121" s="17"/>
    </row>
    <row r="122" spans="1:24" ht="15.75" customHeight="1" x14ac:dyDescent="0.2">
      <c r="A122" s="261" t="s">
        <v>245</v>
      </c>
      <c r="B122" s="264" t="s">
        <v>246</v>
      </c>
      <c r="C122" s="265">
        <v>1</v>
      </c>
      <c r="D122" s="262">
        <v>12000</v>
      </c>
      <c r="E122" s="262">
        <v>12000</v>
      </c>
      <c r="F122" s="355"/>
      <c r="G122" s="263"/>
      <c r="H122" s="226"/>
      <c r="I122" s="355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17"/>
      <c r="X122" s="17"/>
    </row>
    <row r="123" spans="1:24" ht="15.75" customHeight="1" x14ac:dyDescent="0.2">
      <c r="A123" s="261" t="s">
        <v>247</v>
      </c>
      <c r="B123" s="264" t="s">
        <v>248</v>
      </c>
      <c r="C123" s="265">
        <v>1</v>
      </c>
      <c r="D123" s="262">
        <v>10000</v>
      </c>
      <c r="E123" s="262">
        <v>10000</v>
      </c>
      <c r="F123" s="357"/>
      <c r="G123" s="263"/>
      <c r="H123" s="226"/>
      <c r="I123" s="357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17"/>
      <c r="X123" s="17"/>
    </row>
    <row r="124" spans="1:24" ht="15.75" customHeight="1" x14ac:dyDescent="0.2">
      <c r="A124" s="412" t="s">
        <v>249</v>
      </c>
      <c r="B124" s="264" t="s">
        <v>250</v>
      </c>
      <c r="C124" s="265">
        <v>7</v>
      </c>
      <c r="D124" s="266">
        <v>700</v>
      </c>
      <c r="E124" s="249">
        <f t="shared" ref="E124:E128" si="13">D124*C124</f>
        <v>4900</v>
      </c>
      <c r="F124" s="413" t="s">
        <v>251</v>
      </c>
      <c r="G124" s="263"/>
      <c r="H124" s="408">
        <v>1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17"/>
      <c r="X124" s="17"/>
    </row>
    <row r="125" spans="1:24" ht="15.75" customHeight="1" x14ac:dyDescent="0.2">
      <c r="A125" s="364"/>
      <c r="B125" s="264" t="s">
        <v>252</v>
      </c>
      <c r="C125" s="265">
        <v>7</v>
      </c>
      <c r="D125" s="266">
        <v>2000</v>
      </c>
      <c r="E125" s="249">
        <f t="shared" si="13"/>
        <v>14000</v>
      </c>
      <c r="F125" s="355"/>
      <c r="G125" s="263"/>
      <c r="H125" s="355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17"/>
      <c r="X125" s="17"/>
    </row>
    <row r="126" spans="1:24" ht="15.75" customHeight="1" x14ac:dyDescent="0.2">
      <c r="A126" s="364"/>
      <c r="B126" s="264" t="s">
        <v>253</v>
      </c>
      <c r="C126" s="265">
        <v>7</v>
      </c>
      <c r="D126" s="266">
        <v>700</v>
      </c>
      <c r="E126" s="249">
        <f t="shared" si="13"/>
        <v>4900</v>
      </c>
      <c r="F126" s="355"/>
      <c r="G126" s="263"/>
      <c r="H126" s="355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17"/>
      <c r="X126" s="17"/>
    </row>
    <row r="127" spans="1:24" ht="15.75" customHeight="1" x14ac:dyDescent="0.2">
      <c r="A127" s="364"/>
      <c r="B127" s="264" t="s">
        <v>254</v>
      </c>
      <c r="C127" s="265">
        <v>7</v>
      </c>
      <c r="D127" s="266">
        <v>600</v>
      </c>
      <c r="E127" s="249">
        <f t="shared" si="13"/>
        <v>4200</v>
      </c>
      <c r="F127" s="355"/>
      <c r="G127" s="263"/>
      <c r="H127" s="355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17"/>
      <c r="X127" s="17"/>
    </row>
    <row r="128" spans="1:24" ht="15.75" customHeight="1" x14ac:dyDescent="0.2">
      <c r="A128" s="364"/>
      <c r="B128" s="264" t="s">
        <v>255</v>
      </c>
      <c r="C128" s="265">
        <v>7</v>
      </c>
      <c r="D128" s="266">
        <v>300</v>
      </c>
      <c r="E128" s="249">
        <f t="shared" si="13"/>
        <v>2100</v>
      </c>
      <c r="F128" s="355"/>
      <c r="G128" s="263"/>
      <c r="H128" s="357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17"/>
      <c r="X128" s="17"/>
    </row>
    <row r="129" spans="1:26" ht="15.75" hidden="1" customHeight="1" x14ac:dyDescent="0.2">
      <c r="A129" s="364"/>
      <c r="B129" s="78" t="s">
        <v>256</v>
      </c>
      <c r="C129" s="267"/>
      <c r="D129" s="267"/>
      <c r="E129" s="268"/>
      <c r="F129" s="355"/>
      <c r="G129" s="267"/>
      <c r="H129" s="269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70"/>
      <c r="W129" s="17"/>
      <c r="X129" s="17"/>
    </row>
    <row r="130" spans="1:26" ht="15.75" hidden="1" customHeight="1" x14ac:dyDescent="0.2">
      <c r="A130" s="364"/>
      <c r="B130" s="239"/>
      <c r="C130" s="36"/>
      <c r="D130" s="271"/>
      <c r="E130" s="271"/>
      <c r="F130" s="355"/>
      <c r="G130" s="109"/>
      <c r="H130" s="45"/>
      <c r="I130" s="118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7"/>
      <c r="X130" s="17"/>
    </row>
    <row r="131" spans="1:26" ht="15.75" hidden="1" customHeight="1" x14ac:dyDescent="0.2">
      <c r="A131" s="364"/>
      <c r="B131" s="239"/>
      <c r="C131" s="36"/>
      <c r="D131" s="271"/>
      <c r="E131" s="271"/>
      <c r="F131" s="355"/>
      <c r="G131" s="84"/>
      <c r="H131" s="204"/>
      <c r="I131" s="219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17"/>
      <c r="X131" s="17"/>
    </row>
    <row r="132" spans="1:26" ht="15.75" customHeight="1" x14ac:dyDescent="0.2">
      <c r="A132" s="364"/>
      <c r="B132" s="125" t="s">
        <v>230</v>
      </c>
      <c r="C132" s="76" t="s">
        <v>59</v>
      </c>
      <c r="D132" s="262">
        <v>3000</v>
      </c>
      <c r="E132" s="253">
        <v>3000</v>
      </c>
      <c r="F132" s="357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17"/>
      <c r="X132" s="17"/>
    </row>
    <row r="133" spans="1:26" ht="15.75" customHeight="1" x14ac:dyDescent="0.2">
      <c r="A133" s="103"/>
      <c r="B133" s="272" t="s">
        <v>257</v>
      </c>
      <c r="C133" s="120"/>
      <c r="D133" s="121"/>
      <c r="E133" s="120"/>
      <c r="F133" s="122"/>
      <c r="G133" s="123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7"/>
      <c r="X133" s="17"/>
    </row>
    <row r="134" spans="1:26" ht="15.75" customHeight="1" x14ac:dyDescent="0.2">
      <c r="A134" s="406" t="s">
        <v>258</v>
      </c>
      <c r="B134" s="115" t="s">
        <v>259</v>
      </c>
      <c r="C134" s="30">
        <v>4</v>
      </c>
      <c r="D134" s="116">
        <v>8800</v>
      </c>
      <c r="E134" s="117">
        <f>8800*4</f>
        <v>35200</v>
      </c>
      <c r="F134" s="370" t="s">
        <v>32</v>
      </c>
      <c r="G134" s="118"/>
      <c r="H134" s="42"/>
      <c r="I134" s="403">
        <v>1</v>
      </c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7"/>
      <c r="X134" s="17"/>
    </row>
    <row r="135" spans="1:26" ht="15.75" customHeight="1" x14ac:dyDescent="0.2">
      <c r="A135" s="364"/>
      <c r="B135" s="115" t="s">
        <v>260</v>
      </c>
      <c r="C135" s="30">
        <v>8</v>
      </c>
      <c r="D135" s="116">
        <v>3121</v>
      </c>
      <c r="E135" s="117">
        <f>3121*8</f>
        <v>24968</v>
      </c>
      <c r="F135" s="357"/>
      <c r="G135" s="118"/>
      <c r="H135" s="42"/>
      <c r="I135" s="357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7"/>
      <c r="X135" s="17"/>
    </row>
    <row r="136" spans="1:26" ht="15.75" customHeight="1" x14ac:dyDescent="0.2">
      <c r="A136" s="103"/>
      <c r="B136" s="414" t="s">
        <v>261</v>
      </c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9"/>
      <c r="W136" s="17"/>
      <c r="X136" s="17"/>
    </row>
    <row r="137" spans="1:26" ht="15.75" customHeight="1" x14ac:dyDescent="0.2">
      <c r="A137" s="175" t="s">
        <v>262</v>
      </c>
      <c r="B137" s="115" t="s">
        <v>263</v>
      </c>
      <c r="C137" s="30">
        <v>3</v>
      </c>
      <c r="D137" s="116">
        <v>10000</v>
      </c>
      <c r="E137" s="117">
        <v>30000</v>
      </c>
      <c r="F137" s="36" t="s">
        <v>71</v>
      </c>
      <c r="G137" s="118"/>
      <c r="H137" s="42"/>
      <c r="I137" s="273">
        <v>1</v>
      </c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7"/>
      <c r="X137" s="17"/>
    </row>
    <row r="138" spans="1:26" ht="15.75" customHeight="1" x14ac:dyDescent="0.2">
      <c r="A138" s="103"/>
      <c r="B138" s="119" t="s">
        <v>85</v>
      </c>
      <c r="C138" s="120"/>
      <c r="D138" s="121"/>
      <c r="E138" s="120"/>
      <c r="F138" s="122"/>
      <c r="G138" s="123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7"/>
      <c r="X138" s="17"/>
    </row>
    <row r="139" spans="1:26" ht="15.75" customHeight="1" x14ac:dyDescent="0.2">
      <c r="A139" s="103"/>
      <c r="B139" s="88" t="s">
        <v>264</v>
      </c>
      <c r="C139" s="125"/>
      <c r="D139" s="125"/>
      <c r="E139" s="126"/>
      <c r="F139" s="127"/>
      <c r="G139" s="47"/>
      <c r="H139" s="42"/>
      <c r="I139" s="42"/>
      <c r="J139" s="42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17"/>
      <c r="X139" s="17"/>
    </row>
    <row r="140" spans="1:26" ht="15.75" customHeight="1" x14ac:dyDescent="0.2">
      <c r="A140" s="103"/>
      <c r="B140" s="88"/>
      <c r="C140" s="128"/>
      <c r="D140" s="129"/>
      <c r="E140" s="44"/>
      <c r="F140" s="127"/>
      <c r="G140" s="47"/>
      <c r="H140" s="42"/>
      <c r="I140" s="42"/>
      <c r="J140" s="42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17"/>
      <c r="X140" s="17"/>
    </row>
    <row r="141" spans="1:26" ht="15.75" customHeight="1" x14ac:dyDescent="0.2">
      <c r="A141" s="103"/>
      <c r="B141" s="130"/>
      <c r="C141" s="27"/>
      <c r="D141" s="131"/>
      <c r="E141" s="132"/>
      <c r="F141" s="133"/>
      <c r="G141" s="31"/>
      <c r="H141" s="134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17"/>
      <c r="X141" s="17"/>
    </row>
    <row r="142" spans="1:26" ht="15.75" customHeight="1" x14ac:dyDescent="0.2">
      <c r="A142" s="135"/>
      <c r="B142" s="379"/>
      <c r="C142" s="380"/>
      <c r="D142" s="380"/>
      <c r="E142" s="380"/>
      <c r="F142" s="380"/>
      <c r="G142" s="380"/>
      <c r="H142" s="380"/>
      <c r="I142" s="380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7"/>
      <c r="X142" s="137"/>
      <c r="Y142" s="136"/>
      <c r="Z142" s="136"/>
    </row>
    <row r="143" spans="1:26" ht="15.75" customHeight="1" x14ac:dyDescent="0.2">
      <c r="A143" s="138"/>
      <c r="B143" s="139"/>
      <c r="C143" s="9"/>
      <c r="D143" s="10"/>
      <c r="E143" s="140"/>
      <c r="F143" s="12"/>
      <c r="G143" s="14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"/>
      <c r="V143" s="1"/>
      <c r="W143" s="1"/>
      <c r="X143" s="1"/>
    </row>
    <row r="144" spans="1:26" ht="15.75" customHeight="1" x14ac:dyDescent="0.25">
      <c r="A144" s="142" t="s">
        <v>86</v>
      </c>
      <c r="B144" s="3"/>
      <c r="C144" s="381">
        <f>SUM(E28:E141)</f>
        <v>3096486</v>
      </c>
      <c r="D144" s="336"/>
      <c r="E144" s="336"/>
      <c r="F144" s="12"/>
      <c r="G144" s="14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"/>
      <c r="V144" s="1"/>
      <c r="W144" s="1"/>
      <c r="X144" s="1"/>
    </row>
    <row r="145" spans="1:24" ht="15.75" customHeight="1" x14ac:dyDescent="0.25">
      <c r="A145" s="143" t="s">
        <v>87</v>
      </c>
      <c r="B145" s="97"/>
      <c r="C145" s="332">
        <f>PRODUCT(C144,0.1)</f>
        <v>309648.60000000003</v>
      </c>
      <c r="D145" s="333"/>
      <c r="E145" s="334"/>
      <c r="F145" s="12"/>
      <c r="G145" s="141"/>
      <c r="H145" s="335"/>
      <c r="I145" s="336"/>
      <c r="J145" s="335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144"/>
      <c r="V145" s="1"/>
      <c r="W145" s="1"/>
      <c r="X145" s="1"/>
    </row>
    <row r="146" spans="1:24" ht="15.75" customHeight="1" x14ac:dyDescent="0.25">
      <c r="A146" s="145" t="s">
        <v>88</v>
      </c>
      <c r="B146" s="146"/>
      <c r="C146" s="337">
        <f>PRODUCT(C144,0.1)</f>
        <v>309648.60000000003</v>
      </c>
      <c r="D146" s="338"/>
      <c r="E146" s="339"/>
      <c r="F146" s="12"/>
      <c r="G146" s="141"/>
      <c r="H146" s="147"/>
      <c r="I146" s="147"/>
      <c r="J146" s="340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148"/>
      <c r="V146" s="1"/>
      <c r="W146" s="1"/>
      <c r="X146" s="1"/>
    </row>
    <row r="147" spans="1:24" ht="15.75" customHeight="1" x14ac:dyDescent="0.25">
      <c r="A147" s="145" t="s">
        <v>89</v>
      </c>
      <c r="B147" s="146"/>
      <c r="C147" s="337">
        <f>SUM(C144:E146)</f>
        <v>3715783.2</v>
      </c>
      <c r="D147" s="338"/>
      <c r="E147" s="339"/>
      <c r="F147" s="12"/>
      <c r="G147" s="141"/>
      <c r="H147" s="147"/>
      <c r="I147" s="147"/>
      <c r="J147" s="340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148"/>
      <c r="V147" s="1"/>
      <c r="W147" s="1"/>
      <c r="X147" s="1"/>
    </row>
    <row r="148" spans="1:24" ht="15.75" customHeight="1" x14ac:dyDescent="0.2">
      <c r="A148" s="149"/>
      <c r="B148" s="3"/>
      <c r="C148" s="9"/>
      <c r="D148" s="10"/>
      <c r="E148" s="11"/>
      <c r="F148" s="12"/>
      <c r="G148" s="141"/>
      <c r="H148" s="147"/>
      <c r="I148" s="147"/>
      <c r="J148" s="340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148"/>
      <c r="V148" s="1"/>
      <c r="W148" s="1"/>
      <c r="X148" s="1"/>
    </row>
    <row r="149" spans="1:24" ht="15.75" customHeight="1" x14ac:dyDescent="0.2">
      <c r="A149" s="150" t="s">
        <v>90</v>
      </c>
      <c r="B149" s="3"/>
      <c r="C149" s="9"/>
      <c r="D149" s="10"/>
      <c r="E149" s="11"/>
      <c r="F149" s="12"/>
      <c r="G149" s="14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"/>
      <c r="V149" s="1"/>
      <c r="W149" s="1"/>
      <c r="X149" s="1"/>
    </row>
    <row r="150" spans="1:24" ht="15.75" customHeight="1" x14ac:dyDescent="0.2">
      <c r="A150" s="60"/>
      <c r="B150" s="3"/>
      <c r="C150" s="9"/>
      <c r="D150" s="10"/>
      <c r="E150" s="11"/>
      <c r="F150" s="12"/>
      <c r="G150" s="14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"/>
      <c r="V150" s="1"/>
      <c r="W150" s="1"/>
      <c r="X150" s="1"/>
    </row>
    <row r="151" spans="1:24" ht="15.75" customHeight="1" x14ac:dyDescent="0.2">
      <c r="A151" s="151" t="s">
        <v>91</v>
      </c>
      <c r="B151" s="139"/>
      <c r="C151" s="341" t="s">
        <v>92</v>
      </c>
      <c r="D151" s="336"/>
      <c r="E151" s="336"/>
      <c r="F151" s="153"/>
      <c r="G151" s="147"/>
      <c r="H151" s="13"/>
      <c r="I151" s="342" t="s">
        <v>93</v>
      </c>
      <c r="J151" s="336"/>
      <c r="K151" s="336"/>
      <c r="L151" s="336"/>
      <c r="M151" s="336"/>
      <c r="N151" s="336"/>
      <c r="O151" s="13"/>
      <c r="P151" s="13"/>
      <c r="Q151" s="342" t="s">
        <v>94</v>
      </c>
      <c r="R151" s="336"/>
      <c r="S151" s="336"/>
      <c r="T151" s="336"/>
      <c r="U151" s="1"/>
      <c r="V151" s="1"/>
      <c r="W151" s="1"/>
      <c r="X151" s="155"/>
    </row>
    <row r="152" spans="1:24" ht="15.75" customHeight="1" x14ac:dyDescent="0.2">
      <c r="A152" s="151"/>
      <c r="B152" s="139"/>
      <c r="C152" s="156"/>
      <c r="D152" s="157"/>
      <c r="E152" s="156"/>
      <c r="F152" s="153"/>
      <c r="G152" s="147"/>
      <c r="H152" s="13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2"/>
      <c r="V152" s="152"/>
      <c r="W152" s="155"/>
      <c r="X152" s="155"/>
    </row>
    <row r="153" spans="1:24" ht="15.75" customHeight="1" x14ac:dyDescent="0.2">
      <c r="A153" s="139"/>
      <c r="B153" s="139"/>
      <c r="C153" s="158"/>
      <c r="D153" s="159"/>
      <c r="E153" s="160"/>
      <c r="F153" s="153"/>
      <c r="G153" s="147"/>
      <c r="H153" s="13"/>
      <c r="I153" s="147"/>
      <c r="J153" s="161"/>
      <c r="K153" s="161"/>
      <c r="L153" s="161"/>
      <c r="M153" s="161"/>
      <c r="N153" s="161"/>
      <c r="O153" s="161"/>
      <c r="P153" s="161"/>
      <c r="Q153" s="147"/>
      <c r="R153" s="161"/>
      <c r="S153" s="147"/>
      <c r="T153" s="147"/>
      <c r="U153" s="155"/>
      <c r="V153" s="155"/>
      <c r="W153" s="155"/>
      <c r="X153" s="155"/>
    </row>
    <row r="154" spans="1:24" ht="15.75" customHeight="1" x14ac:dyDescent="0.2">
      <c r="A154" s="385" t="s">
        <v>95</v>
      </c>
      <c r="B154" s="336"/>
      <c r="C154" s="343" t="s">
        <v>96</v>
      </c>
      <c r="D154" s="336"/>
      <c r="E154" s="336"/>
      <c r="F154" s="336"/>
      <c r="G154" s="13"/>
      <c r="H154" s="13"/>
      <c r="I154" s="344" t="s">
        <v>97</v>
      </c>
      <c r="J154" s="336"/>
      <c r="K154" s="336"/>
      <c r="L154" s="336"/>
      <c r="M154" s="336"/>
      <c r="N154" s="336"/>
      <c r="O154" s="13"/>
      <c r="P154" s="13"/>
      <c r="Q154" s="344" t="s">
        <v>98</v>
      </c>
      <c r="R154" s="336"/>
      <c r="S154" s="336"/>
      <c r="T154" s="336"/>
      <c r="U154" s="1"/>
      <c r="V154" s="1"/>
      <c r="W154" s="1"/>
      <c r="X154" s="1"/>
    </row>
    <row r="155" spans="1:24" ht="15" customHeight="1" x14ac:dyDescent="0.2">
      <c r="A155" s="386" t="s">
        <v>99</v>
      </c>
      <c r="B155" s="336"/>
      <c r="C155" s="387" t="s">
        <v>100</v>
      </c>
      <c r="D155" s="336"/>
      <c r="E155" s="336"/>
      <c r="F155" s="336"/>
      <c r="G155" s="162"/>
      <c r="H155" s="13"/>
      <c r="I155" s="388" t="s">
        <v>101</v>
      </c>
      <c r="J155" s="336"/>
      <c r="K155" s="336"/>
      <c r="L155" s="336"/>
      <c r="M155" s="336"/>
      <c r="N155" s="336"/>
      <c r="O155" s="13"/>
      <c r="P155" s="13"/>
      <c r="Q155" s="389" t="s">
        <v>102</v>
      </c>
      <c r="R155" s="336"/>
      <c r="S155" s="336"/>
      <c r="T155" s="336"/>
      <c r="U155" s="1"/>
      <c r="V155" s="1"/>
      <c r="W155" s="155"/>
      <c r="X155" s="155"/>
    </row>
    <row r="156" spans="1:24" ht="15.75" customHeight="1" x14ac:dyDescent="0.2">
      <c r="A156" s="1"/>
      <c r="B156" s="1"/>
      <c r="C156" s="9"/>
      <c r="D156" s="10"/>
      <c r="E156" s="9"/>
      <c r="F156" s="16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"/>
      <c r="V156" s="1"/>
      <c r="W156" s="1"/>
      <c r="X156" s="1"/>
    </row>
    <row r="157" spans="1:24" ht="15.75" customHeight="1" x14ac:dyDescent="0.2">
      <c r="A157" s="1" t="s">
        <v>265</v>
      </c>
      <c r="B157" s="1"/>
      <c r="C157" s="346" t="s">
        <v>104</v>
      </c>
      <c r="D157" s="336"/>
      <c r="E157" s="336"/>
      <c r="F157" s="163"/>
      <c r="G157" s="13"/>
      <c r="H157" s="13"/>
      <c r="I157" s="390" t="s">
        <v>105</v>
      </c>
      <c r="J157" s="336"/>
      <c r="K157" s="336"/>
      <c r="L157" s="336"/>
      <c r="M157" s="13"/>
      <c r="N157" s="13"/>
      <c r="O157" s="13"/>
      <c r="P157" s="13"/>
      <c r="Q157" s="13" t="s">
        <v>105</v>
      </c>
      <c r="R157" s="13"/>
      <c r="S157" s="13"/>
      <c r="T157" s="13"/>
      <c r="U157" s="1"/>
      <c r="V157" s="1"/>
      <c r="W157" s="1"/>
      <c r="X157" s="1"/>
    </row>
    <row r="158" spans="1:24" ht="15.75" customHeight="1" x14ac:dyDescent="0.25">
      <c r="C158" s="9"/>
      <c r="D158" s="164"/>
      <c r="E158" s="9"/>
      <c r="F158" s="165"/>
      <c r="G158" s="166"/>
      <c r="H158" s="382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</row>
    <row r="159" spans="1:24" ht="15.75" customHeight="1" x14ac:dyDescent="0.25">
      <c r="C159" s="9"/>
      <c r="D159" s="164"/>
      <c r="E159" s="9"/>
      <c r="F159" s="165"/>
      <c r="G159" s="166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8"/>
    </row>
    <row r="160" spans="1:24" ht="15.75" customHeight="1" x14ac:dyDescent="0.25">
      <c r="C160" s="9"/>
      <c r="D160" s="164"/>
      <c r="E160" s="9"/>
      <c r="F160" s="165"/>
      <c r="G160" s="166"/>
      <c r="H160" s="169"/>
      <c r="I160" s="170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2"/>
    </row>
    <row r="161" spans="3:20" ht="15.75" customHeight="1" x14ac:dyDescent="0.25">
      <c r="C161" s="9"/>
      <c r="D161" s="164"/>
      <c r="E161" s="9"/>
      <c r="F161" s="165"/>
      <c r="G161" s="166"/>
      <c r="H161" s="383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</row>
    <row r="162" spans="3:20" ht="15.75" customHeight="1" x14ac:dyDescent="0.25">
      <c r="C162" s="9"/>
      <c r="D162" s="164"/>
      <c r="E162" s="9"/>
      <c r="F162" s="165"/>
      <c r="G162" s="166"/>
      <c r="H162" s="384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</row>
    <row r="163" spans="3:20" ht="15.75" customHeight="1" x14ac:dyDescent="0.25">
      <c r="C163" s="9"/>
      <c r="D163" s="164"/>
      <c r="E163" s="9"/>
      <c r="F163" s="165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</row>
    <row r="164" spans="3:20" ht="15.75" customHeight="1" x14ac:dyDescent="0.25">
      <c r="C164" s="9"/>
      <c r="D164" s="164"/>
      <c r="E164" s="9"/>
      <c r="F164" s="165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</row>
    <row r="165" spans="3:20" ht="15.75" customHeight="1" x14ac:dyDescent="0.25">
      <c r="C165" s="9"/>
      <c r="D165" s="164"/>
      <c r="E165" s="9"/>
      <c r="F165" s="165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</row>
    <row r="166" spans="3:20" ht="15.75" customHeight="1" x14ac:dyDescent="0.25">
      <c r="C166" s="9"/>
      <c r="D166" s="164"/>
      <c r="E166" s="9"/>
      <c r="F166" s="165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</row>
    <row r="167" spans="3:20" ht="15.75" customHeight="1" x14ac:dyDescent="0.25">
      <c r="C167" s="9"/>
      <c r="D167" s="164"/>
      <c r="E167" s="9"/>
      <c r="F167" s="165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</row>
    <row r="168" spans="3:20" ht="15.75" customHeight="1" x14ac:dyDescent="0.25">
      <c r="C168" s="9"/>
      <c r="D168" s="164"/>
      <c r="E168" s="9"/>
      <c r="F168" s="165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</row>
    <row r="169" spans="3:20" ht="15.75" customHeight="1" x14ac:dyDescent="0.25">
      <c r="C169" s="9"/>
      <c r="D169" s="164"/>
      <c r="E169" s="9"/>
      <c r="F169" s="165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</row>
    <row r="170" spans="3:20" ht="15.75" customHeight="1" x14ac:dyDescent="0.25">
      <c r="C170" s="9"/>
      <c r="D170" s="164"/>
      <c r="E170" s="9"/>
      <c r="F170" s="165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</row>
    <row r="171" spans="3:20" ht="15.75" customHeight="1" x14ac:dyDescent="0.25">
      <c r="C171" s="9"/>
      <c r="D171" s="164"/>
      <c r="E171" s="9"/>
      <c r="F171" s="165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</row>
    <row r="172" spans="3:20" ht="15.75" customHeight="1" x14ac:dyDescent="0.25">
      <c r="C172" s="9"/>
      <c r="D172" s="164"/>
      <c r="E172" s="9"/>
      <c r="F172" s="165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</row>
    <row r="173" spans="3:20" ht="15.75" customHeight="1" x14ac:dyDescent="0.25">
      <c r="C173" s="9"/>
      <c r="D173" s="164"/>
      <c r="E173" s="9"/>
      <c r="F173" s="165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</row>
    <row r="174" spans="3:20" ht="15.75" customHeight="1" x14ac:dyDescent="0.25">
      <c r="C174" s="9"/>
      <c r="D174" s="164"/>
      <c r="E174" s="9"/>
      <c r="F174" s="165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</row>
    <row r="175" spans="3:20" ht="15.75" customHeight="1" x14ac:dyDescent="0.25">
      <c r="C175" s="9"/>
      <c r="D175" s="164"/>
      <c r="E175" s="9"/>
      <c r="F175" s="165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</row>
    <row r="176" spans="3:20" ht="15.75" customHeight="1" x14ac:dyDescent="0.25">
      <c r="C176" s="9"/>
      <c r="D176" s="164"/>
      <c r="E176" s="9"/>
      <c r="F176" s="165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</row>
    <row r="177" spans="3:20" ht="15.75" customHeight="1" x14ac:dyDescent="0.25">
      <c r="C177" s="9"/>
      <c r="D177" s="164"/>
      <c r="E177" s="9"/>
      <c r="F177" s="165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</row>
    <row r="178" spans="3:20" ht="15.75" customHeight="1" x14ac:dyDescent="0.25">
      <c r="C178" s="9"/>
      <c r="D178" s="164"/>
      <c r="E178" s="9"/>
      <c r="F178" s="165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</row>
    <row r="179" spans="3:20" ht="15.75" customHeight="1" x14ac:dyDescent="0.25">
      <c r="C179" s="9"/>
      <c r="D179" s="164"/>
      <c r="E179" s="9"/>
      <c r="F179" s="165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</row>
    <row r="180" spans="3:20" ht="15.75" customHeight="1" x14ac:dyDescent="0.25">
      <c r="C180" s="9"/>
      <c r="D180" s="164"/>
      <c r="E180" s="9"/>
      <c r="F180" s="165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</row>
    <row r="181" spans="3:20" ht="15.75" customHeight="1" x14ac:dyDescent="0.25">
      <c r="C181" s="9"/>
      <c r="D181" s="164"/>
      <c r="E181" s="9"/>
      <c r="F181" s="165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</row>
    <row r="182" spans="3:20" ht="15.75" customHeight="1" x14ac:dyDescent="0.25">
      <c r="C182" s="9"/>
      <c r="D182" s="164"/>
      <c r="E182" s="9"/>
      <c r="F182" s="165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</row>
    <row r="183" spans="3:20" ht="15.75" customHeight="1" x14ac:dyDescent="0.25">
      <c r="C183" s="9"/>
      <c r="D183" s="164"/>
      <c r="E183" s="9"/>
      <c r="F183" s="165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</row>
    <row r="184" spans="3:20" ht="15.75" customHeight="1" x14ac:dyDescent="0.25">
      <c r="C184" s="9"/>
      <c r="D184" s="164"/>
      <c r="E184" s="9"/>
      <c r="F184" s="165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</row>
    <row r="185" spans="3:20" ht="15.75" customHeight="1" x14ac:dyDescent="0.25">
      <c r="C185" s="9"/>
      <c r="D185" s="164"/>
      <c r="E185" s="9"/>
      <c r="F185" s="165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</row>
    <row r="186" spans="3:20" ht="15.75" customHeight="1" x14ac:dyDescent="0.25">
      <c r="C186" s="9"/>
      <c r="D186" s="164"/>
      <c r="E186" s="9"/>
      <c r="F186" s="165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</row>
    <row r="187" spans="3:20" ht="15.75" customHeight="1" x14ac:dyDescent="0.25">
      <c r="C187" s="9"/>
      <c r="D187" s="164"/>
      <c r="E187" s="9"/>
      <c r="F187" s="165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</row>
    <row r="188" spans="3:20" ht="15.75" customHeight="1" x14ac:dyDescent="0.25">
      <c r="C188" s="9"/>
      <c r="D188" s="164"/>
      <c r="E188" s="9"/>
      <c r="F188" s="165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</row>
    <row r="189" spans="3:20" ht="15.75" customHeight="1" x14ac:dyDescent="0.25">
      <c r="C189" s="9"/>
      <c r="D189" s="164"/>
      <c r="E189" s="9"/>
      <c r="F189" s="165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</row>
    <row r="190" spans="3:20" ht="15.75" customHeight="1" x14ac:dyDescent="0.25">
      <c r="C190" s="9"/>
      <c r="D190" s="164"/>
      <c r="E190" s="9"/>
      <c r="F190" s="165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</row>
    <row r="191" spans="3:20" ht="15.75" customHeight="1" x14ac:dyDescent="0.25">
      <c r="C191" s="9"/>
      <c r="D191" s="164"/>
      <c r="E191" s="9"/>
      <c r="F191" s="165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</row>
    <row r="192" spans="3:20" ht="15.75" customHeight="1" x14ac:dyDescent="0.25">
      <c r="C192" s="9"/>
      <c r="D192" s="164"/>
      <c r="E192" s="9"/>
      <c r="F192" s="165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</row>
    <row r="193" spans="3:20" ht="15.75" customHeight="1" x14ac:dyDescent="0.25">
      <c r="C193" s="9"/>
      <c r="D193" s="164"/>
      <c r="E193" s="9"/>
      <c r="F193" s="165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</row>
    <row r="194" spans="3:20" ht="15.75" customHeight="1" x14ac:dyDescent="0.25">
      <c r="C194" s="9"/>
      <c r="D194" s="164"/>
      <c r="E194" s="9"/>
      <c r="F194" s="165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</row>
    <row r="195" spans="3:20" ht="15.75" customHeight="1" x14ac:dyDescent="0.25">
      <c r="C195" s="9"/>
      <c r="D195" s="164"/>
      <c r="E195" s="9"/>
      <c r="F195" s="165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</row>
    <row r="196" spans="3:20" ht="15.75" customHeight="1" x14ac:dyDescent="0.25">
      <c r="C196" s="9"/>
      <c r="D196" s="164"/>
      <c r="E196" s="9"/>
      <c r="F196" s="165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</row>
    <row r="197" spans="3:20" ht="15.75" customHeight="1" x14ac:dyDescent="0.25">
      <c r="C197" s="9"/>
      <c r="D197" s="164"/>
      <c r="E197" s="9"/>
      <c r="F197" s="165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</row>
    <row r="198" spans="3:20" ht="15.75" customHeight="1" x14ac:dyDescent="0.25">
      <c r="C198" s="9"/>
      <c r="D198" s="164"/>
      <c r="E198" s="9"/>
      <c r="F198" s="165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</row>
    <row r="199" spans="3:20" ht="15.75" customHeight="1" x14ac:dyDescent="0.25">
      <c r="C199" s="9"/>
      <c r="D199" s="164"/>
      <c r="E199" s="9"/>
      <c r="F199" s="165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</row>
    <row r="200" spans="3:20" ht="15.75" customHeight="1" x14ac:dyDescent="0.25">
      <c r="C200" s="9"/>
      <c r="D200" s="164"/>
      <c r="E200" s="9"/>
      <c r="F200" s="165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</row>
    <row r="201" spans="3:20" ht="15.75" customHeight="1" x14ac:dyDescent="0.25">
      <c r="C201" s="9"/>
      <c r="D201" s="164"/>
      <c r="E201" s="9"/>
      <c r="F201" s="165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</row>
    <row r="202" spans="3:20" ht="15.75" customHeight="1" x14ac:dyDescent="0.25">
      <c r="C202" s="9"/>
      <c r="D202" s="164"/>
      <c r="E202" s="9"/>
      <c r="F202" s="165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</row>
    <row r="203" spans="3:20" ht="15.75" customHeight="1" x14ac:dyDescent="0.25">
      <c r="C203" s="9"/>
      <c r="D203" s="164"/>
      <c r="E203" s="9"/>
      <c r="F203" s="165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</row>
    <row r="204" spans="3:20" ht="15.75" customHeight="1" x14ac:dyDescent="0.25">
      <c r="C204" s="9"/>
      <c r="D204" s="164"/>
      <c r="E204" s="9"/>
      <c r="F204" s="165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</row>
    <row r="205" spans="3:20" ht="15.75" customHeight="1" x14ac:dyDescent="0.25">
      <c r="C205" s="9"/>
      <c r="D205" s="164"/>
      <c r="E205" s="9"/>
      <c r="F205" s="165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</row>
    <row r="206" spans="3:20" ht="15.75" customHeight="1" x14ac:dyDescent="0.25">
      <c r="C206" s="9"/>
      <c r="D206" s="164"/>
      <c r="E206" s="9"/>
      <c r="F206" s="165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</row>
    <row r="207" spans="3:20" ht="15.75" customHeight="1" x14ac:dyDescent="0.25">
      <c r="C207" s="9"/>
      <c r="D207" s="164"/>
      <c r="E207" s="9"/>
      <c r="F207" s="165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</row>
    <row r="208" spans="3:20" ht="15.75" customHeight="1" x14ac:dyDescent="0.25">
      <c r="C208" s="9"/>
      <c r="D208" s="164"/>
      <c r="E208" s="9"/>
      <c r="F208" s="165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</row>
    <row r="209" spans="3:20" ht="15.75" customHeight="1" x14ac:dyDescent="0.25">
      <c r="C209" s="9"/>
      <c r="D209" s="164"/>
      <c r="E209" s="9"/>
      <c r="F209" s="165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</row>
    <row r="210" spans="3:20" ht="15.75" customHeight="1" x14ac:dyDescent="0.25">
      <c r="C210" s="9"/>
      <c r="D210" s="164"/>
      <c r="E210" s="9"/>
      <c r="F210" s="165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</row>
    <row r="211" spans="3:20" ht="15.75" customHeight="1" x14ac:dyDescent="0.25">
      <c r="C211" s="9"/>
      <c r="D211" s="164"/>
      <c r="E211" s="9"/>
      <c r="F211" s="165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</row>
    <row r="212" spans="3:20" ht="15.75" customHeight="1" x14ac:dyDescent="0.25">
      <c r="C212" s="9"/>
      <c r="D212" s="164"/>
      <c r="E212" s="9"/>
      <c r="F212" s="165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</row>
    <row r="213" spans="3:20" ht="15.75" customHeight="1" x14ac:dyDescent="0.25">
      <c r="C213" s="9"/>
      <c r="D213" s="164"/>
      <c r="E213" s="9"/>
      <c r="F213" s="165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</row>
    <row r="214" spans="3:20" ht="15.75" customHeight="1" x14ac:dyDescent="0.25">
      <c r="C214" s="9"/>
      <c r="D214" s="164"/>
      <c r="E214" s="9"/>
      <c r="F214" s="165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</row>
    <row r="215" spans="3:20" ht="15.75" customHeight="1" x14ac:dyDescent="0.25">
      <c r="C215" s="9"/>
      <c r="D215" s="164"/>
      <c r="E215" s="9"/>
      <c r="F215" s="165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</row>
    <row r="216" spans="3:20" ht="15.75" customHeight="1" x14ac:dyDescent="0.25">
      <c r="C216" s="9"/>
      <c r="D216" s="164"/>
      <c r="E216" s="9"/>
      <c r="F216" s="165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</row>
    <row r="217" spans="3:20" ht="15.75" customHeight="1" x14ac:dyDescent="0.25">
      <c r="C217" s="9"/>
      <c r="D217" s="164"/>
      <c r="E217" s="9"/>
      <c r="F217" s="165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</row>
    <row r="218" spans="3:20" ht="15.75" customHeight="1" x14ac:dyDescent="0.25">
      <c r="C218" s="9"/>
      <c r="D218" s="164"/>
      <c r="E218" s="9"/>
      <c r="F218" s="165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</row>
    <row r="219" spans="3:20" ht="15.75" customHeight="1" x14ac:dyDescent="0.25">
      <c r="C219" s="9"/>
      <c r="D219" s="164"/>
      <c r="E219" s="9"/>
      <c r="F219" s="165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</row>
    <row r="220" spans="3:20" ht="15.75" customHeight="1" x14ac:dyDescent="0.25">
      <c r="C220" s="9"/>
      <c r="D220" s="164"/>
      <c r="E220" s="9"/>
      <c r="F220" s="165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</row>
    <row r="221" spans="3:20" ht="15.75" customHeight="1" x14ac:dyDescent="0.25">
      <c r="C221" s="9"/>
      <c r="D221" s="164"/>
      <c r="E221" s="9"/>
      <c r="F221" s="165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</row>
    <row r="222" spans="3:20" ht="15.75" customHeight="1" x14ac:dyDescent="0.25">
      <c r="C222" s="9"/>
      <c r="D222" s="164"/>
      <c r="E222" s="9"/>
      <c r="F222" s="165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</row>
    <row r="223" spans="3:20" ht="15.75" customHeight="1" x14ac:dyDescent="0.25">
      <c r="C223" s="9"/>
      <c r="D223" s="164"/>
      <c r="E223" s="9"/>
      <c r="F223" s="165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</row>
    <row r="224" spans="3:20" ht="15.75" customHeight="1" x14ac:dyDescent="0.25">
      <c r="C224" s="9"/>
      <c r="D224" s="164"/>
      <c r="E224" s="9"/>
      <c r="F224" s="165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</row>
    <row r="225" spans="3:20" ht="15.75" customHeight="1" x14ac:dyDescent="0.25">
      <c r="C225" s="9"/>
      <c r="D225" s="164"/>
      <c r="E225" s="9"/>
      <c r="F225" s="165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</row>
    <row r="226" spans="3:20" ht="15.75" customHeight="1" x14ac:dyDescent="0.25">
      <c r="C226" s="9"/>
      <c r="D226" s="164"/>
      <c r="E226" s="9"/>
      <c r="F226" s="165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</row>
    <row r="227" spans="3:20" ht="15.75" customHeight="1" x14ac:dyDescent="0.25">
      <c r="C227" s="9"/>
      <c r="D227" s="164"/>
      <c r="E227" s="9"/>
      <c r="F227" s="165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</row>
    <row r="228" spans="3:20" ht="15.75" customHeight="1" x14ac:dyDescent="0.25">
      <c r="C228" s="9"/>
      <c r="D228" s="164"/>
      <c r="E228" s="9"/>
      <c r="F228" s="165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</row>
    <row r="229" spans="3:20" ht="15.75" customHeight="1" x14ac:dyDescent="0.25">
      <c r="C229" s="9"/>
      <c r="D229" s="164"/>
      <c r="E229" s="9"/>
      <c r="F229" s="165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</row>
    <row r="230" spans="3:20" ht="15.75" customHeight="1" x14ac:dyDescent="0.25">
      <c r="C230" s="9"/>
      <c r="D230" s="164"/>
      <c r="E230" s="9"/>
      <c r="F230" s="165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</row>
    <row r="231" spans="3:20" ht="15.75" customHeight="1" x14ac:dyDescent="0.25">
      <c r="C231" s="9"/>
      <c r="D231" s="164"/>
      <c r="E231" s="9"/>
      <c r="F231" s="165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</row>
    <row r="232" spans="3:20" ht="15.75" customHeight="1" x14ac:dyDescent="0.25">
      <c r="C232" s="9"/>
      <c r="D232" s="164"/>
      <c r="E232" s="9"/>
      <c r="F232" s="165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</row>
    <row r="233" spans="3:20" ht="15.75" customHeight="1" x14ac:dyDescent="0.25">
      <c r="C233" s="9"/>
      <c r="D233" s="164"/>
      <c r="E233" s="9"/>
      <c r="F233" s="165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</row>
    <row r="234" spans="3:20" ht="15.75" customHeight="1" x14ac:dyDescent="0.25">
      <c r="C234" s="9"/>
      <c r="D234" s="164"/>
      <c r="E234" s="9"/>
      <c r="F234" s="165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</row>
    <row r="235" spans="3:20" ht="15.75" customHeight="1" x14ac:dyDescent="0.25">
      <c r="C235" s="9"/>
      <c r="D235" s="164"/>
      <c r="E235" s="9"/>
      <c r="F235" s="165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</row>
    <row r="236" spans="3:20" ht="15.75" customHeight="1" x14ac:dyDescent="0.25">
      <c r="C236" s="9"/>
      <c r="D236" s="164"/>
      <c r="E236" s="9"/>
      <c r="F236" s="165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</row>
    <row r="237" spans="3:20" ht="15.75" customHeight="1" x14ac:dyDescent="0.25">
      <c r="C237" s="9"/>
      <c r="D237" s="164"/>
      <c r="E237" s="9"/>
      <c r="F237" s="165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</row>
    <row r="238" spans="3:20" ht="15.75" customHeight="1" x14ac:dyDescent="0.25">
      <c r="C238" s="9"/>
      <c r="D238" s="164"/>
      <c r="E238" s="9"/>
      <c r="F238" s="165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</row>
    <row r="239" spans="3:20" ht="15.75" customHeight="1" x14ac:dyDescent="0.25">
      <c r="C239" s="9"/>
      <c r="D239" s="164"/>
      <c r="E239" s="9"/>
      <c r="F239" s="165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</row>
    <row r="240" spans="3:20" ht="15.75" customHeight="1" x14ac:dyDescent="0.25">
      <c r="C240" s="9"/>
      <c r="D240" s="164"/>
      <c r="E240" s="9"/>
      <c r="F240" s="165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</row>
    <row r="241" spans="3:20" ht="15.75" customHeight="1" x14ac:dyDescent="0.25">
      <c r="C241" s="9"/>
      <c r="D241" s="164"/>
      <c r="E241" s="9"/>
      <c r="F241" s="165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3:20" ht="15.75" customHeight="1" x14ac:dyDescent="0.25">
      <c r="C242" s="9"/>
      <c r="D242" s="164"/>
      <c r="E242" s="9"/>
      <c r="F242" s="165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</row>
    <row r="243" spans="3:20" ht="15.75" customHeight="1" x14ac:dyDescent="0.25">
      <c r="C243" s="9"/>
      <c r="D243" s="164"/>
      <c r="E243" s="9"/>
      <c r="F243" s="165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</row>
    <row r="244" spans="3:20" ht="15.75" customHeight="1" x14ac:dyDescent="0.25">
      <c r="C244" s="9"/>
      <c r="D244" s="164"/>
      <c r="E244" s="9"/>
      <c r="F244" s="165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</row>
    <row r="245" spans="3:20" ht="15.75" customHeight="1" x14ac:dyDescent="0.25">
      <c r="C245" s="9"/>
      <c r="D245" s="164"/>
      <c r="E245" s="9"/>
      <c r="F245" s="165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</row>
    <row r="246" spans="3:20" ht="15.75" customHeight="1" x14ac:dyDescent="0.25">
      <c r="C246" s="9"/>
      <c r="D246" s="164"/>
      <c r="E246" s="9"/>
      <c r="F246" s="165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</row>
    <row r="247" spans="3:20" ht="15.75" customHeight="1" x14ac:dyDescent="0.25">
      <c r="C247" s="9"/>
      <c r="D247" s="164"/>
      <c r="E247" s="9"/>
      <c r="F247" s="165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</row>
    <row r="248" spans="3:20" ht="15.75" customHeight="1" x14ac:dyDescent="0.25">
      <c r="C248" s="9"/>
      <c r="D248" s="164"/>
      <c r="E248" s="9"/>
      <c r="F248" s="165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</row>
    <row r="249" spans="3:20" ht="15.75" customHeight="1" x14ac:dyDescent="0.25">
      <c r="C249" s="9"/>
      <c r="D249" s="164"/>
      <c r="E249" s="9"/>
      <c r="F249" s="165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</row>
    <row r="250" spans="3:20" ht="15.75" customHeight="1" x14ac:dyDescent="0.25">
      <c r="C250" s="9"/>
      <c r="D250" s="164"/>
      <c r="E250" s="9"/>
      <c r="F250" s="165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</row>
    <row r="251" spans="3:20" ht="15.75" customHeight="1" x14ac:dyDescent="0.25">
      <c r="C251" s="9"/>
      <c r="D251" s="164"/>
      <c r="E251" s="9"/>
      <c r="F251" s="165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</row>
    <row r="252" spans="3:20" ht="15.75" customHeight="1" x14ac:dyDescent="0.25">
      <c r="C252" s="9"/>
      <c r="D252" s="164"/>
      <c r="E252" s="9"/>
      <c r="F252" s="165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</row>
    <row r="253" spans="3:20" ht="15.75" customHeight="1" x14ac:dyDescent="0.25">
      <c r="C253" s="9"/>
      <c r="D253" s="164"/>
      <c r="E253" s="9"/>
      <c r="F253" s="165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</row>
    <row r="254" spans="3:20" ht="15.75" customHeight="1" x14ac:dyDescent="0.25">
      <c r="C254" s="9"/>
      <c r="D254" s="164"/>
      <c r="E254" s="9"/>
      <c r="F254" s="165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</row>
    <row r="255" spans="3:20" ht="15.75" customHeight="1" x14ac:dyDescent="0.25">
      <c r="C255" s="9"/>
      <c r="D255" s="164"/>
      <c r="E255" s="9"/>
      <c r="F255" s="165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</row>
    <row r="256" spans="3:20" ht="15.75" customHeight="1" x14ac:dyDescent="0.25">
      <c r="C256" s="9"/>
      <c r="D256" s="164"/>
      <c r="E256" s="9"/>
      <c r="F256" s="165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</row>
    <row r="257" spans="3:20" ht="15.75" customHeight="1" x14ac:dyDescent="0.25">
      <c r="C257" s="9"/>
      <c r="D257" s="164"/>
      <c r="E257" s="9"/>
      <c r="F257" s="165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</row>
    <row r="258" spans="3:20" ht="15.75" customHeight="1" x14ac:dyDescent="0.25">
      <c r="C258" s="9"/>
      <c r="D258" s="164"/>
      <c r="E258" s="9"/>
      <c r="F258" s="165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</row>
    <row r="259" spans="3:20" ht="15.75" customHeight="1" x14ac:dyDescent="0.25">
      <c r="C259" s="9"/>
      <c r="D259" s="164"/>
      <c r="E259" s="9"/>
      <c r="F259" s="165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</row>
    <row r="260" spans="3:20" ht="15.75" customHeight="1" x14ac:dyDescent="0.25">
      <c r="C260" s="9"/>
      <c r="D260" s="164"/>
      <c r="E260" s="9"/>
      <c r="F260" s="165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</row>
    <row r="261" spans="3:20" ht="15.75" customHeight="1" x14ac:dyDescent="0.25">
      <c r="C261" s="9"/>
      <c r="D261" s="164"/>
      <c r="E261" s="9"/>
      <c r="F261" s="165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</row>
    <row r="262" spans="3:20" ht="15.75" customHeight="1" x14ac:dyDescent="0.25">
      <c r="C262" s="9"/>
      <c r="D262" s="164"/>
      <c r="E262" s="9"/>
      <c r="F262" s="165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</row>
    <row r="263" spans="3:20" ht="15.75" customHeight="1" x14ac:dyDescent="0.25">
      <c r="C263" s="9"/>
      <c r="D263" s="164"/>
      <c r="E263" s="9"/>
      <c r="F263" s="165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</row>
    <row r="264" spans="3:20" ht="15.75" customHeight="1" x14ac:dyDescent="0.25">
      <c r="C264" s="9"/>
      <c r="D264" s="164"/>
      <c r="E264" s="9"/>
      <c r="F264" s="165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</row>
    <row r="265" spans="3:20" ht="15.75" customHeight="1" x14ac:dyDescent="0.25">
      <c r="C265" s="9"/>
      <c r="D265" s="164"/>
      <c r="E265" s="9"/>
      <c r="F265" s="165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</row>
    <row r="266" spans="3:20" ht="15.75" customHeight="1" x14ac:dyDescent="0.25">
      <c r="C266" s="9"/>
      <c r="D266" s="164"/>
      <c r="E266" s="9"/>
      <c r="F266" s="165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</row>
    <row r="267" spans="3:20" ht="15.75" customHeight="1" x14ac:dyDescent="0.25">
      <c r="C267" s="9"/>
      <c r="D267" s="164"/>
      <c r="E267" s="9"/>
      <c r="F267" s="165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</row>
    <row r="268" spans="3:20" ht="15.75" customHeight="1" x14ac:dyDescent="0.25">
      <c r="C268" s="9"/>
      <c r="D268" s="164"/>
      <c r="E268" s="9"/>
      <c r="F268" s="165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</row>
    <row r="269" spans="3:20" ht="15.75" customHeight="1" x14ac:dyDescent="0.25">
      <c r="C269" s="9"/>
      <c r="D269" s="164"/>
      <c r="E269" s="9"/>
      <c r="F269" s="165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</row>
    <row r="270" spans="3:20" ht="15.75" customHeight="1" x14ac:dyDescent="0.25">
      <c r="C270" s="9"/>
      <c r="D270" s="164"/>
      <c r="E270" s="9"/>
      <c r="F270" s="165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</row>
    <row r="271" spans="3:20" ht="15.75" customHeight="1" x14ac:dyDescent="0.25">
      <c r="C271" s="9"/>
      <c r="D271" s="164"/>
      <c r="E271" s="9"/>
      <c r="F271" s="165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</row>
    <row r="272" spans="3:20" ht="15.75" customHeight="1" x14ac:dyDescent="0.25">
      <c r="C272" s="9"/>
      <c r="D272" s="164"/>
      <c r="E272" s="9"/>
      <c r="F272" s="165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</row>
    <row r="273" spans="3:20" ht="15.75" customHeight="1" x14ac:dyDescent="0.25">
      <c r="C273" s="9"/>
      <c r="D273" s="164"/>
      <c r="E273" s="9"/>
      <c r="F273" s="165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</row>
    <row r="274" spans="3:20" ht="15.75" customHeight="1" x14ac:dyDescent="0.25">
      <c r="C274" s="9"/>
      <c r="D274" s="164"/>
      <c r="E274" s="9"/>
      <c r="F274" s="165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</row>
    <row r="275" spans="3:20" ht="15.75" customHeight="1" x14ac:dyDescent="0.25">
      <c r="C275" s="9"/>
      <c r="D275" s="164"/>
      <c r="E275" s="9"/>
      <c r="F275" s="165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</row>
    <row r="276" spans="3:20" ht="15.75" customHeight="1" x14ac:dyDescent="0.25">
      <c r="C276" s="9"/>
      <c r="D276" s="164"/>
      <c r="E276" s="9"/>
      <c r="F276" s="165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</row>
    <row r="277" spans="3:20" ht="15.75" customHeight="1" x14ac:dyDescent="0.25">
      <c r="C277" s="9"/>
      <c r="D277" s="164"/>
      <c r="E277" s="9"/>
      <c r="F277" s="165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</row>
    <row r="278" spans="3:20" ht="15.75" customHeight="1" x14ac:dyDescent="0.25">
      <c r="C278" s="9"/>
      <c r="D278" s="164"/>
      <c r="E278" s="9"/>
      <c r="F278" s="165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</row>
    <row r="279" spans="3:20" ht="15.75" customHeight="1" x14ac:dyDescent="0.25">
      <c r="C279" s="9"/>
      <c r="D279" s="164"/>
      <c r="E279" s="9"/>
      <c r="F279" s="165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</row>
    <row r="280" spans="3:20" ht="15.75" customHeight="1" x14ac:dyDescent="0.25">
      <c r="C280" s="9"/>
      <c r="D280" s="164"/>
      <c r="E280" s="9"/>
      <c r="F280" s="165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</row>
    <row r="281" spans="3:20" ht="15.75" customHeight="1" x14ac:dyDescent="0.25">
      <c r="C281" s="9"/>
      <c r="D281" s="164"/>
      <c r="E281" s="9"/>
      <c r="F281" s="165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</row>
    <row r="282" spans="3:20" ht="15.75" customHeight="1" x14ac:dyDescent="0.25">
      <c r="C282" s="9"/>
      <c r="D282" s="164"/>
      <c r="E282" s="9"/>
      <c r="F282" s="165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</row>
    <row r="283" spans="3:20" ht="15.75" customHeight="1" x14ac:dyDescent="0.25">
      <c r="C283" s="9"/>
      <c r="D283" s="164"/>
      <c r="E283" s="9"/>
      <c r="F283" s="165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</row>
    <row r="284" spans="3:20" ht="15.75" customHeight="1" x14ac:dyDescent="0.25">
      <c r="C284" s="9"/>
      <c r="D284" s="164"/>
      <c r="E284" s="9"/>
      <c r="F284" s="165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</row>
    <row r="285" spans="3:20" ht="15.75" customHeight="1" x14ac:dyDescent="0.25">
      <c r="C285" s="9"/>
      <c r="D285" s="164"/>
      <c r="E285" s="9"/>
      <c r="F285" s="165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</row>
    <row r="286" spans="3:20" ht="15.75" customHeight="1" x14ac:dyDescent="0.25">
      <c r="C286" s="9"/>
      <c r="D286" s="164"/>
      <c r="E286" s="9"/>
      <c r="F286" s="165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</row>
    <row r="287" spans="3:20" ht="15.75" customHeight="1" x14ac:dyDescent="0.25">
      <c r="C287" s="9"/>
      <c r="D287" s="164"/>
      <c r="E287" s="9"/>
      <c r="F287" s="165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</row>
    <row r="288" spans="3:20" ht="15.75" customHeight="1" x14ac:dyDescent="0.25">
      <c r="C288" s="9"/>
      <c r="D288" s="164"/>
      <c r="E288" s="9"/>
      <c r="F288" s="165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</row>
    <row r="289" spans="3:20" ht="15.75" customHeight="1" x14ac:dyDescent="0.25">
      <c r="C289" s="9"/>
      <c r="D289" s="164"/>
      <c r="E289" s="9"/>
      <c r="F289" s="165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</row>
    <row r="290" spans="3:20" ht="15.75" customHeight="1" x14ac:dyDescent="0.25">
      <c r="C290" s="9"/>
      <c r="D290" s="164"/>
      <c r="E290" s="9"/>
      <c r="F290" s="165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</row>
    <row r="291" spans="3:20" ht="15.75" customHeight="1" x14ac:dyDescent="0.25">
      <c r="C291" s="9"/>
      <c r="D291" s="164"/>
      <c r="E291" s="9"/>
      <c r="F291" s="165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</row>
    <row r="292" spans="3:20" ht="15.75" customHeight="1" x14ac:dyDescent="0.25">
      <c r="C292" s="9"/>
      <c r="D292" s="164"/>
      <c r="E292" s="9"/>
      <c r="F292" s="165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</row>
    <row r="293" spans="3:20" ht="15.75" customHeight="1" x14ac:dyDescent="0.25">
      <c r="C293" s="9"/>
      <c r="D293" s="164"/>
      <c r="E293" s="9"/>
      <c r="F293" s="165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</row>
    <row r="294" spans="3:20" ht="15.75" customHeight="1" x14ac:dyDescent="0.25">
      <c r="C294" s="9"/>
      <c r="D294" s="164"/>
      <c r="E294" s="9"/>
      <c r="F294" s="165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</row>
    <row r="295" spans="3:20" ht="15.75" customHeight="1" x14ac:dyDescent="0.25">
      <c r="C295" s="9"/>
      <c r="D295" s="164"/>
      <c r="E295" s="9"/>
      <c r="F295" s="165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</row>
    <row r="296" spans="3:20" ht="15.75" customHeight="1" x14ac:dyDescent="0.25">
      <c r="C296" s="9"/>
      <c r="D296" s="164"/>
      <c r="E296" s="9"/>
      <c r="F296" s="165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</row>
    <row r="297" spans="3:20" ht="15.75" customHeight="1" x14ac:dyDescent="0.25">
      <c r="C297" s="9"/>
      <c r="D297" s="164"/>
      <c r="E297" s="9"/>
      <c r="F297" s="165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</row>
    <row r="298" spans="3:20" ht="15.75" customHeight="1" x14ac:dyDescent="0.25">
      <c r="C298" s="9"/>
      <c r="D298" s="164"/>
      <c r="E298" s="9"/>
      <c r="F298" s="165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</row>
    <row r="299" spans="3:20" ht="15.75" customHeight="1" x14ac:dyDescent="0.25">
      <c r="C299" s="9"/>
      <c r="D299" s="164"/>
      <c r="E299" s="9"/>
      <c r="F299" s="165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</row>
    <row r="300" spans="3:20" ht="15.75" customHeight="1" x14ac:dyDescent="0.25">
      <c r="C300" s="9"/>
      <c r="D300" s="164"/>
      <c r="E300" s="9"/>
      <c r="F300" s="165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</row>
    <row r="301" spans="3:20" ht="15.75" customHeight="1" x14ac:dyDescent="0.25">
      <c r="C301" s="9"/>
      <c r="D301" s="164"/>
      <c r="E301" s="9"/>
      <c r="F301" s="165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</row>
    <row r="302" spans="3:20" ht="15.75" customHeight="1" x14ac:dyDescent="0.25">
      <c r="C302" s="9"/>
      <c r="D302" s="164"/>
      <c r="E302" s="9"/>
      <c r="F302" s="165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</row>
    <row r="303" spans="3:20" ht="15.75" customHeight="1" x14ac:dyDescent="0.25">
      <c r="C303" s="9"/>
      <c r="D303" s="164"/>
      <c r="E303" s="9"/>
      <c r="F303" s="165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</row>
    <row r="304" spans="3:20" ht="15.75" customHeight="1" x14ac:dyDescent="0.25">
      <c r="C304" s="9"/>
      <c r="D304" s="164"/>
      <c r="E304" s="9"/>
      <c r="F304" s="165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</row>
    <row r="305" spans="3:20" ht="15.75" customHeight="1" x14ac:dyDescent="0.25">
      <c r="C305" s="9"/>
      <c r="D305" s="164"/>
      <c r="E305" s="9"/>
      <c r="F305" s="165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</row>
    <row r="306" spans="3:20" ht="15.75" customHeight="1" x14ac:dyDescent="0.25">
      <c r="C306" s="9"/>
      <c r="D306" s="164"/>
      <c r="E306" s="9"/>
      <c r="F306" s="165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</row>
    <row r="307" spans="3:20" ht="15.75" customHeight="1" x14ac:dyDescent="0.25">
      <c r="C307" s="9"/>
      <c r="D307" s="164"/>
      <c r="E307" s="9"/>
      <c r="F307" s="165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</row>
    <row r="308" spans="3:20" ht="15.75" customHeight="1" x14ac:dyDescent="0.25">
      <c r="C308" s="9"/>
      <c r="D308" s="164"/>
      <c r="E308" s="9"/>
      <c r="F308" s="165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</row>
    <row r="309" spans="3:20" ht="15.75" customHeight="1" x14ac:dyDescent="0.25">
      <c r="C309" s="9"/>
      <c r="D309" s="164"/>
      <c r="E309" s="9"/>
      <c r="F309" s="165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</row>
    <row r="310" spans="3:20" ht="15.75" customHeight="1" x14ac:dyDescent="0.25">
      <c r="C310" s="9"/>
      <c r="D310" s="164"/>
      <c r="E310" s="9"/>
      <c r="F310" s="165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</row>
    <row r="311" spans="3:20" ht="15.75" customHeight="1" x14ac:dyDescent="0.25">
      <c r="C311" s="9"/>
      <c r="D311" s="164"/>
      <c r="E311" s="9"/>
      <c r="F311" s="165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</row>
    <row r="312" spans="3:20" ht="15.75" customHeight="1" x14ac:dyDescent="0.25">
      <c r="C312" s="9"/>
      <c r="D312" s="164"/>
      <c r="E312" s="9"/>
      <c r="F312" s="165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</row>
    <row r="313" spans="3:20" ht="15.75" customHeight="1" x14ac:dyDescent="0.25">
      <c r="C313" s="9"/>
      <c r="D313" s="164"/>
      <c r="E313" s="9"/>
      <c r="F313" s="165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</row>
    <row r="314" spans="3:20" ht="15.75" customHeight="1" x14ac:dyDescent="0.25">
      <c r="C314" s="9"/>
      <c r="D314" s="164"/>
      <c r="E314" s="9"/>
      <c r="F314" s="165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</row>
    <row r="315" spans="3:20" ht="15.75" customHeight="1" x14ac:dyDescent="0.25">
      <c r="C315" s="9"/>
      <c r="D315" s="164"/>
      <c r="E315" s="9"/>
      <c r="F315" s="165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</row>
    <row r="316" spans="3:20" ht="15.75" customHeight="1" x14ac:dyDescent="0.25">
      <c r="C316" s="9"/>
      <c r="D316" s="164"/>
      <c r="E316" s="9"/>
      <c r="F316" s="165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</row>
    <row r="317" spans="3:20" ht="15.75" customHeight="1" x14ac:dyDescent="0.25">
      <c r="C317" s="9"/>
      <c r="D317" s="164"/>
      <c r="E317" s="9"/>
      <c r="F317" s="165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</row>
    <row r="318" spans="3:20" ht="15.75" customHeight="1" x14ac:dyDescent="0.25">
      <c r="C318" s="9"/>
      <c r="D318" s="164"/>
      <c r="E318" s="9"/>
      <c r="F318" s="165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</row>
    <row r="319" spans="3:20" ht="15.75" customHeight="1" x14ac:dyDescent="0.25">
      <c r="C319" s="9"/>
      <c r="D319" s="164"/>
      <c r="E319" s="9"/>
      <c r="F319" s="165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</row>
    <row r="320" spans="3:20" ht="15.75" customHeight="1" x14ac:dyDescent="0.25">
      <c r="C320" s="9"/>
      <c r="D320" s="164"/>
      <c r="E320" s="9"/>
      <c r="F320" s="165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</row>
    <row r="321" spans="3:20" ht="15.75" customHeight="1" x14ac:dyDescent="0.25">
      <c r="C321" s="9"/>
      <c r="D321" s="164"/>
      <c r="E321" s="9"/>
      <c r="F321" s="165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</row>
    <row r="322" spans="3:20" ht="15.75" customHeight="1" x14ac:dyDescent="0.25">
      <c r="C322" s="9"/>
      <c r="D322" s="164"/>
      <c r="E322" s="9"/>
      <c r="F322" s="165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</row>
    <row r="323" spans="3:20" ht="15.75" customHeight="1" x14ac:dyDescent="0.25">
      <c r="C323" s="9"/>
      <c r="D323" s="164"/>
      <c r="E323" s="9"/>
      <c r="F323" s="165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</row>
    <row r="324" spans="3:20" ht="15.75" customHeight="1" x14ac:dyDescent="0.25">
      <c r="C324" s="9"/>
      <c r="D324" s="164"/>
      <c r="E324" s="9"/>
      <c r="F324" s="165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</row>
    <row r="325" spans="3:20" ht="15.75" customHeight="1" x14ac:dyDescent="0.25">
      <c r="C325" s="9"/>
      <c r="D325" s="164"/>
      <c r="E325" s="9"/>
      <c r="F325" s="165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</row>
    <row r="326" spans="3:20" ht="15.75" customHeight="1" x14ac:dyDescent="0.25">
      <c r="C326" s="9"/>
      <c r="D326" s="164"/>
      <c r="E326" s="9"/>
      <c r="F326" s="165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</row>
    <row r="327" spans="3:20" ht="15.75" customHeight="1" x14ac:dyDescent="0.25">
      <c r="C327" s="9"/>
      <c r="D327" s="164"/>
      <c r="E327" s="9"/>
      <c r="F327" s="165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</row>
    <row r="328" spans="3:20" ht="15.75" customHeight="1" x14ac:dyDescent="0.25">
      <c r="C328" s="9"/>
      <c r="D328" s="164"/>
      <c r="E328" s="9"/>
      <c r="F328" s="165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</row>
    <row r="329" spans="3:20" ht="15.75" customHeight="1" x14ac:dyDescent="0.25">
      <c r="C329" s="9"/>
      <c r="D329" s="164"/>
      <c r="E329" s="9"/>
      <c r="F329" s="165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</row>
    <row r="330" spans="3:20" ht="15.75" customHeight="1" x14ac:dyDescent="0.25">
      <c r="C330" s="9"/>
      <c r="D330" s="164"/>
      <c r="E330" s="9"/>
      <c r="F330" s="165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</row>
    <row r="331" spans="3:20" ht="15.75" customHeight="1" x14ac:dyDescent="0.25">
      <c r="C331" s="9"/>
      <c r="D331" s="164"/>
      <c r="E331" s="9"/>
      <c r="F331" s="165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</row>
    <row r="332" spans="3:20" ht="15.75" customHeight="1" x14ac:dyDescent="0.25">
      <c r="C332" s="9"/>
      <c r="D332" s="164"/>
      <c r="E332" s="9"/>
      <c r="F332" s="165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</row>
    <row r="333" spans="3:20" ht="15.75" customHeight="1" x14ac:dyDescent="0.25">
      <c r="C333" s="9"/>
      <c r="D333" s="164"/>
      <c r="E333" s="9"/>
      <c r="F333" s="165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</row>
    <row r="334" spans="3:20" ht="15.75" customHeight="1" x14ac:dyDescent="0.25">
      <c r="C334" s="9"/>
      <c r="D334" s="164"/>
      <c r="E334" s="9"/>
      <c r="F334" s="165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</row>
    <row r="335" spans="3:20" ht="15.75" customHeight="1" x14ac:dyDescent="0.25">
      <c r="C335" s="9"/>
      <c r="D335" s="164"/>
      <c r="E335" s="9"/>
      <c r="F335" s="165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</row>
    <row r="336" spans="3:20" ht="15.75" customHeight="1" x14ac:dyDescent="0.25">
      <c r="C336" s="9"/>
      <c r="D336" s="164"/>
      <c r="E336" s="9"/>
      <c r="F336" s="165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</row>
    <row r="337" spans="3:20" ht="15.75" customHeight="1" x14ac:dyDescent="0.25">
      <c r="C337" s="9"/>
      <c r="D337" s="164"/>
      <c r="E337" s="9"/>
      <c r="F337" s="165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</row>
    <row r="338" spans="3:20" ht="15.75" customHeight="1" x14ac:dyDescent="0.25">
      <c r="C338" s="9"/>
      <c r="D338" s="164"/>
      <c r="E338" s="9"/>
      <c r="F338" s="165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</row>
    <row r="339" spans="3:20" ht="15.75" customHeight="1" x14ac:dyDescent="0.25">
      <c r="C339" s="9"/>
      <c r="D339" s="164"/>
      <c r="E339" s="9"/>
      <c r="F339" s="165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</row>
    <row r="340" spans="3:20" ht="15.75" customHeight="1" x14ac:dyDescent="0.25">
      <c r="C340" s="9"/>
      <c r="D340" s="164"/>
      <c r="E340" s="9"/>
      <c r="F340" s="165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</row>
    <row r="341" spans="3:20" ht="15.75" customHeight="1" x14ac:dyDescent="0.25">
      <c r="C341" s="9"/>
      <c r="D341" s="164"/>
      <c r="E341" s="9"/>
      <c r="F341" s="165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</row>
    <row r="342" spans="3:20" ht="15.75" customHeight="1" x14ac:dyDescent="0.25">
      <c r="C342" s="9"/>
      <c r="D342" s="164"/>
      <c r="E342" s="9"/>
      <c r="F342" s="165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</row>
    <row r="343" spans="3:20" ht="15.75" customHeight="1" x14ac:dyDescent="0.25">
      <c r="C343" s="9"/>
      <c r="D343" s="164"/>
      <c r="E343" s="9"/>
      <c r="F343" s="165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</row>
    <row r="344" spans="3:20" ht="15.75" customHeight="1" x14ac:dyDescent="0.25">
      <c r="C344" s="9"/>
      <c r="D344" s="164"/>
      <c r="E344" s="9"/>
      <c r="F344" s="165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</row>
    <row r="345" spans="3:20" ht="15.75" customHeight="1" x14ac:dyDescent="0.25">
      <c r="C345" s="9"/>
      <c r="D345" s="164"/>
      <c r="E345" s="9"/>
      <c r="F345" s="165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</row>
    <row r="346" spans="3:20" ht="15.75" customHeight="1" x14ac:dyDescent="0.25">
      <c r="C346" s="9"/>
      <c r="D346" s="164"/>
      <c r="E346" s="9"/>
      <c r="F346" s="165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</row>
    <row r="347" spans="3:20" ht="15.75" customHeight="1" x14ac:dyDescent="0.25">
      <c r="C347" s="9"/>
      <c r="D347" s="164"/>
      <c r="E347" s="9"/>
      <c r="F347" s="165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</row>
    <row r="348" spans="3:20" ht="15.75" customHeight="1" x14ac:dyDescent="0.25">
      <c r="C348" s="9"/>
      <c r="D348" s="164"/>
      <c r="E348" s="9"/>
      <c r="F348" s="165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</row>
    <row r="349" spans="3:20" ht="15.75" customHeight="1" x14ac:dyDescent="0.25">
      <c r="C349" s="9"/>
      <c r="D349" s="164"/>
      <c r="E349" s="9"/>
      <c r="F349" s="165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</row>
    <row r="350" spans="3:20" ht="15.75" customHeight="1" x14ac:dyDescent="0.25">
      <c r="C350" s="9"/>
      <c r="D350" s="164"/>
      <c r="E350" s="9"/>
      <c r="F350" s="165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</row>
    <row r="351" spans="3:20" ht="15.75" customHeight="1" x14ac:dyDescent="0.25">
      <c r="C351" s="9"/>
      <c r="D351" s="164"/>
      <c r="E351" s="9"/>
      <c r="F351" s="165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</row>
    <row r="352" spans="3:20" ht="15.75" customHeight="1" x14ac:dyDescent="0.25">
      <c r="C352" s="9"/>
      <c r="D352" s="164"/>
      <c r="E352" s="9"/>
      <c r="F352" s="165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</row>
    <row r="353" spans="3:20" ht="15.75" customHeight="1" x14ac:dyDescent="0.25">
      <c r="C353" s="9"/>
      <c r="D353" s="164"/>
      <c r="E353" s="9"/>
      <c r="F353" s="165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</row>
    <row r="354" spans="3:20" ht="15.75" customHeight="1" x14ac:dyDescent="0.25">
      <c r="C354" s="9"/>
      <c r="D354" s="164"/>
      <c r="E354" s="9"/>
      <c r="F354" s="165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</row>
    <row r="355" spans="3:20" ht="15.75" customHeight="1" x14ac:dyDescent="0.25">
      <c r="C355" s="9"/>
      <c r="D355" s="164"/>
      <c r="E355" s="9"/>
      <c r="F355" s="165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</row>
    <row r="356" spans="3:20" ht="15.75" customHeight="1" x14ac:dyDescent="0.25">
      <c r="C356" s="9"/>
      <c r="D356" s="164"/>
      <c r="E356" s="9"/>
      <c r="F356" s="165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</row>
    <row r="357" spans="3:20" ht="15.75" customHeight="1" x14ac:dyDescent="0.25">
      <c r="C357" s="9"/>
      <c r="D357" s="164"/>
      <c r="E357" s="9"/>
      <c r="F357" s="165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</row>
    <row r="358" spans="3:20" ht="15.75" customHeight="1" x14ac:dyDescent="0.2">
      <c r="C358" s="9"/>
      <c r="D358" s="9"/>
      <c r="E358" s="9"/>
      <c r="F358" s="165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</row>
    <row r="359" spans="3:20" ht="15.75" customHeight="1" x14ac:dyDescent="0.2">
      <c r="C359" s="9"/>
      <c r="D359" s="9"/>
      <c r="E359" s="9"/>
      <c r="F359" s="165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</row>
    <row r="360" spans="3:20" ht="15.75" customHeight="1" x14ac:dyDescent="0.2">
      <c r="C360" s="9"/>
      <c r="D360" s="9"/>
      <c r="E360" s="9"/>
      <c r="F360" s="165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</row>
    <row r="361" spans="3:20" ht="15.75" customHeight="1" x14ac:dyDescent="0.2">
      <c r="C361" s="9"/>
      <c r="D361" s="9"/>
      <c r="E361" s="9"/>
      <c r="F361" s="165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</row>
    <row r="362" spans="3:20" ht="15.75" customHeight="1" x14ac:dyDescent="0.2">
      <c r="C362" s="9"/>
      <c r="D362" s="9"/>
      <c r="E362" s="9"/>
      <c r="F362" s="165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</row>
    <row r="363" spans="3:20" ht="15.75" customHeight="1" x14ac:dyDescent="0.2">
      <c r="C363" s="9"/>
      <c r="D363" s="9"/>
      <c r="E363" s="9"/>
      <c r="F363" s="165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</row>
    <row r="364" spans="3:20" ht="15.75" customHeight="1" x14ac:dyDescent="0.2">
      <c r="C364" s="9"/>
      <c r="D364" s="9"/>
      <c r="E364" s="9"/>
      <c r="F364" s="165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</row>
    <row r="365" spans="3:20" ht="15.75" customHeight="1" x14ac:dyDescent="0.2">
      <c r="C365" s="9"/>
      <c r="D365" s="9"/>
      <c r="E365" s="9"/>
      <c r="F365" s="165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</row>
    <row r="366" spans="3:20" ht="15.75" customHeight="1" x14ac:dyDescent="0.2">
      <c r="C366" s="9"/>
      <c r="D366" s="9"/>
      <c r="E366" s="9"/>
      <c r="F366" s="165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</row>
    <row r="367" spans="3:20" ht="15.75" customHeight="1" x14ac:dyDescent="0.2">
      <c r="C367" s="9"/>
      <c r="D367" s="9"/>
      <c r="E367" s="9"/>
      <c r="F367" s="165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</row>
    <row r="368" spans="3:20" ht="15.75" customHeight="1" x14ac:dyDescent="0.2">
      <c r="C368" s="9"/>
      <c r="D368" s="9"/>
      <c r="E368" s="9"/>
      <c r="F368" s="165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</row>
    <row r="369" spans="3:20" ht="15.75" customHeight="1" x14ac:dyDescent="0.2">
      <c r="C369" s="9"/>
      <c r="D369" s="9"/>
      <c r="E369" s="9"/>
      <c r="F369" s="165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</row>
    <row r="370" spans="3:20" ht="15.75" customHeight="1" x14ac:dyDescent="0.2">
      <c r="C370" s="9"/>
      <c r="D370" s="9"/>
      <c r="E370" s="9"/>
      <c r="F370" s="165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</row>
    <row r="371" spans="3:20" ht="15.75" customHeight="1" x14ac:dyDescent="0.2">
      <c r="C371" s="9"/>
      <c r="D371" s="9"/>
      <c r="E371" s="9"/>
      <c r="F371" s="165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</row>
    <row r="372" spans="3:20" ht="15.75" customHeight="1" x14ac:dyDescent="0.2">
      <c r="C372" s="9"/>
      <c r="D372" s="9"/>
      <c r="E372" s="9"/>
      <c r="F372" s="165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</row>
    <row r="373" spans="3:20" ht="15.75" customHeight="1" x14ac:dyDescent="0.2">
      <c r="C373" s="9"/>
      <c r="D373" s="9"/>
      <c r="E373" s="9"/>
      <c r="F373" s="165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</row>
    <row r="374" spans="3:20" ht="15.75" customHeight="1" x14ac:dyDescent="0.2">
      <c r="C374" s="9"/>
      <c r="D374" s="9"/>
      <c r="E374" s="9"/>
      <c r="F374" s="165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</row>
    <row r="375" spans="3:20" ht="15.75" customHeight="1" x14ac:dyDescent="0.2">
      <c r="C375" s="9"/>
      <c r="D375" s="9"/>
      <c r="E375" s="9"/>
      <c r="F375" s="165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</row>
    <row r="376" spans="3:20" ht="15.75" customHeight="1" x14ac:dyDescent="0.2">
      <c r="C376" s="9"/>
      <c r="D376" s="9"/>
      <c r="E376" s="9"/>
      <c r="F376" s="165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</row>
    <row r="377" spans="3:20" ht="15.75" customHeight="1" x14ac:dyDescent="0.2">
      <c r="C377" s="9"/>
      <c r="D377" s="9"/>
      <c r="E377" s="9"/>
      <c r="F377" s="165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</row>
    <row r="378" spans="3:20" ht="15.75" customHeight="1" x14ac:dyDescent="0.2">
      <c r="C378" s="9"/>
      <c r="D378" s="9"/>
      <c r="E378" s="9"/>
      <c r="F378" s="165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</row>
    <row r="379" spans="3:20" ht="15.75" customHeight="1" x14ac:dyDescent="0.2">
      <c r="C379" s="9"/>
      <c r="D379" s="9"/>
      <c r="E379" s="9"/>
      <c r="F379" s="165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</row>
    <row r="380" spans="3:20" ht="15.75" customHeight="1" x14ac:dyDescent="0.2">
      <c r="C380" s="9"/>
      <c r="D380" s="9"/>
      <c r="E380" s="9"/>
      <c r="F380" s="165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</row>
    <row r="381" spans="3:20" ht="15.75" customHeight="1" x14ac:dyDescent="0.2">
      <c r="C381" s="9"/>
      <c r="D381" s="9"/>
      <c r="E381" s="9"/>
      <c r="F381" s="165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</row>
    <row r="382" spans="3:20" ht="15.75" customHeight="1" x14ac:dyDescent="0.2">
      <c r="C382" s="9"/>
      <c r="D382" s="9"/>
      <c r="E382" s="9"/>
      <c r="F382" s="165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</row>
    <row r="383" spans="3:20" ht="15.75" customHeight="1" x14ac:dyDescent="0.2">
      <c r="C383" s="9"/>
      <c r="D383" s="9"/>
      <c r="E383" s="9"/>
      <c r="F383" s="165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</row>
    <row r="384" spans="3:20" ht="15.75" customHeight="1" x14ac:dyDescent="0.2">
      <c r="C384" s="9"/>
      <c r="D384" s="9"/>
      <c r="E384" s="9"/>
      <c r="F384" s="165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</row>
    <row r="385" spans="3:20" ht="15.75" customHeight="1" x14ac:dyDescent="0.2">
      <c r="C385" s="9"/>
      <c r="D385" s="9"/>
      <c r="E385" s="9"/>
      <c r="F385" s="165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</row>
    <row r="386" spans="3:20" ht="15.75" customHeight="1" x14ac:dyDescent="0.2">
      <c r="C386" s="9"/>
      <c r="D386" s="9"/>
      <c r="E386" s="9"/>
      <c r="F386" s="165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</row>
    <row r="387" spans="3:20" ht="15.75" customHeight="1" x14ac:dyDescent="0.2">
      <c r="C387" s="9"/>
      <c r="D387" s="9"/>
      <c r="E387" s="9"/>
      <c r="F387" s="165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</row>
    <row r="388" spans="3:20" ht="15.75" customHeight="1" x14ac:dyDescent="0.2">
      <c r="C388" s="9"/>
      <c r="D388" s="9"/>
      <c r="E388" s="9"/>
      <c r="F388" s="165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</row>
    <row r="389" spans="3:20" ht="15.75" customHeight="1" x14ac:dyDescent="0.2">
      <c r="C389" s="9"/>
      <c r="D389" s="9"/>
      <c r="E389" s="9"/>
      <c r="F389" s="165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</row>
    <row r="390" spans="3:20" ht="15.75" customHeight="1" x14ac:dyDescent="0.2">
      <c r="C390" s="9"/>
      <c r="D390" s="9"/>
      <c r="E390" s="9"/>
      <c r="F390" s="165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</row>
    <row r="391" spans="3:20" ht="15.75" customHeight="1" x14ac:dyDescent="0.2">
      <c r="C391" s="9"/>
      <c r="D391" s="9"/>
      <c r="E391" s="9"/>
      <c r="F391" s="165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</row>
    <row r="392" spans="3:20" ht="15.75" customHeight="1" x14ac:dyDescent="0.2">
      <c r="C392" s="9"/>
      <c r="D392" s="9"/>
      <c r="E392" s="9"/>
      <c r="F392" s="165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</row>
    <row r="393" spans="3:20" ht="15.75" customHeight="1" x14ac:dyDescent="0.2">
      <c r="C393" s="9"/>
      <c r="D393" s="9"/>
      <c r="E393" s="9"/>
      <c r="F393" s="165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</row>
    <row r="394" spans="3:20" ht="15.75" customHeight="1" x14ac:dyDescent="0.2">
      <c r="C394" s="9"/>
      <c r="D394" s="9"/>
      <c r="E394" s="9"/>
      <c r="F394" s="165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</row>
    <row r="395" spans="3:20" ht="15.75" customHeight="1" x14ac:dyDescent="0.2">
      <c r="C395" s="9"/>
      <c r="D395" s="9"/>
      <c r="E395" s="9"/>
      <c r="F395" s="165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</row>
    <row r="396" spans="3:20" ht="15.75" customHeight="1" x14ac:dyDescent="0.2">
      <c r="C396" s="9"/>
      <c r="D396" s="9"/>
      <c r="E396" s="9"/>
      <c r="F396" s="165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</row>
    <row r="397" spans="3:20" ht="15.75" customHeight="1" x14ac:dyDescent="0.2">
      <c r="C397" s="9"/>
      <c r="D397" s="9"/>
      <c r="E397" s="9"/>
      <c r="F397" s="165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</row>
    <row r="398" spans="3:20" ht="15.75" customHeight="1" x14ac:dyDescent="0.2">
      <c r="C398" s="9"/>
      <c r="D398" s="9"/>
      <c r="E398" s="9"/>
      <c r="F398" s="165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</row>
    <row r="399" spans="3:20" ht="15.75" customHeight="1" x14ac:dyDescent="0.2">
      <c r="C399" s="9"/>
      <c r="D399" s="9"/>
      <c r="E399" s="9"/>
      <c r="F399" s="165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</row>
    <row r="400" spans="3:20" ht="15.75" customHeight="1" x14ac:dyDescent="0.2">
      <c r="C400" s="9"/>
      <c r="D400" s="9"/>
      <c r="E400" s="9"/>
      <c r="F400" s="165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</row>
    <row r="401" spans="3:20" ht="15.75" customHeight="1" x14ac:dyDescent="0.2">
      <c r="C401" s="9"/>
      <c r="D401" s="9"/>
      <c r="E401" s="9"/>
      <c r="F401" s="165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</row>
    <row r="402" spans="3:20" ht="15.75" customHeight="1" x14ac:dyDescent="0.2">
      <c r="C402" s="9"/>
      <c r="D402" s="9"/>
      <c r="E402" s="9"/>
      <c r="F402" s="165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</row>
    <row r="403" spans="3:20" ht="15.75" customHeight="1" x14ac:dyDescent="0.2">
      <c r="C403" s="9"/>
      <c r="D403" s="9"/>
      <c r="E403" s="9"/>
      <c r="F403" s="165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</row>
    <row r="404" spans="3:20" ht="15.75" customHeight="1" x14ac:dyDescent="0.2">
      <c r="C404" s="9"/>
      <c r="D404" s="9"/>
      <c r="E404" s="9"/>
      <c r="F404" s="165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</row>
    <row r="405" spans="3:20" ht="15.75" customHeight="1" x14ac:dyDescent="0.2">
      <c r="C405" s="9"/>
      <c r="D405" s="9"/>
      <c r="E405" s="9"/>
      <c r="F405" s="165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</row>
    <row r="406" spans="3:20" ht="15.75" customHeight="1" x14ac:dyDescent="0.2">
      <c r="C406" s="9"/>
      <c r="D406" s="9"/>
      <c r="E406" s="9"/>
      <c r="F406" s="165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</row>
    <row r="407" spans="3:20" ht="15.75" customHeight="1" x14ac:dyDescent="0.2">
      <c r="C407" s="9"/>
      <c r="D407" s="9"/>
      <c r="E407" s="9"/>
      <c r="F407" s="165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</row>
    <row r="408" spans="3:20" ht="15.75" customHeight="1" x14ac:dyDescent="0.2">
      <c r="C408" s="9"/>
      <c r="D408" s="9"/>
      <c r="E408" s="9"/>
      <c r="F408" s="165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</row>
    <row r="409" spans="3:20" ht="15.75" customHeight="1" x14ac:dyDescent="0.2">
      <c r="C409" s="9"/>
      <c r="D409" s="9"/>
      <c r="E409" s="9"/>
      <c r="F409" s="165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</row>
    <row r="410" spans="3:20" ht="15.75" customHeight="1" x14ac:dyDescent="0.2">
      <c r="C410" s="9"/>
      <c r="D410" s="9"/>
      <c r="E410" s="9"/>
      <c r="F410" s="165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</row>
    <row r="411" spans="3:20" ht="15.75" customHeight="1" x14ac:dyDescent="0.2">
      <c r="C411" s="9"/>
      <c r="D411" s="9"/>
      <c r="E411" s="9"/>
      <c r="F411" s="165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</row>
    <row r="412" spans="3:20" ht="15.75" customHeight="1" x14ac:dyDescent="0.2">
      <c r="C412" s="9"/>
      <c r="D412" s="9"/>
      <c r="E412" s="9"/>
      <c r="F412" s="165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</row>
    <row r="413" spans="3:20" ht="15.75" customHeight="1" x14ac:dyDescent="0.2">
      <c r="C413" s="9"/>
      <c r="D413" s="9"/>
      <c r="E413" s="9"/>
      <c r="F413" s="165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</row>
    <row r="414" spans="3:20" ht="15.75" customHeight="1" x14ac:dyDescent="0.2">
      <c r="C414" s="9"/>
      <c r="D414" s="9"/>
      <c r="E414" s="9"/>
      <c r="F414" s="165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</row>
    <row r="415" spans="3:20" ht="15.75" customHeight="1" x14ac:dyDescent="0.2">
      <c r="C415" s="9"/>
      <c r="D415" s="9"/>
      <c r="E415" s="9"/>
      <c r="F415" s="165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</row>
    <row r="416" spans="3:20" ht="15.75" customHeight="1" x14ac:dyDescent="0.2">
      <c r="C416" s="9"/>
      <c r="D416" s="9"/>
      <c r="E416" s="9"/>
      <c r="F416" s="165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</row>
    <row r="417" spans="3:20" ht="15.75" customHeight="1" x14ac:dyDescent="0.2">
      <c r="C417" s="9"/>
      <c r="D417" s="9"/>
      <c r="E417" s="9"/>
      <c r="F417" s="165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</row>
    <row r="418" spans="3:20" ht="15.75" customHeight="1" x14ac:dyDescent="0.2">
      <c r="C418" s="9"/>
      <c r="D418" s="9"/>
      <c r="E418" s="9"/>
      <c r="F418" s="165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</row>
    <row r="419" spans="3:20" ht="15.75" customHeight="1" x14ac:dyDescent="0.2">
      <c r="C419" s="9"/>
      <c r="D419" s="9"/>
      <c r="E419" s="9"/>
      <c r="F419" s="165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</row>
    <row r="420" spans="3:20" ht="15.75" customHeight="1" x14ac:dyDescent="0.2">
      <c r="C420" s="9"/>
      <c r="D420" s="9"/>
      <c r="E420" s="9"/>
      <c r="F420" s="165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</row>
    <row r="421" spans="3:20" ht="15.75" customHeight="1" x14ac:dyDescent="0.2">
      <c r="C421" s="9"/>
      <c r="D421" s="9"/>
      <c r="E421" s="9"/>
      <c r="F421" s="165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</row>
    <row r="422" spans="3:20" ht="15.75" customHeight="1" x14ac:dyDescent="0.2">
      <c r="C422" s="9"/>
      <c r="D422" s="9"/>
      <c r="E422" s="9"/>
      <c r="F422" s="165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</row>
    <row r="423" spans="3:20" ht="15.75" customHeight="1" x14ac:dyDescent="0.2">
      <c r="C423" s="9"/>
      <c r="D423" s="9"/>
      <c r="E423" s="9"/>
      <c r="F423" s="165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</row>
    <row r="424" spans="3:20" ht="15.75" customHeight="1" x14ac:dyDescent="0.2">
      <c r="C424" s="9"/>
      <c r="D424" s="9"/>
      <c r="E424" s="9"/>
      <c r="F424" s="165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</row>
    <row r="425" spans="3:20" ht="15.75" customHeight="1" x14ac:dyDescent="0.2">
      <c r="C425" s="9"/>
      <c r="D425" s="9"/>
      <c r="E425" s="9"/>
      <c r="F425" s="165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</row>
    <row r="426" spans="3:20" ht="15.75" customHeight="1" x14ac:dyDescent="0.2">
      <c r="C426" s="9"/>
      <c r="D426" s="9"/>
      <c r="E426" s="9"/>
      <c r="F426" s="165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</row>
    <row r="427" spans="3:20" ht="15.75" customHeight="1" x14ac:dyDescent="0.2">
      <c r="C427" s="9"/>
      <c r="D427" s="9"/>
      <c r="E427" s="9"/>
      <c r="F427" s="165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</row>
    <row r="428" spans="3:20" ht="15.75" customHeight="1" x14ac:dyDescent="0.2">
      <c r="C428" s="9"/>
      <c r="D428" s="9"/>
      <c r="E428" s="9"/>
      <c r="F428" s="165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</row>
    <row r="429" spans="3:20" ht="15.75" customHeight="1" x14ac:dyDescent="0.2">
      <c r="C429" s="9"/>
      <c r="D429" s="9"/>
      <c r="E429" s="9"/>
      <c r="F429" s="165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</row>
    <row r="430" spans="3:20" ht="15.75" customHeight="1" x14ac:dyDescent="0.2">
      <c r="C430" s="9"/>
      <c r="D430" s="9"/>
      <c r="E430" s="9"/>
      <c r="F430" s="165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</row>
    <row r="431" spans="3:20" ht="15.75" customHeight="1" x14ac:dyDescent="0.2">
      <c r="C431" s="9"/>
      <c r="D431" s="9"/>
      <c r="E431" s="9"/>
      <c r="F431" s="165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</row>
    <row r="432" spans="3:20" ht="15.75" customHeight="1" x14ac:dyDescent="0.2">
      <c r="C432" s="9"/>
      <c r="D432" s="9"/>
      <c r="E432" s="9"/>
      <c r="F432" s="165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</row>
    <row r="433" spans="3:20" ht="15.75" customHeight="1" x14ac:dyDescent="0.2">
      <c r="C433" s="9"/>
      <c r="D433" s="9"/>
      <c r="E433" s="9"/>
      <c r="F433" s="165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</row>
    <row r="434" spans="3:20" ht="15.75" customHeight="1" x14ac:dyDescent="0.2">
      <c r="C434" s="9"/>
      <c r="D434" s="9"/>
      <c r="E434" s="9"/>
      <c r="F434" s="165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</row>
    <row r="435" spans="3:20" ht="15.75" customHeight="1" x14ac:dyDescent="0.2">
      <c r="C435" s="9"/>
      <c r="D435" s="9"/>
      <c r="E435" s="9"/>
      <c r="F435" s="165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</row>
    <row r="436" spans="3:20" ht="15.75" customHeight="1" x14ac:dyDescent="0.2">
      <c r="C436" s="9"/>
      <c r="D436" s="9"/>
      <c r="E436" s="9"/>
      <c r="F436" s="165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</row>
    <row r="437" spans="3:20" ht="15.75" customHeight="1" x14ac:dyDescent="0.2">
      <c r="C437" s="9"/>
      <c r="D437" s="9"/>
      <c r="E437" s="9"/>
      <c r="F437" s="165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</row>
    <row r="438" spans="3:20" ht="15.75" customHeight="1" x14ac:dyDescent="0.2">
      <c r="C438" s="9"/>
      <c r="D438" s="9"/>
      <c r="E438" s="9"/>
      <c r="F438" s="165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</row>
    <row r="439" spans="3:20" ht="15.75" customHeight="1" x14ac:dyDescent="0.2">
      <c r="C439" s="9"/>
      <c r="D439" s="9"/>
      <c r="E439" s="9"/>
      <c r="F439" s="165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</row>
    <row r="440" spans="3:20" ht="15.75" customHeight="1" x14ac:dyDescent="0.2">
      <c r="C440" s="9"/>
      <c r="D440" s="9"/>
      <c r="E440" s="9"/>
      <c r="F440" s="165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</row>
    <row r="441" spans="3:20" ht="15.75" customHeight="1" x14ac:dyDescent="0.2">
      <c r="C441" s="9"/>
      <c r="D441" s="9"/>
      <c r="E441" s="9"/>
      <c r="F441" s="165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</row>
    <row r="442" spans="3:20" ht="15.75" customHeight="1" x14ac:dyDescent="0.2">
      <c r="C442" s="9"/>
      <c r="D442" s="9"/>
      <c r="E442" s="9"/>
      <c r="F442" s="165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</row>
    <row r="443" spans="3:20" ht="15.75" customHeight="1" x14ac:dyDescent="0.2">
      <c r="C443" s="9"/>
      <c r="D443" s="9"/>
      <c r="E443" s="9"/>
      <c r="F443" s="165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</row>
    <row r="444" spans="3:20" ht="15.75" customHeight="1" x14ac:dyDescent="0.2">
      <c r="C444" s="9"/>
      <c r="D444" s="9"/>
      <c r="E444" s="9"/>
      <c r="F444" s="165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</row>
    <row r="445" spans="3:20" ht="15.75" customHeight="1" x14ac:dyDescent="0.2">
      <c r="C445" s="9"/>
      <c r="D445" s="9"/>
      <c r="E445" s="9"/>
      <c r="F445" s="165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</row>
    <row r="446" spans="3:20" ht="15.75" customHeight="1" x14ac:dyDescent="0.2">
      <c r="C446" s="9"/>
      <c r="D446" s="9"/>
      <c r="E446" s="9"/>
      <c r="F446" s="165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</row>
    <row r="447" spans="3:20" ht="15.75" customHeight="1" x14ac:dyDescent="0.2">
      <c r="C447" s="9"/>
      <c r="D447" s="9"/>
      <c r="E447" s="9"/>
      <c r="F447" s="165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</row>
    <row r="448" spans="3:20" ht="15.75" customHeight="1" x14ac:dyDescent="0.2">
      <c r="C448" s="9"/>
      <c r="D448" s="9"/>
      <c r="E448" s="9"/>
      <c r="F448" s="165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</row>
    <row r="449" spans="3:20" ht="15.75" customHeight="1" x14ac:dyDescent="0.2">
      <c r="C449" s="9"/>
      <c r="D449" s="9"/>
      <c r="E449" s="9"/>
      <c r="F449" s="165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</row>
    <row r="450" spans="3:20" ht="15.75" customHeight="1" x14ac:dyDescent="0.2">
      <c r="C450" s="9"/>
      <c r="D450" s="9"/>
      <c r="E450" s="9"/>
      <c r="F450" s="165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</row>
    <row r="451" spans="3:20" ht="15.75" customHeight="1" x14ac:dyDescent="0.2">
      <c r="C451" s="9"/>
      <c r="D451" s="9"/>
      <c r="E451" s="9"/>
      <c r="F451" s="165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</row>
    <row r="452" spans="3:20" ht="15.75" customHeight="1" x14ac:dyDescent="0.2">
      <c r="C452" s="9"/>
      <c r="D452" s="9"/>
      <c r="E452" s="9"/>
      <c r="F452" s="165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</row>
    <row r="453" spans="3:20" ht="15.75" customHeight="1" x14ac:dyDescent="0.2">
      <c r="C453" s="9"/>
      <c r="D453" s="9"/>
      <c r="E453" s="9"/>
      <c r="F453" s="165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</row>
    <row r="454" spans="3:20" ht="15.75" customHeight="1" x14ac:dyDescent="0.2">
      <c r="C454" s="9"/>
      <c r="D454" s="9"/>
      <c r="E454" s="9"/>
      <c r="F454" s="165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</row>
    <row r="455" spans="3:20" ht="15.75" customHeight="1" x14ac:dyDescent="0.2">
      <c r="C455" s="9"/>
      <c r="D455" s="9"/>
      <c r="E455" s="9"/>
      <c r="F455" s="165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</row>
    <row r="456" spans="3:20" ht="15.75" customHeight="1" x14ac:dyDescent="0.2">
      <c r="C456" s="9"/>
      <c r="D456" s="9"/>
      <c r="E456" s="9"/>
      <c r="F456" s="165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</row>
    <row r="457" spans="3:20" ht="15.75" customHeight="1" x14ac:dyDescent="0.2">
      <c r="C457" s="9"/>
      <c r="D457" s="9"/>
      <c r="E457" s="9"/>
      <c r="F457" s="165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</row>
    <row r="458" spans="3:20" ht="15.75" customHeight="1" x14ac:dyDescent="0.2">
      <c r="C458" s="9"/>
      <c r="D458" s="9"/>
      <c r="E458" s="9"/>
      <c r="F458" s="165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</row>
    <row r="459" spans="3:20" ht="15.75" customHeight="1" x14ac:dyDescent="0.2">
      <c r="C459" s="9"/>
      <c r="D459" s="9"/>
      <c r="E459" s="9"/>
      <c r="F459" s="165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</row>
    <row r="460" spans="3:20" ht="15.75" customHeight="1" x14ac:dyDescent="0.2">
      <c r="C460" s="9"/>
      <c r="D460" s="9"/>
      <c r="E460" s="9"/>
      <c r="F460" s="165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</row>
    <row r="461" spans="3:20" ht="15.75" customHeight="1" x14ac:dyDescent="0.2">
      <c r="C461" s="9"/>
      <c r="D461" s="9"/>
      <c r="E461" s="9"/>
      <c r="F461" s="165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</row>
    <row r="462" spans="3:20" ht="15.75" customHeight="1" x14ac:dyDescent="0.2">
      <c r="C462" s="9"/>
      <c r="D462" s="9"/>
      <c r="E462" s="9"/>
      <c r="F462" s="165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</row>
    <row r="463" spans="3:20" ht="15.75" customHeight="1" x14ac:dyDescent="0.2">
      <c r="C463" s="9"/>
      <c r="D463" s="9"/>
      <c r="E463" s="9"/>
      <c r="F463" s="165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</row>
    <row r="464" spans="3:20" ht="15.75" customHeight="1" x14ac:dyDescent="0.2">
      <c r="C464" s="9"/>
      <c r="D464" s="9"/>
      <c r="E464" s="9"/>
      <c r="F464" s="165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</row>
    <row r="465" spans="3:20" ht="15.75" customHeight="1" x14ac:dyDescent="0.2">
      <c r="C465" s="9"/>
      <c r="D465" s="9"/>
      <c r="E465" s="9"/>
      <c r="F465" s="165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</row>
    <row r="466" spans="3:20" ht="15.75" customHeight="1" x14ac:dyDescent="0.2">
      <c r="C466" s="9"/>
      <c r="D466" s="9"/>
      <c r="E466" s="9"/>
      <c r="F466" s="165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</row>
    <row r="467" spans="3:20" ht="15.75" customHeight="1" x14ac:dyDescent="0.2">
      <c r="C467" s="9"/>
      <c r="D467" s="9"/>
      <c r="E467" s="9"/>
      <c r="F467" s="165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</row>
    <row r="468" spans="3:20" ht="15.75" customHeight="1" x14ac:dyDescent="0.2">
      <c r="C468" s="9"/>
      <c r="D468" s="9"/>
      <c r="E468" s="9"/>
      <c r="F468" s="165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</row>
    <row r="469" spans="3:20" ht="15.75" customHeight="1" x14ac:dyDescent="0.2">
      <c r="C469" s="9"/>
      <c r="D469" s="9"/>
      <c r="E469" s="9"/>
      <c r="F469" s="165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</row>
    <row r="470" spans="3:20" ht="15.75" customHeight="1" x14ac:dyDescent="0.2">
      <c r="C470" s="9"/>
      <c r="D470" s="9"/>
      <c r="E470" s="9"/>
      <c r="F470" s="165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</row>
    <row r="471" spans="3:20" ht="15.75" customHeight="1" x14ac:dyDescent="0.2">
      <c r="C471" s="9"/>
      <c r="D471" s="9"/>
      <c r="E471" s="9"/>
      <c r="F471" s="165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</row>
    <row r="472" spans="3:20" ht="15.75" customHeight="1" x14ac:dyDescent="0.2">
      <c r="C472" s="9"/>
      <c r="D472" s="9"/>
      <c r="E472" s="9"/>
      <c r="F472" s="165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</row>
    <row r="473" spans="3:20" ht="15.75" customHeight="1" x14ac:dyDescent="0.2">
      <c r="C473" s="9"/>
      <c r="D473" s="9"/>
      <c r="E473" s="9"/>
      <c r="F473" s="165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</row>
    <row r="474" spans="3:20" ht="15.75" customHeight="1" x14ac:dyDescent="0.2">
      <c r="C474" s="9"/>
      <c r="D474" s="9"/>
      <c r="E474" s="9"/>
      <c r="F474" s="165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</row>
    <row r="475" spans="3:20" ht="15.75" customHeight="1" x14ac:dyDescent="0.2">
      <c r="C475" s="9"/>
      <c r="D475" s="9"/>
      <c r="E475" s="9"/>
      <c r="F475" s="165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</row>
    <row r="476" spans="3:20" ht="15.75" customHeight="1" x14ac:dyDescent="0.2">
      <c r="C476" s="9"/>
      <c r="D476" s="9"/>
      <c r="E476" s="9"/>
      <c r="F476" s="165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</row>
    <row r="477" spans="3:20" ht="15.75" customHeight="1" x14ac:dyDescent="0.2">
      <c r="C477" s="9"/>
      <c r="D477" s="9"/>
      <c r="E477" s="9"/>
      <c r="F477" s="165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</row>
    <row r="478" spans="3:20" ht="15.75" customHeight="1" x14ac:dyDescent="0.2">
      <c r="C478" s="9"/>
      <c r="D478" s="9"/>
      <c r="E478" s="9"/>
      <c r="F478" s="165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</row>
    <row r="479" spans="3:20" ht="15.75" customHeight="1" x14ac:dyDescent="0.2">
      <c r="C479" s="9"/>
      <c r="D479" s="9"/>
      <c r="E479" s="9"/>
      <c r="F479" s="165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</row>
    <row r="480" spans="3:20" ht="15.75" customHeight="1" x14ac:dyDescent="0.2">
      <c r="C480" s="9"/>
      <c r="D480" s="9"/>
      <c r="E480" s="9"/>
      <c r="F480" s="165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</row>
    <row r="481" spans="3:20" ht="15.75" customHeight="1" x14ac:dyDescent="0.2">
      <c r="C481" s="9"/>
      <c r="D481" s="9"/>
      <c r="E481" s="9"/>
      <c r="F481" s="165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</row>
    <row r="482" spans="3:20" ht="15.75" customHeight="1" x14ac:dyDescent="0.2">
      <c r="C482" s="9"/>
      <c r="D482" s="9"/>
      <c r="E482" s="9"/>
      <c r="F482" s="165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</row>
    <row r="483" spans="3:20" ht="15.75" customHeight="1" x14ac:dyDescent="0.2">
      <c r="C483" s="9"/>
      <c r="D483" s="9"/>
      <c r="E483" s="9"/>
      <c r="F483" s="165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</row>
    <row r="484" spans="3:20" ht="15.75" customHeight="1" x14ac:dyDescent="0.2">
      <c r="C484" s="9"/>
      <c r="D484" s="9"/>
      <c r="E484" s="9"/>
      <c r="F484" s="165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</row>
    <row r="485" spans="3:20" ht="15.75" customHeight="1" x14ac:dyDescent="0.2">
      <c r="C485" s="9"/>
      <c r="D485" s="9"/>
      <c r="E485" s="9"/>
      <c r="F485" s="165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</row>
    <row r="486" spans="3:20" ht="15.75" customHeight="1" x14ac:dyDescent="0.2">
      <c r="C486" s="9"/>
      <c r="D486" s="9"/>
      <c r="E486" s="9"/>
      <c r="F486" s="165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</row>
    <row r="487" spans="3:20" ht="15.75" customHeight="1" x14ac:dyDescent="0.2">
      <c r="C487" s="9"/>
      <c r="D487" s="9"/>
      <c r="E487" s="9"/>
      <c r="F487" s="165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</row>
    <row r="488" spans="3:20" ht="15.75" customHeight="1" x14ac:dyDescent="0.2">
      <c r="C488" s="9"/>
      <c r="D488" s="9"/>
      <c r="E488" s="9"/>
      <c r="F488" s="165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</row>
    <row r="489" spans="3:20" ht="15.75" customHeight="1" x14ac:dyDescent="0.2">
      <c r="C489" s="9"/>
      <c r="D489" s="9"/>
      <c r="E489" s="9"/>
      <c r="F489" s="165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</row>
    <row r="490" spans="3:20" ht="15.75" customHeight="1" x14ac:dyDescent="0.2">
      <c r="C490" s="9"/>
      <c r="D490" s="9"/>
      <c r="E490" s="9"/>
      <c r="F490" s="165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</row>
    <row r="491" spans="3:20" ht="15.75" customHeight="1" x14ac:dyDescent="0.2">
      <c r="C491" s="9"/>
      <c r="D491" s="9"/>
      <c r="E491" s="9"/>
      <c r="F491" s="165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</row>
    <row r="492" spans="3:20" ht="15.75" customHeight="1" x14ac:dyDescent="0.2">
      <c r="C492" s="9"/>
      <c r="D492" s="9"/>
      <c r="E492" s="9"/>
      <c r="F492" s="165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</row>
    <row r="493" spans="3:20" ht="15.75" customHeight="1" x14ac:dyDescent="0.2">
      <c r="C493" s="9"/>
      <c r="D493" s="9"/>
      <c r="E493" s="9"/>
      <c r="F493" s="165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</row>
    <row r="494" spans="3:20" ht="15.75" customHeight="1" x14ac:dyDescent="0.2">
      <c r="C494" s="9"/>
      <c r="D494" s="9"/>
      <c r="E494" s="9"/>
      <c r="F494" s="165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</row>
    <row r="495" spans="3:20" ht="15.75" customHeight="1" x14ac:dyDescent="0.2">
      <c r="C495" s="9"/>
      <c r="D495" s="9"/>
      <c r="E495" s="9"/>
      <c r="F495" s="165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</row>
    <row r="496" spans="3:20" ht="15.75" customHeight="1" x14ac:dyDescent="0.2">
      <c r="C496" s="9"/>
      <c r="D496" s="9"/>
      <c r="E496" s="9"/>
      <c r="F496" s="165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</row>
    <row r="497" spans="3:20" ht="15.75" customHeight="1" x14ac:dyDescent="0.2">
      <c r="C497" s="9"/>
      <c r="D497" s="9"/>
      <c r="E497" s="9"/>
      <c r="F497" s="165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</row>
    <row r="498" spans="3:20" ht="15.75" customHeight="1" x14ac:dyDescent="0.2">
      <c r="C498" s="9"/>
      <c r="D498" s="9"/>
      <c r="E498" s="9"/>
      <c r="F498" s="165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</row>
    <row r="499" spans="3:20" ht="15.75" customHeight="1" x14ac:dyDescent="0.2">
      <c r="C499" s="9"/>
      <c r="D499" s="9"/>
      <c r="E499" s="9"/>
      <c r="F499" s="165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</row>
    <row r="500" spans="3:20" ht="15.75" customHeight="1" x14ac:dyDescent="0.2">
      <c r="C500" s="9"/>
      <c r="D500" s="9"/>
      <c r="E500" s="9"/>
      <c r="F500" s="165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</row>
    <row r="501" spans="3:20" ht="15.75" customHeight="1" x14ac:dyDescent="0.2">
      <c r="C501" s="9"/>
      <c r="D501" s="9"/>
      <c r="E501" s="9"/>
      <c r="F501" s="165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</row>
    <row r="502" spans="3:20" ht="15.75" customHeight="1" x14ac:dyDescent="0.2">
      <c r="C502" s="9"/>
      <c r="D502" s="9"/>
      <c r="E502" s="9"/>
      <c r="F502" s="165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</row>
    <row r="503" spans="3:20" ht="15.75" customHeight="1" x14ac:dyDescent="0.2">
      <c r="C503" s="9"/>
      <c r="D503" s="9"/>
      <c r="E503" s="9"/>
      <c r="F503" s="165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</row>
    <row r="504" spans="3:20" ht="15.75" customHeight="1" x14ac:dyDescent="0.2">
      <c r="C504" s="9"/>
      <c r="D504" s="9"/>
      <c r="E504" s="9"/>
      <c r="F504" s="165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</row>
    <row r="505" spans="3:20" ht="15.75" customHeight="1" x14ac:dyDescent="0.2">
      <c r="C505" s="9"/>
      <c r="D505" s="9"/>
      <c r="E505" s="9"/>
      <c r="F505" s="165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</row>
    <row r="506" spans="3:20" ht="15.75" customHeight="1" x14ac:dyDescent="0.2">
      <c r="C506" s="9"/>
      <c r="D506" s="9"/>
      <c r="E506" s="9"/>
      <c r="F506" s="165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</row>
    <row r="507" spans="3:20" ht="15.75" customHeight="1" x14ac:dyDescent="0.2">
      <c r="C507" s="9"/>
      <c r="D507" s="9"/>
      <c r="E507" s="9"/>
      <c r="F507" s="165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</row>
    <row r="508" spans="3:20" ht="15.75" customHeight="1" x14ac:dyDescent="0.2">
      <c r="C508" s="9"/>
      <c r="D508" s="9"/>
      <c r="E508" s="9"/>
      <c r="F508" s="165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</row>
    <row r="509" spans="3:20" ht="15.75" customHeight="1" x14ac:dyDescent="0.2">
      <c r="C509" s="9"/>
      <c r="D509" s="9"/>
      <c r="E509" s="9"/>
      <c r="F509" s="165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</row>
    <row r="510" spans="3:20" ht="15.75" customHeight="1" x14ac:dyDescent="0.2">
      <c r="C510" s="9"/>
      <c r="D510" s="9"/>
      <c r="E510" s="9"/>
      <c r="F510" s="165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</row>
    <row r="511" spans="3:20" ht="15.75" customHeight="1" x14ac:dyDescent="0.2">
      <c r="C511" s="9"/>
      <c r="D511" s="9"/>
      <c r="E511" s="9"/>
      <c r="F511" s="165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</row>
    <row r="512" spans="3:20" ht="15.75" customHeight="1" x14ac:dyDescent="0.2">
      <c r="C512" s="9"/>
      <c r="D512" s="9"/>
      <c r="E512" s="9"/>
      <c r="F512" s="165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</row>
    <row r="513" spans="3:20" ht="15.75" customHeight="1" x14ac:dyDescent="0.2">
      <c r="C513" s="9"/>
      <c r="D513" s="9"/>
      <c r="E513" s="9"/>
      <c r="F513" s="165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</row>
    <row r="514" spans="3:20" ht="15.75" customHeight="1" x14ac:dyDescent="0.2">
      <c r="C514" s="9"/>
      <c r="D514" s="9"/>
      <c r="E514" s="9"/>
      <c r="F514" s="165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</row>
    <row r="515" spans="3:20" ht="15.75" customHeight="1" x14ac:dyDescent="0.2">
      <c r="C515" s="9"/>
      <c r="D515" s="9"/>
      <c r="E515" s="9"/>
      <c r="F515" s="165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</row>
    <row r="516" spans="3:20" ht="15.75" customHeight="1" x14ac:dyDescent="0.2">
      <c r="C516" s="9"/>
      <c r="D516" s="9"/>
      <c r="E516" s="9"/>
      <c r="F516" s="165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</row>
    <row r="517" spans="3:20" ht="15.75" customHeight="1" x14ac:dyDescent="0.2">
      <c r="C517" s="9"/>
      <c r="D517" s="9"/>
      <c r="E517" s="9"/>
      <c r="F517" s="165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</row>
    <row r="518" spans="3:20" ht="15.75" customHeight="1" x14ac:dyDescent="0.2">
      <c r="C518" s="9"/>
      <c r="D518" s="9"/>
      <c r="E518" s="9"/>
      <c r="F518" s="165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</row>
    <row r="519" spans="3:20" ht="15.75" customHeight="1" x14ac:dyDescent="0.2">
      <c r="C519" s="9"/>
      <c r="D519" s="9"/>
      <c r="E519" s="9"/>
      <c r="F519" s="165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</row>
    <row r="520" spans="3:20" ht="15.75" customHeight="1" x14ac:dyDescent="0.2">
      <c r="C520" s="9"/>
      <c r="D520" s="9"/>
      <c r="E520" s="9"/>
      <c r="F520" s="165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</row>
    <row r="521" spans="3:20" ht="15.75" customHeight="1" x14ac:dyDescent="0.2">
      <c r="C521" s="9"/>
      <c r="D521" s="9"/>
      <c r="E521" s="9"/>
      <c r="F521" s="165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</row>
    <row r="522" spans="3:20" ht="15.75" customHeight="1" x14ac:dyDescent="0.2">
      <c r="C522" s="9"/>
      <c r="D522" s="9"/>
      <c r="E522" s="9"/>
      <c r="F522" s="165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</row>
    <row r="523" spans="3:20" ht="15.75" customHeight="1" x14ac:dyDescent="0.2">
      <c r="C523" s="9"/>
      <c r="D523" s="9"/>
      <c r="E523" s="9"/>
      <c r="F523" s="165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</row>
    <row r="524" spans="3:20" ht="15.75" customHeight="1" x14ac:dyDescent="0.2">
      <c r="C524" s="9"/>
      <c r="D524" s="9"/>
      <c r="E524" s="9"/>
      <c r="F524" s="165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</row>
    <row r="525" spans="3:20" ht="15.75" customHeight="1" x14ac:dyDescent="0.2">
      <c r="C525" s="9"/>
      <c r="D525" s="9"/>
      <c r="E525" s="9"/>
      <c r="F525" s="165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</row>
    <row r="526" spans="3:20" ht="15.75" customHeight="1" x14ac:dyDescent="0.2">
      <c r="C526" s="9"/>
      <c r="D526" s="9"/>
      <c r="E526" s="9"/>
      <c r="F526" s="165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</row>
    <row r="527" spans="3:20" ht="15.75" customHeight="1" x14ac:dyDescent="0.2">
      <c r="C527" s="9"/>
      <c r="D527" s="9"/>
      <c r="E527" s="9"/>
      <c r="F527" s="165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</row>
    <row r="528" spans="3:20" ht="15.75" customHeight="1" x14ac:dyDescent="0.2">
      <c r="C528" s="9"/>
      <c r="D528" s="9"/>
      <c r="E528" s="9"/>
      <c r="F528" s="165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</row>
    <row r="529" spans="3:20" ht="15.75" customHeight="1" x14ac:dyDescent="0.2">
      <c r="C529" s="9"/>
      <c r="D529" s="9"/>
      <c r="E529" s="9"/>
      <c r="F529" s="165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</row>
    <row r="530" spans="3:20" ht="15.75" customHeight="1" x14ac:dyDescent="0.2">
      <c r="C530" s="9"/>
      <c r="D530" s="9"/>
      <c r="E530" s="9"/>
      <c r="F530" s="165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</row>
    <row r="531" spans="3:20" ht="15.75" customHeight="1" x14ac:dyDescent="0.2">
      <c r="C531" s="9"/>
      <c r="D531" s="9"/>
      <c r="E531" s="9"/>
      <c r="F531" s="165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</row>
    <row r="532" spans="3:20" ht="15.75" customHeight="1" x14ac:dyDescent="0.2">
      <c r="C532" s="9"/>
      <c r="D532" s="9"/>
      <c r="E532" s="9"/>
      <c r="F532" s="165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</row>
    <row r="533" spans="3:20" ht="15.75" customHeight="1" x14ac:dyDescent="0.2">
      <c r="C533" s="9"/>
      <c r="D533" s="9"/>
      <c r="E533" s="9"/>
      <c r="F533" s="165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</row>
    <row r="534" spans="3:20" ht="15.75" customHeight="1" x14ac:dyDescent="0.2">
      <c r="C534" s="9"/>
      <c r="D534" s="9"/>
      <c r="E534" s="9"/>
      <c r="F534" s="165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</row>
    <row r="535" spans="3:20" ht="15.75" customHeight="1" x14ac:dyDescent="0.2">
      <c r="C535" s="9"/>
      <c r="D535" s="9"/>
      <c r="E535" s="9"/>
      <c r="F535" s="165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</row>
    <row r="536" spans="3:20" ht="15.75" customHeight="1" x14ac:dyDescent="0.2">
      <c r="C536" s="9"/>
      <c r="D536" s="9"/>
      <c r="E536" s="9"/>
      <c r="F536" s="165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</row>
    <row r="537" spans="3:20" ht="15.75" customHeight="1" x14ac:dyDescent="0.2">
      <c r="C537" s="9"/>
      <c r="D537" s="9"/>
      <c r="E537" s="9"/>
      <c r="F537" s="165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</row>
    <row r="538" spans="3:20" ht="15.75" customHeight="1" x14ac:dyDescent="0.2">
      <c r="C538" s="9"/>
      <c r="D538" s="9"/>
      <c r="E538" s="9"/>
      <c r="F538" s="165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</row>
    <row r="539" spans="3:20" ht="15.75" customHeight="1" x14ac:dyDescent="0.2">
      <c r="C539" s="9"/>
      <c r="D539" s="9"/>
      <c r="E539" s="9"/>
      <c r="F539" s="165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</row>
    <row r="540" spans="3:20" ht="15.75" customHeight="1" x14ac:dyDescent="0.2">
      <c r="C540" s="9"/>
      <c r="D540" s="9"/>
      <c r="E540" s="9"/>
      <c r="F540" s="165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</row>
    <row r="541" spans="3:20" ht="15.75" customHeight="1" x14ac:dyDescent="0.2">
      <c r="C541" s="9"/>
      <c r="D541" s="9"/>
      <c r="E541" s="9"/>
      <c r="F541" s="165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</row>
    <row r="542" spans="3:20" ht="15.75" customHeight="1" x14ac:dyDescent="0.2">
      <c r="C542" s="9"/>
      <c r="D542" s="9"/>
      <c r="E542" s="9"/>
      <c r="F542" s="165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</row>
    <row r="543" spans="3:20" ht="15.75" customHeight="1" x14ac:dyDescent="0.2">
      <c r="C543" s="9"/>
      <c r="D543" s="9"/>
      <c r="E543" s="9"/>
      <c r="F543" s="165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</row>
    <row r="544" spans="3:20" ht="15.75" customHeight="1" x14ac:dyDescent="0.2">
      <c r="C544" s="9"/>
      <c r="D544" s="9"/>
      <c r="E544" s="9"/>
      <c r="F544" s="165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</row>
    <row r="545" spans="3:20" ht="15.75" customHeight="1" x14ac:dyDescent="0.2">
      <c r="C545" s="9"/>
      <c r="D545" s="9"/>
      <c r="E545" s="9"/>
      <c r="F545" s="165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</row>
    <row r="546" spans="3:20" ht="15.75" customHeight="1" x14ac:dyDescent="0.2">
      <c r="C546" s="9"/>
      <c r="D546" s="9"/>
      <c r="E546" s="9"/>
      <c r="F546" s="165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</row>
    <row r="547" spans="3:20" ht="15.75" customHeight="1" x14ac:dyDescent="0.2">
      <c r="C547" s="9"/>
      <c r="D547" s="9"/>
      <c r="E547" s="9"/>
      <c r="F547" s="165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</row>
    <row r="548" spans="3:20" ht="15.75" customHeight="1" x14ac:dyDescent="0.2">
      <c r="C548" s="9"/>
      <c r="D548" s="9"/>
      <c r="E548" s="9"/>
      <c r="F548" s="165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</row>
    <row r="549" spans="3:20" ht="15.75" customHeight="1" x14ac:dyDescent="0.2">
      <c r="C549" s="9"/>
      <c r="D549" s="9"/>
      <c r="E549" s="9"/>
      <c r="F549" s="165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</row>
    <row r="550" spans="3:20" ht="15.75" customHeight="1" x14ac:dyDescent="0.2">
      <c r="C550" s="9"/>
      <c r="D550" s="9"/>
      <c r="E550" s="9"/>
      <c r="F550" s="165"/>
      <c r="H550" s="166"/>
    </row>
    <row r="551" spans="3:20" ht="15.75" customHeight="1" x14ac:dyDescent="0.2">
      <c r="C551" s="9"/>
      <c r="D551" s="9"/>
      <c r="E551" s="9"/>
      <c r="F551" s="165"/>
      <c r="H551" s="166"/>
    </row>
    <row r="552" spans="3:20" ht="15.75" customHeight="1" x14ac:dyDescent="0.2">
      <c r="C552" s="9"/>
      <c r="D552" s="9"/>
      <c r="E552" s="9"/>
      <c r="F552" s="165"/>
      <c r="H552" s="166"/>
    </row>
    <row r="553" spans="3:20" ht="15.75" customHeight="1" x14ac:dyDescent="0.2">
      <c r="C553" s="9"/>
      <c r="D553" s="9"/>
      <c r="E553" s="9"/>
      <c r="F553" s="165"/>
      <c r="H553" s="166"/>
    </row>
    <row r="554" spans="3:20" ht="15.75" customHeight="1" x14ac:dyDescent="0.2">
      <c r="C554" s="9"/>
      <c r="D554" s="9"/>
      <c r="E554" s="9"/>
      <c r="F554" s="165"/>
      <c r="H554" s="166"/>
    </row>
    <row r="555" spans="3:20" ht="15.75" customHeight="1" x14ac:dyDescent="0.2">
      <c r="C555" s="9"/>
      <c r="D555" s="9"/>
      <c r="E555" s="9"/>
      <c r="F555" s="165"/>
      <c r="H555" s="166"/>
    </row>
    <row r="556" spans="3:20" ht="15.75" customHeight="1" x14ac:dyDescent="0.2">
      <c r="C556" s="9"/>
      <c r="D556" s="9"/>
      <c r="E556" s="9"/>
      <c r="F556" s="165"/>
      <c r="H556" s="166"/>
    </row>
    <row r="557" spans="3:20" ht="15.75" customHeight="1" x14ac:dyDescent="0.2">
      <c r="C557" s="9"/>
      <c r="D557" s="9"/>
      <c r="E557" s="9"/>
      <c r="F557" s="165"/>
      <c r="H557" s="166"/>
    </row>
    <row r="558" spans="3:20" ht="15.75" customHeight="1" x14ac:dyDescent="0.2">
      <c r="C558" s="9"/>
      <c r="D558" s="9"/>
      <c r="E558" s="9"/>
      <c r="F558" s="165"/>
      <c r="H558" s="166"/>
    </row>
    <row r="559" spans="3:20" ht="15.75" customHeight="1" x14ac:dyDescent="0.2">
      <c r="C559" s="9"/>
      <c r="D559" s="9"/>
      <c r="E559" s="9"/>
      <c r="F559" s="165"/>
      <c r="H559" s="166"/>
    </row>
    <row r="560" spans="3:20" ht="15.75" customHeight="1" x14ac:dyDescent="0.2">
      <c r="C560" s="9"/>
      <c r="D560" s="9"/>
      <c r="E560" s="9"/>
      <c r="F560" s="165"/>
      <c r="H560" s="166"/>
    </row>
    <row r="561" spans="3:8" ht="15.75" customHeight="1" x14ac:dyDescent="0.2">
      <c r="C561" s="9"/>
      <c r="D561" s="9"/>
      <c r="E561" s="9"/>
      <c r="F561" s="165"/>
      <c r="H561" s="166"/>
    </row>
    <row r="562" spans="3:8" ht="15.75" customHeight="1" x14ac:dyDescent="0.2">
      <c r="C562" s="9"/>
      <c r="D562" s="9"/>
      <c r="E562" s="9"/>
      <c r="F562" s="165"/>
      <c r="H562" s="166"/>
    </row>
    <row r="563" spans="3:8" ht="15.75" customHeight="1" x14ac:dyDescent="0.2">
      <c r="C563" s="9"/>
      <c r="D563" s="9"/>
      <c r="E563" s="9"/>
      <c r="F563" s="165"/>
      <c r="H563" s="166"/>
    </row>
    <row r="564" spans="3:8" ht="15.75" customHeight="1" x14ac:dyDescent="0.2">
      <c r="C564" s="9"/>
      <c r="D564" s="9"/>
      <c r="E564" s="9"/>
      <c r="F564" s="165"/>
      <c r="H564" s="166"/>
    </row>
    <row r="565" spans="3:8" ht="15.75" customHeight="1" x14ac:dyDescent="0.2">
      <c r="C565" s="9"/>
      <c r="D565" s="9"/>
      <c r="E565" s="9"/>
      <c r="F565" s="165"/>
      <c r="H565" s="166"/>
    </row>
    <row r="566" spans="3:8" ht="15.75" customHeight="1" x14ac:dyDescent="0.2">
      <c r="C566" s="9"/>
      <c r="D566" s="9"/>
      <c r="E566" s="9"/>
      <c r="F566" s="165"/>
      <c r="H566" s="166"/>
    </row>
    <row r="567" spans="3:8" ht="15.75" customHeight="1" x14ac:dyDescent="0.2">
      <c r="C567" s="9"/>
      <c r="D567" s="9"/>
      <c r="E567" s="9"/>
      <c r="F567" s="165"/>
      <c r="H567" s="166"/>
    </row>
    <row r="568" spans="3:8" ht="15.75" customHeight="1" x14ac:dyDescent="0.2">
      <c r="C568" s="9"/>
      <c r="D568" s="9"/>
      <c r="E568" s="9"/>
      <c r="F568" s="165"/>
      <c r="H568" s="166"/>
    </row>
    <row r="569" spans="3:8" ht="15.75" customHeight="1" x14ac:dyDescent="0.2">
      <c r="C569" s="9"/>
      <c r="D569" s="9"/>
      <c r="E569" s="9"/>
      <c r="F569" s="165"/>
      <c r="H569" s="166"/>
    </row>
    <row r="570" spans="3:8" ht="15.75" customHeight="1" x14ac:dyDescent="0.2">
      <c r="C570" s="9"/>
      <c r="D570" s="9"/>
      <c r="E570" s="9"/>
      <c r="F570" s="165"/>
      <c r="H570" s="166"/>
    </row>
    <row r="571" spans="3:8" ht="15.75" customHeight="1" x14ac:dyDescent="0.2">
      <c r="C571" s="9"/>
      <c r="D571" s="9"/>
      <c r="E571" s="9"/>
      <c r="F571" s="165"/>
      <c r="H571" s="166"/>
    </row>
    <row r="572" spans="3:8" ht="15.75" customHeight="1" x14ac:dyDescent="0.2">
      <c r="C572" s="9"/>
      <c r="D572" s="9"/>
      <c r="E572" s="9"/>
      <c r="F572" s="165"/>
      <c r="H572" s="166"/>
    </row>
    <row r="573" spans="3:8" ht="15.75" customHeight="1" x14ac:dyDescent="0.2">
      <c r="C573" s="9"/>
      <c r="D573" s="9"/>
      <c r="E573" s="9"/>
      <c r="F573" s="165"/>
      <c r="H573" s="166"/>
    </row>
    <row r="574" spans="3:8" ht="15.75" customHeight="1" x14ac:dyDescent="0.2">
      <c r="C574" s="9"/>
      <c r="D574" s="9"/>
      <c r="E574" s="9"/>
      <c r="F574" s="165"/>
      <c r="H574" s="166"/>
    </row>
    <row r="575" spans="3:8" ht="15.75" customHeight="1" x14ac:dyDescent="0.2">
      <c r="C575" s="9"/>
      <c r="D575" s="9"/>
      <c r="E575" s="9"/>
      <c r="F575" s="165"/>
      <c r="H575" s="166"/>
    </row>
    <row r="576" spans="3:8" ht="15.75" customHeight="1" x14ac:dyDescent="0.2">
      <c r="C576" s="9"/>
      <c r="D576" s="9"/>
      <c r="E576" s="9"/>
      <c r="F576" s="165"/>
      <c r="H576" s="166"/>
    </row>
    <row r="577" spans="3:8" ht="15.75" customHeight="1" x14ac:dyDescent="0.2">
      <c r="C577" s="9"/>
      <c r="D577" s="9"/>
      <c r="E577" s="9"/>
      <c r="F577" s="165"/>
      <c r="H577" s="166"/>
    </row>
    <row r="578" spans="3:8" ht="15.75" customHeight="1" x14ac:dyDescent="0.2">
      <c r="C578" s="9"/>
      <c r="D578" s="9"/>
      <c r="E578" s="9"/>
      <c r="F578" s="165"/>
      <c r="H578" s="166"/>
    </row>
    <row r="579" spans="3:8" ht="15.75" customHeight="1" x14ac:dyDescent="0.2">
      <c r="C579" s="9"/>
      <c r="D579" s="9"/>
      <c r="E579" s="9"/>
      <c r="F579" s="165"/>
      <c r="H579" s="166"/>
    </row>
    <row r="580" spans="3:8" ht="15.75" customHeight="1" x14ac:dyDescent="0.2">
      <c r="C580" s="9"/>
      <c r="D580" s="9"/>
      <c r="E580" s="9"/>
      <c r="F580" s="165"/>
      <c r="H580" s="166"/>
    </row>
    <row r="581" spans="3:8" ht="15.75" customHeight="1" x14ac:dyDescent="0.2">
      <c r="C581" s="9"/>
      <c r="D581" s="9"/>
      <c r="E581" s="9"/>
      <c r="F581" s="165"/>
      <c r="H581" s="166"/>
    </row>
    <row r="582" spans="3:8" ht="15.75" customHeight="1" x14ac:dyDescent="0.2">
      <c r="C582" s="9"/>
      <c r="D582" s="9"/>
      <c r="E582" s="9"/>
      <c r="F582" s="165"/>
      <c r="H582" s="166"/>
    </row>
    <row r="583" spans="3:8" ht="15.75" customHeight="1" x14ac:dyDescent="0.2">
      <c r="C583" s="9"/>
      <c r="D583" s="9"/>
      <c r="E583" s="9"/>
      <c r="F583" s="165"/>
      <c r="H583" s="166"/>
    </row>
    <row r="584" spans="3:8" ht="15.75" customHeight="1" x14ac:dyDescent="0.2">
      <c r="C584" s="9"/>
      <c r="D584" s="9"/>
      <c r="E584" s="9"/>
      <c r="F584" s="165"/>
      <c r="H584" s="166"/>
    </row>
    <row r="585" spans="3:8" ht="15.75" customHeight="1" x14ac:dyDescent="0.2">
      <c r="C585" s="9"/>
      <c r="D585" s="9"/>
      <c r="E585" s="9"/>
      <c r="F585" s="165"/>
      <c r="H585" s="166"/>
    </row>
    <row r="586" spans="3:8" ht="15.75" customHeight="1" x14ac:dyDescent="0.2">
      <c r="C586" s="9"/>
      <c r="D586" s="9"/>
      <c r="E586" s="9"/>
      <c r="F586" s="165"/>
      <c r="H586" s="166"/>
    </row>
    <row r="587" spans="3:8" ht="15.75" customHeight="1" x14ac:dyDescent="0.2">
      <c r="C587" s="9"/>
      <c r="D587" s="9"/>
      <c r="E587" s="9"/>
      <c r="F587" s="165"/>
      <c r="H587" s="166"/>
    </row>
    <row r="588" spans="3:8" ht="15.75" customHeight="1" x14ac:dyDescent="0.2">
      <c r="C588" s="9"/>
      <c r="D588" s="9"/>
      <c r="E588" s="9"/>
      <c r="F588" s="165"/>
      <c r="H588" s="166"/>
    </row>
    <row r="589" spans="3:8" ht="15.75" customHeight="1" x14ac:dyDescent="0.2">
      <c r="C589" s="9"/>
      <c r="D589" s="9"/>
      <c r="E589" s="9"/>
      <c r="F589" s="165"/>
      <c r="H589" s="166"/>
    </row>
    <row r="590" spans="3:8" ht="15.75" customHeight="1" x14ac:dyDescent="0.2">
      <c r="C590" s="9"/>
      <c r="D590" s="9"/>
      <c r="E590" s="9"/>
      <c r="F590" s="165"/>
      <c r="H590" s="166"/>
    </row>
    <row r="591" spans="3:8" ht="15.75" customHeight="1" x14ac:dyDescent="0.2">
      <c r="C591" s="9"/>
      <c r="D591" s="9"/>
      <c r="E591" s="9"/>
      <c r="F591" s="165"/>
      <c r="H591" s="166"/>
    </row>
    <row r="592" spans="3:8" ht="15.75" customHeight="1" x14ac:dyDescent="0.2">
      <c r="C592" s="9"/>
      <c r="D592" s="9"/>
      <c r="E592" s="9"/>
      <c r="F592" s="165"/>
      <c r="H592" s="166"/>
    </row>
    <row r="593" spans="3:8" ht="15.75" customHeight="1" x14ac:dyDescent="0.2">
      <c r="C593" s="9"/>
      <c r="D593" s="9"/>
      <c r="E593" s="9"/>
      <c r="F593" s="165"/>
      <c r="H593" s="166"/>
    </row>
    <row r="594" spans="3:8" ht="15.75" customHeight="1" x14ac:dyDescent="0.2">
      <c r="C594" s="9"/>
      <c r="D594" s="9"/>
      <c r="E594" s="9"/>
      <c r="F594" s="165"/>
      <c r="H594" s="166"/>
    </row>
    <row r="595" spans="3:8" ht="15.75" customHeight="1" x14ac:dyDescent="0.2">
      <c r="C595" s="9"/>
      <c r="D595" s="9"/>
      <c r="E595" s="9"/>
      <c r="F595" s="165"/>
      <c r="H595" s="166"/>
    </row>
    <row r="596" spans="3:8" ht="15.75" customHeight="1" x14ac:dyDescent="0.2">
      <c r="C596" s="9"/>
      <c r="D596" s="9"/>
      <c r="E596" s="9"/>
      <c r="F596" s="165"/>
      <c r="H596" s="166"/>
    </row>
    <row r="597" spans="3:8" ht="15.75" customHeight="1" x14ac:dyDescent="0.2">
      <c r="C597" s="9"/>
      <c r="D597" s="9"/>
      <c r="E597" s="9"/>
      <c r="F597" s="165"/>
      <c r="H597" s="166"/>
    </row>
    <row r="598" spans="3:8" ht="15.75" customHeight="1" x14ac:dyDescent="0.2">
      <c r="C598" s="9"/>
      <c r="D598" s="9"/>
      <c r="E598" s="9"/>
      <c r="F598" s="165"/>
      <c r="H598" s="166"/>
    </row>
    <row r="599" spans="3:8" ht="15.75" customHeight="1" x14ac:dyDescent="0.2">
      <c r="C599" s="9"/>
      <c r="D599" s="9"/>
      <c r="E599" s="9"/>
      <c r="F599" s="165"/>
      <c r="H599" s="166"/>
    </row>
    <row r="600" spans="3:8" ht="15.75" customHeight="1" x14ac:dyDescent="0.2">
      <c r="C600" s="9"/>
      <c r="D600" s="9"/>
      <c r="E600" s="9"/>
      <c r="F600" s="165"/>
      <c r="H600" s="166"/>
    </row>
    <row r="601" spans="3:8" ht="15.75" customHeight="1" x14ac:dyDescent="0.2">
      <c r="C601" s="9"/>
      <c r="D601" s="9"/>
      <c r="E601" s="9"/>
      <c r="F601" s="165"/>
      <c r="H601" s="166"/>
    </row>
    <row r="602" spans="3:8" ht="15.75" customHeight="1" x14ac:dyDescent="0.2">
      <c r="C602" s="9"/>
      <c r="D602" s="9"/>
      <c r="E602" s="9"/>
      <c r="F602" s="165"/>
      <c r="H602" s="166"/>
    </row>
    <row r="603" spans="3:8" ht="15.75" customHeight="1" x14ac:dyDescent="0.2">
      <c r="C603" s="9"/>
      <c r="D603" s="9"/>
      <c r="E603" s="9"/>
      <c r="F603" s="165"/>
      <c r="H603" s="166"/>
    </row>
    <row r="604" spans="3:8" ht="15.75" customHeight="1" x14ac:dyDescent="0.2">
      <c r="C604" s="9"/>
      <c r="D604" s="9"/>
      <c r="E604" s="9"/>
      <c r="F604" s="165"/>
      <c r="H604" s="166"/>
    </row>
    <row r="605" spans="3:8" ht="15.75" customHeight="1" x14ac:dyDescent="0.2">
      <c r="C605" s="9"/>
      <c r="D605" s="9"/>
      <c r="E605" s="9"/>
      <c r="F605" s="165"/>
      <c r="H605" s="166"/>
    </row>
    <row r="606" spans="3:8" ht="15.75" customHeight="1" x14ac:dyDescent="0.2">
      <c r="C606" s="9"/>
      <c r="D606" s="9"/>
      <c r="E606" s="9"/>
      <c r="F606" s="165"/>
      <c r="H606" s="166"/>
    </row>
    <row r="607" spans="3:8" ht="15.75" customHeight="1" x14ac:dyDescent="0.2">
      <c r="C607" s="9"/>
      <c r="D607" s="9"/>
      <c r="E607" s="9"/>
      <c r="F607" s="165"/>
      <c r="H607" s="166"/>
    </row>
    <row r="608" spans="3:8" ht="15.75" customHeight="1" x14ac:dyDescent="0.2">
      <c r="C608" s="9"/>
      <c r="D608" s="9"/>
      <c r="E608" s="9"/>
      <c r="F608" s="165"/>
      <c r="H608" s="166"/>
    </row>
    <row r="609" spans="3:8" ht="15.75" customHeight="1" x14ac:dyDescent="0.2">
      <c r="C609" s="9"/>
      <c r="D609" s="9"/>
      <c r="E609" s="9"/>
      <c r="F609" s="165"/>
      <c r="H609" s="166"/>
    </row>
    <row r="610" spans="3:8" ht="15.75" customHeight="1" x14ac:dyDescent="0.2">
      <c r="C610" s="9"/>
      <c r="D610" s="9"/>
      <c r="E610" s="9"/>
      <c r="F610" s="165"/>
      <c r="H610" s="166"/>
    </row>
    <row r="611" spans="3:8" ht="15.75" customHeight="1" x14ac:dyDescent="0.2">
      <c r="C611" s="9"/>
      <c r="D611" s="9"/>
      <c r="E611" s="9"/>
      <c r="F611" s="165"/>
      <c r="H611" s="166"/>
    </row>
    <row r="612" spans="3:8" ht="15.75" customHeight="1" x14ac:dyDescent="0.2">
      <c r="C612" s="9"/>
      <c r="D612" s="9"/>
      <c r="E612" s="9"/>
      <c r="F612" s="165"/>
      <c r="H612" s="166"/>
    </row>
    <row r="613" spans="3:8" ht="15.75" customHeight="1" x14ac:dyDescent="0.2">
      <c r="C613" s="9"/>
      <c r="D613" s="9"/>
      <c r="E613" s="9"/>
      <c r="F613" s="165"/>
      <c r="H613" s="166"/>
    </row>
    <row r="614" spans="3:8" ht="15.75" customHeight="1" x14ac:dyDescent="0.2">
      <c r="C614" s="9"/>
      <c r="D614" s="9"/>
      <c r="E614" s="9"/>
      <c r="F614" s="165"/>
      <c r="H614" s="166"/>
    </row>
    <row r="615" spans="3:8" ht="15.75" customHeight="1" x14ac:dyDescent="0.2">
      <c r="C615" s="9"/>
      <c r="D615" s="9"/>
      <c r="E615" s="9"/>
      <c r="F615" s="165"/>
      <c r="H615" s="166"/>
    </row>
    <row r="616" spans="3:8" ht="15.75" customHeight="1" x14ac:dyDescent="0.2">
      <c r="C616" s="9"/>
      <c r="D616" s="9"/>
      <c r="E616" s="9"/>
      <c r="F616" s="165"/>
      <c r="H616" s="166"/>
    </row>
    <row r="617" spans="3:8" ht="15.75" customHeight="1" x14ac:dyDescent="0.2">
      <c r="C617" s="9"/>
      <c r="D617" s="9"/>
      <c r="E617" s="9"/>
      <c r="F617" s="165"/>
      <c r="H617" s="166"/>
    </row>
    <row r="618" spans="3:8" ht="15.75" customHeight="1" x14ac:dyDescent="0.2">
      <c r="C618" s="9"/>
      <c r="D618" s="9"/>
      <c r="E618" s="9"/>
      <c r="F618" s="165"/>
      <c r="H618" s="166"/>
    </row>
    <row r="619" spans="3:8" ht="15.75" customHeight="1" x14ac:dyDescent="0.2">
      <c r="C619" s="9"/>
      <c r="D619" s="9"/>
      <c r="E619" s="9"/>
      <c r="F619" s="165"/>
      <c r="H619" s="166"/>
    </row>
    <row r="620" spans="3:8" ht="15.75" customHeight="1" x14ac:dyDescent="0.2">
      <c r="C620" s="9"/>
      <c r="D620" s="9"/>
      <c r="E620" s="9"/>
      <c r="F620" s="165"/>
      <c r="H620" s="166"/>
    </row>
    <row r="621" spans="3:8" ht="15.75" customHeight="1" x14ac:dyDescent="0.2">
      <c r="C621" s="9"/>
      <c r="D621" s="9"/>
      <c r="E621" s="9"/>
      <c r="F621" s="165"/>
      <c r="H621" s="166"/>
    </row>
    <row r="622" spans="3:8" ht="15.75" customHeight="1" x14ac:dyDescent="0.2">
      <c r="C622" s="9"/>
      <c r="D622" s="9"/>
      <c r="E622" s="9"/>
      <c r="F622" s="165"/>
      <c r="H622" s="166"/>
    </row>
    <row r="623" spans="3:8" ht="15.75" customHeight="1" x14ac:dyDescent="0.2">
      <c r="C623" s="9"/>
      <c r="D623" s="9"/>
      <c r="E623" s="9"/>
      <c r="F623" s="165"/>
      <c r="H623" s="166"/>
    </row>
    <row r="624" spans="3:8" ht="15.75" customHeight="1" x14ac:dyDescent="0.2">
      <c r="C624" s="9"/>
      <c r="D624" s="9"/>
      <c r="E624" s="9"/>
      <c r="F624" s="165"/>
      <c r="H624" s="166"/>
    </row>
    <row r="625" spans="3:8" ht="15.75" customHeight="1" x14ac:dyDescent="0.2">
      <c r="C625" s="9"/>
      <c r="D625" s="9"/>
      <c r="E625" s="9"/>
      <c r="F625" s="165"/>
      <c r="H625" s="166"/>
    </row>
    <row r="626" spans="3:8" ht="15.75" customHeight="1" x14ac:dyDescent="0.2">
      <c r="C626" s="9"/>
      <c r="D626" s="9"/>
      <c r="E626" s="9"/>
      <c r="F626" s="165"/>
      <c r="H626" s="166"/>
    </row>
    <row r="627" spans="3:8" ht="15.75" customHeight="1" x14ac:dyDescent="0.2">
      <c r="C627" s="9"/>
      <c r="D627" s="9"/>
      <c r="E627" s="9"/>
      <c r="F627" s="165"/>
      <c r="H627" s="166"/>
    </row>
    <row r="628" spans="3:8" ht="15.75" customHeight="1" x14ac:dyDescent="0.2">
      <c r="C628" s="9"/>
      <c r="D628" s="9"/>
      <c r="E628" s="9"/>
      <c r="F628" s="165"/>
      <c r="H628" s="166"/>
    </row>
    <row r="629" spans="3:8" ht="15.75" customHeight="1" x14ac:dyDescent="0.2">
      <c r="C629" s="9"/>
      <c r="D629" s="9"/>
      <c r="E629" s="9"/>
      <c r="F629" s="165"/>
      <c r="H629" s="166"/>
    </row>
    <row r="630" spans="3:8" ht="15.75" customHeight="1" x14ac:dyDescent="0.2">
      <c r="C630" s="9"/>
      <c r="D630" s="9"/>
      <c r="E630" s="9"/>
      <c r="F630" s="165"/>
      <c r="H630" s="166"/>
    </row>
    <row r="631" spans="3:8" ht="15.75" customHeight="1" x14ac:dyDescent="0.2">
      <c r="C631" s="9"/>
      <c r="D631" s="9"/>
      <c r="E631" s="9"/>
      <c r="F631" s="165"/>
      <c r="H631" s="166"/>
    </row>
    <row r="632" spans="3:8" ht="15.75" customHeight="1" x14ac:dyDescent="0.2">
      <c r="C632" s="9"/>
      <c r="D632" s="9"/>
      <c r="E632" s="9"/>
      <c r="F632" s="165"/>
      <c r="H632" s="166"/>
    </row>
    <row r="633" spans="3:8" ht="15.75" customHeight="1" x14ac:dyDescent="0.2">
      <c r="C633" s="9"/>
      <c r="D633" s="9"/>
      <c r="E633" s="9"/>
      <c r="F633" s="165"/>
      <c r="H633" s="166"/>
    </row>
    <row r="634" spans="3:8" ht="15.75" customHeight="1" x14ac:dyDescent="0.2">
      <c r="C634" s="9"/>
      <c r="D634" s="9"/>
      <c r="E634" s="9"/>
      <c r="F634" s="165"/>
      <c r="H634" s="166"/>
    </row>
    <row r="635" spans="3:8" ht="15.75" customHeight="1" x14ac:dyDescent="0.2">
      <c r="C635" s="9"/>
      <c r="D635" s="9"/>
      <c r="E635" s="9"/>
      <c r="F635" s="165"/>
      <c r="H635" s="166"/>
    </row>
    <row r="636" spans="3:8" ht="15.75" customHeight="1" x14ac:dyDescent="0.2">
      <c r="C636" s="9"/>
      <c r="D636" s="9"/>
      <c r="E636" s="9"/>
      <c r="F636" s="165"/>
      <c r="H636" s="166"/>
    </row>
    <row r="637" spans="3:8" ht="15.75" customHeight="1" x14ac:dyDescent="0.2">
      <c r="C637" s="9"/>
      <c r="D637" s="9"/>
      <c r="E637" s="9"/>
      <c r="F637" s="165"/>
      <c r="H637" s="166"/>
    </row>
    <row r="638" spans="3:8" ht="15.75" customHeight="1" x14ac:dyDescent="0.2">
      <c r="C638" s="9"/>
      <c r="D638" s="9"/>
      <c r="E638" s="9"/>
      <c r="F638" s="165"/>
      <c r="H638" s="166"/>
    </row>
    <row r="639" spans="3:8" ht="15.75" customHeight="1" x14ac:dyDescent="0.2">
      <c r="C639" s="9"/>
      <c r="D639" s="9"/>
      <c r="E639" s="9"/>
      <c r="F639" s="165"/>
      <c r="H639" s="166"/>
    </row>
    <row r="640" spans="3:8" ht="15.75" customHeight="1" x14ac:dyDescent="0.2">
      <c r="C640" s="9"/>
      <c r="D640" s="9"/>
      <c r="E640" s="9"/>
      <c r="F640" s="165"/>
      <c r="H640" s="166"/>
    </row>
    <row r="641" spans="3:8" ht="15.75" customHeight="1" x14ac:dyDescent="0.2">
      <c r="C641" s="9"/>
      <c r="D641" s="9"/>
      <c r="E641" s="9"/>
      <c r="F641" s="165"/>
      <c r="H641" s="166"/>
    </row>
    <row r="642" spans="3:8" ht="15.75" customHeight="1" x14ac:dyDescent="0.2">
      <c r="C642" s="9"/>
      <c r="D642" s="9"/>
      <c r="E642" s="9"/>
      <c r="F642" s="165"/>
      <c r="H642" s="166"/>
    </row>
    <row r="643" spans="3:8" ht="15.75" customHeight="1" x14ac:dyDescent="0.2">
      <c r="C643" s="9"/>
      <c r="D643" s="9"/>
      <c r="E643" s="9"/>
      <c r="F643" s="165"/>
      <c r="H643" s="166"/>
    </row>
    <row r="644" spans="3:8" ht="15.75" customHeight="1" x14ac:dyDescent="0.2">
      <c r="C644" s="9"/>
      <c r="D644" s="9"/>
      <c r="E644" s="9"/>
      <c r="F644" s="165"/>
      <c r="H644" s="166"/>
    </row>
    <row r="645" spans="3:8" ht="15.75" customHeight="1" x14ac:dyDescent="0.2">
      <c r="C645" s="9"/>
      <c r="D645" s="9"/>
      <c r="E645" s="9"/>
      <c r="F645" s="165"/>
      <c r="H645" s="166"/>
    </row>
    <row r="646" spans="3:8" ht="15.75" customHeight="1" x14ac:dyDescent="0.2">
      <c r="C646" s="9"/>
      <c r="D646" s="9"/>
      <c r="E646" s="9"/>
      <c r="F646" s="165"/>
      <c r="H646" s="166"/>
    </row>
    <row r="647" spans="3:8" ht="15.75" customHeight="1" x14ac:dyDescent="0.2">
      <c r="C647" s="9"/>
      <c r="D647" s="9"/>
      <c r="E647" s="9"/>
      <c r="F647" s="165"/>
      <c r="H647" s="166"/>
    </row>
    <row r="648" spans="3:8" ht="15.75" customHeight="1" x14ac:dyDescent="0.2">
      <c r="C648" s="9"/>
      <c r="D648" s="9"/>
      <c r="E648" s="9"/>
      <c r="F648" s="165"/>
      <c r="H648" s="166"/>
    </row>
    <row r="649" spans="3:8" ht="15.75" customHeight="1" x14ac:dyDescent="0.2">
      <c r="C649" s="9"/>
      <c r="D649" s="9"/>
      <c r="E649" s="9"/>
      <c r="F649" s="165"/>
      <c r="H649" s="166"/>
    </row>
    <row r="650" spans="3:8" ht="15.75" customHeight="1" x14ac:dyDescent="0.2">
      <c r="C650" s="9"/>
      <c r="D650" s="9"/>
      <c r="E650" s="9"/>
      <c r="F650" s="165"/>
      <c r="H650" s="166"/>
    </row>
    <row r="651" spans="3:8" ht="15.75" customHeight="1" x14ac:dyDescent="0.2">
      <c r="C651" s="9"/>
      <c r="D651" s="9"/>
      <c r="E651" s="9"/>
      <c r="F651" s="165"/>
      <c r="H651" s="166"/>
    </row>
    <row r="652" spans="3:8" ht="15.75" customHeight="1" x14ac:dyDescent="0.2">
      <c r="C652" s="9"/>
      <c r="D652" s="9"/>
      <c r="E652" s="9"/>
      <c r="F652" s="165"/>
      <c r="H652" s="166"/>
    </row>
    <row r="653" spans="3:8" ht="15.75" customHeight="1" x14ac:dyDescent="0.2">
      <c r="C653" s="9"/>
      <c r="D653" s="9"/>
      <c r="E653" s="9"/>
      <c r="F653" s="165"/>
      <c r="H653" s="166"/>
    </row>
    <row r="654" spans="3:8" ht="15.75" customHeight="1" x14ac:dyDescent="0.2">
      <c r="C654" s="9"/>
      <c r="D654" s="9"/>
      <c r="E654" s="9"/>
      <c r="F654" s="165"/>
      <c r="H654" s="166"/>
    </row>
    <row r="655" spans="3:8" ht="15.75" customHeight="1" x14ac:dyDescent="0.2">
      <c r="C655" s="9"/>
      <c r="D655" s="9"/>
      <c r="E655" s="9"/>
      <c r="F655" s="165"/>
      <c r="H655" s="166"/>
    </row>
    <row r="656" spans="3:8" ht="15.75" customHeight="1" x14ac:dyDescent="0.2">
      <c r="C656" s="9"/>
      <c r="D656" s="9"/>
      <c r="E656" s="9"/>
      <c r="F656" s="165"/>
      <c r="H656" s="166"/>
    </row>
    <row r="657" spans="3:8" ht="15.75" customHeight="1" x14ac:dyDescent="0.2">
      <c r="C657" s="9"/>
      <c r="D657" s="9"/>
      <c r="E657" s="9"/>
      <c r="F657" s="165"/>
      <c r="H657" s="166"/>
    </row>
    <row r="658" spans="3:8" ht="15.75" customHeight="1" x14ac:dyDescent="0.2">
      <c r="C658" s="9"/>
      <c r="D658" s="9"/>
      <c r="E658" s="9"/>
      <c r="F658" s="165"/>
      <c r="H658" s="166"/>
    </row>
    <row r="659" spans="3:8" ht="15.75" customHeight="1" x14ac:dyDescent="0.2">
      <c r="C659" s="9"/>
      <c r="D659" s="9"/>
      <c r="E659" s="9"/>
      <c r="F659" s="165"/>
      <c r="H659" s="166"/>
    </row>
    <row r="660" spans="3:8" ht="15.75" customHeight="1" x14ac:dyDescent="0.2">
      <c r="C660" s="9"/>
      <c r="D660" s="9"/>
      <c r="E660" s="9"/>
      <c r="F660" s="165"/>
      <c r="H660" s="166"/>
    </row>
    <row r="661" spans="3:8" ht="15.75" customHeight="1" x14ac:dyDescent="0.2">
      <c r="C661" s="9"/>
      <c r="D661" s="9"/>
      <c r="E661" s="9"/>
      <c r="F661" s="165"/>
      <c r="H661" s="166"/>
    </row>
    <row r="662" spans="3:8" ht="15.75" customHeight="1" x14ac:dyDescent="0.2">
      <c r="C662" s="9"/>
      <c r="D662" s="9"/>
      <c r="E662" s="9"/>
      <c r="F662" s="165"/>
      <c r="H662" s="166"/>
    </row>
    <row r="663" spans="3:8" ht="15.75" customHeight="1" x14ac:dyDescent="0.2">
      <c r="C663" s="9"/>
      <c r="D663" s="9"/>
      <c r="E663" s="9"/>
      <c r="F663" s="165"/>
      <c r="H663" s="166"/>
    </row>
    <row r="664" spans="3:8" ht="15.75" customHeight="1" x14ac:dyDescent="0.2">
      <c r="C664" s="9"/>
      <c r="D664" s="9"/>
      <c r="E664" s="9"/>
      <c r="F664" s="165"/>
      <c r="H664" s="166"/>
    </row>
    <row r="665" spans="3:8" ht="15.75" customHeight="1" x14ac:dyDescent="0.2">
      <c r="C665" s="9"/>
      <c r="D665" s="9"/>
      <c r="E665" s="9"/>
      <c r="F665" s="165"/>
      <c r="H665" s="166"/>
    </row>
    <row r="666" spans="3:8" ht="15.75" customHeight="1" x14ac:dyDescent="0.2">
      <c r="C666" s="9"/>
      <c r="D666" s="9"/>
      <c r="E666" s="9"/>
      <c r="F666" s="165"/>
      <c r="H666" s="166"/>
    </row>
    <row r="667" spans="3:8" ht="15.75" customHeight="1" x14ac:dyDescent="0.2">
      <c r="C667" s="9"/>
      <c r="D667" s="9"/>
      <c r="E667" s="9"/>
      <c r="F667" s="165"/>
      <c r="H667" s="166"/>
    </row>
    <row r="668" spans="3:8" ht="15.75" customHeight="1" x14ac:dyDescent="0.2">
      <c r="C668" s="9"/>
      <c r="D668" s="9"/>
      <c r="E668" s="9"/>
      <c r="F668" s="165"/>
      <c r="H668" s="166"/>
    </row>
    <row r="669" spans="3:8" ht="15.75" customHeight="1" x14ac:dyDescent="0.2">
      <c r="C669" s="9"/>
      <c r="D669" s="9"/>
      <c r="E669" s="9"/>
      <c r="F669" s="165"/>
      <c r="H669" s="166"/>
    </row>
    <row r="670" spans="3:8" ht="15.75" customHeight="1" x14ac:dyDescent="0.2">
      <c r="C670" s="9"/>
      <c r="D670" s="9"/>
      <c r="E670" s="9"/>
      <c r="F670" s="165"/>
      <c r="H670" s="166"/>
    </row>
    <row r="671" spans="3:8" ht="15.75" customHeight="1" x14ac:dyDescent="0.2">
      <c r="C671" s="9"/>
      <c r="D671" s="9"/>
      <c r="E671" s="9"/>
      <c r="F671" s="165"/>
      <c r="H671" s="166"/>
    </row>
    <row r="672" spans="3:8" ht="15.75" customHeight="1" x14ac:dyDescent="0.2">
      <c r="C672" s="9"/>
      <c r="D672" s="9"/>
      <c r="E672" s="9"/>
      <c r="F672" s="165"/>
      <c r="H672" s="166"/>
    </row>
    <row r="673" spans="3:8" ht="15.75" customHeight="1" x14ac:dyDescent="0.2">
      <c r="C673" s="9"/>
      <c r="D673" s="9"/>
      <c r="E673" s="9"/>
      <c r="F673" s="165"/>
      <c r="H673" s="166"/>
    </row>
    <row r="674" spans="3:8" ht="15.75" customHeight="1" x14ac:dyDescent="0.2">
      <c r="C674" s="9"/>
      <c r="D674" s="9"/>
      <c r="E674" s="9"/>
      <c r="F674" s="165"/>
      <c r="H674" s="166"/>
    </row>
    <row r="675" spans="3:8" ht="15.75" customHeight="1" x14ac:dyDescent="0.2">
      <c r="C675" s="9"/>
      <c r="D675" s="9"/>
      <c r="E675" s="9"/>
      <c r="F675" s="165"/>
      <c r="H675" s="166"/>
    </row>
    <row r="676" spans="3:8" ht="15.75" customHeight="1" x14ac:dyDescent="0.2">
      <c r="C676" s="9"/>
      <c r="D676" s="9"/>
      <c r="E676" s="9"/>
      <c r="F676" s="165"/>
      <c r="H676" s="166"/>
    </row>
    <row r="677" spans="3:8" ht="15.75" customHeight="1" x14ac:dyDescent="0.2">
      <c r="C677" s="9"/>
      <c r="D677" s="9"/>
      <c r="E677" s="9"/>
      <c r="F677" s="165"/>
      <c r="H677" s="166"/>
    </row>
    <row r="678" spans="3:8" ht="15.75" customHeight="1" x14ac:dyDescent="0.2">
      <c r="C678" s="9"/>
      <c r="D678" s="9"/>
      <c r="E678" s="9"/>
      <c r="F678" s="165"/>
      <c r="H678" s="166"/>
    </row>
    <row r="679" spans="3:8" ht="15.75" customHeight="1" x14ac:dyDescent="0.2">
      <c r="C679" s="9"/>
      <c r="D679" s="9"/>
      <c r="E679" s="9"/>
      <c r="F679" s="165"/>
      <c r="H679" s="166"/>
    </row>
    <row r="680" spans="3:8" ht="15.75" customHeight="1" x14ac:dyDescent="0.2">
      <c r="C680" s="9"/>
      <c r="D680" s="9"/>
      <c r="E680" s="9"/>
      <c r="F680" s="165"/>
      <c r="H680" s="166"/>
    </row>
    <row r="681" spans="3:8" ht="15.75" customHeight="1" x14ac:dyDescent="0.2">
      <c r="C681" s="9"/>
      <c r="D681" s="9"/>
      <c r="E681" s="9"/>
      <c r="F681" s="165"/>
      <c r="H681" s="166"/>
    </row>
    <row r="682" spans="3:8" ht="15.75" customHeight="1" x14ac:dyDescent="0.2">
      <c r="C682" s="9"/>
      <c r="D682" s="9"/>
      <c r="E682" s="9"/>
      <c r="F682" s="165"/>
      <c r="H682" s="166"/>
    </row>
    <row r="683" spans="3:8" ht="15.75" customHeight="1" x14ac:dyDescent="0.2">
      <c r="C683" s="9"/>
      <c r="D683" s="9"/>
      <c r="E683" s="9"/>
      <c r="F683" s="165"/>
      <c r="H683" s="166"/>
    </row>
    <row r="684" spans="3:8" ht="15.75" customHeight="1" x14ac:dyDescent="0.2">
      <c r="C684" s="9"/>
      <c r="D684" s="9"/>
      <c r="E684" s="9"/>
      <c r="F684" s="165"/>
      <c r="H684" s="166"/>
    </row>
    <row r="685" spans="3:8" ht="15.75" customHeight="1" x14ac:dyDescent="0.2">
      <c r="C685" s="9"/>
      <c r="D685" s="9"/>
      <c r="E685" s="9"/>
      <c r="F685" s="165"/>
      <c r="H685" s="166"/>
    </row>
    <row r="686" spans="3:8" ht="15.75" customHeight="1" x14ac:dyDescent="0.2">
      <c r="C686" s="9"/>
      <c r="D686" s="9"/>
      <c r="E686" s="9"/>
      <c r="F686" s="165"/>
      <c r="H686" s="166"/>
    </row>
    <row r="687" spans="3:8" ht="15.75" customHeight="1" x14ac:dyDescent="0.2">
      <c r="C687" s="9"/>
      <c r="D687" s="9"/>
      <c r="E687" s="9"/>
      <c r="F687" s="165"/>
      <c r="H687" s="166"/>
    </row>
    <row r="688" spans="3:8" ht="15.75" customHeight="1" x14ac:dyDescent="0.2">
      <c r="C688" s="9"/>
      <c r="D688" s="9"/>
      <c r="E688" s="9"/>
      <c r="F688" s="165"/>
      <c r="H688" s="166"/>
    </row>
    <row r="689" spans="3:8" ht="15.75" customHeight="1" x14ac:dyDescent="0.2">
      <c r="C689" s="9"/>
      <c r="D689" s="9"/>
      <c r="E689" s="9"/>
      <c r="F689" s="165"/>
      <c r="H689" s="166"/>
    </row>
    <row r="690" spans="3:8" ht="15.75" customHeight="1" x14ac:dyDescent="0.2">
      <c r="C690" s="9"/>
      <c r="D690" s="9"/>
      <c r="E690" s="9"/>
      <c r="F690" s="165"/>
      <c r="H690" s="166"/>
    </row>
    <row r="691" spans="3:8" ht="15.75" customHeight="1" x14ac:dyDescent="0.2">
      <c r="C691" s="9"/>
      <c r="D691" s="9"/>
      <c r="E691" s="9"/>
      <c r="F691" s="165"/>
      <c r="H691" s="166"/>
    </row>
    <row r="692" spans="3:8" ht="15.75" customHeight="1" x14ac:dyDescent="0.2">
      <c r="C692" s="9"/>
      <c r="D692" s="9"/>
      <c r="E692" s="9"/>
      <c r="F692" s="165"/>
      <c r="H692" s="166"/>
    </row>
    <row r="693" spans="3:8" ht="15.75" customHeight="1" x14ac:dyDescent="0.2">
      <c r="C693" s="9"/>
      <c r="D693" s="9"/>
      <c r="E693" s="9"/>
      <c r="F693" s="165"/>
      <c r="H693" s="166"/>
    </row>
    <row r="694" spans="3:8" ht="15.75" customHeight="1" x14ac:dyDescent="0.2">
      <c r="C694" s="9"/>
      <c r="D694" s="9"/>
      <c r="E694" s="9"/>
      <c r="F694" s="165"/>
      <c r="H694" s="166"/>
    </row>
    <row r="695" spans="3:8" ht="15.75" customHeight="1" x14ac:dyDescent="0.2">
      <c r="C695" s="9"/>
      <c r="D695" s="9"/>
      <c r="E695" s="9"/>
      <c r="F695" s="165"/>
      <c r="H695" s="166"/>
    </row>
    <row r="696" spans="3:8" ht="15.75" customHeight="1" x14ac:dyDescent="0.2">
      <c r="C696" s="9"/>
      <c r="D696" s="9"/>
      <c r="E696" s="9"/>
      <c r="F696" s="165"/>
      <c r="H696" s="166"/>
    </row>
    <row r="697" spans="3:8" ht="15.75" customHeight="1" x14ac:dyDescent="0.2">
      <c r="C697" s="9"/>
      <c r="D697" s="9"/>
      <c r="E697" s="9"/>
      <c r="F697" s="165"/>
      <c r="H697" s="166"/>
    </row>
    <row r="698" spans="3:8" ht="15.75" customHeight="1" x14ac:dyDescent="0.2">
      <c r="C698" s="9"/>
      <c r="D698" s="9"/>
      <c r="E698" s="9"/>
      <c r="F698" s="165"/>
      <c r="H698" s="166"/>
    </row>
    <row r="699" spans="3:8" ht="15.75" customHeight="1" x14ac:dyDescent="0.2">
      <c r="C699" s="9"/>
      <c r="D699" s="9"/>
      <c r="E699" s="9"/>
      <c r="F699" s="165"/>
      <c r="H699" s="166"/>
    </row>
    <row r="700" spans="3:8" ht="15.75" customHeight="1" x14ac:dyDescent="0.2">
      <c r="C700" s="9"/>
      <c r="D700" s="9"/>
      <c r="E700" s="9"/>
      <c r="F700" s="165"/>
      <c r="H700" s="166"/>
    </row>
    <row r="701" spans="3:8" ht="15.75" customHeight="1" x14ac:dyDescent="0.2">
      <c r="C701" s="9"/>
      <c r="D701" s="9"/>
      <c r="E701" s="9"/>
      <c r="F701" s="165"/>
      <c r="H701" s="166"/>
    </row>
    <row r="702" spans="3:8" ht="15.75" customHeight="1" x14ac:dyDescent="0.2">
      <c r="C702" s="9"/>
      <c r="D702" s="9"/>
      <c r="E702" s="9"/>
      <c r="F702" s="165"/>
      <c r="H702" s="166"/>
    </row>
    <row r="703" spans="3:8" ht="15.75" customHeight="1" x14ac:dyDescent="0.2">
      <c r="C703" s="9"/>
      <c r="D703" s="9"/>
      <c r="E703" s="9"/>
      <c r="F703" s="165"/>
      <c r="H703" s="166"/>
    </row>
    <row r="704" spans="3:8" ht="15.75" customHeight="1" x14ac:dyDescent="0.2">
      <c r="C704" s="9"/>
      <c r="D704" s="9"/>
      <c r="E704" s="9"/>
      <c r="F704" s="165"/>
      <c r="H704" s="166"/>
    </row>
    <row r="705" spans="3:8" ht="15.75" customHeight="1" x14ac:dyDescent="0.2">
      <c r="C705" s="9"/>
      <c r="D705" s="9"/>
      <c r="E705" s="9"/>
      <c r="F705" s="165"/>
      <c r="H705" s="166"/>
    </row>
    <row r="706" spans="3:8" ht="15.75" customHeight="1" x14ac:dyDescent="0.2">
      <c r="C706" s="9"/>
      <c r="D706" s="9"/>
      <c r="E706" s="9"/>
      <c r="F706" s="165"/>
      <c r="H706" s="166"/>
    </row>
    <row r="707" spans="3:8" ht="15.75" customHeight="1" x14ac:dyDescent="0.2">
      <c r="C707" s="9"/>
      <c r="D707" s="9"/>
      <c r="E707" s="9"/>
      <c r="F707" s="165"/>
      <c r="H707" s="166"/>
    </row>
    <row r="708" spans="3:8" ht="15.75" customHeight="1" x14ac:dyDescent="0.2">
      <c r="C708" s="9"/>
      <c r="D708" s="9"/>
      <c r="E708" s="9"/>
      <c r="F708" s="165"/>
      <c r="H708" s="166"/>
    </row>
    <row r="709" spans="3:8" ht="15.75" customHeight="1" x14ac:dyDescent="0.2">
      <c r="C709" s="9"/>
      <c r="D709" s="9"/>
      <c r="E709" s="9"/>
      <c r="F709" s="165"/>
      <c r="H709" s="166"/>
    </row>
    <row r="710" spans="3:8" ht="15.75" customHeight="1" x14ac:dyDescent="0.2">
      <c r="C710" s="9"/>
      <c r="D710" s="9"/>
      <c r="E710" s="9"/>
      <c r="F710" s="165"/>
      <c r="H710" s="166"/>
    </row>
    <row r="711" spans="3:8" ht="15.75" customHeight="1" x14ac:dyDescent="0.2">
      <c r="C711" s="9"/>
      <c r="D711" s="9"/>
      <c r="E711" s="9"/>
      <c r="F711" s="165"/>
      <c r="H711" s="166"/>
    </row>
    <row r="712" spans="3:8" ht="15.75" customHeight="1" x14ac:dyDescent="0.2">
      <c r="C712" s="9"/>
      <c r="D712" s="9"/>
      <c r="E712" s="9"/>
      <c r="F712" s="165"/>
      <c r="H712" s="166"/>
    </row>
    <row r="713" spans="3:8" ht="15.75" customHeight="1" x14ac:dyDescent="0.2">
      <c r="C713" s="9"/>
      <c r="D713" s="9"/>
      <c r="E713" s="9"/>
      <c r="F713" s="165"/>
      <c r="H713" s="166"/>
    </row>
    <row r="714" spans="3:8" ht="15.75" customHeight="1" x14ac:dyDescent="0.2">
      <c r="C714" s="9"/>
      <c r="D714" s="9"/>
      <c r="E714" s="9"/>
      <c r="F714" s="165"/>
      <c r="H714" s="166"/>
    </row>
    <row r="715" spans="3:8" ht="15.75" customHeight="1" x14ac:dyDescent="0.2">
      <c r="C715" s="9"/>
      <c r="D715" s="9"/>
      <c r="E715" s="9"/>
      <c r="F715" s="165"/>
      <c r="H715" s="166"/>
    </row>
    <row r="716" spans="3:8" ht="15.75" customHeight="1" x14ac:dyDescent="0.2">
      <c r="C716" s="9"/>
      <c r="D716" s="9"/>
      <c r="E716" s="9"/>
      <c r="F716" s="165"/>
      <c r="H716" s="166"/>
    </row>
    <row r="717" spans="3:8" ht="15.75" customHeight="1" x14ac:dyDescent="0.2">
      <c r="C717" s="9"/>
      <c r="D717" s="9"/>
      <c r="E717" s="9"/>
      <c r="F717" s="165"/>
      <c r="H717" s="166"/>
    </row>
    <row r="718" spans="3:8" ht="15.75" customHeight="1" x14ac:dyDescent="0.2">
      <c r="C718" s="9"/>
      <c r="D718" s="9"/>
      <c r="E718" s="9"/>
      <c r="F718" s="165"/>
      <c r="H718" s="166"/>
    </row>
    <row r="719" spans="3:8" ht="15.75" customHeight="1" x14ac:dyDescent="0.2">
      <c r="C719" s="9"/>
      <c r="D719" s="9"/>
      <c r="E719" s="9"/>
      <c r="F719" s="165"/>
      <c r="H719" s="166"/>
    </row>
    <row r="720" spans="3:8" ht="15.75" customHeight="1" x14ac:dyDescent="0.2">
      <c r="C720" s="9"/>
      <c r="D720" s="9"/>
      <c r="E720" s="9"/>
      <c r="F720" s="165"/>
      <c r="H720" s="166"/>
    </row>
    <row r="721" spans="3:8" ht="15.75" customHeight="1" x14ac:dyDescent="0.2">
      <c r="C721" s="9"/>
      <c r="D721" s="9"/>
      <c r="E721" s="9"/>
      <c r="F721" s="165"/>
      <c r="H721" s="166"/>
    </row>
    <row r="722" spans="3:8" ht="15.75" customHeight="1" x14ac:dyDescent="0.2">
      <c r="C722" s="9"/>
      <c r="D722" s="9"/>
      <c r="E722" s="9"/>
      <c r="F722" s="165"/>
      <c r="H722" s="166"/>
    </row>
    <row r="723" spans="3:8" ht="15.75" customHeight="1" x14ac:dyDescent="0.2">
      <c r="C723" s="9"/>
      <c r="D723" s="9"/>
      <c r="E723" s="9"/>
      <c r="F723" s="165"/>
      <c r="H723" s="166"/>
    </row>
    <row r="724" spans="3:8" ht="15.75" customHeight="1" x14ac:dyDescent="0.2">
      <c r="C724" s="9"/>
      <c r="D724" s="9"/>
      <c r="E724" s="9"/>
      <c r="F724" s="165"/>
      <c r="H724" s="166"/>
    </row>
    <row r="725" spans="3:8" ht="15.75" customHeight="1" x14ac:dyDescent="0.2">
      <c r="C725" s="9"/>
      <c r="D725" s="9"/>
      <c r="E725" s="9"/>
      <c r="F725" s="165"/>
      <c r="H725" s="166"/>
    </row>
    <row r="726" spans="3:8" ht="15.75" customHeight="1" x14ac:dyDescent="0.2">
      <c r="C726" s="9"/>
      <c r="D726" s="9"/>
      <c r="E726" s="9"/>
      <c r="F726" s="165"/>
      <c r="H726" s="166"/>
    </row>
    <row r="727" spans="3:8" ht="15.75" customHeight="1" x14ac:dyDescent="0.2">
      <c r="C727" s="9"/>
      <c r="D727" s="9"/>
      <c r="E727" s="9"/>
      <c r="F727" s="165"/>
      <c r="H727" s="166"/>
    </row>
    <row r="728" spans="3:8" ht="15.75" customHeight="1" x14ac:dyDescent="0.2">
      <c r="C728" s="9"/>
      <c r="D728" s="9"/>
      <c r="E728" s="9"/>
      <c r="F728" s="165"/>
      <c r="H728" s="166"/>
    </row>
    <row r="729" spans="3:8" ht="15.75" customHeight="1" x14ac:dyDescent="0.2">
      <c r="C729" s="9"/>
      <c r="D729" s="9"/>
      <c r="E729" s="9"/>
      <c r="F729" s="165"/>
      <c r="H729" s="166"/>
    </row>
    <row r="730" spans="3:8" ht="15.75" customHeight="1" x14ac:dyDescent="0.2">
      <c r="C730" s="9"/>
      <c r="D730" s="9"/>
      <c r="E730" s="9"/>
      <c r="F730" s="165"/>
      <c r="H730" s="166"/>
    </row>
    <row r="731" spans="3:8" ht="15.75" customHeight="1" x14ac:dyDescent="0.2">
      <c r="C731" s="9"/>
      <c r="D731" s="9"/>
      <c r="E731" s="9"/>
      <c r="F731" s="165"/>
      <c r="H731" s="166"/>
    </row>
    <row r="732" spans="3:8" ht="15.75" customHeight="1" x14ac:dyDescent="0.2">
      <c r="C732" s="9"/>
      <c r="D732" s="9"/>
      <c r="E732" s="9"/>
      <c r="F732" s="165"/>
      <c r="H732" s="166"/>
    </row>
    <row r="733" spans="3:8" ht="15.75" customHeight="1" x14ac:dyDescent="0.2">
      <c r="C733" s="9"/>
      <c r="D733" s="9"/>
      <c r="E733" s="9"/>
      <c r="F733" s="165"/>
      <c r="H733" s="166"/>
    </row>
    <row r="734" spans="3:8" ht="15.75" customHeight="1" x14ac:dyDescent="0.2">
      <c r="C734" s="9"/>
      <c r="D734" s="9"/>
      <c r="E734" s="9"/>
      <c r="F734" s="165"/>
      <c r="H734" s="166"/>
    </row>
    <row r="735" spans="3:8" ht="15.75" customHeight="1" x14ac:dyDescent="0.2">
      <c r="C735" s="9"/>
      <c r="D735" s="9"/>
      <c r="E735" s="9"/>
      <c r="F735" s="165"/>
      <c r="H735" s="166"/>
    </row>
    <row r="736" spans="3:8" ht="15.75" customHeight="1" x14ac:dyDescent="0.2">
      <c r="C736" s="9"/>
      <c r="D736" s="9"/>
      <c r="E736" s="9"/>
      <c r="F736" s="165"/>
      <c r="H736" s="166"/>
    </row>
    <row r="737" spans="3:8" ht="15.75" customHeight="1" x14ac:dyDescent="0.2">
      <c r="C737" s="9"/>
      <c r="D737" s="9"/>
      <c r="E737" s="9"/>
      <c r="F737" s="165"/>
      <c r="H737" s="166"/>
    </row>
    <row r="738" spans="3:8" ht="15.75" customHeight="1" x14ac:dyDescent="0.2">
      <c r="C738" s="9"/>
      <c r="D738" s="9"/>
      <c r="E738" s="9"/>
      <c r="F738" s="165"/>
      <c r="H738" s="166"/>
    </row>
    <row r="739" spans="3:8" ht="15.75" customHeight="1" x14ac:dyDescent="0.2">
      <c r="C739" s="9"/>
      <c r="D739" s="9"/>
      <c r="E739" s="9"/>
      <c r="F739" s="165"/>
      <c r="H739" s="166"/>
    </row>
    <row r="740" spans="3:8" ht="15.75" customHeight="1" x14ac:dyDescent="0.2">
      <c r="C740" s="9"/>
      <c r="D740" s="9"/>
      <c r="E740" s="9"/>
      <c r="F740" s="165"/>
      <c r="H740" s="166"/>
    </row>
    <row r="741" spans="3:8" ht="15.75" customHeight="1" x14ac:dyDescent="0.2">
      <c r="C741" s="9"/>
      <c r="D741" s="9"/>
      <c r="E741" s="9"/>
      <c r="F741" s="165"/>
      <c r="H741" s="166"/>
    </row>
    <row r="742" spans="3:8" ht="15.75" customHeight="1" x14ac:dyDescent="0.2">
      <c r="C742" s="9"/>
      <c r="D742" s="9"/>
      <c r="E742" s="9"/>
      <c r="F742" s="165"/>
      <c r="H742" s="166"/>
    </row>
    <row r="743" spans="3:8" ht="15.75" customHeight="1" x14ac:dyDescent="0.2">
      <c r="C743" s="9"/>
      <c r="D743" s="9"/>
      <c r="E743" s="9"/>
      <c r="F743" s="165"/>
      <c r="H743" s="166"/>
    </row>
    <row r="744" spans="3:8" ht="15.75" customHeight="1" x14ac:dyDescent="0.2">
      <c r="C744" s="9"/>
      <c r="D744" s="9"/>
      <c r="E744" s="9"/>
      <c r="F744" s="165"/>
      <c r="H744" s="166"/>
    </row>
    <row r="745" spans="3:8" ht="15.75" customHeight="1" x14ac:dyDescent="0.2">
      <c r="C745" s="9"/>
      <c r="D745" s="9"/>
      <c r="E745" s="9"/>
      <c r="F745" s="165"/>
      <c r="H745" s="166"/>
    </row>
    <row r="746" spans="3:8" ht="15.75" customHeight="1" x14ac:dyDescent="0.2">
      <c r="C746" s="9"/>
      <c r="D746" s="9"/>
      <c r="E746" s="9"/>
      <c r="F746" s="165"/>
      <c r="H746" s="166"/>
    </row>
    <row r="747" spans="3:8" ht="15.75" customHeight="1" x14ac:dyDescent="0.2">
      <c r="C747" s="9"/>
      <c r="D747" s="9"/>
      <c r="E747" s="9"/>
      <c r="F747" s="165"/>
      <c r="H747" s="166"/>
    </row>
    <row r="748" spans="3:8" ht="15.75" customHeight="1" x14ac:dyDescent="0.2">
      <c r="C748" s="9"/>
      <c r="D748" s="9"/>
      <c r="E748" s="9"/>
      <c r="F748" s="165"/>
      <c r="H748" s="166"/>
    </row>
    <row r="749" spans="3:8" ht="15.75" customHeight="1" x14ac:dyDescent="0.2">
      <c r="C749" s="9"/>
      <c r="D749" s="9"/>
      <c r="E749" s="9"/>
      <c r="F749" s="165"/>
      <c r="H749" s="166"/>
    </row>
    <row r="750" spans="3:8" ht="15.75" customHeight="1" x14ac:dyDescent="0.2">
      <c r="C750" s="9"/>
      <c r="D750" s="9"/>
      <c r="E750" s="9"/>
      <c r="F750" s="165"/>
      <c r="H750" s="166"/>
    </row>
    <row r="751" spans="3:8" ht="15.75" customHeight="1" x14ac:dyDescent="0.2">
      <c r="C751" s="9"/>
      <c r="D751" s="9"/>
      <c r="E751" s="9"/>
      <c r="F751" s="165"/>
      <c r="H751" s="166"/>
    </row>
    <row r="752" spans="3:8" ht="15.75" customHeight="1" x14ac:dyDescent="0.2">
      <c r="C752" s="9"/>
      <c r="D752" s="9"/>
      <c r="E752" s="9"/>
      <c r="F752" s="165"/>
      <c r="H752" s="166"/>
    </row>
    <row r="753" spans="3:8" ht="15.75" customHeight="1" x14ac:dyDescent="0.2">
      <c r="C753" s="9"/>
      <c r="D753" s="9"/>
      <c r="E753" s="9"/>
      <c r="F753" s="165"/>
      <c r="H753" s="166"/>
    </row>
    <row r="754" spans="3:8" ht="15.75" customHeight="1" x14ac:dyDescent="0.2">
      <c r="C754" s="9"/>
      <c r="D754" s="9"/>
      <c r="E754" s="9"/>
      <c r="F754" s="165"/>
      <c r="H754" s="166"/>
    </row>
    <row r="755" spans="3:8" ht="15.75" customHeight="1" x14ac:dyDescent="0.2">
      <c r="C755" s="9"/>
      <c r="D755" s="9"/>
      <c r="E755" s="9"/>
      <c r="F755" s="165"/>
      <c r="H755" s="166"/>
    </row>
    <row r="756" spans="3:8" ht="15.75" customHeight="1" x14ac:dyDescent="0.2">
      <c r="C756" s="9"/>
      <c r="D756" s="9"/>
      <c r="E756" s="9"/>
      <c r="F756" s="165"/>
      <c r="H756" s="166"/>
    </row>
    <row r="757" spans="3:8" ht="15.75" customHeight="1" x14ac:dyDescent="0.2">
      <c r="C757" s="9"/>
      <c r="D757" s="9"/>
      <c r="E757" s="9"/>
      <c r="F757" s="165"/>
      <c r="H757" s="166"/>
    </row>
    <row r="758" spans="3:8" ht="15.75" customHeight="1" x14ac:dyDescent="0.2">
      <c r="C758" s="9"/>
      <c r="D758" s="9"/>
      <c r="E758" s="9"/>
      <c r="F758" s="165"/>
      <c r="H758" s="166"/>
    </row>
    <row r="759" spans="3:8" ht="15.75" customHeight="1" x14ac:dyDescent="0.2">
      <c r="C759" s="9"/>
      <c r="D759" s="9"/>
      <c r="E759" s="9"/>
      <c r="F759" s="165"/>
      <c r="H759" s="166"/>
    </row>
    <row r="760" spans="3:8" ht="15.75" customHeight="1" x14ac:dyDescent="0.2">
      <c r="C760" s="9"/>
      <c r="D760" s="9"/>
      <c r="E760" s="9"/>
      <c r="F760" s="165"/>
      <c r="H760" s="166"/>
    </row>
    <row r="761" spans="3:8" ht="15.75" customHeight="1" x14ac:dyDescent="0.2">
      <c r="C761" s="9"/>
      <c r="D761" s="9"/>
      <c r="E761" s="9"/>
      <c r="F761" s="165"/>
      <c r="H761" s="166"/>
    </row>
    <row r="762" spans="3:8" ht="15.75" customHeight="1" x14ac:dyDescent="0.2">
      <c r="C762" s="9"/>
      <c r="D762" s="9"/>
      <c r="E762" s="9"/>
      <c r="F762" s="165"/>
      <c r="H762" s="166"/>
    </row>
    <row r="763" spans="3:8" ht="15.75" customHeight="1" x14ac:dyDescent="0.2">
      <c r="C763" s="9"/>
      <c r="D763" s="9"/>
      <c r="E763" s="9"/>
      <c r="F763" s="165"/>
      <c r="H763" s="166"/>
    </row>
    <row r="764" spans="3:8" ht="15.75" customHeight="1" x14ac:dyDescent="0.2">
      <c r="C764" s="9"/>
      <c r="D764" s="9"/>
      <c r="E764" s="9"/>
      <c r="F764" s="165"/>
      <c r="H764" s="166"/>
    </row>
    <row r="765" spans="3:8" ht="15.75" customHeight="1" x14ac:dyDescent="0.2">
      <c r="C765" s="9"/>
      <c r="D765" s="9"/>
      <c r="E765" s="9"/>
      <c r="F765" s="165"/>
      <c r="H765" s="166"/>
    </row>
    <row r="766" spans="3:8" ht="15.75" customHeight="1" x14ac:dyDescent="0.2">
      <c r="C766" s="9"/>
      <c r="D766" s="9"/>
      <c r="E766" s="9"/>
      <c r="F766" s="165"/>
      <c r="H766" s="166"/>
    </row>
    <row r="767" spans="3:8" ht="15.75" customHeight="1" x14ac:dyDescent="0.2">
      <c r="C767" s="9"/>
      <c r="D767" s="9"/>
      <c r="E767" s="9"/>
      <c r="F767" s="165"/>
      <c r="H767" s="166"/>
    </row>
    <row r="768" spans="3:8" ht="15.75" customHeight="1" x14ac:dyDescent="0.2">
      <c r="C768" s="9"/>
      <c r="D768" s="9"/>
      <c r="E768" s="9"/>
      <c r="F768" s="165"/>
      <c r="H768" s="166"/>
    </row>
    <row r="769" spans="3:8" ht="15.75" customHeight="1" x14ac:dyDescent="0.2">
      <c r="C769" s="9"/>
      <c r="D769" s="9"/>
      <c r="E769" s="9"/>
      <c r="F769" s="165"/>
      <c r="H769" s="166"/>
    </row>
    <row r="770" spans="3:8" ht="15.75" customHeight="1" x14ac:dyDescent="0.2">
      <c r="C770" s="9"/>
      <c r="D770" s="9"/>
      <c r="E770" s="9"/>
      <c r="F770" s="165"/>
      <c r="H770" s="166"/>
    </row>
    <row r="771" spans="3:8" ht="15.75" customHeight="1" x14ac:dyDescent="0.2">
      <c r="C771" s="9"/>
      <c r="D771" s="9"/>
      <c r="E771" s="9"/>
      <c r="F771" s="165"/>
      <c r="H771" s="166"/>
    </row>
    <row r="772" spans="3:8" ht="15.75" customHeight="1" x14ac:dyDescent="0.2">
      <c r="C772" s="9"/>
      <c r="D772" s="9"/>
      <c r="E772" s="9"/>
      <c r="F772" s="165"/>
      <c r="H772" s="166"/>
    </row>
    <row r="773" spans="3:8" ht="15.75" customHeight="1" x14ac:dyDescent="0.2">
      <c r="C773" s="9"/>
      <c r="D773" s="9"/>
      <c r="E773" s="9"/>
      <c r="F773" s="165"/>
      <c r="H773" s="166"/>
    </row>
    <row r="774" spans="3:8" ht="15.75" customHeight="1" x14ac:dyDescent="0.2">
      <c r="C774" s="9"/>
      <c r="D774" s="9"/>
      <c r="E774" s="9"/>
      <c r="F774" s="165"/>
      <c r="H774" s="166"/>
    </row>
    <row r="775" spans="3:8" ht="15.75" customHeight="1" x14ac:dyDescent="0.2">
      <c r="C775" s="9"/>
      <c r="D775" s="9"/>
      <c r="E775" s="9"/>
      <c r="F775" s="165"/>
      <c r="H775" s="166"/>
    </row>
    <row r="776" spans="3:8" ht="15.75" customHeight="1" x14ac:dyDescent="0.2">
      <c r="C776" s="9"/>
      <c r="D776" s="9"/>
      <c r="E776" s="9"/>
      <c r="F776" s="165"/>
      <c r="H776" s="166"/>
    </row>
    <row r="777" spans="3:8" ht="15.75" customHeight="1" x14ac:dyDescent="0.2">
      <c r="C777" s="9"/>
      <c r="D777" s="9"/>
      <c r="E777" s="9"/>
      <c r="F777" s="165"/>
      <c r="H777" s="166"/>
    </row>
    <row r="778" spans="3:8" ht="15.75" customHeight="1" x14ac:dyDescent="0.2">
      <c r="C778" s="9"/>
      <c r="D778" s="9"/>
      <c r="E778" s="9"/>
      <c r="F778" s="165"/>
      <c r="H778" s="166"/>
    </row>
    <row r="779" spans="3:8" ht="15.75" customHeight="1" x14ac:dyDescent="0.2">
      <c r="C779" s="9"/>
      <c r="D779" s="9"/>
      <c r="E779" s="9"/>
      <c r="F779" s="165"/>
      <c r="H779" s="166"/>
    </row>
    <row r="780" spans="3:8" ht="15.75" customHeight="1" x14ac:dyDescent="0.2">
      <c r="C780" s="9"/>
      <c r="D780" s="9"/>
      <c r="E780" s="9"/>
      <c r="F780" s="165"/>
      <c r="H780" s="166"/>
    </row>
    <row r="781" spans="3:8" ht="15.75" customHeight="1" x14ac:dyDescent="0.2">
      <c r="C781" s="9"/>
      <c r="D781" s="9"/>
      <c r="E781" s="9"/>
      <c r="F781" s="165"/>
      <c r="H781" s="166"/>
    </row>
    <row r="782" spans="3:8" ht="15.75" customHeight="1" x14ac:dyDescent="0.2">
      <c r="C782" s="9"/>
      <c r="D782" s="9"/>
      <c r="E782" s="9"/>
      <c r="F782" s="165"/>
      <c r="H782" s="166"/>
    </row>
    <row r="783" spans="3:8" ht="15.75" customHeight="1" x14ac:dyDescent="0.2">
      <c r="C783" s="9"/>
      <c r="D783" s="9"/>
      <c r="E783" s="9"/>
      <c r="F783" s="165"/>
      <c r="H783" s="166"/>
    </row>
    <row r="784" spans="3:8" ht="15.75" customHeight="1" x14ac:dyDescent="0.2">
      <c r="C784" s="9"/>
      <c r="D784" s="9"/>
      <c r="E784" s="9"/>
      <c r="F784" s="165"/>
      <c r="H784" s="166"/>
    </row>
    <row r="785" spans="3:8" ht="15.75" customHeight="1" x14ac:dyDescent="0.2">
      <c r="C785" s="9"/>
      <c r="D785" s="9"/>
      <c r="E785" s="9"/>
      <c r="F785" s="165"/>
      <c r="H785" s="166"/>
    </row>
    <row r="786" spans="3:8" ht="15.75" customHeight="1" x14ac:dyDescent="0.2">
      <c r="C786" s="9"/>
      <c r="D786" s="9"/>
      <c r="E786" s="9"/>
      <c r="F786" s="165"/>
      <c r="H786" s="166"/>
    </row>
    <row r="787" spans="3:8" ht="15.75" customHeight="1" x14ac:dyDescent="0.2">
      <c r="C787" s="9"/>
      <c r="D787" s="9"/>
      <c r="E787" s="9"/>
      <c r="F787" s="165"/>
      <c r="H787" s="166"/>
    </row>
    <row r="788" spans="3:8" ht="15.75" customHeight="1" x14ac:dyDescent="0.2">
      <c r="C788" s="9"/>
      <c r="D788" s="9"/>
      <c r="E788" s="9"/>
      <c r="F788" s="165"/>
      <c r="H788" s="166"/>
    </row>
    <row r="789" spans="3:8" ht="15.75" customHeight="1" x14ac:dyDescent="0.2">
      <c r="C789" s="9"/>
      <c r="D789" s="9"/>
      <c r="E789" s="9"/>
      <c r="F789" s="165"/>
      <c r="H789" s="166"/>
    </row>
    <row r="790" spans="3:8" ht="15.75" customHeight="1" x14ac:dyDescent="0.2">
      <c r="C790" s="9"/>
      <c r="D790" s="9"/>
      <c r="E790" s="9"/>
      <c r="F790" s="165"/>
      <c r="H790" s="166"/>
    </row>
    <row r="791" spans="3:8" ht="15.75" customHeight="1" x14ac:dyDescent="0.2">
      <c r="C791" s="9"/>
      <c r="D791" s="9"/>
      <c r="E791" s="9"/>
      <c r="F791" s="165"/>
      <c r="H791" s="166"/>
    </row>
    <row r="792" spans="3:8" ht="15.75" customHeight="1" x14ac:dyDescent="0.2">
      <c r="C792" s="9"/>
      <c r="D792" s="9"/>
      <c r="E792" s="9"/>
      <c r="F792" s="165"/>
      <c r="H792" s="166"/>
    </row>
    <row r="793" spans="3:8" ht="15.75" customHeight="1" x14ac:dyDescent="0.2">
      <c r="C793" s="9"/>
      <c r="D793" s="9"/>
      <c r="E793" s="9"/>
      <c r="F793" s="165"/>
      <c r="H793" s="166"/>
    </row>
    <row r="794" spans="3:8" ht="15.75" customHeight="1" x14ac:dyDescent="0.2">
      <c r="C794" s="9"/>
      <c r="D794" s="9"/>
      <c r="E794" s="9"/>
      <c r="F794" s="165"/>
      <c r="H794" s="166"/>
    </row>
    <row r="795" spans="3:8" ht="15.75" customHeight="1" x14ac:dyDescent="0.2">
      <c r="C795" s="9"/>
      <c r="D795" s="9"/>
      <c r="E795" s="9"/>
      <c r="F795" s="165"/>
      <c r="H795" s="166"/>
    </row>
    <row r="796" spans="3:8" ht="15.75" customHeight="1" x14ac:dyDescent="0.2">
      <c r="C796" s="9"/>
      <c r="D796" s="9"/>
      <c r="E796" s="9"/>
      <c r="F796" s="165"/>
      <c r="H796" s="166"/>
    </row>
    <row r="797" spans="3:8" ht="15.75" customHeight="1" x14ac:dyDescent="0.2">
      <c r="C797" s="9"/>
      <c r="D797" s="9"/>
      <c r="E797" s="9"/>
      <c r="F797" s="165"/>
      <c r="H797" s="166"/>
    </row>
    <row r="798" spans="3:8" ht="15.75" customHeight="1" x14ac:dyDescent="0.2">
      <c r="C798" s="9"/>
      <c r="D798" s="9"/>
      <c r="E798" s="9"/>
      <c r="F798" s="165"/>
      <c r="H798" s="166"/>
    </row>
    <row r="799" spans="3:8" ht="15.75" customHeight="1" x14ac:dyDescent="0.2">
      <c r="C799" s="9"/>
      <c r="D799" s="9"/>
      <c r="E799" s="9"/>
      <c r="F799" s="165"/>
      <c r="H799" s="166"/>
    </row>
    <row r="800" spans="3:8" ht="15.75" customHeight="1" x14ac:dyDescent="0.2">
      <c r="C800" s="9"/>
      <c r="D800" s="9"/>
      <c r="E800" s="9"/>
      <c r="F800" s="165"/>
      <c r="H800" s="166"/>
    </row>
    <row r="801" spans="3:8" ht="15.75" customHeight="1" x14ac:dyDescent="0.2">
      <c r="C801" s="9"/>
      <c r="D801" s="9"/>
      <c r="E801" s="9"/>
      <c r="F801" s="165"/>
      <c r="H801" s="166"/>
    </row>
    <row r="802" spans="3:8" ht="15.75" customHeight="1" x14ac:dyDescent="0.2">
      <c r="C802" s="9"/>
      <c r="D802" s="9"/>
      <c r="E802" s="9"/>
      <c r="F802" s="165"/>
      <c r="H802" s="166"/>
    </row>
    <row r="803" spans="3:8" ht="15.75" customHeight="1" x14ac:dyDescent="0.2">
      <c r="C803" s="9"/>
      <c r="D803" s="9"/>
      <c r="E803" s="9"/>
      <c r="F803" s="165"/>
      <c r="H803" s="166"/>
    </row>
    <row r="804" spans="3:8" ht="15.75" customHeight="1" x14ac:dyDescent="0.2">
      <c r="C804" s="9"/>
      <c r="D804" s="9"/>
      <c r="E804" s="9"/>
      <c r="F804" s="165"/>
      <c r="H804" s="166"/>
    </row>
    <row r="805" spans="3:8" ht="15.75" customHeight="1" x14ac:dyDescent="0.2">
      <c r="C805" s="9"/>
      <c r="D805" s="9"/>
      <c r="E805" s="9"/>
      <c r="F805" s="165"/>
      <c r="H805" s="166"/>
    </row>
    <row r="806" spans="3:8" ht="15.75" customHeight="1" x14ac:dyDescent="0.2">
      <c r="C806" s="9"/>
      <c r="D806" s="9"/>
      <c r="E806" s="9"/>
      <c r="F806" s="165"/>
      <c r="H806" s="166"/>
    </row>
    <row r="807" spans="3:8" ht="15.75" customHeight="1" x14ac:dyDescent="0.2">
      <c r="C807" s="9"/>
      <c r="D807" s="9"/>
      <c r="E807" s="9"/>
      <c r="F807" s="165"/>
      <c r="H807" s="166"/>
    </row>
    <row r="808" spans="3:8" ht="15.75" customHeight="1" x14ac:dyDescent="0.2">
      <c r="C808" s="9"/>
      <c r="D808" s="9"/>
      <c r="E808" s="9"/>
      <c r="F808" s="165"/>
      <c r="H808" s="166"/>
    </row>
    <row r="809" spans="3:8" ht="15.75" customHeight="1" x14ac:dyDescent="0.2">
      <c r="C809" s="9"/>
      <c r="D809" s="9"/>
      <c r="E809" s="9"/>
      <c r="F809" s="165"/>
      <c r="H809" s="166"/>
    </row>
    <row r="810" spans="3:8" ht="15.75" customHeight="1" x14ac:dyDescent="0.2">
      <c r="C810" s="9"/>
      <c r="D810" s="9"/>
      <c r="E810" s="9"/>
      <c r="F810" s="165"/>
      <c r="H810" s="166"/>
    </row>
    <row r="811" spans="3:8" ht="15.75" customHeight="1" x14ac:dyDescent="0.2">
      <c r="C811" s="9"/>
      <c r="D811" s="9"/>
      <c r="E811" s="9"/>
      <c r="F811" s="165"/>
      <c r="H811" s="166"/>
    </row>
    <row r="812" spans="3:8" ht="15.75" customHeight="1" x14ac:dyDescent="0.2">
      <c r="C812" s="9"/>
      <c r="D812" s="9"/>
      <c r="E812" s="9"/>
      <c r="F812" s="165"/>
      <c r="H812" s="166"/>
    </row>
    <row r="813" spans="3:8" ht="15.75" customHeight="1" x14ac:dyDescent="0.2">
      <c r="C813" s="9"/>
      <c r="D813" s="9"/>
      <c r="E813" s="9"/>
      <c r="F813" s="165"/>
      <c r="H813" s="166"/>
    </row>
    <row r="814" spans="3:8" ht="15.75" customHeight="1" x14ac:dyDescent="0.2">
      <c r="C814" s="9"/>
      <c r="D814" s="9"/>
      <c r="E814" s="9"/>
      <c r="F814" s="165"/>
      <c r="H814" s="166"/>
    </row>
    <row r="815" spans="3:8" ht="15.75" customHeight="1" x14ac:dyDescent="0.2">
      <c r="C815" s="9"/>
      <c r="D815" s="9"/>
      <c r="E815" s="9"/>
      <c r="F815" s="165"/>
      <c r="H815" s="166"/>
    </row>
    <row r="816" spans="3:8" ht="15.75" customHeight="1" x14ac:dyDescent="0.2">
      <c r="C816" s="9"/>
      <c r="D816" s="9"/>
      <c r="E816" s="9"/>
      <c r="F816" s="165"/>
      <c r="H816" s="166"/>
    </row>
    <row r="817" spans="3:8" ht="15.75" customHeight="1" x14ac:dyDescent="0.2">
      <c r="C817" s="9"/>
      <c r="D817" s="9"/>
      <c r="E817" s="9"/>
      <c r="F817" s="165"/>
      <c r="H817" s="166"/>
    </row>
    <row r="818" spans="3:8" ht="15.75" customHeight="1" x14ac:dyDescent="0.2">
      <c r="C818" s="9"/>
      <c r="D818" s="9"/>
      <c r="E818" s="9"/>
      <c r="F818" s="165"/>
      <c r="H818" s="166"/>
    </row>
    <row r="819" spans="3:8" ht="15.75" customHeight="1" x14ac:dyDescent="0.2">
      <c r="C819" s="9"/>
      <c r="D819" s="9"/>
      <c r="E819" s="9"/>
      <c r="F819" s="165"/>
      <c r="H819" s="166"/>
    </row>
    <row r="820" spans="3:8" ht="15.75" customHeight="1" x14ac:dyDescent="0.2">
      <c r="C820" s="9"/>
      <c r="D820" s="9"/>
      <c r="E820" s="9"/>
      <c r="F820" s="165"/>
      <c r="H820" s="166"/>
    </row>
    <row r="821" spans="3:8" ht="15.75" customHeight="1" x14ac:dyDescent="0.2">
      <c r="C821" s="9"/>
      <c r="D821" s="9"/>
      <c r="E821" s="9"/>
      <c r="F821" s="165"/>
      <c r="H821" s="166"/>
    </row>
    <row r="822" spans="3:8" ht="15.75" customHeight="1" x14ac:dyDescent="0.2">
      <c r="C822" s="9"/>
      <c r="D822" s="9"/>
      <c r="E822" s="9"/>
      <c r="F822" s="165"/>
      <c r="H822" s="166"/>
    </row>
    <row r="823" spans="3:8" ht="15.75" customHeight="1" x14ac:dyDescent="0.2">
      <c r="C823" s="9"/>
      <c r="D823" s="9"/>
      <c r="E823" s="9"/>
      <c r="F823" s="165"/>
      <c r="H823" s="166"/>
    </row>
    <row r="824" spans="3:8" ht="15.75" customHeight="1" x14ac:dyDescent="0.2">
      <c r="C824" s="9"/>
      <c r="D824" s="9"/>
      <c r="E824" s="9"/>
      <c r="F824" s="165"/>
      <c r="H824" s="166"/>
    </row>
    <row r="825" spans="3:8" ht="15.75" customHeight="1" x14ac:dyDescent="0.2">
      <c r="C825" s="9"/>
      <c r="D825" s="9"/>
      <c r="E825" s="9"/>
      <c r="F825" s="165"/>
      <c r="H825" s="166"/>
    </row>
    <row r="826" spans="3:8" ht="15.75" customHeight="1" x14ac:dyDescent="0.2">
      <c r="C826" s="9"/>
      <c r="D826" s="9"/>
      <c r="E826" s="9"/>
      <c r="F826" s="165"/>
      <c r="H826" s="166"/>
    </row>
    <row r="827" spans="3:8" ht="15.75" customHeight="1" x14ac:dyDescent="0.2">
      <c r="C827" s="9"/>
      <c r="D827" s="9"/>
      <c r="E827" s="9"/>
      <c r="F827" s="165"/>
      <c r="H827" s="166"/>
    </row>
    <row r="828" spans="3:8" ht="15.75" customHeight="1" x14ac:dyDescent="0.2">
      <c r="C828" s="9"/>
      <c r="D828" s="9"/>
      <c r="E828" s="9"/>
      <c r="F828" s="165"/>
      <c r="H828" s="166"/>
    </row>
    <row r="829" spans="3:8" ht="15.75" customHeight="1" x14ac:dyDescent="0.2">
      <c r="C829" s="9"/>
      <c r="D829" s="9"/>
      <c r="E829" s="9"/>
      <c r="F829" s="165"/>
      <c r="H829" s="166"/>
    </row>
    <row r="830" spans="3:8" ht="15.75" customHeight="1" x14ac:dyDescent="0.2">
      <c r="C830" s="9"/>
      <c r="D830" s="9"/>
      <c r="E830" s="9"/>
      <c r="F830" s="165"/>
      <c r="H830" s="166"/>
    </row>
    <row r="831" spans="3:8" ht="15.75" customHeight="1" x14ac:dyDescent="0.2">
      <c r="C831" s="9"/>
      <c r="D831" s="9"/>
      <c r="E831" s="9"/>
      <c r="F831" s="165"/>
      <c r="H831" s="166"/>
    </row>
    <row r="832" spans="3:8" ht="15.75" customHeight="1" x14ac:dyDescent="0.2">
      <c r="C832" s="9"/>
      <c r="D832" s="9"/>
      <c r="E832" s="9"/>
      <c r="F832" s="165"/>
      <c r="H832" s="166"/>
    </row>
    <row r="833" spans="3:8" ht="15.75" customHeight="1" x14ac:dyDescent="0.2">
      <c r="C833" s="9"/>
      <c r="D833" s="9"/>
      <c r="E833" s="9"/>
      <c r="F833" s="165"/>
      <c r="H833" s="166"/>
    </row>
    <row r="834" spans="3:8" ht="15.75" customHeight="1" x14ac:dyDescent="0.2">
      <c r="C834" s="9"/>
      <c r="D834" s="9"/>
      <c r="E834" s="9"/>
      <c r="F834" s="165"/>
      <c r="H834" s="166"/>
    </row>
    <row r="835" spans="3:8" ht="15.75" customHeight="1" x14ac:dyDescent="0.2">
      <c r="C835" s="9"/>
      <c r="D835" s="9"/>
      <c r="E835" s="9"/>
      <c r="F835" s="165"/>
      <c r="H835" s="166"/>
    </row>
    <row r="836" spans="3:8" ht="15.75" customHeight="1" x14ac:dyDescent="0.2">
      <c r="C836" s="9"/>
      <c r="D836" s="9"/>
      <c r="E836" s="9"/>
      <c r="F836" s="165"/>
      <c r="H836" s="166"/>
    </row>
    <row r="837" spans="3:8" ht="15.75" customHeight="1" x14ac:dyDescent="0.2">
      <c r="C837" s="9"/>
      <c r="D837" s="9"/>
      <c r="E837" s="9"/>
      <c r="F837" s="165"/>
      <c r="H837" s="166"/>
    </row>
    <row r="838" spans="3:8" ht="15.75" customHeight="1" x14ac:dyDescent="0.2">
      <c r="C838" s="9"/>
      <c r="D838" s="9"/>
      <c r="E838" s="9"/>
      <c r="F838" s="165"/>
      <c r="H838" s="166"/>
    </row>
    <row r="839" spans="3:8" ht="15.75" customHeight="1" x14ac:dyDescent="0.2">
      <c r="C839" s="9"/>
      <c r="D839" s="9"/>
      <c r="E839" s="9"/>
      <c r="F839" s="165"/>
      <c r="H839" s="166"/>
    </row>
    <row r="840" spans="3:8" ht="15.75" customHeight="1" x14ac:dyDescent="0.2">
      <c r="C840" s="9"/>
      <c r="D840" s="9"/>
      <c r="E840" s="9"/>
      <c r="F840" s="165"/>
      <c r="H840" s="166"/>
    </row>
    <row r="841" spans="3:8" ht="15.75" customHeight="1" x14ac:dyDescent="0.2">
      <c r="C841" s="9"/>
      <c r="D841" s="9"/>
      <c r="E841" s="9"/>
      <c r="F841" s="165"/>
      <c r="H841" s="166"/>
    </row>
    <row r="842" spans="3:8" ht="15.75" customHeight="1" x14ac:dyDescent="0.2">
      <c r="C842" s="9"/>
      <c r="D842" s="9"/>
      <c r="E842" s="9"/>
      <c r="F842" s="165"/>
      <c r="H842" s="166"/>
    </row>
    <row r="843" spans="3:8" ht="15.75" customHeight="1" x14ac:dyDescent="0.2">
      <c r="C843" s="9"/>
      <c r="D843" s="9"/>
      <c r="E843" s="9"/>
      <c r="F843" s="165"/>
      <c r="H843" s="166"/>
    </row>
    <row r="844" spans="3:8" ht="15.75" customHeight="1" x14ac:dyDescent="0.2">
      <c r="C844" s="9"/>
      <c r="D844" s="9"/>
      <c r="E844" s="9"/>
      <c r="F844" s="165"/>
      <c r="H844" s="166"/>
    </row>
    <row r="845" spans="3:8" ht="15.75" customHeight="1" x14ac:dyDescent="0.2">
      <c r="C845" s="9"/>
      <c r="D845" s="9"/>
      <c r="E845" s="9"/>
      <c r="F845" s="165"/>
      <c r="H845" s="166"/>
    </row>
    <row r="846" spans="3:8" ht="15.75" customHeight="1" x14ac:dyDescent="0.2">
      <c r="C846" s="9"/>
      <c r="D846" s="9"/>
      <c r="E846" s="9"/>
      <c r="F846" s="165"/>
      <c r="H846" s="166"/>
    </row>
    <row r="847" spans="3:8" ht="15.75" customHeight="1" x14ac:dyDescent="0.2">
      <c r="C847" s="9"/>
      <c r="D847" s="9"/>
      <c r="E847" s="9"/>
      <c r="F847" s="165"/>
      <c r="H847" s="166"/>
    </row>
    <row r="848" spans="3:8" ht="15.75" customHeight="1" x14ac:dyDescent="0.2">
      <c r="C848" s="9"/>
      <c r="D848" s="9"/>
      <c r="E848" s="9"/>
      <c r="F848" s="165"/>
      <c r="H848" s="166"/>
    </row>
    <row r="849" spans="3:8" ht="15.75" customHeight="1" x14ac:dyDescent="0.2">
      <c r="C849" s="9"/>
      <c r="D849" s="9"/>
      <c r="E849" s="9"/>
      <c r="F849" s="165"/>
      <c r="H849" s="166"/>
    </row>
    <row r="850" spans="3:8" ht="15.75" customHeight="1" x14ac:dyDescent="0.2">
      <c r="C850" s="9"/>
      <c r="D850" s="9"/>
      <c r="E850" s="9"/>
      <c r="F850" s="165"/>
      <c r="H850" s="166"/>
    </row>
    <row r="851" spans="3:8" ht="15.75" customHeight="1" x14ac:dyDescent="0.2">
      <c r="C851" s="9"/>
      <c r="D851" s="9"/>
      <c r="E851" s="9"/>
      <c r="F851" s="165"/>
      <c r="H851" s="166"/>
    </row>
    <row r="852" spans="3:8" ht="15.75" customHeight="1" x14ac:dyDescent="0.2">
      <c r="C852" s="9"/>
      <c r="D852" s="9"/>
      <c r="E852" s="9"/>
      <c r="F852" s="165"/>
      <c r="H852" s="166"/>
    </row>
    <row r="853" spans="3:8" ht="15.75" customHeight="1" x14ac:dyDescent="0.2">
      <c r="C853" s="9"/>
      <c r="D853" s="9"/>
      <c r="E853" s="9"/>
      <c r="F853" s="165"/>
      <c r="H853" s="166"/>
    </row>
    <row r="854" spans="3:8" ht="15.75" customHeight="1" x14ac:dyDescent="0.2">
      <c r="C854" s="9"/>
      <c r="D854" s="9"/>
      <c r="E854" s="9"/>
      <c r="F854" s="165"/>
      <c r="H854" s="166"/>
    </row>
    <row r="855" spans="3:8" ht="15.75" customHeight="1" x14ac:dyDescent="0.2">
      <c r="C855" s="9"/>
      <c r="D855" s="9"/>
      <c r="E855" s="9"/>
      <c r="F855" s="165"/>
      <c r="H855" s="166"/>
    </row>
    <row r="856" spans="3:8" ht="15.75" customHeight="1" x14ac:dyDescent="0.2">
      <c r="C856" s="9"/>
      <c r="D856" s="9"/>
      <c r="E856" s="9"/>
      <c r="F856" s="165"/>
      <c r="H856" s="166"/>
    </row>
    <row r="857" spans="3:8" ht="15.75" customHeight="1" x14ac:dyDescent="0.2">
      <c r="C857" s="9"/>
      <c r="D857" s="9"/>
      <c r="E857" s="9"/>
      <c r="F857" s="165"/>
      <c r="H857" s="166"/>
    </row>
    <row r="858" spans="3:8" ht="15.75" customHeight="1" x14ac:dyDescent="0.2">
      <c r="C858" s="9"/>
      <c r="D858" s="9"/>
      <c r="E858" s="9"/>
      <c r="F858" s="165"/>
      <c r="H858" s="166"/>
    </row>
    <row r="859" spans="3:8" ht="15.75" customHeight="1" x14ac:dyDescent="0.2">
      <c r="C859" s="9"/>
      <c r="D859" s="9"/>
      <c r="E859" s="9"/>
      <c r="F859" s="165"/>
      <c r="H859" s="166"/>
    </row>
    <row r="860" spans="3:8" ht="15.75" customHeight="1" x14ac:dyDescent="0.2">
      <c r="C860" s="9"/>
      <c r="D860" s="9"/>
      <c r="E860" s="9"/>
      <c r="F860" s="165"/>
      <c r="H860" s="166"/>
    </row>
    <row r="861" spans="3:8" ht="15.75" customHeight="1" x14ac:dyDescent="0.2">
      <c r="C861" s="9"/>
      <c r="D861" s="9"/>
      <c r="E861" s="9"/>
      <c r="F861" s="165"/>
      <c r="H861" s="166"/>
    </row>
    <row r="862" spans="3:8" ht="15.75" customHeight="1" x14ac:dyDescent="0.2">
      <c r="C862" s="9"/>
      <c r="D862" s="9"/>
      <c r="E862" s="9"/>
      <c r="F862" s="165"/>
      <c r="H862" s="166"/>
    </row>
    <row r="863" spans="3:8" ht="15.75" customHeight="1" x14ac:dyDescent="0.2">
      <c r="C863" s="9"/>
      <c r="D863" s="9"/>
      <c r="E863" s="9"/>
      <c r="F863" s="165"/>
      <c r="H863" s="166"/>
    </row>
    <row r="864" spans="3:8" ht="15.75" customHeight="1" x14ac:dyDescent="0.2">
      <c r="C864" s="9"/>
      <c r="D864" s="9"/>
      <c r="E864" s="9"/>
      <c r="F864" s="165"/>
      <c r="H864" s="166"/>
    </row>
    <row r="865" spans="3:8" ht="15.75" customHeight="1" x14ac:dyDescent="0.2">
      <c r="C865" s="9"/>
      <c r="D865" s="9"/>
      <c r="E865" s="9"/>
      <c r="F865" s="165"/>
      <c r="H865" s="166"/>
    </row>
    <row r="866" spans="3:8" ht="15.75" customHeight="1" x14ac:dyDescent="0.2">
      <c r="C866" s="9"/>
      <c r="D866" s="9"/>
      <c r="E866" s="9"/>
      <c r="F866" s="165"/>
      <c r="H866" s="166"/>
    </row>
    <row r="867" spans="3:8" ht="15.75" customHeight="1" x14ac:dyDescent="0.2">
      <c r="C867" s="9"/>
      <c r="D867" s="9"/>
      <c r="E867" s="9"/>
      <c r="F867" s="165"/>
      <c r="H867" s="166"/>
    </row>
    <row r="868" spans="3:8" ht="15.75" customHeight="1" x14ac:dyDescent="0.2">
      <c r="C868" s="9"/>
      <c r="D868" s="9"/>
      <c r="E868" s="9"/>
      <c r="F868" s="165"/>
      <c r="H868" s="166"/>
    </row>
    <row r="869" spans="3:8" ht="15.75" customHeight="1" x14ac:dyDescent="0.2">
      <c r="C869" s="9"/>
      <c r="D869" s="9"/>
      <c r="E869" s="9"/>
      <c r="F869" s="165"/>
      <c r="H869" s="166"/>
    </row>
    <row r="870" spans="3:8" ht="15.75" customHeight="1" x14ac:dyDescent="0.2">
      <c r="C870" s="9"/>
      <c r="D870" s="9"/>
      <c r="E870" s="9"/>
      <c r="F870" s="165"/>
      <c r="H870" s="166"/>
    </row>
    <row r="871" spans="3:8" ht="15.75" customHeight="1" x14ac:dyDescent="0.2">
      <c r="C871" s="9"/>
      <c r="D871" s="9"/>
      <c r="E871" s="9"/>
      <c r="F871" s="165"/>
      <c r="H871" s="166"/>
    </row>
    <row r="872" spans="3:8" ht="15.75" customHeight="1" x14ac:dyDescent="0.2">
      <c r="C872" s="9"/>
      <c r="D872" s="9"/>
      <c r="E872" s="9"/>
      <c r="F872" s="165"/>
      <c r="H872" s="166"/>
    </row>
    <row r="873" spans="3:8" ht="15.75" customHeight="1" x14ac:dyDescent="0.2">
      <c r="C873" s="9"/>
      <c r="D873" s="9"/>
      <c r="E873" s="9"/>
      <c r="F873" s="165"/>
      <c r="H873" s="166"/>
    </row>
    <row r="874" spans="3:8" ht="15.75" customHeight="1" x14ac:dyDescent="0.2">
      <c r="C874" s="9"/>
      <c r="D874" s="9"/>
      <c r="E874" s="9"/>
      <c r="F874" s="165"/>
      <c r="H874" s="166"/>
    </row>
    <row r="875" spans="3:8" ht="15.75" customHeight="1" x14ac:dyDescent="0.2">
      <c r="C875" s="9"/>
      <c r="D875" s="9"/>
      <c r="E875" s="9"/>
      <c r="F875" s="165"/>
      <c r="H875" s="166"/>
    </row>
    <row r="876" spans="3:8" ht="15.75" customHeight="1" x14ac:dyDescent="0.2">
      <c r="C876" s="9"/>
      <c r="D876" s="9"/>
      <c r="E876" s="9"/>
      <c r="F876" s="165"/>
      <c r="H876" s="166"/>
    </row>
    <row r="877" spans="3:8" ht="15.75" customHeight="1" x14ac:dyDescent="0.2">
      <c r="C877" s="9"/>
      <c r="D877" s="9"/>
      <c r="E877" s="9"/>
      <c r="F877" s="165"/>
      <c r="H877" s="166"/>
    </row>
    <row r="878" spans="3:8" ht="15.75" customHeight="1" x14ac:dyDescent="0.2">
      <c r="C878" s="9"/>
      <c r="D878" s="9"/>
      <c r="E878" s="9"/>
      <c r="F878" s="165"/>
      <c r="H878" s="166"/>
    </row>
    <row r="879" spans="3:8" ht="15.75" customHeight="1" x14ac:dyDescent="0.2">
      <c r="C879" s="9"/>
      <c r="D879" s="9"/>
      <c r="E879" s="9"/>
      <c r="F879" s="165"/>
      <c r="H879" s="166"/>
    </row>
    <row r="880" spans="3:8" ht="15.75" customHeight="1" x14ac:dyDescent="0.2">
      <c r="C880" s="9"/>
      <c r="D880" s="9"/>
      <c r="E880" s="9"/>
      <c r="F880" s="165"/>
      <c r="H880" s="166"/>
    </row>
    <row r="881" spans="3:8" ht="15.75" customHeight="1" x14ac:dyDescent="0.2">
      <c r="C881" s="9"/>
      <c r="D881" s="9"/>
      <c r="E881" s="9"/>
      <c r="F881" s="165"/>
      <c r="H881" s="166"/>
    </row>
    <row r="882" spans="3:8" ht="15.75" customHeight="1" x14ac:dyDescent="0.2">
      <c r="C882" s="9"/>
      <c r="D882" s="9"/>
      <c r="E882" s="9"/>
      <c r="F882" s="165"/>
      <c r="H882" s="166"/>
    </row>
    <row r="883" spans="3:8" ht="15.75" customHeight="1" x14ac:dyDescent="0.2">
      <c r="C883" s="9"/>
      <c r="D883" s="9"/>
      <c r="E883" s="9"/>
      <c r="F883" s="165"/>
      <c r="H883" s="166"/>
    </row>
    <row r="884" spans="3:8" ht="15.75" customHeight="1" x14ac:dyDescent="0.2">
      <c r="C884" s="9"/>
      <c r="D884" s="9"/>
      <c r="E884" s="9"/>
      <c r="F884" s="165"/>
      <c r="H884" s="166"/>
    </row>
    <row r="885" spans="3:8" ht="15.75" customHeight="1" x14ac:dyDescent="0.2">
      <c r="C885" s="9"/>
      <c r="D885" s="9"/>
      <c r="E885" s="9"/>
      <c r="F885" s="165"/>
      <c r="H885" s="166"/>
    </row>
    <row r="886" spans="3:8" ht="15.75" customHeight="1" x14ac:dyDescent="0.2">
      <c r="C886" s="9"/>
      <c r="D886" s="9"/>
      <c r="E886" s="9"/>
      <c r="F886" s="165"/>
      <c r="H886" s="166"/>
    </row>
    <row r="887" spans="3:8" ht="15.75" customHeight="1" x14ac:dyDescent="0.2">
      <c r="C887" s="9"/>
      <c r="D887" s="9"/>
      <c r="E887" s="9"/>
      <c r="F887" s="165"/>
      <c r="H887" s="166"/>
    </row>
    <row r="888" spans="3:8" ht="15.75" customHeight="1" x14ac:dyDescent="0.2">
      <c r="C888" s="9"/>
      <c r="D888" s="9"/>
      <c r="E888" s="9"/>
      <c r="F888" s="165"/>
      <c r="H888" s="166"/>
    </row>
    <row r="889" spans="3:8" ht="15.75" customHeight="1" x14ac:dyDescent="0.2">
      <c r="C889" s="9"/>
      <c r="D889" s="9"/>
      <c r="E889" s="9"/>
      <c r="F889" s="165"/>
      <c r="H889" s="166"/>
    </row>
    <row r="890" spans="3:8" ht="15.75" customHeight="1" x14ac:dyDescent="0.2">
      <c r="C890" s="9"/>
      <c r="D890" s="9"/>
      <c r="E890" s="9"/>
      <c r="F890" s="165"/>
      <c r="H890" s="166"/>
    </row>
    <row r="891" spans="3:8" ht="15.75" customHeight="1" x14ac:dyDescent="0.2">
      <c r="C891" s="9"/>
      <c r="D891" s="9"/>
      <c r="E891" s="9"/>
      <c r="F891" s="165"/>
      <c r="H891" s="166"/>
    </row>
    <row r="892" spans="3:8" ht="15.75" customHeight="1" x14ac:dyDescent="0.2">
      <c r="C892" s="9"/>
      <c r="D892" s="9"/>
      <c r="E892" s="9"/>
      <c r="F892" s="165"/>
      <c r="H892" s="166"/>
    </row>
    <row r="893" spans="3:8" ht="15.75" customHeight="1" x14ac:dyDescent="0.2">
      <c r="C893" s="9"/>
      <c r="D893" s="9"/>
      <c r="E893" s="9"/>
      <c r="F893" s="165"/>
      <c r="H893" s="166"/>
    </row>
    <row r="894" spans="3:8" ht="15.75" customHeight="1" x14ac:dyDescent="0.2">
      <c r="C894" s="9"/>
      <c r="D894" s="9"/>
      <c r="E894" s="9"/>
      <c r="F894" s="165"/>
      <c r="H894" s="166"/>
    </row>
    <row r="895" spans="3:8" ht="15.75" customHeight="1" x14ac:dyDescent="0.2">
      <c r="C895" s="9"/>
      <c r="D895" s="9"/>
      <c r="E895" s="9"/>
      <c r="F895" s="165"/>
      <c r="H895" s="166"/>
    </row>
    <row r="896" spans="3:8" ht="15.75" customHeight="1" x14ac:dyDescent="0.2">
      <c r="C896" s="9"/>
      <c r="D896" s="9"/>
      <c r="E896" s="9"/>
      <c r="F896" s="165"/>
      <c r="H896" s="166"/>
    </row>
    <row r="897" spans="3:8" ht="15.75" customHeight="1" x14ac:dyDescent="0.2">
      <c r="C897" s="9"/>
      <c r="D897" s="9"/>
      <c r="E897" s="9"/>
      <c r="F897" s="165"/>
      <c r="H897" s="166"/>
    </row>
    <row r="898" spans="3:8" ht="15.75" customHeight="1" x14ac:dyDescent="0.2">
      <c r="C898" s="9"/>
      <c r="D898" s="9"/>
      <c r="E898" s="9"/>
      <c r="F898" s="165"/>
      <c r="H898" s="166"/>
    </row>
    <row r="899" spans="3:8" ht="15.75" customHeight="1" x14ac:dyDescent="0.2">
      <c r="C899" s="9"/>
      <c r="D899" s="9"/>
      <c r="E899" s="9"/>
      <c r="F899" s="165"/>
      <c r="H899" s="166"/>
    </row>
    <row r="900" spans="3:8" ht="15.75" customHeight="1" x14ac:dyDescent="0.2">
      <c r="C900" s="9"/>
      <c r="D900" s="9"/>
      <c r="E900" s="9"/>
      <c r="F900" s="165"/>
      <c r="H900" s="166"/>
    </row>
    <row r="901" spans="3:8" ht="15.75" customHeight="1" x14ac:dyDescent="0.2">
      <c r="C901" s="9"/>
      <c r="D901" s="9"/>
      <c r="E901" s="9"/>
      <c r="F901" s="165"/>
      <c r="H901" s="166"/>
    </row>
    <row r="902" spans="3:8" ht="15.75" customHeight="1" x14ac:dyDescent="0.2">
      <c r="C902" s="9"/>
      <c r="D902" s="9"/>
      <c r="E902" s="9"/>
      <c r="F902" s="165"/>
      <c r="H902" s="166"/>
    </row>
    <row r="903" spans="3:8" ht="15.75" customHeight="1" x14ac:dyDescent="0.2">
      <c r="C903" s="9"/>
      <c r="D903" s="9"/>
      <c r="E903" s="9"/>
      <c r="F903" s="165"/>
      <c r="H903" s="166"/>
    </row>
    <row r="904" spans="3:8" ht="15.75" customHeight="1" x14ac:dyDescent="0.2">
      <c r="C904" s="9"/>
      <c r="D904" s="9"/>
      <c r="E904" s="9"/>
      <c r="F904" s="165"/>
      <c r="H904" s="166"/>
    </row>
    <row r="905" spans="3:8" ht="15.75" customHeight="1" x14ac:dyDescent="0.2">
      <c r="C905" s="9"/>
      <c r="D905" s="9"/>
      <c r="E905" s="9"/>
      <c r="F905" s="165"/>
      <c r="H905" s="166"/>
    </row>
    <row r="906" spans="3:8" ht="15.75" customHeight="1" x14ac:dyDescent="0.2">
      <c r="C906" s="9"/>
      <c r="D906" s="9"/>
      <c r="E906" s="9"/>
      <c r="F906" s="165"/>
      <c r="H906" s="166"/>
    </row>
    <row r="907" spans="3:8" ht="15.75" customHeight="1" x14ac:dyDescent="0.2">
      <c r="C907" s="9"/>
      <c r="D907" s="9"/>
      <c r="E907" s="9"/>
      <c r="F907" s="165"/>
      <c r="H907" s="166"/>
    </row>
    <row r="908" spans="3:8" ht="15.75" customHeight="1" x14ac:dyDescent="0.2">
      <c r="C908" s="9"/>
      <c r="D908" s="9"/>
      <c r="E908" s="9"/>
      <c r="F908" s="165"/>
      <c r="H908" s="166"/>
    </row>
    <row r="909" spans="3:8" ht="15.75" customHeight="1" x14ac:dyDescent="0.2">
      <c r="C909" s="9"/>
      <c r="D909" s="9"/>
      <c r="E909" s="9"/>
      <c r="F909" s="165"/>
      <c r="H909" s="166"/>
    </row>
    <row r="910" spans="3:8" ht="15.75" customHeight="1" x14ac:dyDescent="0.2">
      <c r="C910" s="9"/>
      <c r="D910" s="9"/>
      <c r="E910" s="9"/>
      <c r="F910" s="165"/>
      <c r="H910" s="166"/>
    </row>
    <row r="911" spans="3:8" ht="15.75" customHeight="1" x14ac:dyDescent="0.2">
      <c r="C911" s="9"/>
      <c r="D911" s="9"/>
      <c r="E911" s="9"/>
      <c r="F911" s="165"/>
      <c r="H911" s="166"/>
    </row>
    <row r="912" spans="3:8" ht="15.75" customHeight="1" x14ac:dyDescent="0.2">
      <c r="C912" s="9"/>
      <c r="D912" s="9"/>
      <c r="E912" s="9"/>
      <c r="F912" s="165"/>
      <c r="H912" s="166"/>
    </row>
    <row r="913" spans="3:8" ht="15.75" customHeight="1" x14ac:dyDescent="0.2">
      <c r="C913" s="9"/>
      <c r="D913" s="9"/>
      <c r="E913" s="9"/>
      <c r="F913" s="165"/>
      <c r="H913" s="166"/>
    </row>
    <row r="914" spans="3:8" ht="15.75" customHeight="1" x14ac:dyDescent="0.2">
      <c r="C914" s="9"/>
      <c r="D914" s="9"/>
      <c r="E914" s="9"/>
      <c r="F914" s="165"/>
      <c r="H914" s="166"/>
    </row>
    <row r="915" spans="3:8" ht="15.75" customHeight="1" x14ac:dyDescent="0.2">
      <c r="C915" s="9"/>
      <c r="D915" s="9"/>
      <c r="E915" s="9"/>
      <c r="F915" s="165"/>
      <c r="H915" s="166"/>
    </row>
    <row r="916" spans="3:8" ht="15.75" customHeight="1" x14ac:dyDescent="0.2">
      <c r="C916" s="9"/>
      <c r="D916" s="9"/>
      <c r="E916" s="9"/>
      <c r="F916" s="165"/>
      <c r="H916" s="166"/>
    </row>
    <row r="917" spans="3:8" ht="15.75" customHeight="1" x14ac:dyDescent="0.2">
      <c r="C917" s="9"/>
      <c r="D917" s="9"/>
      <c r="E917" s="9"/>
      <c r="F917" s="165"/>
      <c r="H917" s="166"/>
    </row>
    <row r="918" spans="3:8" ht="15.75" customHeight="1" x14ac:dyDescent="0.2">
      <c r="C918" s="9"/>
      <c r="D918" s="9"/>
      <c r="E918" s="9"/>
      <c r="F918" s="165"/>
      <c r="H918" s="166"/>
    </row>
    <row r="919" spans="3:8" ht="15.75" customHeight="1" x14ac:dyDescent="0.2">
      <c r="C919" s="9"/>
      <c r="D919" s="9"/>
      <c r="E919" s="9"/>
      <c r="F919" s="165"/>
      <c r="H919" s="166"/>
    </row>
    <row r="920" spans="3:8" ht="15.75" customHeight="1" x14ac:dyDescent="0.2">
      <c r="C920" s="9"/>
      <c r="D920" s="9"/>
      <c r="E920" s="9"/>
      <c r="F920" s="165"/>
      <c r="H920" s="166"/>
    </row>
    <row r="921" spans="3:8" ht="15.75" customHeight="1" x14ac:dyDescent="0.2">
      <c r="C921" s="9"/>
      <c r="D921" s="9"/>
      <c r="E921" s="9"/>
      <c r="F921" s="165"/>
      <c r="H921" s="166"/>
    </row>
    <row r="922" spans="3:8" ht="15.75" customHeight="1" x14ac:dyDescent="0.2">
      <c r="C922" s="9"/>
      <c r="D922" s="9"/>
      <c r="E922" s="9"/>
      <c r="F922" s="165"/>
      <c r="H922" s="166"/>
    </row>
    <row r="923" spans="3:8" ht="15.75" customHeight="1" x14ac:dyDescent="0.2">
      <c r="C923" s="9"/>
      <c r="D923" s="9"/>
      <c r="E923" s="9"/>
      <c r="F923" s="165"/>
      <c r="H923" s="166"/>
    </row>
    <row r="924" spans="3:8" ht="15.75" customHeight="1" x14ac:dyDescent="0.2">
      <c r="C924" s="9"/>
      <c r="D924" s="9"/>
      <c r="E924" s="9"/>
      <c r="F924" s="165"/>
      <c r="H924" s="166"/>
    </row>
    <row r="925" spans="3:8" ht="15.75" customHeight="1" x14ac:dyDescent="0.2">
      <c r="C925" s="9"/>
      <c r="D925" s="9"/>
      <c r="E925" s="9"/>
      <c r="F925" s="165"/>
      <c r="H925" s="166"/>
    </row>
    <row r="926" spans="3:8" ht="15.75" customHeight="1" x14ac:dyDescent="0.2">
      <c r="C926" s="9"/>
      <c r="D926" s="9"/>
      <c r="E926" s="9"/>
      <c r="F926" s="165"/>
      <c r="H926" s="166"/>
    </row>
    <row r="927" spans="3:8" ht="15.75" customHeight="1" x14ac:dyDescent="0.2">
      <c r="C927" s="9"/>
      <c r="D927" s="9"/>
      <c r="E927" s="9"/>
      <c r="F927" s="165"/>
      <c r="H927" s="166"/>
    </row>
    <row r="928" spans="3:8" ht="15.75" customHeight="1" x14ac:dyDescent="0.2">
      <c r="C928" s="9"/>
      <c r="D928" s="9"/>
      <c r="E928" s="9"/>
      <c r="F928" s="165"/>
      <c r="H928" s="166"/>
    </row>
    <row r="929" spans="3:8" ht="15.75" customHeight="1" x14ac:dyDescent="0.2">
      <c r="C929" s="9"/>
      <c r="D929" s="9"/>
      <c r="E929" s="9"/>
      <c r="F929" s="165"/>
      <c r="H929" s="166"/>
    </row>
    <row r="930" spans="3:8" ht="15.75" customHeight="1" x14ac:dyDescent="0.2">
      <c r="C930" s="9"/>
      <c r="D930" s="9"/>
      <c r="E930" s="9"/>
      <c r="F930" s="165"/>
      <c r="H930" s="166"/>
    </row>
    <row r="931" spans="3:8" ht="15.75" customHeight="1" x14ac:dyDescent="0.2">
      <c r="C931" s="9"/>
      <c r="D931" s="9"/>
      <c r="E931" s="9"/>
      <c r="F931" s="165"/>
      <c r="H931" s="166"/>
    </row>
    <row r="932" spans="3:8" ht="15.75" customHeight="1" x14ac:dyDescent="0.2">
      <c r="C932" s="9"/>
      <c r="D932" s="9"/>
      <c r="E932" s="9"/>
      <c r="F932" s="165"/>
      <c r="H932" s="166"/>
    </row>
    <row r="933" spans="3:8" ht="15.75" customHeight="1" x14ac:dyDescent="0.2">
      <c r="C933" s="9"/>
      <c r="D933" s="9"/>
      <c r="E933" s="9"/>
      <c r="F933" s="165"/>
      <c r="H933" s="166"/>
    </row>
    <row r="934" spans="3:8" ht="15.75" customHeight="1" x14ac:dyDescent="0.2">
      <c r="C934" s="9"/>
      <c r="D934" s="9"/>
      <c r="E934" s="9"/>
      <c r="F934" s="165"/>
      <c r="H934" s="166"/>
    </row>
    <row r="935" spans="3:8" ht="15.75" customHeight="1" x14ac:dyDescent="0.2">
      <c r="C935" s="9"/>
      <c r="D935" s="9"/>
      <c r="E935" s="9"/>
      <c r="F935" s="165"/>
      <c r="H935" s="166"/>
    </row>
    <row r="936" spans="3:8" ht="15.75" customHeight="1" x14ac:dyDescent="0.2">
      <c r="C936" s="9"/>
      <c r="D936" s="9"/>
      <c r="E936" s="9"/>
      <c r="F936" s="165"/>
      <c r="H936" s="166"/>
    </row>
    <row r="937" spans="3:8" ht="15.75" customHeight="1" x14ac:dyDescent="0.2">
      <c r="C937" s="9"/>
      <c r="D937" s="9"/>
      <c r="E937" s="9"/>
      <c r="F937" s="165"/>
      <c r="H937" s="166"/>
    </row>
    <row r="938" spans="3:8" ht="15.75" customHeight="1" x14ac:dyDescent="0.2">
      <c r="C938" s="9"/>
      <c r="D938" s="9"/>
      <c r="E938" s="9"/>
      <c r="F938" s="165"/>
      <c r="H938" s="166"/>
    </row>
    <row r="939" spans="3:8" ht="15.75" customHeight="1" x14ac:dyDescent="0.2">
      <c r="C939" s="9"/>
      <c r="D939" s="9"/>
      <c r="E939" s="9"/>
      <c r="F939" s="165"/>
      <c r="H939" s="166"/>
    </row>
    <row r="940" spans="3:8" ht="15.75" customHeight="1" x14ac:dyDescent="0.2">
      <c r="C940" s="9"/>
      <c r="D940" s="9"/>
      <c r="E940" s="9"/>
      <c r="F940" s="165"/>
      <c r="H940" s="166"/>
    </row>
    <row r="941" spans="3:8" ht="15.75" customHeight="1" x14ac:dyDescent="0.2">
      <c r="C941" s="9"/>
      <c r="D941" s="9"/>
      <c r="E941" s="9"/>
      <c r="F941" s="165"/>
      <c r="H941" s="166"/>
    </row>
    <row r="942" spans="3:8" ht="15.75" customHeight="1" x14ac:dyDescent="0.2">
      <c r="C942" s="9"/>
      <c r="D942" s="9"/>
      <c r="E942" s="9"/>
      <c r="F942" s="165"/>
      <c r="H942" s="166"/>
    </row>
    <row r="943" spans="3:8" ht="15.75" customHeight="1" x14ac:dyDescent="0.2">
      <c r="C943" s="9"/>
      <c r="D943" s="9"/>
      <c r="E943" s="9"/>
      <c r="F943" s="165"/>
      <c r="H943" s="166"/>
    </row>
    <row r="944" spans="3:8" ht="15.75" customHeight="1" x14ac:dyDescent="0.2">
      <c r="C944" s="9"/>
      <c r="D944" s="9"/>
      <c r="E944" s="9"/>
      <c r="F944" s="165"/>
      <c r="H944" s="166"/>
    </row>
    <row r="945" spans="3:8" ht="15.75" customHeight="1" x14ac:dyDescent="0.2">
      <c r="C945" s="9"/>
      <c r="D945" s="9"/>
      <c r="E945" s="9"/>
      <c r="F945" s="165"/>
      <c r="H945" s="166"/>
    </row>
    <row r="946" spans="3:8" ht="15.75" customHeight="1" x14ac:dyDescent="0.2">
      <c r="C946" s="9"/>
      <c r="D946" s="9"/>
      <c r="E946" s="9"/>
      <c r="F946" s="165"/>
      <c r="H946" s="166"/>
    </row>
    <row r="947" spans="3:8" ht="15.75" customHeight="1" x14ac:dyDescent="0.2">
      <c r="C947" s="9"/>
      <c r="D947" s="9"/>
      <c r="E947" s="9"/>
      <c r="F947" s="165"/>
      <c r="H947" s="166"/>
    </row>
    <row r="948" spans="3:8" ht="15.75" customHeight="1" x14ac:dyDescent="0.2">
      <c r="C948" s="9"/>
      <c r="D948" s="9"/>
      <c r="E948" s="9"/>
      <c r="F948" s="165"/>
      <c r="H948" s="166"/>
    </row>
    <row r="949" spans="3:8" ht="15.75" customHeight="1" x14ac:dyDescent="0.2">
      <c r="C949" s="9"/>
      <c r="D949" s="9"/>
      <c r="E949" s="9"/>
      <c r="F949" s="165"/>
      <c r="H949" s="166"/>
    </row>
    <row r="950" spans="3:8" ht="15.75" customHeight="1" x14ac:dyDescent="0.2">
      <c r="C950" s="9"/>
      <c r="D950" s="9"/>
      <c r="E950" s="9"/>
      <c r="F950" s="165"/>
      <c r="H950" s="166"/>
    </row>
    <row r="951" spans="3:8" ht="15.75" customHeight="1" x14ac:dyDescent="0.2">
      <c r="C951" s="9"/>
      <c r="D951" s="9"/>
      <c r="E951" s="9"/>
      <c r="F951" s="165"/>
      <c r="H951" s="166"/>
    </row>
    <row r="952" spans="3:8" ht="15.75" customHeight="1" x14ac:dyDescent="0.2">
      <c r="C952" s="9"/>
      <c r="D952" s="9"/>
      <c r="E952" s="9"/>
      <c r="F952" s="165"/>
      <c r="H952" s="166"/>
    </row>
    <row r="953" spans="3:8" ht="15.75" customHeight="1" x14ac:dyDescent="0.2">
      <c r="C953" s="9"/>
      <c r="D953" s="9"/>
      <c r="E953" s="9"/>
      <c r="F953" s="165"/>
      <c r="H953" s="166"/>
    </row>
    <row r="954" spans="3:8" ht="15.75" customHeight="1" x14ac:dyDescent="0.2">
      <c r="C954" s="9"/>
      <c r="D954" s="9"/>
      <c r="E954" s="9"/>
      <c r="F954" s="165"/>
      <c r="H954" s="166"/>
    </row>
    <row r="955" spans="3:8" ht="15.75" customHeight="1" x14ac:dyDescent="0.2">
      <c r="C955" s="9"/>
      <c r="D955" s="9"/>
      <c r="E955" s="9"/>
      <c r="F955" s="165"/>
      <c r="H955" s="166"/>
    </row>
    <row r="956" spans="3:8" ht="15.75" customHeight="1" x14ac:dyDescent="0.2">
      <c r="C956" s="9"/>
      <c r="D956" s="9"/>
      <c r="E956" s="9"/>
      <c r="F956" s="165"/>
      <c r="H956" s="166"/>
    </row>
    <row r="957" spans="3:8" ht="15.75" customHeight="1" x14ac:dyDescent="0.2">
      <c r="C957" s="9"/>
      <c r="D957" s="9"/>
      <c r="E957" s="9"/>
      <c r="F957" s="165"/>
      <c r="H957" s="166"/>
    </row>
    <row r="958" spans="3:8" ht="15.75" customHeight="1" x14ac:dyDescent="0.2">
      <c r="C958" s="9"/>
      <c r="D958" s="9"/>
      <c r="E958" s="9"/>
      <c r="F958" s="165"/>
      <c r="H958" s="166"/>
    </row>
    <row r="959" spans="3:8" ht="15.75" customHeight="1" x14ac:dyDescent="0.2">
      <c r="C959" s="9"/>
      <c r="D959" s="9"/>
      <c r="E959" s="9"/>
      <c r="F959" s="165"/>
      <c r="H959" s="166"/>
    </row>
    <row r="960" spans="3:8" ht="15.75" customHeight="1" x14ac:dyDescent="0.2">
      <c r="C960" s="9"/>
      <c r="D960" s="9"/>
      <c r="E960" s="9"/>
      <c r="F960" s="165"/>
      <c r="H960" s="166"/>
    </row>
    <row r="961" spans="3:8" ht="15.75" customHeight="1" x14ac:dyDescent="0.2">
      <c r="C961" s="9"/>
      <c r="D961" s="9"/>
      <c r="E961" s="9"/>
      <c r="F961" s="165"/>
      <c r="H961" s="166"/>
    </row>
    <row r="962" spans="3:8" ht="15.75" customHeight="1" x14ac:dyDescent="0.2">
      <c r="C962" s="9"/>
      <c r="D962" s="9"/>
      <c r="E962" s="9"/>
      <c r="F962" s="165"/>
      <c r="H962" s="166"/>
    </row>
    <row r="963" spans="3:8" ht="15.75" customHeight="1" x14ac:dyDescent="0.2">
      <c r="C963" s="9"/>
      <c r="D963" s="9"/>
      <c r="E963" s="9"/>
      <c r="F963" s="165"/>
      <c r="H963" s="166"/>
    </row>
    <row r="964" spans="3:8" ht="15.75" customHeight="1" x14ac:dyDescent="0.2">
      <c r="C964" s="9"/>
      <c r="D964" s="9"/>
      <c r="E964" s="9"/>
      <c r="F964" s="165"/>
      <c r="H964" s="166"/>
    </row>
    <row r="965" spans="3:8" ht="15.75" customHeight="1" x14ac:dyDescent="0.2">
      <c r="C965" s="9"/>
      <c r="D965" s="9"/>
      <c r="E965" s="9"/>
      <c r="F965" s="165"/>
      <c r="H965" s="166"/>
    </row>
    <row r="966" spans="3:8" ht="15.75" customHeight="1" x14ac:dyDescent="0.2">
      <c r="C966" s="9"/>
      <c r="D966" s="9"/>
      <c r="E966" s="9"/>
      <c r="F966" s="165"/>
      <c r="H966" s="166"/>
    </row>
    <row r="967" spans="3:8" ht="15.75" customHeight="1" x14ac:dyDescent="0.2">
      <c r="C967" s="9"/>
      <c r="D967" s="9"/>
      <c r="E967" s="9"/>
      <c r="F967" s="165"/>
      <c r="H967" s="166"/>
    </row>
    <row r="968" spans="3:8" ht="15.75" customHeight="1" x14ac:dyDescent="0.2">
      <c r="C968" s="9"/>
      <c r="D968" s="9"/>
      <c r="E968" s="9"/>
      <c r="F968" s="165"/>
      <c r="H968" s="166"/>
    </row>
    <row r="969" spans="3:8" ht="15.75" customHeight="1" x14ac:dyDescent="0.2">
      <c r="C969" s="9"/>
      <c r="D969" s="9"/>
      <c r="E969" s="9"/>
      <c r="F969" s="165"/>
      <c r="H969" s="166"/>
    </row>
    <row r="970" spans="3:8" ht="15.75" customHeight="1" x14ac:dyDescent="0.2">
      <c r="C970" s="9"/>
      <c r="D970" s="9"/>
      <c r="E970" s="9"/>
      <c r="F970" s="165"/>
      <c r="H970" s="166"/>
    </row>
    <row r="971" spans="3:8" ht="15.75" customHeight="1" x14ac:dyDescent="0.2">
      <c r="C971" s="9"/>
      <c r="D971" s="9"/>
      <c r="E971" s="9"/>
      <c r="F971" s="165"/>
      <c r="H971" s="166"/>
    </row>
    <row r="972" spans="3:8" ht="15.75" customHeight="1" x14ac:dyDescent="0.2">
      <c r="C972" s="9"/>
      <c r="D972" s="9"/>
      <c r="E972" s="9"/>
      <c r="F972" s="165"/>
      <c r="H972" s="166"/>
    </row>
    <row r="973" spans="3:8" ht="15.75" customHeight="1" x14ac:dyDescent="0.2">
      <c r="C973" s="9"/>
      <c r="D973" s="9"/>
      <c r="E973" s="9"/>
      <c r="F973" s="165"/>
      <c r="H973" s="166"/>
    </row>
    <row r="974" spans="3:8" ht="15.75" customHeight="1" x14ac:dyDescent="0.2">
      <c r="C974" s="9"/>
      <c r="D974" s="9"/>
      <c r="E974" s="9"/>
      <c r="F974" s="165"/>
      <c r="H974" s="166"/>
    </row>
    <row r="975" spans="3:8" ht="15.75" customHeight="1" x14ac:dyDescent="0.2">
      <c r="C975" s="9"/>
      <c r="D975" s="9"/>
      <c r="E975" s="9"/>
      <c r="F975" s="165"/>
      <c r="H975" s="166"/>
    </row>
    <row r="976" spans="3:8" ht="15.75" customHeight="1" x14ac:dyDescent="0.2">
      <c r="C976" s="9"/>
      <c r="D976" s="9"/>
      <c r="E976" s="9"/>
      <c r="F976" s="165"/>
      <c r="H976" s="166"/>
    </row>
    <row r="977" spans="3:8" ht="15.75" customHeight="1" x14ac:dyDescent="0.2">
      <c r="C977" s="9"/>
      <c r="D977" s="9"/>
      <c r="E977" s="9"/>
      <c r="F977" s="165"/>
      <c r="H977" s="166"/>
    </row>
    <row r="978" spans="3:8" ht="15.75" customHeight="1" x14ac:dyDescent="0.2">
      <c r="C978" s="9"/>
      <c r="D978" s="9"/>
      <c r="E978" s="9"/>
      <c r="F978" s="165"/>
      <c r="H978" s="166"/>
    </row>
    <row r="979" spans="3:8" ht="15.75" customHeight="1" x14ac:dyDescent="0.2">
      <c r="C979" s="9"/>
      <c r="D979" s="9"/>
      <c r="E979" s="9"/>
      <c r="F979" s="165"/>
      <c r="H979" s="166"/>
    </row>
    <row r="980" spans="3:8" ht="15.75" customHeight="1" x14ac:dyDescent="0.2">
      <c r="C980" s="9"/>
      <c r="D980" s="9"/>
      <c r="E980" s="9"/>
      <c r="F980" s="165"/>
      <c r="H980" s="166"/>
    </row>
    <row r="981" spans="3:8" ht="15.75" customHeight="1" x14ac:dyDescent="0.2">
      <c r="C981" s="9"/>
      <c r="D981" s="9"/>
      <c r="E981" s="9"/>
      <c r="F981" s="165"/>
      <c r="H981" s="166"/>
    </row>
    <row r="982" spans="3:8" ht="15.75" customHeight="1" x14ac:dyDescent="0.2">
      <c r="C982" s="9"/>
      <c r="D982" s="9"/>
      <c r="E982" s="9"/>
      <c r="F982" s="165"/>
      <c r="H982" s="166"/>
    </row>
    <row r="983" spans="3:8" ht="15.75" customHeight="1" x14ac:dyDescent="0.2">
      <c r="C983" s="9"/>
      <c r="D983" s="9"/>
      <c r="E983" s="9"/>
      <c r="F983" s="165"/>
      <c r="H983" s="166"/>
    </row>
    <row r="984" spans="3:8" ht="15.75" customHeight="1" x14ac:dyDescent="0.2">
      <c r="C984" s="9"/>
      <c r="D984" s="9"/>
      <c r="E984" s="9"/>
      <c r="F984" s="165"/>
      <c r="H984" s="166"/>
    </row>
    <row r="985" spans="3:8" ht="15.75" customHeight="1" x14ac:dyDescent="0.2">
      <c r="C985" s="9"/>
      <c r="D985" s="9"/>
      <c r="E985" s="9"/>
      <c r="F985" s="165"/>
      <c r="H985" s="166"/>
    </row>
    <row r="986" spans="3:8" ht="15.75" customHeight="1" x14ac:dyDescent="0.2">
      <c r="C986" s="9"/>
      <c r="D986" s="9"/>
      <c r="E986" s="9"/>
      <c r="F986" s="165"/>
      <c r="H986" s="166"/>
    </row>
    <row r="987" spans="3:8" ht="15.75" customHeight="1" x14ac:dyDescent="0.2">
      <c r="C987" s="9"/>
      <c r="D987" s="9"/>
      <c r="E987" s="9"/>
      <c r="F987" s="165"/>
      <c r="H987" s="166"/>
    </row>
    <row r="988" spans="3:8" ht="15.75" customHeight="1" x14ac:dyDescent="0.2">
      <c r="C988" s="9"/>
      <c r="D988" s="9"/>
      <c r="E988" s="9"/>
      <c r="F988" s="165"/>
      <c r="H988" s="166"/>
    </row>
    <row r="989" spans="3:8" ht="15.75" customHeight="1" x14ac:dyDescent="0.2">
      <c r="C989" s="9"/>
      <c r="D989" s="9"/>
      <c r="E989" s="9"/>
      <c r="F989" s="165"/>
      <c r="H989" s="166"/>
    </row>
    <row r="990" spans="3:8" ht="15.75" customHeight="1" x14ac:dyDescent="0.2">
      <c r="C990" s="9"/>
      <c r="D990" s="9"/>
      <c r="E990" s="9"/>
      <c r="F990" s="165"/>
      <c r="H990" s="166"/>
    </row>
    <row r="991" spans="3:8" ht="15.75" customHeight="1" x14ac:dyDescent="0.2">
      <c r="C991" s="9"/>
      <c r="D991" s="9"/>
      <c r="E991" s="9"/>
      <c r="F991" s="165"/>
      <c r="H991" s="166"/>
    </row>
    <row r="992" spans="3:8" ht="15.75" customHeight="1" x14ac:dyDescent="0.2">
      <c r="C992" s="9"/>
      <c r="D992" s="9"/>
      <c r="E992" s="9"/>
      <c r="F992" s="165"/>
      <c r="H992" s="166"/>
    </row>
    <row r="993" spans="3:8" ht="15.75" customHeight="1" x14ac:dyDescent="0.2">
      <c r="C993" s="9"/>
      <c r="D993" s="9"/>
      <c r="E993" s="9"/>
      <c r="F993" s="165"/>
      <c r="H993" s="166"/>
    </row>
    <row r="994" spans="3:8" ht="15.75" customHeight="1" x14ac:dyDescent="0.2">
      <c r="C994" s="9"/>
      <c r="D994" s="9"/>
      <c r="E994" s="9"/>
      <c r="F994" s="165"/>
      <c r="H994" s="166"/>
    </row>
    <row r="995" spans="3:8" ht="15.75" customHeight="1" x14ac:dyDescent="0.2">
      <c r="C995" s="9"/>
      <c r="D995" s="9"/>
      <c r="E995" s="9"/>
      <c r="F995" s="165"/>
      <c r="H995" s="166"/>
    </row>
    <row r="996" spans="3:8" ht="15.75" customHeight="1" x14ac:dyDescent="0.2">
      <c r="C996" s="9"/>
      <c r="D996" s="9"/>
      <c r="E996" s="9"/>
      <c r="F996" s="165"/>
      <c r="H996" s="166"/>
    </row>
    <row r="997" spans="3:8" ht="15.75" customHeight="1" x14ac:dyDescent="0.2">
      <c r="C997" s="9"/>
      <c r="D997" s="9"/>
      <c r="E997" s="9"/>
      <c r="F997" s="165"/>
      <c r="H997" s="166"/>
    </row>
    <row r="998" spans="3:8" ht="15.75" customHeight="1" x14ac:dyDescent="0.2">
      <c r="C998" s="9"/>
      <c r="D998" s="9"/>
      <c r="E998" s="9"/>
      <c r="F998" s="165"/>
      <c r="H998" s="166"/>
    </row>
    <row r="999" spans="3:8" ht="15.75" customHeight="1" x14ac:dyDescent="0.2">
      <c r="C999" s="9"/>
      <c r="D999" s="9"/>
      <c r="E999" s="9"/>
      <c r="F999" s="165"/>
      <c r="H999" s="166"/>
    </row>
    <row r="1000" spans="3:8" ht="15.75" customHeight="1" x14ac:dyDescent="0.2">
      <c r="C1000" s="9"/>
      <c r="D1000" s="9"/>
      <c r="E1000" s="9"/>
      <c r="F1000" s="165"/>
      <c r="H1000" s="166"/>
    </row>
    <row r="1001" spans="3:8" ht="15.75" customHeight="1" x14ac:dyDescent="0.2">
      <c r="C1001" s="9"/>
      <c r="D1001" s="9"/>
      <c r="E1001" s="9"/>
      <c r="F1001" s="165"/>
      <c r="H1001" s="166"/>
    </row>
    <row r="1002" spans="3:8" ht="15.75" customHeight="1" x14ac:dyDescent="0.2">
      <c r="C1002" s="9"/>
      <c r="D1002" s="9"/>
      <c r="E1002" s="9"/>
      <c r="F1002" s="165"/>
      <c r="H1002" s="166"/>
    </row>
    <row r="1003" spans="3:8" ht="15.75" customHeight="1" x14ac:dyDescent="0.2">
      <c r="C1003" s="9"/>
      <c r="D1003" s="9"/>
      <c r="E1003" s="9"/>
      <c r="F1003" s="165"/>
      <c r="H1003" s="166"/>
    </row>
    <row r="1004" spans="3:8" ht="15.75" customHeight="1" x14ac:dyDescent="0.2">
      <c r="C1004" s="9"/>
      <c r="D1004" s="9"/>
      <c r="E1004" s="9"/>
      <c r="F1004" s="165"/>
      <c r="H1004" s="166"/>
    </row>
    <row r="1005" spans="3:8" ht="15.75" customHeight="1" x14ac:dyDescent="0.2">
      <c r="C1005" s="9"/>
      <c r="D1005" s="9"/>
      <c r="E1005" s="9"/>
      <c r="F1005" s="165"/>
      <c r="H1005" s="166"/>
    </row>
    <row r="1006" spans="3:8" ht="15.75" customHeight="1" x14ac:dyDescent="0.2">
      <c r="C1006" s="9"/>
      <c r="D1006" s="9"/>
      <c r="E1006" s="9"/>
      <c r="F1006" s="165"/>
      <c r="H1006" s="166"/>
    </row>
    <row r="1007" spans="3:8" ht="15.75" customHeight="1" x14ac:dyDescent="0.2">
      <c r="C1007" s="9"/>
      <c r="D1007" s="9"/>
      <c r="E1007" s="9"/>
      <c r="F1007" s="165"/>
      <c r="H1007" s="166"/>
    </row>
    <row r="1008" spans="3:8" ht="15.75" customHeight="1" x14ac:dyDescent="0.2">
      <c r="C1008" s="9"/>
      <c r="D1008" s="9"/>
      <c r="E1008" s="9"/>
      <c r="F1008" s="165"/>
      <c r="H1008" s="166"/>
    </row>
    <row r="1009" spans="3:8" ht="15.75" customHeight="1" x14ac:dyDescent="0.2">
      <c r="C1009" s="9"/>
      <c r="D1009" s="9"/>
      <c r="E1009" s="9"/>
      <c r="F1009" s="165"/>
      <c r="H1009" s="166"/>
    </row>
    <row r="1010" spans="3:8" ht="15.75" customHeight="1" x14ac:dyDescent="0.2">
      <c r="C1010" s="9"/>
      <c r="D1010" s="9"/>
      <c r="E1010" s="9"/>
      <c r="F1010" s="165"/>
      <c r="H1010" s="166"/>
    </row>
    <row r="1011" spans="3:8" ht="15.75" customHeight="1" x14ac:dyDescent="0.2">
      <c r="C1011" s="9"/>
      <c r="D1011" s="9"/>
      <c r="E1011" s="9"/>
      <c r="F1011" s="165"/>
      <c r="H1011" s="166"/>
    </row>
    <row r="1012" spans="3:8" ht="15.75" customHeight="1" x14ac:dyDescent="0.2">
      <c r="C1012" s="9"/>
      <c r="D1012" s="9"/>
      <c r="E1012" s="9"/>
      <c r="F1012" s="165"/>
      <c r="H1012" s="166"/>
    </row>
    <row r="1013" spans="3:8" ht="15.75" customHeight="1" x14ac:dyDescent="0.2">
      <c r="C1013" s="9"/>
      <c r="D1013" s="9"/>
      <c r="E1013" s="9"/>
      <c r="F1013" s="165"/>
      <c r="H1013" s="166"/>
    </row>
    <row r="1014" spans="3:8" ht="15.75" customHeight="1" x14ac:dyDescent="0.2">
      <c r="C1014" s="9"/>
      <c r="D1014" s="9"/>
      <c r="E1014" s="9"/>
      <c r="F1014" s="165"/>
      <c r="H1014" s="166"/>
    </row>
    <row r="1015" spans="3:8" ht="15.75" customHeight="1" x14ac:dyDescent="0.2">
      <c r="C1015" s="9"/>
      <c r="D1015" s="9"/>
      <c r="E1015" s="9"/>
      <c r="F1015" s="165"/>
      <c r="H1015" s="166"/>
    </row>
    <row r="1016" spans="3:8" ht="15.75" customHeight="1" x14ac:dyDescent="0.2">
      <c r="C1016" s="9"/>
      <c r="D1016" s="9"/>
      <c r="E1016" s="9"/>
      <c r="F1016" s="165"/>
      <c r="H1016" s="166"/>
    </row>
    <row r="1017" spans="3:8" ht="15.75" customHeight="1" x14ac:dyDescent="0.2">
      <c r="C1017" s="9"/>
      <c r="D1017" s="9"/>
      <c r="E1017" s="9"/>
      <c r="F1017" s="165"/>
      <c r="H1017" s="166"/>
    </row>
    <row r="1018" spans="3:8" ht="15.75" customHeight="1" x14ac:dyDescent="0.2">
      <c r="C1018" s="9"/>
      <c r="D1018" s="9"/>
      <c r="E1018" s="9"/>
      <c r="F1018" s="165"/>
      <c r="H1018" s="166"/>
    </row>
    <row r="1019" spans="3:8" ht="15.75" customHeight="1" x14ac:dyDescent="0.2">
      <c r="C1019" s="9"/>
      <c r="D1019" s="9"/>
      <c r="E1019" s="9"/>
      <c r="F1019" s="165"/>
      <c r="H1019" s="166"/>
    </row>
    <row r="1020" spans="3:8" ht="15.75" customHeight="1" x14ac:dyDescent="0.2">
      <c r="C1020" s="9"/>
      <c r="D1020" s="9"/>
      <c r="E1020" s="9"/>
      <c r="F1020" s="165"/>
      <c r="H1020" s="166"/>
    </row>
    <row r="1021" spans="3:8" ht="15.75" customHeight="1" x14ac:dyDescent="0.2">
      <c r="C1021" s="9"/>
      <c r="D1021" s="9"/>
      <c r="E1021" s="9"/>
      <c r="F1021" s="165"/>
      <c r="H1021" s="166"/>
    </row>
    <row r="1022" spans="3:8" ht="15.75" customHeight="1" x14ac:dyDescent="0.2">
      <c r="C1022" s="9"/>
      <c r="D1022" s="9"/>
      <c r="E1022" s="9"/>
      <c r="F1022" s="165"/>
      <c r="H1022" s="166"/>
    </row>
    <row r="1023" spans="3:8" ht="15.75" customHeight="1" x14ac:dyDescent="0.2">
      <c r="C1023" s="9"/>
      <c r="D1023" s="9"/>
      <c r="E1023" s="9"/>
      <c r="F1023" s="165"/>
      <c r="H1023" s="166"/>
    </row>
    <row r="1024" spans="3:8" ht="15.75" customHeight="1" x14ac:dyDescent="0.2">
      <c r="C1024" s="9"/>
      <c r="D1024" s="9"/>
      <c r="E1024" s="9"/>
      <c r="F1024" s="165"/>
      <c r="H1024" s="166"/>
    </row>
    <row r="1025" spans="3:8" ht="15.75" customHeight="1" x14ac:dyDescent="0.2">
      <c r="C1025" s="9"/>
      <c r="D1025" s="9"/>
      <c r="E1025" s="9"/>
      <c r="F1025" s="165"/>
      <c r="H1025" s="166"/>
    </row>
    <row r="1026" spans="3:8" ht="15.75" customHeight="1" x14ac:dyDescent="0.2">
      <c r="C1026" s="9"/>
      <c r="D1026" s="9"/>
      <c r="E1026" s="9"/>
      <c r="F1026" s="165"/>
      <c r="H1026" s="166"/>
    </row>
    <row r="1027" spans="3:8" ht="15.75" customHeight="1" x14ac:dyDescent="0.2">
      <c r="C1027" s="9"/>
      <c r="D1027" s="9"/>
      <c r="E1027" s="9"/>
      <c r="F1027" s="165"/>
      <c r="H1027" s="166"/>
    </row>
    <row r="1028" spans="3:8" ht="15.75" customHeight="1" x14ac:dyDescent="0.2">
      <c r="C1028" s="9"/>
      <c r="D1028" s="9"/>
      <c r="E1028" s="9"/>
      <c r="F1028" s="165"/>
      <c r="H1028" s="166"/>
    </row>
    <row r="1029" spans="3:8" ht="15.75" customHeight="1" x14ac:dyDescent="0.2">
      <c r="C1029" s="9"/>
      <c r="D1029" s="9"/>
      <c r="E1029" s="9"/>
      <c r="F1029" s="165"/>
      <c r="H1029" s="166"/>
    </row>
    <row r="1030" spans="3:8" ht="15.75" customHeight="1" x14ac:dyDescent="0.2">
      <c r="C1030" s="9"/>
      <c r="D1030" s="9"/>
      <c r="E1030" s="9"/>
      <c r="F1030" s="165"/>
      <c r="H1030" s="166"/>
    </row>
    <row r="1031" spans="3:8" ht="15.75" customHeight="1" x14ac:dyDescent="0.2">
      <c r="C1031" s="9"/>
      <c r="D1031" s="9"/>
      <c r="E1031" s="9"/>
      <c r="F1031" s="165"/>
      <c r="H1031" s="166"/>
    </row>
    <row r="1032" spans="3:8" ht="15.75" customHeight="1" x14ac:dyDescent="0.2">
      <c r="C1032" s="9"/>
      <c r="D1032" s="9"/>
      <c r="E1032" s="9"/>
      <c r="F1032" s="165"/>
      <c r="H1032" s="166"/>
    </row>
    <row r="1033" spans="3:8" ht="15.75" customHeight="1" x14ac:dyDescent="0.2">
      <c r="C1033" s="9"/>
      <c r="D1033" s="9"/>
      <c r="E1033" s="9"/>
      <c r="F1033" s="165"/>
      <c r="H1033" s="166"/>
    </row>
    <row r="1034" spans="3:8" ht="15.75" customHeight="1" x14ac:dyDescent="0.2">
      <c r="C1034" s="9"/>
      <c r="D1034" s="9"/>
      <c r="E1034" s="9"/>
      <c r="F1034" s="165"/>
      <c r="H1034" s="166"/>
    </row>
    <row r="1035" spans="3:8" ht="15.75" customHeight="1" x14ac:dyDescent="0.2">
      <c r="C1035" s="9"/>
      <c r="D1035" s="9"/>
      <c r="E1035" s="9"/>
      <c r="F1035" s="165"/>
      <c r="H1035" s="166"/>
    </row>
    <row r="1036" spans="3:8" ht="15.75" customHeight="1" x14ac:dyDescent="0.2">
      <c r="C1036" s="9"/>
      <c r="D1036" s="9"/>
      <c r="E1036" s="9"/>
      <c r="F1036" s="165"/>
      <c r="H1036" s="166"/>
    </row>
    <row r="1037" spans="3:8" ht="15.75" customHeight="1" x14ac:dyDescent="0.2">
      <c r="C1037" s="9"/>
      <c r="D1037" s="9"/>
      <c r="E1037" s="9"/>
      <c r="F1037" s="165"/>
      <c r="H1037" s="166"/>
    </row>
    <row r="1038" spans="3:8" ht="15.75" customHeight="1" x14ac:dyDescent="0.2">
      <c r="C1038" s="9"/>
      <c r="D1038" s="9"/>
      <c r="E1038" s="9"/>
      <c r="F1038" s="165"/>
      <c r="H1038" s="166"/>
    </row>
    <row r="1039" spans="3:8" ht="15.75" customHeight="1" x14ac:dyDescent="0.2">
      <c r="C1039" s="9"/>
      <c r="D1039" s="9"/>
      <c r="E1039" s="9"/>
      <c r="F1039" s="165"/>
      <c r="H1039" s="166"/>
    </row>
    <row r="1040" spans="3:8" ht="15.75" customHeight="1" x14ac:dyDescent="0.2">
      <c r="C1040" s="9"/>
      <c r="D1040" s="9"/>
      <c r="E1040" s="9"/>
      <c r="F1040" s="165"/>
      <c r="H1040" s="166"/>
    </row>
    <row r="1041" spans="3:8" ht="15.75" customHeight="1" x14ac:dyDescent="0.2">
      <c r="C1041" s="9"/>
      <c r="D1041" s="9"/>
      <c r="E1041" s="9"/>
      <c r="F1041" s="165"/>
      <c r="H1041" s="166"/>
    </row>
    <row r="1042" spans="3:8" ht="15.75" customHeight="1" x14ac:dyDescent="0.2">
      <c r="C1042" s="9"/>
      <c r="D1042" s="9"/>
      <c r="E1042" s="9"/>
      <c r="F1042" s="165"/>
      <c r="H1042" s="166"/>
    </row>
    <row r="1043" spans="3:8" ht="15.75" customHeight="1" x14ac:dyDescent="0.2">
      <c r="C1043" s="9"/>
      <c r="D1043" s="9"/>
      <c r="E1043" s="9"/>
      <c r="F1043" s="165"/>
      <c r="H1043" s="166"/>
    </row>
    <row r="1044" spans="3:8" ht="15.75" customHeight="1" x14ac:dyDescent="0.2">
      <c r="C1044" s="9"/>
      <c r="D1044" s="9"/>
      <c r="E1044" s="9"/>
      <c r="F1044" s="165"/>
      <c r="H1044" s="166"/>
    </row>
    <row r="1045" spans="3:8" ht="15.75" customHeight="1" x14ac:dyDescent="0.2">
      <c r="C1045" s="9"/>
      <c r="D1045" s="9"/>
      <c r="E1045" s="9"/>
      <c r="F1045" s="165"/>
      <c r="H1045" s="166"/>
    </row>
    <row r="1046" spans="3:8" ht="15.75" customHeight="1" x14ac:dyDescent="0.2">
      <c r="C1046" s="9"/>
      <c r="D1046" s="9"/>
      <c r="E1046" s="9"/>
      <c r="F1046" s="165"/>
      <c r="H1046" s="166"/>
    </row>
    <row r="1047" spans="3:8" ht="15.75" customHeight="1" x14ac:dyDescent="0.2">
      <c r="C1047" s="9"/>
      <c r="D1047" s="9"/>
      <c r="E1047" s="9"/>
      <c r="F1047" s="165"/>
      <c r="H1047" s="166"/>
    </row>
    <row r="1048" spans="3:8" ht="15.75" customHeight="1" x14ac:dyDescent="0.2">
      <c r="C1048" s="9"/>
      <c r="D1048" s="9"/>
      <c r="E1048" s="9"/>
      <c r="F1048" s="165"/>
      <c r="H1048" s="166"/>
    </row>
    <row r="1049" spans="3:8" ht="15.75" customHeight="1" x14ac:dyDescent="0.2">
      <c r="C1049" s="9"/>
      <c r="D1049" s="9"/>
      <c r="E1049" s="9"/>
      <c r="F1049" s="165"/>
      <c r="H1049" s="166"/>
    </row>
    <row r="1050" spans="3:8" ht="15.75" customHeight="1" x14ac:dyDescent="0.2">
      <c r="C1050" s="9"/>
      <c r="D1050" s="9"/>
      <c r="E1050" s="9"/>
      <c r="F1050" s="165"/>
      <c r="H1050" s="166"/>
    </row>
    <row r="1051" spans="3:8" ht="15.75" customHeight="1" x14ac:dyDescent="0.2">
      <c r="C1051" s="9"/>
      <c r="D1051" s="9"/>
      <c r="E1051" s="9"/>
      <c r="F1051" s="165"/>
      <c r="H1051" s="166"/>
    </row>
    <row r="1052" spans="3:8" ht="15.75" customHeight="1" x14ac:dyDescent="0.2">
      <c r="C1052" s="9"/>
      <c r="D1052" s="9"/>
      <c r="E1052" s="9"/>
      <c r="F1052" s="165"/>
      <c r="H1052" s="166"/>
    </row>
    <row r="1053" spans="3:8" ht="15.75" customHeight="1" x14ac:dyDescent="0.2">
      <c r="C1053" s="9"/>
      <c r="D1053" s="9"/>
      <c r="E1053" s="9"/>
      <c r="F1053" s="165"/>
      <c r="H1053" s="166"/>
    </row>
    <row r="1054" spans="3:8" ht="15.75" customHeight="1" x14ac:dyDescent="0.2">
      <c r="C1054" s="9"/>
      <c r="D1054" s="9"/>
      <c r="E1054" s="9"/>
      <c r="F1054" s="165"/>
      <c r="H1054" s="166"/>
    </row>
    <row r="1055" spans="3:8" ht="15.75" customHeight="1" x14ac:dyDescent="0.2">
      <c r="C1055" s="9"/>
      <c r="D1055" s="9"/>
      <c r="E1055" s="9"/>
      <c r="F1055" s="165"/>
      <c r="H1055" s="166"/>
    </row>
    <row r="1056" spans="3:8" ht="15.75" customHeight="1" x14ac:dyDescent="0.2">
      <c r="C1056" s="9"/>
      <c r="D1056" s="9"/>
      <c r="E1056" s="9"/>
      <c r="F1056" s="165"/>
      <c r="H1056" s="166"/>
    </row>
    <row r="1057" spans="3:8" ht="15.75" customHeight="1" x14ac:dyDescent="0.2">
      <c r="C1057" s="9"/>
      <c r="D1057" s="9"/>
      <c r="E1057" s="9"/>
      <c r="F1057" s="165"/>
      <c r="H1057" s="166"/>
    </row>
    <row r="1058" spans="3:8" ht="15.75" customHeight="1" x14ac:dyDescent="0.2">
      <c r="C1058" s="9"/>
      <c r="D1058" s="9"/>
      <c r="E1058" s="9"/>
      <c r="F1058" s="165"/>
      <c r="H1058" s="166"/>
    </row>
    <row r="1059" spans="3:8" ht="15.75" customHeight="1" x14ac:dyDescent="0.2">
      <c r="C1059" s="9"/>
      <c r="D1059" s="9"/>
      <c r="E1059" s="9"/>
      <c r="F1059" s="165"/>
      <c r="H1059" s="166"/>
    </row>
    <row r="1060" spans="3:8" ht="15.75" customHeight="1" x14ac:dyDescent="0.2">
      <c r="C1060" s="9"/>
      <c r="D1060" s="9"/>
      <c r="E1060" s="9"/>
      <c r="F1060" s="165"/>
      <c r="H1060" s="166"/>
    </row>
    <row r="1061" spans="3:8" ht="15.75" customHeight="1" x14ac:dyDescent="0.2">
      <c r="C1061" s="9"/>
      <c r="D1061" s="9"/>
      <c r="E1061" s="9"/>
      <c r="F1061" s="165"/>
      <c r="H1061" s="166"/>
    </row>
    <row r="1062" spans="3:8" ht="15.75" customHeight="1" x14ac:dyDescent="0.2">
      <c r="C1062" s="9"/>
      <c r="D1062" s="9"/>
      <c r="E1062" s="9"/>
      <c r="F1062" s="165"/>
      <c r="H1062" s="166"/>
    </row>
    <row r="1063" spans="3:8" ht="15.75" customHeight="1" x14ac:dyDescent="0.2">
      <c r="C1063" s="9"/>
      <c r="D1063" s="9"/>
      <c r="E1063" s="9"/>
      <c r="F1063" s="165"/>
      <c r="H1063" s="166"/>
    </row>
    <row r="1064" spans="3:8" ht="15.75" customHeight="1" x14ac:dyDescent="0.2">
      <c r="C1064" s="9"/>
      <c r="D1064" s="9"/>
      <c r="E1064" s="9"/>
      <c r="F1064" s="165"/>
      <c r="H1064" s="166"/>
    </row>
    <row r="1065" spans="3:8" ht="15.75" customHeight="1" x14ac:dyDescent="0.2">
      <c r="C1065" s="9"/>
      <c r="D1065" s="9"/>
      <c r="E1065" s="9"/>
      <c r="F1065" s="165"/>
      <c r="H1065" s="166"/>
    </row>
    <row r="1066" spans="3:8" ht="15.75" customHeight="1" x14ac:dyDescent="0.2">
      <c r="C1066" s="9"/>
      <c r="D1066" s="9"/>
      <c r="E1066" s="9"/>
      <c r="F1066" s="165"/>
      <c r="H1066" s="166"/>
    </row>
    <row r="1067" spans="3:8" ht="15.75" customHeight="1" x14ac:dyDescent="0.2">
      <c r="C1067" s="9"/>
      <c r="D1067" s="9"/>
      <c r="E1067" s="9"/>
      <c r="F1067" s="165"/>
      <c r="H1067" s="166"/>
    </row>
    <row r="1068" spans="3:8" ht="15.75" customHeight="1" x14ac:dyDescent="0.2">
      <c r="C1068" s="9"/>
      <c r="D1068" s="9"/>
      <c r="E1068" s="9"/>
      <c r="F1068" s="165"/>
      <c r="H1068" s="166"/>
    </row>
    <row r="1069" spans="3:8" ht="15.75" customHeight="1" x14ac:dyDescent="0.2">
      <c r="C1069" s="9"/>
      <c r="D1069" s="9"/>
      <c r="E1069" s="9"/>
      <c r="F1069" s="165"/>
      <c r="H1069" s="166"/>
    </row>
    <row r="1070" spans="3:8" ht="15.75" customHeight="1" x14ac:dyDescent="0.2">
      <c r="C1070" s="9"/>
      <c r="D1070" s="9"/>
      <c r="E1070" s="9"/>
      <c r="F1070" s="165"/>
      <c r="H1070" s="166"/>
    </row>
    <row r="1071" spans="3:8" ht="15.75" customHeight="1" x14ac:dyDescent="0.2">
      <c r="C1071" s="9"/>
      <c r="D1071" s="9"/>
      <c r="E1071" s="9"/>
      <c r="F1071" s="165"/>
      <c r="H1071" s="166"/>
    </row>
    <row r="1072" spans="3:8" ht="15.75" customHeight="1" x14ac:dyDescent="0.2">
      <c r="C1072" s="9"/>
      <c r="D1072" s="9"/>
      <c r="E1072" s="9"/>
      <c r="F1072" s="165"/>
      <c r="H1072" s="166"/>
    </row>
    <row r="1073" spans="3:8" ht="15.75" customHeight="1" x14ac:dyDescent="0.2">
      <c r="C1073" s="9"/>
      <c r="D1073" s="9"/>
      <c r="E1073" s="9"/>
      <c r="F1073" s="165"/>
      <c r="H1073" s="166"/>
    </row>
    <row r="1074" spans="3:8" ht="15.75" customHeight="1" x14ac:dyDescent="0.2">
      <c r="C1074" s="9"/>
      <c r="D1074" s="9"/>
      <c r="E1074" s="9"/>
      <c r="F1074" s="165"/>
      <c r="H1074" s="166"/>
    </row>
    <row r="1075" spans="3:8" ht="15.75" customHeight="1" x14ac:dyDescent="0.2">
      <c r="C1075" s="9"/>
      <c r="D1075" s="9"/>
      <c r="E1075" s="9"/>
      <c r="F1075" s="165"/>
      <c r="H1075" s="166"/>
    </row>
    <row r="1076" spans="3:8" ht="15.75" customHeight="1" x14ac:dyDescent="0.2">
      <c r="C1076" s="9"/>
      <c r="D1076" s="9"/>
      <c r="E1076" s="9"/>
      <c r="F1076" s="165"/>
      <c r="H1076" s="166"/>
    </row>
    <row r="1077" spans="3:8" ht="15.75" customHeight="1" x14ac:dyDescent="0.2">
      <c r="C1077" s="9"/>
      <c r="D1077" s="9"/>
      <c r="E1077" s="9"/>
      <c r="F1077" s="165"/>
      <c r="H1077" s="166"/>
    </row>
  </sheetData>
  <mergeCells count="99">
    <mergeCell ref="H162:T162"/>
    <mergeCell ref="C146:E146"/>
    <mergeCell ref="C147:E147"/>
    <mergeCell ref="I157:L157"/>
    <mergeCell ref="H158:T158"/>
    <mergeCell ref="H161:T161"/>
    <mergeCell ref="B136:V136"/>
    <mergeCell ref="B142:I142"/>
    <mergeCell ref="C144:E144"/>
    <mergeCell ref="C145:E145"/>
    <mergeCell ref="H145:I145"/>
    <mergeCell ref="J145:T145"/>
    <mergeCell ref="L79:L87"/>
    <mergeCell ref="F88:F95"/>
    <mergeCell ref="A105:A113"/>
    <mergeCell ref="A117:A118"/>
    <mergeCell ref="F117:F118"/>
    <mergeCell ref="I134:I135"/>
    <mergeCell ref="A75:A76"/>
    <mergeCell ref="A79:A87"/>
    <mergeCell ref="F79:F87"/>
    <mergeCell ref="H79:H87"/>
    <mergeCell ref="A124:A132"/>
    <mergeCell ref="F124:F132"/>
    <mergeCell ref="A134:A135"/>
    <mergeCell ref="F134:F135"/>
    <mergeCell ref="A155:B155"/>
    <mergeCell ref="C155:F155"/>
    <mergeCell ref="I155:N155"/>
    <mergeCell ref="Q155:T155"/>
    <mergeCell ref="C157:E157"/>
    <mergeCell ref="C151:E151"/>
    <mergeCell ref="I151:N151"/>
    <mergeCell ref="Q151:T151"/>
    <mergeCell ref="A154:B154"/>
    <mergeCell ref="Q154:T154"/>
    <mergeCell ref="C154:F154"/>
    <mergeCell ref="I154:N154"/>
    <mergeCell ref="A69:A71"/>
    <mergeCell ref="A73:A74"/>
    <mergeCell ref="J146:T146"/>
    <mergeCell ref="J147:T147"/>
    <mergeCell ref="J148:T148"/>
    <mergeCell ref="J88:J95"/>
    <mergeCell ref="J97:J100"/>
    <mergeCell ref="B102:V102"/>
    <mergeCell ref="B104:V104"/>
    <mergeCell ref="F97:F100"/>
    <mergeCell ref="F105:F113"/>
    <mergeCell ref="F119:F123"/>
    <mergeCell ref="H105:H113"/>
    <mergeCell ref="I116:I118"/>
    <mergeCell ref="I119:I123"/>
    <mergeCell ref="H124:H128"/>
    <mergeCell ref="A11:A18"/>
    <mergeCell ref="A22:A27"/>
    <mergeCell ref="A35:A42"/>
    <mergeCell ref="A43:A49"/>
    <mergeCell ref="A50:A68"/>
    <mergeCell ref="B78:V78"/>
    <mergeCell ref="F69:F71"/>
    <mergeCell ref="G69:G71"/>
    <mergeCell ref="I69:I71"/>
    <mergeCell ref="J69:J71"/>
    <mergeCell ref="G73:G74"/>
    <mergeCell ref="I73:I74"/>
    <mergeCell ref="J73:J74"/>
    <mergeCell ref="F73:F74"/>
    <mergeCell ref="F75:F76"/>
    <mergeCell ref="G75:G76"/>
    <mergeCell ref="I75:I76"/>
    <mergeCell ref="J75:J76"/>
    <mergeCell ref="F35:F42"/>
    <mergeCell ref="H35:H42"/>
    <mergeCell ref="F43:F49"/>
    <mergeCell ref="J43:J49"/>
    <mergeCell ref="F50:F68"/>
    <mergeCell ref="J50:J68"/>
    <mergeCell ref="B34:V34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F11:F18"/>
    <mergeCell ref="H11:H18"/>
    <mergeCell ref="F19:F21"/>
    <mergeCell ref="I19:I27"/>
    <mergeCell ref="J19:J21"/>
    <mergeCell ref="F22:F27"/>
    <mergeCell ref="H8:V8"/>
    <mergeCell ref="B10:V10"/>
    <mergeCell ref="Y10:Y14"/>
    <mergeCell ref="B28:V28"/>
    <mergeCell ref="B31:V31"/>
  </mergeCells>
  <hyperlinks>
    <hyperlink ref="Y10" r:id="rId1" xr:uid="{00000000-0004-0000-0100-000000000000}"/>
    <hyperlink ref="Y15" r:id="rId2" xr:uid="{00000000-0004-0000-0100-000001000000}"/>
  </hyperlink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77" man="1"/>
  </rowBreaks>
  <colBreaks count="2" manualBreakCount="2">
    <brk man="1"/>
    <brk id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7"/>
  <sheetViews>
    <sheetView workbookViewId="0"/>
  </sheetViews>
  <sheetFormatPr defaultColWidth="12.625" defaultRowHeight="15" customHeight="1" x14ac:dyDescent="0.2"/>
  <cols>
    <col min="1" max="1" width="7.625" customWidth="1"/>
    <col min="2" max="2" width="69.625" customWidth="1"/>
    <col min="3" max="3" width="11.625" customWidth="1"/>
    <col min="4" max="4" width="12.625" customWidth="1"/>
    <col min="5" max="5" width="13.87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345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1"/>
      <c r="X1" s="1"/>
    </row>
    <row r="2" spans="1:24" ht="14.25" x14ac:dyDescent="0.2">
      <c r="A2" s="346" t="s">
        <v>266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"/>
      <c r="X2" s="1"/>
    </row>
    <row r="3" spans="1:24" x14ac:dyDescent="0.25">
      <c r="A3" s="347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1"/>
      <c r="X3" s="1"/>
    </row>
    <row r="4" spans="1:24" x14ac:dyDescent="0.2">
      <c r="A4" s="2" t="s">
        <v>2</v>
      </c>
      <c r="B4" s="3"/>
      <c r="C4" s="4"/>
      <c r="D4" s="5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x14ac:dyDescent="0.2">
      <c r="A5" s="8"/>
      <c r="B5" s="3"/>
      <c r="C5" s="9"/>
      <c r="D5" s="10"/>
      <c r="E5" s="11"/>
      <c r="F5" s="12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3</v>
      </c>
      <c r="B6" s="2"/>
      <c r="C6" s="14"/>
      <c r="D6" s="14"/>
      <c r="E6" s="14"/>
      <c r="F6" s="2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8" t="s">
        <v>4</v>
      </c>
      <c r="B7" s="3"/>
      <c r="C7" s="9"/>
      <c r="D7" s="10"/>
      <c r="E7" s="11"/>
      <c r="F7" s="12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348" t="s">
        <v>5</v>
      </c>
      <c r="B8" s="350" t="s">
        <v>6</v>
      </c>
      <c r="C8" s="16" t="s">
        <v>7</v>
      </c>
      <c r="D8" s="352" t="s">
        <v>8</v>
      </c>
      <c r="E8" s="353" t="s">
        <v>9</v>
      </c>
      <c r="F8" s="368" t="s">
        <v>10</v>
      </c>
      <c r="G8" s="350" t="s">
        <v>11</v>
      </c>
      <c r="H8" s="415" t="s">
        <v>12</v>
      </c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60"/>
      <c r="W8" s="17"/>
      <c r="X8" s="17"/>
    </row>
    <row r="9" spans="1:24" ht="38.25" x14ac:dyDescent="0.2">
      <c r="A9" s="349"/>
      <c r="B9" s="351"/>
      <c r="C9" s="18" t="s">
        <v>13</v>
      </c>
      <c r="D9" s="351"/>
      <c r="E9" s="351"/>
      <c r="F9" s="351"/>
      <c r="G9" s="351"/>
      <c r="H9" s="20" t="s">
        <v>267</v>
      </c>
      <c r="I9" s="20" t="s">
        <v>268</v>
      </c>
      <c r="J9" s="20" t="s">
        <v>269</v>
      </c>
      <c r="K9" s="20" t="s">
        <v>17</v>
      </c>
      <c r="L9" s="20" t="s">
        <v>18</v>
      </c>
      <c r="M9" s="20" t="s">
        <v>19</v>
      </c>
      <c r="N9" s="20" t="s">
        <v>20</v>
      </c>
      <c r="O9" s="20" t="s">
        <v>21</v>
      </c>
      <c r="P9" s="20" t="s">
        <v>22</v>
      </c>
      <c r="Q9" s="20" t="s">
        <v>23</v>
      </c>
      <c r="R9" s="20" t="s">
        <v>24</v>
      </c>
      <c r="S9" s="20" t="s">
        <v>25</v>
      </c>
      <c r="T9" s="20" t="s">
        <v>26</v>
      </c>
      <c r="U9" s="21" t="str">
        <f>$V$9</f>
        <v>REMARKS</v>
      </c>
      <c r="V9" s="20" t="s">
        <v>27</v>
      </c>
      <c r="W9" s="17"/>
      <c r="X9" s="17"/>
    </row>
    <row r="10" spans="1:24" ht="14.25" x14ac:dyDescent="0.2">
      <c r="A10" s="274"/>
      <c r="B10" s="391" t="s">
        <v>29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92"/>
      <c r="W10" s="17"/>
      <c r="X10" s="17"/>
    </row>
    <row r="11" spans="1:24" ht="14.25" x14ac:dyDescent="0.2">
      <c r="A11" s="275"/>
      <c r="B11" s="276" t="s">
        <v>270</v>
      </c>
      <c r="C11" s="277" t="s">
        <v>271</v>
      </c>
      <c r="D11" s="278">
        <v>500</v>
      </c>
      <c r="E11" s="244">
        <v>10000</v>
      </c>
      <c r="F11" s="109" t="s">
        <v>71</v>
      </c>
      <c r="G11" s="279"/>
      <c r="H11" s="280">
        <v>20</v>
      </c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81"/>
      <c r="V11" s="282"/>
      <c r="W11" s="283"/>
      <c r="X11" s="283"/>
    </row>
    <row r="12" spans="1:24" ht="14.25" x14ac:dyDescent="0.2">
      <c r="A12" s="275"/>
      <c r="B12" s="276" t="s">
        <v>272</v>
      </c>
      <c r="C12" s="277" t="s">
        <v>273</v>
      </c>
      <c r="D12" s="284">
        <v>1000</v>
      </c>
      <c r="E12" s="244">
        <v>2000</v>
      </c>
      <c r="F12" s="109" t="s">
        <v>71</v>
      </c>
      <c r="G12" s="279"/>
      <c r="H12" s="280">
        <v>2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81"/>
      <c r="V12" s="282"/>
      <c r="W12" s="283"/>
      <c r="X12" s="283"/>
    </row>
    <row r="13" spans="1:24" ht="14.25" x14ac:dyDescent="0.2">
      <c r="A13" s="275"/>
      <c r="B13" s="276" t="s">
        <v>274</v>
      </c>
      <c r="C13" s="277" t="s">
        <v>275</v>
      </c>
      <c r="D13" s="284">
        <v>100</v>
      </c>
      <c r="E13" s="244">
        <v>3000</v>
      </c>
      <c r="F13" s="109" t="s">
        <v>71</v>
      </c>
      <c r="G13" s="279"/>
      <c r="H13" s="280">
        <v>30</v>
      </c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81"/>
      <c r="V13" s="282"/>
      <c r="W13" s="283"/>
      <c r="X13" s="283"/>
    </row>
    <row r="14" spans="1:24" ht="14.25" x14ac:dyDescent="0.2">
      <c r="A14" s="275"/>
      <c r="B14" s="276" t="s">
        <v>276</v>
      </c>
      <c r="C14" s="277" t="s">
        <v>155</v>
      </c>
      <c r="D14" s="284">
        <v>150</v>
      </c>
      <c r="E14" s="244">
        <v>1500</v>
      </c>
      <c r="F14" s="109" t="s">
        <v>71</v>
      </c>
      <c r="G14" s="279"/>
      <c r="H14" s="280">
        <v>10</v>
      </c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81"/>
      <c r="V14" s="282"/>
      <c r="W14" s="283"/>
      <c r="X14" s="283"/>
    </row>
    <row r="15" spans="1:24" ht="14.25" x14ac:dyDescent="0.2">
      <c r="A15" s="275"/>
      <c r="B15" s="285" t="s">
        <v>277</v>
      </c>
      <c r="C15" s="277" t="s">
        <v>157</v>
      </c>
      <c r="D15" s="284">
        <v>100</v>
      </c>
      <c r="E15" s="286">
        <v>500</v>
      </c>
      <c r="F15" s="109" t="s">
        <v>71</v>
      </c>
      <c r="G15" s="279"/>
      <c r="H15" s="280">
        <v>5</v>
      </c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81"/>
      <c r="V15" s="282"/>
      <c r="W15" s="283"/>
      <c r="X15" s="283"/>
    </row>
    <row r="16" spans="1:24" ht="14.25" x14ac:dyDescent="0.2">
      <c r="A16" s="275"/>
      <c r="B16" s="285" t="s">
        <v>278</v>
      </c>
      <c r="C16" s="277" t="s">
        <v>157</v>
      </c>
      <c r="D16" s="284">
        <v>100</v>
      </c>
      <c r="E16" s="286">
        <v>500</v>
      </c>
      <c r="F16" s="109" t="s">
        <v>71</v>
      </c>
      <c r="G16" s="279"/>
      <c r="H16" s="280">
        <v>5</v>
      </c>
      <c r="I16" s="279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81"/>
      <c r="V16" s="282"/>
      <c r="W16" s="283"/>
      <c r="X16" s="283"/>
    </row>
    <row r="17" spans="1:24" ht="14.25" x14ac:dyDescent="0.2">
      <c r="A17" s="275"/>
      <c r="B17" s="276" t="s">
        <v>279</v>
      </c>
      <c r="C17" s="277" t="s">
        <v>280</v>
      </c>
      <c r="D17" s="284">
        <v>200</v>
      </c>
      <c r="E17" s="244">
        <v>1000</v>
      </c>
      <c r="F17" s="109" t="s">
        <v>71</v>
      </c>
      <c r="G17" s="279"/>
      <c r="H17" s="280">
        <v>5</v>
      </c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81"/>
      <c r="V17" s="282"/>
      <c r="W17" s="283"/>
      <c r="X17" s="283"/>
    </row>
    <row r="18" spans="1:24" ht="14.25" x14ac:dyDescent="0.2">
      <c r="A18" s="275"/>
      <c r="B18" s="276" t="s">
        <v>281</v>
      </c>
      <c r="C18" s="277" t="s">
        <v>280</v>
      </c>
      <c r="D18" s="284">
        <v>200</v>
      </c>
      <c r="E18" s="244">
        <v>1000</v>
      </c>
      <c r="F18" s="109" t="s">
        <v>71</v>
      </c>
      <c r="G18" s="279"/>
      <c r="H18" s="280">
        <v>5</v>
      </c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81"/>
      <c r="V18" s="282"/>
      <c r="W18" s="283"/>
      <c r="X18" s="283"/>
    </row>
    <row r="19" spans="1:24" ht="14.25" x14ac:dyDescent="0.2">
      <c r="A19" s="275"/>
      <c r="B19" s="276" t="s">
        <v>282</v>
      </c>
      <c r="C19" s="277" t="s">
        <v>129</v>
      </c>
      <c r="D19" s="284">
        <v>250</v>
      </c>
      <c r="E19" s="244">
        <v>2500</v>
      </c>
      <c r="F19" s="109" t="s">
        <v>71</v>
      </c>
      <c r="G19" s="279"/>
      <c r="H19" s="280">
        <v>10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81"/>
      <c r="V19" s="282"/>
      <c r="W19" s="283"/>
      <c r="X19" s="283"/>
    </row>
    <row r="20" spans="1:24" ht="14.25" x14ac:dyDescent="0.2">
      <c r="A20" s="275"/>
      <c r="B20" s="276" t="s">
        <v>283</v>
      </c>
      <c r="C20" s="277" t="s">
        <v>157</v>
      </c>
      <c r="D20" s="284">
        <v>150</v>
      </c>
      <c r="E20" s="131">
        <v>750</v>
      </c>
      <c r="F20" s="109" t="s">
        <v>71</v>
      </c>
      <c r="G20" s="279"/>
      <c r="H20" s="280">
        <v>5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81"/>
      <c r="V20" s="282"/>
      <c r="W20" s="283"/>
      <c r="X20" s="283"/>
    </row>
    <row r="21" spans="1:24" ht="15.75" customHeight="1" x14ac:dyDescent="0.2">
      <c r="A21" s="275"/>
      <c r="B21" s="285" t="s">
        <v>284</v>
      </c>
      <c r="C21" s="277" t="s">
        <v>129</v>
      </c>
      <c r="D21" s="284">
        <v>300</v>
      </c>
      <c r="E21" s="244">
        <v>3000</v>
      </c>
      <c r="F21" s="109" t="s">
        <v>71</v>
      </c>
      <c r="G21" s="279"/>
      <c r="H21" s="280">
        <v>10</v>
      </c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81"/>
      <c r="V21" s="282"/>
      <c r="W21" s="17"/>
      <c r="X21" s="17"/>
    </row>
    <row r="22" spans="1:24" ht="15.75" customHeight="1" x14ac:dyDescent="0.2">
      <c r="A22" s="275"/>
      <c r="B22" s="276" t="s">
        <v>285</v>
      </c>
      <c r="C22" s="277" t="s">
        <v>129</v>
      </c>
      <c r="D22" s="284">
        <v>150</v>
      </c>
      <c r="E22" s="244" t="s">
        <v>286</v>
      </c>
      <c r="F22" s="109" t="s">
        <v>71</v>
      </c>
      <c r="G22" s="279"/>
      <c r="H22" s="280">
        <v>10</v>
      </c>
      <c r="I22" s="27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81"/>
      <c r="V22" s="282"/>
      <c r="W22" s="17"/>
      <c r="X22" s="17"/>
    </row>
    <row r="23" spans="1:24" ht="15.75" customHeight="1" x14ac:dyDescent="0.2">
      <c r="A23" s="275"/>
      <c r="B23" s="285" t="s">
        <v>287</v>
      </c>
      <c r="C23" s="277" t="s">
        <v>73</v>
      </c>
      <c r="D23" s="284">
        <v>600</v>
      </c>
      <c r="E23" s="244">
        <v>3000</v>
      </c>
      <c r="F23" s="109" t="s">
        <v>71</v>
      </c>
      <c r="G23" s="279"/>
      <c r="H23" s="280">
        <v>5</v>
      </c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81"/>
      <c r="V23" s="282"/>
      <c r="W23" s="17"/>
      <c r="X23" s="17"/>
    </row>
    <row r="24" spans="1:24" ht="15.75" customHeight="1" x14ac:dyDescent="0.2">
      <c r="A24" s="275"/>
      <c r="B24" s="276" t="s">
        <v>288</v>
      </c>
      <c r="C24" s="277" t="s">
        <v>157</v>
      </c>
      <c r="D24" s="284">
        <v>500</v>
      </c>
      <c r="E24" s="244">
        <v>2500</v>
      </c>
      <c r="F24" s="109" t="s">
        <v>71</v>
      </c>
      <c r="G24" s="279"/>
      <c r="H24" s="280">
        <v>5</v>
      </c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81"/>
      <c r="V24" s="282"/>
      <c r="W24" s="17"/>
      <c r="X24" s="17"/>
    </row>
    <row r="25" spans="1:24" ht="15.75" customHeight="1" x14ac:dyDescent="0.2">
      <c r="A25" s="275"/>
      <c r="B25" s="276" t="s">
        <v>119</v>
      </c>
      <c r="C25" s="277" t="s">
        <v>289</v>
      </c>
      <c r="D25" s="284">
        <v>200</v>
      </c>
      <c r="E25" s="244">
        <v>10000</v>
      </c>
      <c r="F25" s="109" t="s">
        <v>71</v>
      </c>
      <c r="G25" s="279"/>
      <c r="H25" s="280">
        <v>50</v>
      </c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81"/>
      <c r="V25" s="282"/>
      <c r="W25" s="17"/>
      <c r="X25" s="17"/>
    </row>
    <row r="26" spans="1:24" ht="15.75" customHeight="1" x14ac:dyDescent="0.2">
      <c r="A26" s="275"/>
      <c r="B26" s="276" t="s">
        <v>115</v>
      </c>
      <c r="C26" s="277" t="s">
        <v>157</v>
      </c>
      <c r="D26" s="284">
        <v>1000</v>
      </c>
      <c r="E26" s="244">
        <v>5000</v>
      </c>
      <c r="F26" s="109" t="s">
        <v>71</v>
      </c>
      <c r="G26" s="279"/>
      <c r="H26" s="280">
        <v>5</v>
      </c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81"/>
      <c r="V26" s="282"/>
      <c r="W26" s="17"/>
      <c r="X26" s="17"/>
    </row>
    <row r="27" spans="1:24" ht="15.75" customHeight="1" x14ac:dyDescent="0.2">
      <c r="A27" s="275"/>
      <c r="B27" s="276" t="s">
        <v>290</v>
      </c>
      <c r="C27" s="277" t="s">
        <v>157</v>
      </c>
      <c r="D27" s="284">
        <v>300</v>
      </c>
      <c r="E27" s="244">
        <v>1500</v>
      </c>
      <c r="F27" s="109" t="s">
        <v>71</v>
      </c>
      <c r="G27" s="279"/>
      <c r="H27" s="280">
        <v>5</v>
      </c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81"/>
      <c r="V27" s="282"/>
      <c r="W27" s="17"/>
      <c r="X27" s="17"/>
    </row>
    <row r="28" spans="1:24" ht="15.75" customHeight="1" x14ac:dyDescent="0.2">
      <c r="A28" s="274"/>
      <c r="B28" s="287" t="s">
        <v>291</v>
      </c>
      <c r="C28" s="108" t="s">
        <v>80</v>
      </c>
      <c r="D28" s="288">
        <v>49999</v>
      </c>
      <c r="E28" s="244">
        <v>99998</v>
      </c>
      <c r="F28" s="109" t="s">
        <v>71</v>
      </c>
      <c r="G28" s="279"/>
      <c r="H28" s="280">
        <v>2</v>
      </c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81"/>
      <c r="V28" s="282"/>
      <c r="W28" s="17"/>
      <c r="X28" s="17"/>
    </row>
    <row r="29" spans="1:24" ht="16.5" customHeight="1" x14ac:dyDescent="0.2">
      <c r="A29" s="274"/>
      <c r="B29" s="289" t="s">
        <v>292</v>
      </c>
      <c r="C29" s="108" t="s">
        <v>57</v>
      </c>
      <c r="D29" s="288">
        <v>6000</v>
      </c>
      <c r="E29" s="244">
        <v>120000</v>
      </c>
      <c r="F29" s="109" t="s">
        <v>32</v>
      </c>
      <c r="G29" s="19"/>
      <c r="H29" s="290">
        <v>25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81"/>
      <c r="V29" s="282"/>
      <c r="W29" s="17"/>
      <c r="X29" s="17"/>
    </row>
    <row r="30" spans="1:24" ht="16.5" customHeight="1" x14ac:dyDescent="0.2">
      <c r="A30" s="274"/>
      <c r="B30" s="203" t="s">
        <v>293</v>
      </c>
      <c r="C30" s="108" t="s">
        <v>80</v>
      </c>
      <c r="D30" s="288">
        <v>38000</v>
      </c>
      <c r="E30" s="244">
        <v>76000</v>
      </c>
      <c r="F30" s="109" t="s">
        <v>32</v>
      </c>
      <c r="G30" s="19"/>
      <c r="H30" s="290"/>
      <c r="I30" s="290"/>
      <c r="J30" s="291">
        <v>2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81"/>
      <c r="V30" s="292"/>
      <c r="W30" s="17"/>
      <c r="X30" s="17"/>
    </row>
    <row r="31" spans="1:24" ht="16.5" customHeight="1" x14ac:dyDescent="0.2">
      <c r="A31" s="274"/>
      <c r="B31" s="203" t="s">
        <v>293</v>
      </c>
      <c r="C31" s="108" t="s">
        <v>80</v>
      </c>
      <c r="D31" s="288">
        <v>38000</v>
      </c>
      <c r="E31" s="244">
        <v>76000</v>
      </c>
      <c r="F31" s="109" t="s">
        <v>32</v>
      </c>
      <c r="G31" s="19"/>
      <c r="H31" s="290"/>
      <c r="I31" s="290">
        <v>2</v>
      </c>
      <c r="J31" s="29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81"/>
      <c r="V31" s="292"/>
      <c r="W31" s="17"/>
      <c r="X31" s="17"/>
    </row>
    <row r="32" spans="1:24" ht="15.75" customHeight="1" x14ac:dyDescent="0.2">
      <c r="A32" s="293"/>
      <c r="B32" s="366" t="s">
        <v>294</v>
      </c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9"/>
      <c r="W32" s="17"/>
      <c r="X32" s="17"/>
    </row>
    <row r="33" spans="1:24" ht="15.75" customHeight="1" x14ac:dyDescent="0.2">
      <c r="A33" s="293"/>
      <c r="B33" s="294" t="s">
        <v>295</v>
      </c>
      <c r="C33" s="45" t="s">
        <v>59</v>
      </c>
      <c r="D33" s="100">
        <v>75000</v>
      </c>
      <c r="E33" s="100">
        <v>75000</v>
      </c>
      <c r="F33" s="294" t="s">
        <v>32</v>
      </c>
      <c r="G33" s="40"/>
      <c r="H33" s="40"/>
      <c r="I33" s="45">
        <v>1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17"/>
      <c r="X33" s="17"/>
    </row>
    <row r="34" spans="1:24" ht="15.75" customHeight="1" x14ac:dyDescent="0.2">
      <c r="A34" s="293"/>
      <c r="B34" s="294" t="s">
        <v>296</v>
      </c>
      <c r="C34" s="45" t="s">
        <v>59</v>
      </c>
      <c r="D34" s="100">
        <v>75000</v>
      </c>
      <c r="E34" s="100">
        <v>75000</v>
      </c>
      <c r="F34" s="294" t="s">
        <v>32</v>
      </c>
      <c r="G34" s="40"/>
      <c r="H34" s="40"/>
      <c r="I34" s="45">
        <v>1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17"/>
      <c r="X34" s="17"/>
    </row>
    <row r="35" spans="1:24" ht="15.75" customHeight="1" x14ac:dyDescent="0.2">
      <c r="A35" s="293"/>
      <c r="B35" s="366" t="s">
        <v>41</v>
      </c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9"/>
      <c r="W35" s="17"/>
      <c r="X35" s="17"/>
    </row>
    <row r="36" spans="1:24" ht="15.75" customHeight="1" x14ac:dyDescent="0.2">
      <c r="A36" s="293"/>
      <c r="B36" s="41" t="s">
        <v>42</v>
      </c>
      <c r="C36" s="42" t="s">
        <v>46</v>
      </c>
      <c r="D36" s="43">
        <v>3000</v>
      </c>
      <c r="E36" s="44">
        <v>150000</v>
      </c>
      <c r="F36" s="109" t="s">
        <v>32</v>
      </c>
      <c r="G36" s="47"/>
      <c r="H36" s="42">
        <v>50</v>
      </c>
      <c r="I36" s="47"/>
      <c r="J36" s="4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17"/>
      <c r="X36" s="17"/>
    </row>
    <row r="37" spans="1:24" ht="15.75" customHeight="1" x14ac:dyDescent="0.2">
      <c r="A37" s="293"/>
      <c r="B37" s="41" t="s">
        <v>47</v>
      </c>
      <c r="C37" s="42" t="s">
        <v>142</v>
      </c>
      <c r="D37" s="43">
        <v>7500</v>
      </c>
      <c r="E37" s="44">
        <v>7500</v>
      </c>
      <c r="F37" s="109" t="s">
        <v>32</v>
      </c>
      <c r="G37" s="47"/>
      <c r="H37" s="42">
        <v>20</v>
      </c>
      <c r="I37" s="47"/>
      <c r="J37" s="42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17"/>
      <c r="X37" s="17"/>
    </row>
    <row r="38" spans="1:24" ht="15.75" customHeight="1" x14ac:dyDescent="0.2">
      <c r="A38" s="293"/>
      <c r="B38" s="41" t="s">
        <v>297</v>
      </c>
      <c r="C38" s="42" t="s">
        <v>142</v>
      </c>
      <c r="D38" s="43">
        <v>10000</v>
      </c>
      <c r="E38" s="44">
        <v>200000</v>
      </c>
      <c r="F38" s="109" t="s">
        <v>32</v>
      </c>
      <c r="G38" s="47"/>
      <c r="H38" s="42"/>
      <c r="I38" s="42">
        <v>20</v>
      </c>
      <c r="J38" s="42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17"/>
      <c r="X38" s="17"/>
    </row>
    <row r="39" spans="1:24" ht="15.75" customHeight="1" x14ac:dyDescent="0.2">
      <c r="A39" s="293"/>
      <c r="B39" s="295" t="s">
        <v>298</v>
      </c>
      <c r="C39" s="49" t="s">
        <v>275</v>
      </c>
      <c r="D39" s="50">
        <v>3000</v>
      </c>
      <c r="E39" s="51">
        <v>90000</v>
      </c>
      <c r="F39" s="296" t="s">
        <v>32</v>
      </c>
      <c r="G39" s="181"/>
      <c r="H39" s="49"/>
      <c r="I39" s="49">
        <v>30</v>
      </c>
      <c r="J39" s="196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17"/>
      <c r="X39" s="17"/>
    </row>
    <row r="40" spans="1:24" ht="15.75" customHeight="1" x14ac:dyDescent="0.2">
      <c r="A40" s="236"/>
      <c r="B40" s="294" t="s">
        <v>299</v>
      </c>
      <c r="C40" s="42" t="s">
        <v>51</v>
      </c>
      <c r="D40" s="43">
        <v>2000</v>
      </c>
      <c r="E40" s="44">
        <v>20000</v>
      </c>
      <c r="F40" s="109" t="s">
        <v>32</v>
      </c>
      <c r="G40" s="47"/>
      <c r="H40" s="42"/>
      <c r="I40" s="42">
        <v>10</v>
      </c>
      <c r="J40" s="227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17"/>
      <c r="X40" s="17"/>
    </row>
    <row r="41" spans="1:24" ht="15.75" customHeight="1" x14ac:dyDescent="0.2">
      <c r="A41" s="236"/>
      <c r="B41" s="297" t="s">
        <v>300</v>
      </c>
      <c r="C41" s="42" t="s">
        <v>301</v>
      </c>
      <c r="D41" s="43">
        <v>3000</v>
      </c>
      <c r="E41" s="44">
        <v>24000</v>
      </c>
      <c r="F41" s="109" t="s">
        <v>32</v>
      </c>
      <c r="G41" s="47"/>
      <c r="H41" s="42"/>
      <c r="I41" s="42">
        <v>8</v>
      </c>
      <c r="J41" s="227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17"/>
      <c r="X41" s="17"/>
    </row>
    <row r="42" spans="1:24" ht="15.75" customHeight="1" x14ac:dyDescent="0.2">
      <c r="A42" s="236"/>
      <c r="B42" s="297" t="s">
        <v>302</v>
      </c>
      <c r="C42" s="42" t="s">
        <v>303</v>
      </c>
      <c r="D42" s="43">
        <v>500</v>
      </c>
      <c r="E42" s="44">
        <v>5000</v>
      </c>
      <c r="F42" s="109" t="s">
        <v>71</v>
      </c>
      <c r="G42" s="47"/>
      <c r="H42" s="42"/>
      <c r="I42" s="42">
        <v>10</v>
      </c>
      <c r="J42" s="227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17"/>
      <c r="X42" s="17"/>
    </row>
    <row r="43" spans="1:24" ht="15.75" customHeight="1" x14ac:dyDescent="0.2">
      <c r="A43" s="236"/>
      <c r="B43" s="297" t="s">
        <v>304</v>
      </c>
      <c r="C43" s="42" t="s">
        <v>280</v>
      </c>
      <c r="D43" s="43">
        <v>3000</v>
      </c>
      <c r="E43" s="44">
        <v>15000</v>
      </c>
      <c r="F43" s="109" t="s">
        <v>71</v>
      </c>
      <c r="G43" s="47"/>
      <c r="H43" s="42"/>
      <c r="I43" s="42">
        <v>5</v>
      </c>
      <c r="J43" s="227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17"/>
      <c r="X43" s="17"/>
    </row>
    <row r="44" spans="1:24" ht="15.75" customHeight="1" x14ac:dyDescent="0.2">
      <c r="A44" s="236"/>
      <c r="B44" s="297" t="s">
        <v>305</v>
      </c>
      <c r="C44" s="42" t="s">
        <v>280</v>
      </c>
      <c r="D44" s="43">
        <v>1500</v>
      </c>
      <c r="E44" s="44">
        <v>7500</v>
      </c>
      <c r="F44" s="109" t="s">
        <v>71</v>
      </c>
      <c r="G44" s="47"/>
      <c r="H44" s="42"/>
      <c r="I44" s="42">
        <v>5</v>
      </c>
      <c r="J44" s="227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17"/>
      <c r="X44" s="17"/>
    </row>
    <row r="45" spans="1:24" ht="15.75" customHeight="1" x14ac:dyDescent="0.2">
      <c r="A45" s="236"/>
      <c r="B45" s="297" t="s">
        <v>306</v>
      </c>
      <c r="C45" s="42" t="s">
        <v>307</v>
      </c>
      <c r="D45" s="43">
        <v>75</v>
      </c>
      <c r="E45" s="44">
        <v>1500</v>
      </c>
      <c r="F45" s="109" t="s">
        <v>71</v>
      </c>
      <c r="G45" s="47"/>
      <c r="H45" s="42"/>
      <c r="I45" s="42">
        <v>20</v>
      </c>
      <c r="J45" s="227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17"/>
      <c r="X45" s="17"/>
    </row>
    <row r="46" spans="1:24" ht="15.75" customHeight="1" x14ac:dyDescent="0.2">
      <c r="A46" s="236"/>
      <c r="B46" s="297" t="s">
        <v>308</v>
      </c>
      <c r="C46" s="42" t="s">
        <v>307</v>
      </c>
      <c r="D46" s="43">
        <v>150</v>
      </c>
      <c r="E46" s="44">
        <v>3000</v>
      </c>
      <c r="F46" s="109" t="s">
        <v>71</v>
      </c>
      <c r="G46" s="47"/>
      <c r="H46" s="42"/>
      <c r="I46" s="42">
        <v>20</v>
      </c>
      <c r="J46" s="227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17"/>
      <c r="X46" s="17"/>
    </row>
    <row r="47" spans="1:24" ht="15.75" customHeight="1" x14ac:dyDescent="0.2">
      <c r="A47" s="236"/>
      <c r="B47" s="297" t="s">
        <v>309</v>
      </c>
      <c r="C47" s="42" t="s">
        <v>310</v>
      </c>
      <c r="D47" s="43">
        <v>250</v>
      </c>
      <c r="E47" s="44">
        <v>2500</v>
      </c>
      <c r="F47" s="109" t="s">
        <v>71</v>
      </c>
      <c r="G47" s="47"/>
      <c r="H47" s="42"/>
      <c r="I47" s="42">
        <v>10</v>
      </c>
      <c r="J47" s="227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17"/>
      <c r="X47" s="17"/>
    </row>
    <row r="48" spans="1:24" ht="15.75" customHeight="1" x14ac:dyDescent="0.2">
      <c r="A48" s="236"/>
      <c r="B48" s="297" t="s">
        <v>311</v>
      </c>
      <c r="C48" s="42" t="s">
        <v>312</v>
      </c>
      <c r="D48" s="43">
        <v>1000</v>
      </c>
      <c r="E48" s="44">
        <v>10000</v>
      </c>
      <c r="F48" s="109" t="s">
        <v>71</v>
      </c>
      <c r="G48" s="47"/>
      <c r="H48" s="42"/>
      <c r="I48" s="42">
        <v>10</v>
      </c>
      <c r="J48" s="227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17"/>
      <c r="X48" s="17"/>
    </row>
    <row r="49" spans="1:24" ht="15.75" customHeight="1" x14ac:dyDescent="0.2">
      <c r="A49" s="293"/>
      <c r="B49" s="202" t="s">
        <v>313</v>
      </c>
      <c r="C49" s="196" t="s">
        <v>191</v>
      </c>
      <c r="D49" s="197">
        <v>300</v>
      </c>
      <c r="E49" s="198">
        <v>60000</v>
      </c>
      <c r="F49" s="84" t="s">
        <v>32</v>
      </c>
      <c r="G49" s="52"/>
      <c r="H49" s="196">
        <v>200</v>
      </c>
      <c r="I49" s="196"/>
      <c r="J49" s="196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17"/>
      <c r="X49" s="17"/>
    </row>
    <row r="50" spans="1:24" ht="15.75" customHeight="1" x14ac:dyDescent="0.2">
      <c r="A50" s="293"/>
      <c r="B50" s="99" t="s">
        <v>313</v>
      </c>
      <c r="C50" s="42" t="s">
        <v>314</v>
      </c>
      <c r="D50" s="43">
        <v>300</v>
      </c>
      <c r="E50" s="44">
        <v>90000</v>
      </c>
      <c r="F50" s="109" t="s">
        <v>32</v>
      </c>
      <c r="G50" s="47"/>
      <c r="H50" s="42"/>
      <c r="I50" s="42">
        <v>300</v>
      </c>
      <c r="J50" s="42"/>
      <c r="K50" s="47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17"/>
      <c r="X50" s="17"/>
    </row>
    <row r="51" spans="1:24" ht="15.75" customHeight="1" x14ac:dyDescent="0.2">
      <c r="A51" s="293"/>
      <c r="B51" s="376" t="s">
        <v>60</v>
      </c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4"/>
      <c r="W51" s="17"/>
      <c r="X51" s="17"/>
    </row>
    <row r="52" spans="1:24" ht="15.75" customHeight="1" x14ac:dyDescent="0.2">
      <c r="A52" s="236"/>
      <c r="B52" s="298" t="s">
        <v>211</v>
      </c>
      <c r="C52" s="237" t="s">
        <v>70</v>
      </c>
      <c r="D52" s="238">
        <v>500</v>
      </c>
      <c r="E52" s="238">
        <v>10000</v>
      </c>
      <c r="F52" s="109" t="s">
        <v>71</v>
      </c>
      <c r="G52" s="109"/>
      <c r="H52" s="118">
        <v>20</v>
      </c>
      <c r="I52" s="109"/>
      <c r="J52" s="118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7"/>
      <c r="X52" s="17"/>
    </row>
    <row r="53" spans="1:24" ht="15.75" customHeight="1" x14ac:dyDescent="0.2">
      <c r="A53" s="236"/>
      <c r="B53" s="299" t="s">
        <v>212</v>
      </c>
      <c r="C53" s="237" t="s">
        <v>70</v>
      </c>
      <c r="D53" s="240">
        <v>500</v>
      </c>
      <c r="E53" s="240">
        <v>10000</v>
      </c>
      <c r="F53" s="109" t="s">
        <v>71</v>
      </c>
      <c r="G53" s="109"/>
      <c r="H53" s="118">
        <v>20</v>
      </c>
      <c r="I53" s="109"/>
      <c r="J53" s="118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7"/>
      <c r="X53" s="17"/>
    </row>
    <row r="54" spans="1:24" ht="15.75" customHeight="1" x14ac:dyDescent="0.2">
      <c r="A54" s="236"/>
      <c r="B54" s="300" t="s">
        <v>213</v>
      </c>
      <c r="C54" s="242" t="s">
        <v>75</v>
      </c>
      <c r="D54" s="106">
        <v>450</v>
      </c>
      <c r="E54" s="107">
        <v>22500</v>
      </c>
      <c r="F54" s="109" t="s">
        <v>71</v>
      </c>
      <c r="G54" s="109"/>
      <c r="H54" s="118">
        <v>50</v>
      </c>
      <c r="I54" s="109"/>
      <c r="J54" s="118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7"/>
      <c r="X54" s="17"/>
    </row>
    <row r="55" spans="1:24" ht="15.75" customHeight="1" x14ac:dyDescent="0.2">
      <c r="A55" s="236"/>
      <c r="B55" s="301" t="s">
        <v>315</v>
      </c>
      <c r="C55" s="242" t="s">
        <v>75</v>
      </c>
      <c r="D55" s="106">
        <v>1000</v>
      </c>
      <c r="E55" s="107">
        <v>50000</v>
      </c>
      <c r="F55" s="109" t="s">
        <v>71</v>
      </c>
      <c r="G55" s="109"/>
      <c r="H55" s="118">
        <v>50</v>
      </c>
      <c r="I55" s="109"/>
      <c r="J55" s="118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7"/>
      <c r="X55" s="17"/>
    </row>
    <row r="56" spans="1:24" ht="15.75" customHeight="1" x14ac:dyDescent="0.2">
      <c r="A56" s="236"/>
      <c r="B56" s="302" t="s">
        <v>316</v>
      </c>
      <c r="C56" s="242" t="s">
        <v>317</v>
      </c>
      <c r="D56" s="106">
        <v>300</v>
      </c>
      <c r="E56" s="107">
        <v>22500</v>
      </c>
      <c r="F56" s="109" t="s">
        <v>71</v>
      </c>
      <c r="G56" s="109"/>
      <c r="H56" s="118"/>
      <c r="I56" s="118">
        <v>75</v>
      </c>
      <c r="J56" s="118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7"/>
      <c r="X56" s="17"/>
    </row>
    <row r="57" spans="1:24" ht="15.75" customHeight="1" x14ac:dyDescent="0.2">
      <c r="A57" s="236"/>
      <c r="B57" s="300" t="s">
        <v>318</v>
      </c>
      <c r="C57" s="242" t="s">
        <v>319</v>
      </c>
      <c r="D57" s="106">
        <v>250</v>
      </c>
      <c r="E57" s="107">
        <v>15250</v>
      </c>
      <c r="F57" s="109" t="s">
        <v>71</v>
      </c>
      <c r="G57" s="109"/>
      <c r="H57" s="118"/>
      <c r="I57" s="118">
        <v>61</v>
      </c>
      <c r="J57" s="118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7"/>
      <c r="X57" s="17"/>
    </row>
    <row r="58" spans="1:24" ht="15.75" customHeight="1" x14ac:dyDescent="0.2">
      <c r="A58" s="236"/>
      <c r="B58" s="303" t="s">
        <v>320</v>
      </c>
      <c r="C58" s="242" t="s">
        <v>275</v>
      </c>
      <c r="D58" s="106">
        <v>200</v>
      </c>
      <c r="E58" s="107">
        <v>6000</v>
      </c>
      <c r="F58" s="109" t="s">
        <v>71</v>
      </c>
      <c r="G58" s="109"/>
      <c r="H58" s="118"/>
      <c r="I58" s="118">
        <v>30</v>
      </c>
      <c r="J58" s="118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7"/>
      <c r="X58" s="17"/>
    </row>
    <row r="59" spans="1:24" ht="15.75" customHeight="1" x14ac:dyDescent="0.2">
      <c r="A59" s="236"/>
      <c r="B59" s="300" t="s">
        <v>321</v>
      </c>
      <c r="C59" s="304" t="s">
        <v>129</v>
      </c>
      <c r="D59" s="244">
        <v>2000</v>
      </c>
      <c r="E59" s="245">
        <v>20000</v>
      </c>
      <c r="F59" s="109" t="s">
        <v>71</v>
      </c>
      <c r="G59" s="84"/>
      <c r="H59" s="219"/>
      <c r="I59" s="219">
        <v>10</v>
      </c>
      <c r="J59" s="219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17"/>
      <c r="X59" s="17"/>
    </row>
    <row r="60" spans="1:24" ht="15.75" customHeight="1" x14ac:dyDescent="0.2">
      <c r="A60" s="236"/>
      <c r="B60" s="305" t="s">
        <v>322</v>
      </c>
      <c r="C60" s="304" t="s">
        <v>75</v>
      </c>
      <c r="D60" s="244">
        <v>500</v>
      </c>
      <c r="E60" s="245">
        <v>25000</v>
      </c>
      <c r="F60" s="109" t="s">
        <v>71</v>
      </c>
      <c r="G60" s="84"/>
      <c r="H60" s="219"/>
      <c r="I60" s="219">
        <v>50</v>
      </c>
      <c r="J60" s="219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17"/>
      <c r="X60" s="17"/>
    </row>
    <row r="61" spans="1:24" ht="15.75" customHeight="1" x14ac:dyDescent="0.2">
      <c r="A61" s="236"/>
      <c r="B61" s="305" t="s">
        <v>323</v>
      </c>
      <c r="C61" s="306" t="s">
        <v>131</v>
      </c>
      <c r="D61" s="307">
        <v>700</v>
      </c>
      <c r="E61" s="308">
        <v>10500</v>
      </c>
      <c r="F61" s="84" t="s">
        <v>71</v>
      </c>
      <c r="G61" s="84"/>
      <c r="H61" s="219"/>
      <c r="I61" s="219"/>
      <c r="J61" s="309">
        <v>15</v>
      </c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17"/>
      <c r="X61" s="17"/>
    </row>
    <row r="62" spans="1:24" ht="15.75" customHeight="1" x14ac:dyDescent="0.2">
      <c r="A62" s="293"/>
      <c r="B62" s="376" t="s">
        <v>82</v>
      </c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4"/>
      <c r="W62" s="17"/>
      <c r="X62" s="17"/>
    </row>
    <row r="63" spans="1:24" ht="15.75" customHeight="1" x14ac:dyDescent="0.2">
      <c r="A63" s="293"/>
      <c r="B63" s="104" t="s">
        <v>324</v>
      </c>
      <c r="C63" s="105" t="s">
        <v>325</v>
      </c>
      <c r="D63" s="310">
        <v>500</v>
      </c>
      <c r="E63" s="311">
        <v>25000</v>
      </c>
      <c r="F63" s="109" t="s">
        <v>32</v>
      </c>
      <c r="G63" s="47"/>
      <c r="H63" s="42">
        <v>25</v>
      </c>
      <c r="I63" s="47"/>
      <c r="J63" s="42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17"/>
      <c r="X63" s="17"/>
    </row>
    <row r="64" spans="1:24" ht="14.25" customHeight="1" x14ac:dyDescent="0.2">
      <c r="A64" s="293"/>
      <c r="B64" s="312" t="s">
        <v>326</v>
      </c>
      <c r="C64" s="105" t="s">
        <v>219</v>
      </c>
      <c r="D64" s="106">
        <v>800</v>
      </c>
      <c r="E64" s="107">
        <v>56000</v>
      </c>
      <c r="F64" s="109" t="s">
        <v>32</v>
      </c>
      <c r="G64" s="109"/>
      <c r="H64" s="118">
        <v>70</v>
      </c>
      <c r="I64" s="109"/>
      <c r="J64" s="118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7"/>
      <c r="X64" s="17"/>
    </row>
    <row r="65" spans="1:24" ht="14.25" customHeight="1" x14ac:dyDescent="0.2">
      <c r="A65" s="293"/>
      <c r="B65" s="416" t="s">
        <v>83</v>
      </c>
      <c r="C65" s="417"/>
      <c r="D65" s="417"/>
      <c r="E65" s="417"/>
      <c r="F65" s="417"/>
      <c r="G65" s="417"/>
      <c r="H65" s="417"/>
      <c r="I65" s="417"/>
      <c r="J65" s="417"/>
      <c r="K65" s="417"/>
      <c r="L65" s="417"/>
      <c r="M65" s="417"/>
      <c r="N65" s="417"/>
      <c r="O65" s="417"/>
      <c r="P65" s="417"/>
      <c r="Q65" s="417"/>
      <c r="R65" s="417"/>
      <c r="S65" s="417"/>
      <c r="T65" s="417"/>
      <c r="U65" s="417"/>
      <c r="V65" s="418"/>
      <c r="W65" s="17"/>
      <c r="X65" s="17"/>
    </row>
    <row r="66" spans="1:24" ht="30" customHeight="1" x14ac:dyDescent="0.2">
      <c r="A66" s="293"/>
      <c r="B66" s="312" t="s">
        <v>327</v>
      </c>
      <c r="C66" s="36" t="s">
        <v>59</v>
      </c>
      <c r="D66" s="271">
        <v>70000</v>
      </c>
      <c r="E66" s="313">
        <v>70000</v>
      </c>
      <c r="F66" s="146" t="s">
        <v>32</v>
      </c>
      <c r="G66" s="109"/>
      <c r="H66" s="218">
        <v>1</v>
      </c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7"/>
      <c r="X66" s="17"/>
    </row>
    <row r="67" spans="1:24" ht="22.5" customHeight="1" x14ac:dyDescent="0.2">
      <c r="A67" s="293"/>
      <c r="B67" s="80" t="s">
        <v>328</v>
      </c>
      <c r="C67" s="213" t="s">
        <v>329</v>
      </c>
      <c r="D67" s="314">
        <v>10000</v>
      </c>
      <c r="E67" s="249">
        <v>20000</v>
      </c>
      <c r="F67" s="97" t="s">
        <v>330</v>
      </c>
      <c r="G67" s="84"/>
      <c r="H67" s="85"/>
      <c r="I67" s="84"/>
      <c r="J67" s="315">
        <v>2</v>
      </c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17"/>
      <c r="X67" s="17"/>
    </row>
    <row r="68" spans="1:24" ht="22.5" customHeight="1" x14ac:dyDescent="0.2">
      <c r="A68" s="293"/>
      <c r="B68" s="80" t="s">
        <v>331</v>
      </c>
      <c r="C68" s="213" t="s">
        <v>332</v>
      </c>
      <c r="D68" s="314">
        <v>1000</v>
      </c>
      <c r="E68" s="249">
        <v>8000</v>
      </c>
      <c r="F68" s="97" t="s">
        <v>330</v>
      </c>
      <c r="G68" s="84"/>
      <c r="H68" s="85"/>
      <c r="I68" s="84"/>
      <c r="J68" s="315">
        <v>8</v>
      </c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17"/>
      <c r="X68" s="17"/>
    </row>
    <row r="69" spans="1:24" ht="22.5" customHeight="1" x14ac:dyDescent="0.2">
      <c r="A69" s="293"/>
      <c r="B69" s="316" t="s">
        <v>333</v>
      </c>
      <c r="C69" s="213" t="s">
        <v>334</v>
      </c>
      <c r="D69" s="314">
        <v>100</v>
      </c>
      <c r="E69" s="249">
        <v>4000</v>
      </c>
      <c r="F69" s="146" t="s">
        <v>32</v>
      </c>
      <c r="G69" s="84"/>
      <c r="H69" s="85"/>
      <c r="I69" s="84"/>
      <c r="J69" s="315">
        <v>40</v>
      </c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17"/>
      <c r="X69" s="17"/>
    </row>
    <row r="70" spans="1:24" ht="22.5" customHeight="1" x14ac:dyDescent="0.2">
      <c r="A70" s="293"/>
      <c r="B70" s="317" t="s">
        <v>335</v>
      </c>
      <c r="C70" s="213" t="s">
        <v>59</v>
      </c>
      <c r="D70" s="314">
        <v>49000</v>
      </c>
      <c r="E70" s="249">
        <v>49000</v>
      </c>
      <c r="F70" s="146" t="s">
        <v>32</v>
      </c>
      <c r="G70" s="84"/>
      <c r="H70" s="85"/>
      <c r="I70" s="84"/>
      <c r="J70" s="315">
        <v>1</v>
      </c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17"/>
      <c r="X70" s="17"/>
    </row>
    <row r="71" spans="1:24" ht="15.75" customHeight="1" x14ac:dyDescent="0.2">
      <c r="A71" s="293"/>
      <c r="B71" s="376" t="s">
        <v>256</v>
      </c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4"/>
      <c r="W71" s="17"/>
      <c r="X71" s="17"/>
    </row>
    <row r="72" spans="1:24" ht="15.75" customHeight="1" x14ac:dyDescent="0.2">
      <c r="A72" s="236"/>
      <c r="B72" s="115" t="s">
        <v>336</v>
      </c>
      <c r="C72" s="318" t="s">
        <v>59</v>
      </c>
      <c r="D72" s="116">
        <v>1800000</v>
      </c>
      <c r="E72" s="116">
        <v>1800000</v>
      </c>
      <c r="F72" s="109" t="s">
        <v>337</v>
      </c>
      <c r="G72" s="109"/>
      <c r="H72" s="218">
        <v>1</v>
      </c>
      <c r="I72" s="118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7"/>
      <c r="X72" s="17"/>
    </row>
    <row r="73" spans="1:24" ht="15.75" customHeight="1" x14ac:dyDescent="0.2">
      <c r="A73" s="319"/>
      <c r="B73" s="115" t="s">
        <v>338</v>
      </c>
      <c r="C73" s="87" t="s">
        <v>59</v>
      </c>
      <c r="D73" s="320">
        <v>1200000</v>
      </c>
      <c r="E73" s="320">
        <v>1200000</v>
      </c>
      <c r="F73" s="109" t="s">
        <v>337</v>
      </c>
      <c r="G73" s="84"/>
      <c r="H73" s="85"/>
      <c r="I73" s="219">
        <v>1</v>
      </c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17"/>
      <c r="X73" s="17"/>
    </row>
    <row r="74" spans="1:24" ht="15.75" customHeight="1" x14ac:dyDescent="0.2">
      <c r="A74" s="293"/>
      <c r="B74" s="119" t="s">
        <v>339</v>
      </c>
      <c r="C74" s="120"/>
      <c r="D74" s="121"/>
      <c r="E74" s="120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7"/>
      <c r="X74" s="17"/>
    </row>
    <row r="75" spans="1:24" ht="15.75" customHeight="1" x14ac:dyDescent="0.2">
      <c r="A75" s="293"/>
      <c r="B75" s="115" t="s">
        <v>340</v>
      </c>
      <c r="C75" s="30">
        <v>3</v>
      </c>
      <c r="D75" s="116">
        <v>13000</v>
      </c>
      <c r="E75" s="117">
        <v>39000</v>
      </c>
      <c r="F75" s="321" t="s">
        <v>71</v>
      </c>
      <c r="G75" s="118"/>
      <c r="H75" s="118"/>
      <c r="I75" s="118"/>
      <c r="J75" s="248">
        <v>3</v>
      </c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7"/>
      <c r="X75" s="17"/>
    </row>
    <row r="76" spans="1:24" ht="15.75" customHeight="1" x14ac:dyDescent="0.2">
      <c r="A76" s="293"/>
      <c r="B76" s="115" t="s">
        <v>341</v>
      </c>
      <c r="C76" s="30">
        <v>5</v>
      </c>
      <c r="D76" s="116">
        <v>18000</v>
      </c>
      <c r="E76" s="117">
        <f t="shared" ref="E76:E77" si="0">18000*5</f>
        <v>90000</v>
      </c>
      <c r="F76" s="146" t="s">
        <v>32</v>
      </c>
      <c r="G76" s="118"/>
      <c r="H76" s="118"/>
      <c r="I76" s="118"/>
      <c r="J76" s="248">
        <v>5</v>
      </c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7"/>
      <c r="X76" s="17"/>
    </row>
    <row r="77" spans="1:24" ht="15.75" customHeight="1" x14ac:dyDescent="0.2">
      <c r="A77" s="293"/>
      <c r="B77" s="115" t="s">
        <v>342</v>
      </c>
      <c r="C77" s="30">
        <v>5</v>
      </c>
      <c r="D77" s="116">
        <v>18000</v>
      </c>
      <c r="E77" s="117">
        <f t="shared" si="0"/>
        <v>90000</v>
      </c>
      <c r="F77" s="146" t="s">
        <v>32</v>
      </c>
      <c r="G77" s="118"/>
      <c r="H77" s="118"/>
      <c r="I77" s="118"/>
      <c r="J77" s="248">
        <v>5</v>
      </c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7"/>
      <c r="X77" s="17"/>
    </row>
    <row r="78" spans="1:24" ht="15.75" customHeight="1" x14ac:dyDescent="0.2">
      <c r="A78" s="293"/>
      <c r="B78" s="119" t="s">
        <v>343</v>
      </c>
      <c r="C78" s="120"/>
      <c r="D78" s="121"/>
      <c r="E78" s="120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7"/>
      <c r="X78" s="17"/>
    </row>
    <row r="79" spans="1:24" ht="15.75" customHeight="1" x14ac:dyDescent="0.2">
      <c r="A79" s="293"/>
      <c r="B79" s="322" t="s">
        <v>344</v>
      </c>
      <c r="C79" s="49" t="s">
        <v>345</v>
      </c>
      <c r="D79" s="50">
        <v>35000</v>
      </c>
      <c r="E79" s="51">
        <v>140000</v>
      </c>
      <c r="F79" s="323" t="s">
        <v>32</v>
      </c>
      <c r="G79" s="181"/>
      <c r="H79" s="49"/>
      <c r="I79" s="49"/>
      <c r="J79" s="324">
        <v>4</v>
      </c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7"/>
      <c r="X79" s="17"/>
    </row>
    <row r="80" spans="1:24" ht="15.75" customHeight="1" x14ac:dyDescent="0.2">
      <c r="A80" s="293"/>
      <c r="B80" s="99" t="s">
        <v>346</v>
      </c>
      <c r="C80" s="196" t="s">
        <v>347</v>
      </c>
      <c r="D80" s="197">
        <v>48000</v>
      </c>
      <c r="E80" s="198">
        <v>48000</v>
      </c>
      <c r="F80" s="84" t="s">
        <v>32</v>
      </c>
      <c r="G80" s="52"/>
      <c r="H80" s="196"/>
      <c r="I80" s="196"/>
      <c r="J80" s="309">
        <v>1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17"/>
      <c r="X80" s="17"/>
    </row>
    <row r="81" spans="1:26" ht="15.75" customHeight="1" x14ac:dyDescent="0.2">
      <c r="A81" s="293"/>
      <c r="B81" s="299"/>
      <c r="C81" s="325"/>
      <c r="D81" s="326"/>
      <c r="E81" s="327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17"/>
      <c r="X81" s="17"/>
    </row>
    <row r="82" spans="1:26" ht="15.75" customHeight="1" x14ac:dyDescent="0.2">
      <c r="A82" s="135"/>
      <c r="B82" s="379"/>
      <c r="C82" s="380"/>
      <c r="D82" s="380"/>
      <c r="E82" s="380"/>
      <c r="F82" s="380"/>
      <c r="G82" s="380"/>
      <c r="H82" s="380"/>
      <c r="I82" s="380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7"/>
      <c r="X82" s="137"/>
      <c r="Y82" s="136"/>
      <c r="Z82" s="136"/>
    </row>
    <row r="83" spans="1:26" ht="15.75" customHeight="1" x14ac:dyDescent="0.2">
      <c r="A83" s="138"/>
      <c r="B83" s="139"/>
      <c r="C83" s="9"/>
      <c r="D83" s="10"/>
      <c r="E83" s="140"/>
      <c r="F83" s="12"/>
      <c r="G83" s="1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6" ht="15.75" customHeight="1" x14ac:dyDescent="0.25">
      <c r="A84" s="142" t="s">
        <v>86</v>
      </c>
      <c r="B84" s="3"/>
      <c r="C84" s="381">
        <f>SUM(E11:E73)</f>
        <v>4679498</v>
      </c>
      <c r="D84" s="336"/>
      <c r="E84" s="336"/>
      <c r="F84" s="12"/>
      <c r="G84" s="1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6" ht="15.75" hidden="1" customHeight="1" x14ac:dyDescent="0.25">
      <c r="A85" s="143" t="s">
        <v>87</v>
      </c>
      <c r="B85" s="97"/>
      <c r="C85" s="332">
        <f>PRODUCT(C84,0.1)</f>
        <v>467949.80000000005</v>
      </c>
      <c r="D85" s="333"/>
      <c r="E85" s="334"/>
      <c r="F85" s="12"/>
      <c r="G85" s="12"/>
      <c r="H85" s="419"/>
      <c r="I85" s="336"/>
      <c r="J85" s="419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144"/>
      <c r="V85" s="1"/>
      <c r="W85" s="1"/>
      <c r="X85" s="1"/>
    </row>
    <row r="86" spans="1:26" ht="15.75" hidden="1" customHeight="1" x14ac:dyDescent="0.25">
      <c r="A86" s="145" t="s">
        <v>88</v>
      </c>
      <c r="B86" s="146"/>
      <c r="C86" s="337">
        <f>PRODUCT(C84,0.1)</f>
        <v>467949.80000000005</v>
      </c>
      <c r="D86" s="338"/>
      <c r="E86" s="339"/>
      <c r="F86" s="12"/>
      <c r="G86" s="12"/>
      <c r="H86" s="155"/>
      <c r="I86" s="155"/>
      <c r="J86" s="420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148"/>
      <c r="V86" s="1"/>
      <c r="W86" s="1"/>
      <c r="X86" s="1"/>
    </row>
    <row r="87" spans="1:26" ht="15.75" hidden="1" customHeight="1" x14ac:dyDescent="0.25">
      <c r="A87" s="145" t="s">
        <v>89</v>
      </c>
      <c r="B87" s="146"/>
      <c r="C87" s="337">
        <f>SUM(C84:E86)</f>
        <v>5615397.5999999996</v>
      </c>
      <c r="D87" s="338"/>
      <c r="E87" s="339"/>
      <c r="F87" s="12"/>
      <c r="G87" s="12"/>
      <c r="H87" s="155"/>
      <c r="I87" s="155"/>
      <c r="J87" s="420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148"/>
      <c r="V87" s="1"/>
      <c r="W87" s="1"/>
      <c r="X87" s="1"/>
    </row>
    <row r="88" spans="1:26" ht="15.75" customHeight="1" x14ac:dyDescent="0.2">
      <c r="A88" s="149"/>
      <c r="B88" s="3"/>
      <c r="C88" s="9"/>
      <c r="D88" s="10"/>
      <c r="E88" s="11"/>
      <c r="F88" s="12"/>
      <c r="G88" s="12"/>
      <c r="H88" s="155"/>
      <c r="I88" s="155"/>
      <c r="J88" s="420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148"/>
      <c r="V88" s="1"/>
      <c r="W88" s="1"/>
      <c r="X88" s="1"/>
    </row>
    <row r="89" spans="1:26" ht="15.75" customHeight="1" x14ac:dyDescent="0.2">
      <c r="A89" s="150" t="s">
        <v>90</v>
      </c>
      <c r="B89" s="3"/>
      <c r="C89" s="9"/>
      <c r="D89" s="10"/>
      <c r="E89" s="11"/>
      <c r="F89" s="12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6" ht="15.75" customHeight="1" x14ac:dyDescent="0.2">
      <c r="A90" s="60"/>
      <c r="B90" s="3"/>
      <c r="C90" s="9"/>
      <c r="D90" s="10"/>
      <c r="E90" s="11"/>
      <c r="F90" s="12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6" ht="15.75" customHeight="1" x14ac:dyDescent="0.2">
      <c r="A91" s="151" t="s">
        <v>91</v>
      </c>
      <c r="B91" s="139"/>
      <c r="C91" s="341" t="s">
        <v>92</v>
      </c>
      <c r="D91" s="336"/>
      <c r="E91" s="336"/>
      <c r="F91" s="155"/>
      <c r="G91" s="155"/>
      <c r="H91" s="1"/>
      <c r="I91" s="341" t="s">
        <v>93</v>
      </c>
      <c r="J91" s="336"/>
      <c r="K91" s="336"/>
      <c r="L91" s="336"/>
      <c r="M91" s="336"/>
      <c r="N91" s="336"/>
      <c r="O91" s="1"/>
      <c r="P91" s="1"/>
      <c r="Q91" s="341" t="s">
        <v>94</v>
      </c>
      <c r="R91" s="336"/>
      <c r="S91" s="336"/>
      <c r="T91" s="336"/>
      <c r="U91" s="1"/>
      <c r="V91" s="1"/>
      <c r="W91" s="1"/>
      <c r="X91" s="155"/>
    </row>
    <row r="92" spans="1:26" ht="15.75" customHeight="1" x14ac:dyDescent="0.2">
      <c r="A92" s="151"/>
      <c r="B92" s="139"/>
      <c r="C92" s="156"/>
      <c r="D92" s="157"/>
      <c r="E92" s="156"/>
      <c r="F92" s="155"/>
      <c r="G92" s="155"/>
      <c r="H92" s="1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5"/>
    </row>
    <row r="93" spans="1:26" ht="15.75" customHeight="1" x14ac:dyDescent="0.2">
      <c r="A93" s="139"/>
      <c r="B93" s="139"/>
      <c r="C93" s="158"/>
      <c r="D93" s="159"/>
      <c r="E93" s="160"/>
      <c r="F93" s="155"/>
      <c r="G93" s="155"/>
      <c r="H93" s="1"/>
      <c r="I93" s="155"/>
      <c r="J93" s="328"/>
      <c r="K93" s="328"/>
      <c r="L93" s="328"/>
      <c r="M93" s="328"/>
      <c r="N93" s="328"/>
      <c r="O93" s="328"/>
      <c r="P93" s="328"/>
      <c r="Q93" s="155"/>
      <c r="R93" s="328"/>
      <c r="S93" s="155"/>
      <c r="T93" s="155"/>
      <c r="U93" s="155"/>
      <c r="V93" s="155"/>
      <c r="W93" s="155"/>
      <c r="X93" s="155"/>
    </row>
    <row r="94" spans="1:26" ht="15.75" customHeight="1" x14ac:dyDescent="0.2">
      <c r="A94" s="385" t="s">
        <v>95</v>
      </c>
      <c r="B94" s="336"/>
      <c r="C94" s="343" t="s">
        <v>96</v>
      </c>
      <c r="D94" s="336"/>
      <c r="E94" s="336"/>
      <c r="F94" s="336"/>
      <c r="G94" s="1"/>
      <c r="H94" s="1"/>
      <c r="I94" s="343" t="s">
        <v>97</v>
      </c>
      <c r="J94" s="336"/>
      <c r="K94" s="336"/>
      <c r="L94" s="336"/>
      <c r="M94" s="336"/>
      <c r="N94" s="336"/>
      <c r="O94" s="1"/>
      <c r="P94" s="1"/>
      <c r="Q94" s="343" t="s">
        <v>98</v>
      </c>
      <c r="R94" s="336"/>
      <c r="S94" s="336"/>
      <c r="T94" s="336"/>
      <c r="U94" s="1"/>
      <c r="V94" s="1"/>
      <c r="W94" s="1"/>
      <c r="X94" s="1"/>
    </row>
    <row r="95" spans="1:26" ht="15" customHeight="1" x14ac:dyDescent="0.2">
      <c r="A95" s="386" t="s">
        <v>99</v>
      </c>
      <c r="B95" s="336"/>
      <c r="C95" s="387" t="s">
        <v>100</v>
      </c>
      <c r="D95" s="336"/>
      <c r="E95" s="336"/>
      <c r="F95" s="336"/>
      <c r="G95" s="329"/>
      <c r="H95" s="1"/>
      <c r="I95" s="421" t="s">
        <v>101</v>
      </c>
      <c r="J95" s="336"/>
      <c r="K95" s="336"/>
      <c r="L95" s="336"/>
      <c r="M95" s="336"/>
      <c r="N95" s="336"/>
      <c r="O95" s="1"/>
      <c r="P95" s="1"/>
      <c r="Q95" s="387" t="s">
        <v>102</v>
      </c>
      <c r="R95" s="336"/>
      <c r="S95" s="336"/>
      <c r="T95" s="336"/>
      <c r="U95" s="1"/>
      <c r="V95" s="1"/>
      <c r="W95" s="155"/>
      <c r="X95" s="155"/>
    </row>
    <row r="96" spans="1:26" ht="15.75" customHeight="1" x14ac:dyDescent="0.2">
      <c r="A96" s="1"/>
      <c r="B96" s="1"/>
      <c r="C96" s="9"/>
      <c r="D96" s="10"/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2">
      <c r="A97" s="1" t="s">
        <v>348</v>
      </c>
      <c r="B97" s="1"/>
      <c r="C97" s="346" t="s">
        <v>104</v>
      </c>
      <c r="D97" s="336"/>
      <c r="E97" s="336"/>
      <c r="F97" s="1"/>
      <c r="G97" s="1"/>
      <c r="H97" s="1"/>
      <c r="I97" s="346" t="s">
        <v>105</v>
      </c>
      <c r="J97" s="336"/>
      <c r="K97" s="336"/>
      <c r="L97" s="336"/>
      <c r="M97" s="1"/>
      <c r="N97" s="1"/>
      <c r="O97" s="1"/>
      <c r="P97" s="1"/>
      <c r="Q97" s="1" t="s">
        <v>105</v>
      </c>
      <c r="R97" s="1"/>
      <c r="S97" s="1"/>
      <c r="T97" s="1"/>
      <c r="U97" s="1"/>
      <c r="V97" s="1"/>
      <c r="W97" s="1"/>
      <c r="X97" s="1"/>
    </row>
    <row r="98" spans="1:24" ht="15.75" customHeight="1" x14ac:dyDescent="0.25">
      <c r="C98" s="9"/>
      <c r="D98" s="164"/>
      <c r="E98" s="9"/>
      <c r="H98" s="422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</row>
    <row r="99" spans="1:24" ht="15.75" customHeight="1" x14ac:dyDescent="0.25">
      <c r="C99" s="9"/>
      <c r="D99" s="164"/>
      <c r="E99" s="9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</row>
    <row r="100" spans="1:24" ht="15.75" customHeight="1" x14ac:dyDescent="0.25">
      <c r="C100" s="9"/>
      <c r="D100" s="164"/>
      <c r="E100" s="9"/>
      <c r="H100" s="330"/>
      <c r="I100" s="331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</row>
    <row r="101" spans="1:24" ht="15.75" customHeight="1" x14ac:dyDescent="0.25">
      <c r="C101" s="9"/>
      <c r="D101" s="164"/>
      <c r="E101" s="9"/>
      <c r="H101" s="423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</row>
    <row r="102" spans="1:24" ht="15.75" customHeight="1" x14ac:dyDescent="0.25">
      <c r="C102" s="9"/>
      <c r="D102" s="164"/>
      <c r="E102" s="9"/>
      <c r="H102" s="424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</row>
    <row r="103" spans="1:24" ht="15.75" customHeight="1" x14ac:dyDescent="0.25">
      <c r="C103" s="9"/>
      <c r="D103" s="164"/>
      <c r="E103" s="9"/>
    </row>
    <row r="104" spans="1:24" ht="15.75" customHeight="1" x14ac:dyDescent="0.25">
      <c r="C104" s="9"/>
      <c r="D104" s="164"/>
      <c r="E104" s="9"/>
    </row>
    <row r="105" spans="1:24" ht="15.75" customHeight="1" x14ac:dyDescent="0.25">
      <c r="C105" s="9"/>
      <c r="D105" s="164"/>
      <c r="E105" s="9"/>
    </row>
    <row r="106" spans="1:24" ht="15.75" customHeight="1" x14ac:dyDescent="0.25">
      <c r="C106" s="9"/>
      <c r="D106" s="164"/>
      <c r="E106" s="9"/>
    </row>
    <row r="107" spans="1:24" ht="15.75" customHeight="1" x14ac:dyDescent="0.25">
      <c r="C107" s="9"/>
      <c r="D107" s="164"/>
      <c r="E107" s="9"/>
    </row>
    <row r="108" spans="1:24" ht="15.75" customHeight="1" x14ac:dyDescent="0.25">
      <c r="C108" s="9"/>
      <c r="D108" s="164"/>
      <c r="E108" s="9"/>
    </row>
    <row r="109" spans="1:24" ht="15.75" customHeight="1" x14ac:dyDescent="0.25">
      <c r="C109" s="9"/>
      <c r="D109" s="164"/>
      <c r="E109" s="9"/>
    </row>
    <row r="110" spans="1:24" ht="15.75" customHeight="1" x14ac:dyDescent="0.25">
      <c r="C110" s="9"/>
      <c r="D110" s="164"/>
      <c r="E110" s="9"/>
    </row>
    <row r="111" spans="1:24" ht="15.75" customHeight="1" x14ac:dyDescent="0.25">
      <c r="C111" s="9"/>
      <c r="D111" s="164"/>
      <c r="E111" s="9"/>
    </row>
    <row r="112" spans="1:24" ht="15.75" customHeight="1" x14ac:dyDescent="0.25">
      <c r="C112" s="9"/>
      <c r="D112" s="164"/>
      <c r="E112" s="9"/>
    </row>
    <row r="113" spans="3:5" ht="15.75" customHeight="1" x14ac:dyDescent="0.25">
      <c r="C113" s="9"/>
      <c r="D113" s="164"/>
      <c r="E113" s="9"/>
    </row>
    <row r="114" spans="3:5" ht="15.75" customHeight="1" x14ac:dyDescent="0.25">
      <c r="C114" s="9"/>
      <c r="D114" s="164"/>
      <c r="E114" s="9"/>
    </row>
    <row r="115" spans="3:5" ht="15.75" customHeight="1" x14ac:dyDescent="0.25">
      <c r="C115" s="9"/>
      <c r="D115" s="164"/>
      <c r="E115" s="9"/>
    </row>
    <row r="116" spans="3:5" ht="15.75" customHeight="1" x14ac:dyDescent="0.25">
      <c r="C116" s="9"/>
      <c r="D116" s="164"/>
      <c r="E116" s="9"/>
    </row>
    <row r="117" spans="3:5" ht="15.75" customHeight="1" x14ac:dyDescent="0.25">
      <c r="C117" s="9"/>
      <c r="D117" s="164"/>
      <c r="E117" s="9"/>
    </row>
    <row r="118" spans="3:5" ht="15.75" customHeight="1" x14ac:dyDescent="0.25">
      <c r="C118" s="9"/>
      <c r="D118" s="164"/>
      <c r="E118" s="9"/>
    </row>
    <row r="119" spans="3:5" ht="15.75" customHeight="1" x14ac:dyDescent="0.25">
      <c r="C119" s="9"/>
      <c r="D119" s="164"/>
      <c r="E119" s="9"/>
    </row>
    <row r="120" spans="3:5" ht="15.75" customHeight="1" x14ac:dyDescent="0.25">
      <c r="C120" s="9"/>
      <c r="D120" s="164"/>
      <c r="E120" s="9"/>
    </row>
    <row r="121" spans="3:5" ht="15.75" customHeight="1" x14ac:dyDescent="0.25">
      <c r="C121" s="9"/>
      <c r="D121" s="164"/>
      <c r="E121" s="9"/>
    </row>
    <row r="122" spans="3:5" ht="15.75" customHeight="1" x14ac:dyDescent="0.25">
      <c r="C122" s="9"/>
      <c r="D122" s="164"/>
      <c r="E122" s="9"/>
    </row>
    <row r="123" spans="3:5" ht="15.75" customHeight="1" x14ac:dyDescent="0.25">
      <c r="C123" s="9"/>
      <c r="D123" s="164"/>
      <c r="E123" s="9"/>
    </row>
    <row r="124" spans="3:5" ht="15.75" customHeight="1" x14ac:dyDescent="0.25">
      <c r="C124" s="9"/>
      <c r="D124" s="164"/>
      <c r="E124" s="9"/>
    </row>
    <row r="125" spans="3:5" ht="15.75" customHeight="1" x14ac:dyDescent="0.25">
      <c r="C125" s="9"/>
      <c r="D125" s="164"/>
      <c r="E125" s="9"/>
    </row>
    <row r="126" spans="3:5" ht="15.75" customHeight="1" x14ac:dyDescent="0.25">
      <c r="C126" s="9"/>
      <c r="D126" s="164"/>
      <c r="E126" s="9"/>
    </row>
    <row r="127" spans="3:5" ht="15.75" customHeight="1" x14ac:dyDescent="0.25">
      <c r="C127" s="9"/>
      <c r="D127" s="164"/>
      <c r="E127" s="9"/>
    </row>
    <row r="128" spans="3:5" ht="15.75" customHeight="1" x14ac:dyDescent="0.25">
      <c r="C128" s="9"/>
      <c r="D128" s="164"/>
      <c r="E128" s="9"/>
    </row>
    <row r="129" spans="3:5" ht="15.75" customHeight="1" x14ac:dyDescent="0.25">
      <c r="C129" s="9"/>
      <c r="D129" s="164"/>
      <c r="E129" s="9"/>
    </row>
    <row r="130" spans="3:5" ht="15.75" customHeight="1" x14ac:dyDescent="0.25">
      <c r="C130" s="9"/>
      <c r="D130" s="164"/>
      <c r="E130" s="9"/>
    </row>
    <row r="131" spans="3:5" ht="15.75" customHeight="1" x14ac:dyDescent="0.25">
      <c r="C131" s="9"/>
      <c r="D131" s="164"/>
      <c r="E131" s="9"/>
    </row>
    <row r="132" spans="3:5" ht="15.75" customHeight="1" x14ac:dyDescent="0.25">
      <c r="C132" s="9"/>
      <c r="D132" s="164"/>
      <c r="E132" s="9"/>
    </row>
    <row r="133" spans="3:5" ht="15.75" customHeight="1" x14ac:dyDescent="0.25">
      <c r="C133" s="9"/>
      <c r="D133" s="164"/>
      <c r="E133" s="9"/>
    </row>
    <row r="134" spans="3:5" ht="15.75" customHeight="1" x14ac:dyDescent="0.25">
      <c r="C134" s="9"/>
      <c r="D134" s="164"/>
      <c r="E134" s="9"/>
    </row>
    <row r="135" spans="3:5" ht="15.75" customHeight="1" x14ac:dyDescent="0.25">
      <c r="C135" s="9"/>
      <c r="D135" s="164"/>
      <c r="E135" s="9"/>
    </row>
    <row r="136" spans="3:5" ht="15.75" customHeight="1" x14ac:dyDescent="0.25">
      <c r="C136" s="9"/>
      <c r="D136" s="164"/>
      <c r="E136" s="9"/>
    </row>
    <row r="137" spans="3:5" ht="15.75" customHeight="1" x14ac:dyDescent="0.25">
      <c r="C137" s="9"/>
      <c r="D137" s="164"/>
      <c r="E137" s="9"/>
    </row>
    <row r="138" spans="3:5" ht="15.75" customHeight="1" x14ac:dyDescent="0.25">
      <c r="C138" s="9"/>
      <c r="D138" s="164"/>
      <c r="E138" s="9"/>
    </row>
    <row r="139" spans="3:5" ht="15.75" customHeight="1" x14ac:dyDescent="0.25">
      <c r="C139" s="9"/>
      <c r="D139" s="164"/>
      <c r="E139" s="9"/>
    </row>
    <row r="140" spans="3:5" ht="15.75" customHeight="1" x14ac:dyDescent="0.25">
      <c r="C140" s="9"/>
      <c r="D140" s="164"/>
      <c r="E140" s="9"/>
    </row>
    <row r="141" spans="3:5" ht="15.75" customHeight="1" x14ac:dyDescent="0.25">
      <c r="C141" s="9"/>
      <c r="D141" s="164"/>
      <c r="E141" s="9"/>
    </row>
    <row r="142" spans="3:5" ht="15.75" customHeight="1" x14ac:dyDescent="0.25">
      <c r="C142" s="9"/>
      <c r="D142" s="164"/>
      <c r="E142" s="9"/>
    </row>
    <row r="143" spans="3:5" ht="15.75" customHeight="1" x14ac:dyDescent="0.25">
      <c r="C143" s="9"/>
      <c r="D143" s="164"/>
      <c r="E143" s="9"/>
    </row>
    <row r="144" spans="3:5" ht="15.75" customHeight="1" x14ac:dyDescent="0.25">
      <c r="C144" s="9"/>
      <c r="D144" s="164"/>
      <c r="E144" s="9"/>
    </row>
    <row r="145" spans="3:5" ht="15.75" customHeight="1" x14ac:dyDescent="0.25">
      <c r="C145" s="9"/>
      <c r="D145" s="164"/>
      <c r="E145" s="9"/>
    </row>
    <row r="146" spans="3:5" ht="15.75" customHeight="1" x14ac:dyDescent="0.25">
      <c r="C146" s="9"/>
      <c r="D146" s="164"/>
      <c r="E146" s="9"/>
    </row>
    <row r="147" spans="3:5" ht="15.75" customHeight="1" x14ac:dyDescent="0.25">
      <c r="C147" s="9"/>
      <c r="D147" s="164"/>
      <c r="E147" s="9"/>
    </row>
    <row r="148" spans="3:5" ht="15.75" customHeight="1" x14ac:dyDescent="0.25">
      <c r="C148" s="9"/>
      <c r="D148" s="164"/>
      <c r="E148" s="9"/>
    </row>
    <row r="149" spans="3:5" ht="15.75" customHeight="1" x14ac:dyDescent="0.25">
      <c r="C149" s="9"/>
      <c r="D149" s="164"/>
      <c r="E149" s="9"/>
    </row>
    <row r="150" spans="3:5" ht="15.75" customHeight="1" x14ac:dyDescent="0.25">
      <c r="C150" s="9"/>
      <c r="D150" s="164"/>
      <c r="E150" s="9"/>
    </row>
    <row r="151" spans="3:5" ht="15.75" customHeight="1" x14ac:dyDescent="0.25">
      <c r="C151" s="9"/>
      <c r="D151" s="164"/>
      <c r="E151" s="9"/>
    </row>
    <row r="152" spans="3:5" ht="15.75" customHeight="1" x14ac:dyDescent="0.25">
      <c r="C152" s="9"/>
      <c r="D152" s="164"/>
      <c r="E152" s="9"/>
    </row>
    <row r="153" spans="3:5" ht="15.75" customHeight="1" x14ac:dyDescent="0.25">
      <c r="C153" s="9"/>
      <c r="D153" s="164"/>
      <c r="E153" s="9"/>
    </row>
    <row r="154" spans="3:5" ht="15.75" customHeight="1" x14ac:dyDescent="0.25">
      <c r="C154" s="9"/>
      <c r="D154" s="164"/>
      <c r="E154" s="9"/>
    </row>
    <row r="155" spans="3:5" ht="15.75" customHeight="1" x14ac:dyDescent="0.25">
      <c r="C155" s="9"/>
      <c r="D155" s="164"/>
      <c r="E155" s="9"/>
    </row>
    <row r="156" spans="3:5" ht="15.75" customHeight="1" x14ac:dyDescent="0.25">
      <c r="C156" s="9"/>
      <c r="D156" s="164"/>
      <c r="E156" s="9"/>
    </row>
    <row r="157" spans="3:5" ht="15.75" customHeight="1" x14ac:dyDescent="0.25">
      <c r="C157" s="9"/>
      <c r="D157" s="164"/>
      <c r="E157" s="9"/>
    </row>
    <row r="158" spans="3:5" ht="15.75" customHeight="1" x14ac:dyDescent="0.25">
      <c r="C158" s="9"/>
      <c r="D158" s="164"/>
      <c r="E158" s="9"/>
    </row>
    <row r="159" spans="3:5" ht="15.75" customHeight="1" x14ac:dyDescent="0.25">
      <c r="C159" s="9"/>
      <c r="D159" s="164"/>
      <c r="E159" s="9"/>
    </row>
    <row r="160" spans="3:5" ht="15.75" customHeight="1" x14ac:dyDescent="0.25">
      <c r="C160" s="9"/>
      <c r="D160" s="164"/>
      <c r="E160" s="9"/>
    </row>
    <row r="161" spans="3:5" ht="15.75" customHeight="1" x14ac:dyDescent="0.25">
      <c r="C161" s="9"/>
      <c r="D161" s="164"/>
      <c r="E161" s="9"/>
    </row>
    <row r="162" spans="3:5" ht="15.75" customHeight="1" x14ac:dyDescent="0.25">
      <c r="C162" s="9"/>
      <c r="D162" s="164"/>
      <c r="E162" s="9"/>
    </row>
    <row r="163" spans="3:5" ht="15.75" customHeight="1" x14ac:dyDescent="0.25">
      <c r="C163" s="9"/>
      <c r="D163" s="164"/>
      <c r="E163" s="9"/>
    </row>
    <row r="164" spans="3:5" ht="15.75" customHeight="1" x14ac:dyDescent="0.25">
      <c r="C164" s="9"/>
      <c r="D164" s="164"/>
      <c r="E164" s="9"/>
    </row>
    <row r="165" spans="3:5" ht="15.75" customHeight="1" x14ac:dyDescent="0.25">
      <c r="C165" s="9"/>
      <c r="D165" s="164"/>
      <c r="E165" s="9"/>
    </row>
    <row r="166" spans="3:5" ht="15.75" customHeight="1" x14ac:dyDescent="0.25">
      <c r="C166" s="9"/>
      <c r="D166" s="164"/>
      <c r="E166" s="9"/>
    </row>
    <row r="167" spans="3:5" ht="15.75" customHeight="1" x14ac:dyDescent="0.25">
      <c r="C167" s="9"/>
      <c r="D167" s="164"/>
      <c r="E167" s="9"/>
    </row>
    <row r="168" spans="3:5" ht="15.75" customHeight="1" x14ac:dyDescent="0.25">
      <c r="C168" s="9"/>
      <c r="D168" s="164"/>
      <c r="E168" s="9"/>
    </row>
    <row r="169" spans="3:5" ht="15.75" customHeight="1" x14ac:dyDescent="0.25">
      <c r="C169" s="9"/>
      <c r="D169" s="164"/>
      <c r="E169" s="9"/>
    </row>
    <row r="170" spans="3:5" ht="15.75" customHeight="1" x14ac:dyDescent="0.25">
      <c r="C170" s="9"/>
      <c r="D170" s="164"/>
      <c r="E170" s="9"/>
    </row>
    <row r="171" spans="3:5" ht="15.75" customHeight="1" x14ac:dyDescent="0.25">
      <c r="C171" s="9"/>
      <c r="D171" s="164"/>
      <c r="E171" s="9"/>
    </row>
    <row r="172" spans="3:5" ht="15.75" customHeight="1" x14ac:dyDescent="0.25">
      <c r="C172" s="9"/>
      <c r="D172" s="164"/>
      <c r="E172" s="9"/>
    </row>
    <row r="173" spans="3:5" ht="15.75" customHeight="1" x14ac:dyDescent="0.25">
      <c r="C173" s="9"/>
      <c r="D173" s="164"/>
      <c r="E173" s="9"/>
    </row>
    <row r="174" spans="3:5" ht="15.75" customHeight="1" x14ac:dyDescent="0.25">
      <c r="C174" s="9"/>
      <c r="D174" s="164"/>
      <c r="E174" s="9"/>
    </row>
    <row r="175" spans="3:5" ht="15.75" customHeight="1" x14ac:dyDescent="0.25">
      <c r="C175" s="9"/>
      <c r="D175" s="164"/>
      <c r="E175" s="9"/>
    </row>
    <row r="176" spans="3:5" ht="15.75" customHeight="1" x14ac:dyDescent="0.25">
      <c r="C176" s="9"/>
      <c r="D176" s="164"/>
      <c r="E176" s="9"/>
    </row>
    <row r="177" spans="3:5" ht="15.75" customHeight="1" x14ac:dyDescent="0.25">
      <c r="C177" s="9"/>
      <c r="D177" s="164"/>
      <c r="E177" s="9"/>
    </row>
    <row r="178" spans="3:5" ht="15.75" customHeight="1" x14ac:dyDescent="0.25">
      <c r="C178" s="9"/>
      <c r="D178" s="164"/>
      <c r="E178" s="9"/>
    </row>
    <row r="179" spans="3:5" ht="15.75" customHeight="1" x14ac:dyDescent="0.25">
      <c r="C179" s="9"/>
      <c r="D179" s="164"/>
      <c r="E179" s="9"/>
    </row>
    <row r="180" spans="3:5" ht="15.75" customHeight="1" x14ac:dyDescent="0.25">
      <c r="C180" s="9"/>
      <c r="D180" s="164"/>
      <c r="E180" s="9"/>
    </row>
    <row r="181" spans="3:5" ht="15.75" customHeight="1" x14ac:dyDescent="0.25">
      <c r="C181" s="9"/>
      <c r="D181" s="164"/>
      <c r="E181" s="9"/>
    </row>
    <row r="182" spans="3:5" ht="15.75" customHeight="1" x14ac:dyDescent="0.25">
      <c r="C182" s="9"/>
      <c r="D182" s="164"/>
      <c r="E182" s="9"/>
    </row>
    <row r="183" spans="3:5" ht="15.75" customHeight="1" x14ac:dyDescent="0.25">
      <c r="C183" s="9"/>
      <c r="D183" s="164"/>
      <c r="E183" s="9"/>
    </row>
    <row r="184" spans="3:5" ht="15.75" customHeight="1" x14ac:dyDescent="0.25">
      <c r="C184" s="9"/>
      <c r="D184" s="164"/>
      <c r="E184" s="9"/>
    </row>
    <row r="185" spans="3:5" ht="15.75" customHeight="1" x14ac:dyDescent="0.25">
      <c r="C185" s="9"/>
      <c r="D185" s="164"/>
      <c r="E185" s="9"/>
    </row>
    <row r="186" spans="3:5" ht="15.75" customHeight="1" x14ac:dyDescent="0.25">
      <c r="C186" s="9"/>
      <c r="D186" s="164"/>
      <c r="E186" s="9"/>
    </row>
    <row r="187" spans="3:5" ht="15.75" customHeight="1" x14ac:dyDescent="0.25">
      <c r="C187" s="9"/>
      <c r="D187" s="164"/>
      <c r="E187" s="9"/>
    </row>
    <row r="188" spans="3:5" ht="15.75" customHeight="1" x14ac:dyDescent="0.25">
      <c r="C188" s="9"/>
      <c r="D188" s="164"/>
      <c r="E188" s="9"/>
    </row>
    <row r="189" spans="3:5" ht="15.75" customHeight="1" x14ac:dyDescent="0.25">
      <c r="C189" s="9"/>
      <c r="D189" s="164"/>
      <c r="E189" s="9"/>
    </row>
    <row r="190" spans="3:5" ht="15.75" customHeight="1" x14ac:dyDescent="0.25">
      <c r="C190" s="9"/>
      <c r="D190" s="164"/>
      <c r="E190" s="9"/>
    </row>
    <row r="191" spans="3:5" ht="15.75" customHeight="1" x14ac:dyDescent="0.25">
      <c r="C191" s="9"/>
      <c r="D191" s="164"/>
      <c r="E191" s="9"/>
    </row>
    <row r="192" spans="3:5" ht="15.75" customHeight="1" x14ac:dyDescent="0.25">
      <c r="C192" s="9"/>
      <c r="D192" s="164"/>
      <c r="E192" s="9"/>
    </row>
    <row r="193" spans="3:5" ht="15.75" customHeight="1" x14ac:dyDescent="0.25">
      <c r="C193" s="9"/>
      <c r="D193" s="164"/>
      <c r="E193" s="9"/>
    </row>
    <row r="194" spans="3:5" ht="15.75" customHeight="1" x14ac:dyDescent="0.25">
      <c r="C194" s="9"/>
      <c r="D194" s="164"/>
      <c r="E194" s="9"/>
    </row>
    <row r="195" spans="3:5" ht="15.75" customHeight="1" x14ac:dyDescent="0.25">
      <c r="C195" s="9"/>
      <c r="D195" s="164"/>
      <c r="E195" s="9"/>
    </row>
    <row r="196" spans="3:5" ht="15.75" customHeight="1" x14ac:dyDescent="0.25">
      <c r="C196" s="9"/>
      <c r="D196" s="164"/>
      <c r="E196" s="9"/>
    </row>
    <row r="197" spans="3:5" ht="15.75" customHeight="1" x14ac:dyDescent="0.25">
      <c r="C197" s="9"/>
      <c r="D197" s="164"/>
      <c r="E197" s="9"/>
    </row>
    <row r="198" spans="3:5" ht="15.75" customHeight="1" x14ac:dyDescent="0.25">
      <c r="C198" s="9"/>
      <c r="D198" s="164"/>
      <c r="E198" s="9"/>
    </row>
    <row r="199" spans="3:5" ht="15.75" customHeight="1" x14ac:dyDescent="0.25">
      <c r="C199" s="9"/>
      <c r="D199" s="164"/>
      <c r="E199" s="9"/>
    </row>
    <row r="200" spans="3:5" ht="15.75" customHeight="1" x14ac:dyDescent="0.25">
      <c r="C200" s="9"/>
      <c r="D200" s="164"/>
      <c r="E200" s="9"/>
    </row>
    <row r="201" spans="3:5" ht="15.75" customHeight="1" x14ac:dyDescent="0.25">
      <c r="C201" s="9"/>
      <c r="D201" s="164"/>
      <c r="E201" s="9"/>
    </row>
    <row r="202" spans="3:5" ht="15.75" customHeight="1" x14ac:dyDescent="0.25">
      <c r="C202" s="9"/>
      <c r="D202" s="164"/>
      <c r="E202" s="9"/>
    </row>
    <row r="203" spans="3:5" ht="15.75" customHeight="1" x14ac:dyDescent="0.25">
      <c r="C203" s="9"/>
      <c r="D203" s="164"/>
      <c r="E203" s="9"/>
    </row>
    <row r="204" spans="3:5" ht="15.75" customHeight="1" x14ac:dyDescent="0.25">
      <c r="C204" s="9"/>
      <c r="D204" s="164"/>
      <c r="E204" s="9"/>
    </row>
    <row r="205" spans="3:5" ht="15.75" customHeight="1" x14ac:dyDescent="0.25">
      <c r="C205" s="9"/>
      <c r="D205" s="164"/>
      <c r="E205" s="9"/>
    </row>
    <row r="206" spans="3:5" ht="15.75" customHeight="1" x14ac:dyDescent="0.25">
      <c r="C206" s="9"/>
      <c r="D206" s="164"/>
      <c r="E206" s="9"/>
    </row>
    <row r="207" spans="3:5" ht="15.75" customHeight="1" x14ac:dyDescent="0.25">
      <c r="C207" s="9"/>
      <c r="D207" s="164"/>
      <c r="E207" s="9"/>
    </row>
    <row r="208" spans="3:5" ht="15.75" customHeight="1" x14ac:dyDescent="0.25">
      <c r="C208" s="9"/>
      <c r="D208" s="164"/>
      <c r="E208" s="9"/>
    </row>
    <row r="209" spans="3:5" ht="15.75" customHeight="1" x14ac:dyDescent="0.25">
      <c r="C209" s="9"/>
      <c r="D209" s="164"/>
      <c r="E209" s="9"/>
    </row>
    <row r="210" spans="3:5" ht="15.75" customHeight="1" x14ac:dyDescent="0.25">
      <c r="C210" s="9"/>
      <c r="D210" s="164"/>
      <c r="E210" s="9"/>
    </row>
    <row r="211" spans="3:5" ht="15.75" customHeight="1" x14ac:dyDescent="0.25">
      <c r="C211" s="9"/>
      <c r="D211" s="164"/>
      <c r="E211" s="9"/>
    </row>
    <row r="212" spans="3:5" ht="15.75" customHeight="1" x14ac:dyDescent="0.25">
      <c r="C212" s="9"/>
      <c r="D212" s="164"/>
      <c r="E212" s="9"/>
    </row>
    <row r="213" spans="3:5" ht="15.75" customHeight="1" x14ac:dyDescent="0.25">
      <c r="C213" s="9"/>
      <c r="D213" s="164"/>
      <c r="E213" s="9"/>
    </row>
    <row r="214" spans="3:5" ht="15.75" customHeight="1" x14ac:dyDescent="0.25">
      <c r="C214" s="9"/>
      <c r="D214" s="164"/>
      <c r="E214" s="9"/>
    </row>
    <row r="215" spans="3:5" ht="15.75" customHeight="1" x14ac:dyDescent="0.25">
      <c r="C215" s="9"/>
      <c r="D215" s="164"/>
      <c r="E215" s="9"/>
    </row>
    <row r="216" spans="3:5" ht="15.75" customHeight="1" x14ac:dyDescent="0.25">
      <c r="C216" s="9"/>
      <c r="D216" s="164"/>
      <c r="E216" s="9"/>
    </row>
    <row r="217" spans="3:5" ht="15.75" customHeight="1" x14ac:dyDescent="0.25">
      <c r="C217" s="9"/>
      <c r="D217" s="164"/>
      <c r="E217" s="9"/>
    </row>
    <row r="218" spans="3:5" ht="15.75" customHeight="1" x14ac:dyDescent="0.25">
      <c r="C218" s="9"/>
      <c r="D218" s="164"/>
      <c r="E218" s="9"/>
    </row>
    <row r="219" spans="3:5" ht="15.75" customHeight="1" x14ac:dyDescent="0.25">
      <c r="C219" s="9"/>
      <c r="D219" s="164"/>
      <c r="E219" s="9"/>
    </row>
    <row r="220" spans="3:5" ht="15.75" customHeight="1" x14ac:dyDescent="0.25">
      <c r="C220" s="9"/>
      <c r="D220" s="164"/>
      <c r="E220" s="9"/>
    </row>
    <row r="221" spans="3:5" ht="15.75" customHeight="1" x14ac:dyDescent="0.25">
      <c r="C221" s="9"/>
      <c r="D221" s="164"/>
      <c r="E221" s="9"/>
    </row>
    <row r="222" spans="3:5" ht="15.75" customHeight="1" x14ac:dyDescent="0.25">
      <c r="C222" s="9"/>
      <c r="D222" s="164"/>
      <c r="E222" s="9"/>
    </row>
    <row r="223" spans="3:5" ht="15.75" customHeight="1" x14ac:dyDescent="0.25">
      <c r="C223" s="9"/>
      <c r="D223" s="164"/>
      <c r="E223" s="9"/>
    </row>
    <row r="224" spans="3:5" ht="15.75" customHeight="1" x14ac:dyDescent="0.25">
      <c r="C224" s="9"/>
      <c r="D224" s="164"/>
      <c r="E224" s="9"/>
    </row>
    <row r="225" spans="3:5" ht="15.75" customHeight="1" x14ac:dyDescent="0.25">
      <c r="C225" s="9"/>
      <c r="D225" s="164"/>
      <c r="E225" s="9"/>
    </row>
    <row r="226" spans="3:5" ht="15.75" customHeight="1" x14ac:dyDescent="0.25">
      <c r="C226" s="9"/>
      <c r="D226" s="164"/>
      <c r="E226" s="9"/>
    </row>
    <row r="227" spans="3:5" ht="15.75" customHeight="1" x14ac:dyDescent="0.25">
      <c r="C227" s="9"/>
      <c r="D227" s="164"/>
      <c r="E227" s="9"/>
    </row>
    <row r="228" spans="3:5" ht="15.75" customHeight="1" x14ac:dyDescent="0.25">
      <c r="C228" s="9"/>
      <c r="D228" s="164"/>
      <c r="E228" s="9"/>
    </row>
    <row r="229" spans="3:5" ht="15.75" customHeight="1" x14ac:dyDescent="0.25">
      <c r="C229" s="9"/>
      <c r="D229" s="164"/>
      <c r="E229" s="9"/>
    </row>
    <row r="230" spans="3:5" ht="15.75" customHeight="1" x14ac:dyDescent="0.25">
      <c r="C230" s="9"/>
      <c r="D230" s="164"/>
      <c r="E230" s="9"/>
    </row>
    <row r="231" spans="3:5" ht="15.75" customHeight="1" x14ac:dyDescent="0.25">
      <c r="C231" s="9"/>
      <c r="D231" s="164"/>
      <c r="E231" s="9"/>
    </row>
    <row r="232" spans="3:5" ht="15.75" customHeight="1" x14ac:dyDescent="0.25">
      <c r="C232" s="9"/>
      <c r="D232" s="164"/>
      <c r="E232" s="9"/>
    </row>
    <row r="233" spans="3:5" ht="15.75" customHeight="1" x14ac:dyDescent="0.25">
      <c r="C233" s="9"/>
      <c r="D233" s="164"/>
      <c r="E233" s="9"/>
    </row>
    <row r="234" spans="3:5" ht="15.75" customHeight="1" x14ac:dyDescent="0.25">
      <c r="C234" s="9"/>
      <c r="D234" s="164"/>
      <c r="E234" s="9"/>
    </row>
    <row r="235" spans="3:5" ht="15.75" customHeight="1" x14ac:dyDescent="0.25">
      <c r="C235" s="9"/>
      <c r="D235" s="164"/>
      <c r="E235" s="9"/>
    </row>
    <row r="236" spans="3:5" ht="15.75" customHeight="1" x14ac:dyDescent="0.25">
      <c r="C236" s="9"/>
      <c r="D236" s="164"/>
      <c r="E236" s="9"/>
    </row>
    <row r="237" spans="3:5" ht="15.75" customHeight="1" x14ac:dyDescent="0.25">
      <c r="C237" s="9"/>
      <c r="D237" s="164"/>
      <c r="E237" s="9"/>
    </row>
    <row r="238" spans="3:5" ht="15.75" customHeight="1" x14ac:dyDescent="0.25">
      <c r="C238" s="9"/>
      <c r="D238" s="164"/>
      <c r="E238" s="9"/>
    </row>
    <row r="239" spans="3:5" ht="15.75" customHeight="1" x14ac:dyDescent="0.25">
      <c r="C239" s="9"/>
      <c r="D239" s="164"/>
      <c r="E239" s="9"/>
    </row>
    <row r="240" spans="3:5" ht="15.75" customHeight="1" x14ac:dyDescent="0.25">
      <c r="C240" s="9"/>
      <c r="D240" s="164"/>
      <c r="E240" s="9"/>
    </row>
    <row r="241" spans="3:5" ht="15.75" customHeight="1" x14ac:dyDescent="0.25">
      <c r="C241" s="9"/>
      <c r="D241" s="164"/>
      <c r="E241" s="9"/>
    </row>
    <row r="242" spans="3:5" ht="15.75" customHeight="1" x14ac:dyDescent="0.25">
      <c r="C242" s="9"/>
      <c r="D242" s="164"/>
      <c r="E242" s="9"/>
    </row>
    <row r="243" spans="3:5" ht="15.75" customHeight="1" x14ac:dyDescent="0.25">
      <c r="C243" s="9"/>
      <c r="D243" s="164"/>
      <c r="E243" s="9"/>
    </row>
    <row r="244" spans="3:5" ht="15.75" customHeight="1" x14ac:dyDescent="0.25">
      <c r="C244" s="9"/>
      <c r="D244" s="164"/>
      <c r="E244" s="9"/>
    </row>
    <row r="245" spans="3:5" ht="15.75" customHeight="1" x14ac:dyDescent="0.25">
      <c r="C245" s="9"/>
      <c r="D245" s="164"/>
      <c r="E245" s="9"/>
    </row>
    <row r="246" spans="3:5" ht="15.75" customHeight="1" x14ac:dyDescent="0.25">
      <c r="C246" s="9"/>
      <c r="D246" s="164"/>
      <c r="E246" s="9"/>
    </row>
    <row r="247" spans="3:5" ht="15.75" customHeight="1" x14ac:dyDescent="0.25">
      <c r="C247" s="9"/>
      <c r="D247" s="164"/>
      <c r="E247" s="9"/>
    </row>
    <row r="248" spans="3:5" ht="15.75" customHeight="1" x14ac:dyDescent="0.25">
      <c r="C248" s="9"/>
      <c r="D248" s="164"/>
      <c r="E248" s="9"/>
    </row>
    <row r="249" spans="3:5" ht="15.75" customHeight="1" x14ac:dyDescent="0.25">
      <c r="C249" s="9"/>
      <c r="D249" s="164"/>
      <c r="E249" s="9"/>
    </row>
    <row r="250" spans="3:5" ht="15.75" customHeight="1" x14ac:dyDescent="0.25">
      <c r="C250" s="9"/>
      <c r="D250" s="164"/>
      <c r="E250" s="9"/>
    </row>
    <row r="251" spans="3:5" ht="15.75" customHeight="1" x14ac:dyDescent="0.25">
      <c r="C251" s="9"/>
      <c r="D251" s="164"/>
      <c r="E251" s="9"/>
    </row>
    <row r="252" spans="3:5" ht="15.75" customHeight="1" x14ac:dyDescent="0.25">
      <c r="C252" s="9"/>
      <c r="D252" s="164"/>
      <c r="E252" s="9"/>
    </row>
    <row r="253" spans="3:5" ht="15.75" customHeight="1" x14ac:dyDescent="0.25">
      <c r="C253" s="9"/>
      <c r="D253" s="164"/>
      <c r="E253" s="9"/>
    </row>
    <row r="254" spans="3:5" ht="15.75" customHeight="1" x14ac:dyDescent="0.25">
      <c r="C254" s="9"/>
      <c r="D254" s="164"/>
      <c r="E254" s="9"/>
    </row>
    <row r="255" spans="3:5" ht="15.75" customHeight="1" x14ac:dyDescent="0.25">
      <c r="C255" s="9"/>
      <c r="D255" s="164"/>
      <c r="E255" s="9"/>
    </row>
    <row r="256" spans="3:5" ht="15.75" customHeight="1" x14ac:dyDescent="0.25">
      <c r="C256" s="9"/>
      <c r="D256" s="164"/>
      <c r="E256" s="9"/>
    </row>
    <row r="257" spans="3:5" ht="15.75" customHeight="1" x14ac:dyDescent="0.25">
      <c r="C257" s="9"/>
      <c r="D257" s="164"/>
      <c r="E257" s="9"/>
    </row>
    <row r="258" spans="3:5" ht="15.75" customHeight="1" x14ac:dyDescent="0.25">
      <c r="C258" s="9"/>
      <c r="D258" s="164"/>
      <c r="E258" s="9"/>
    </row>
    <row r="259" spans="3:5" ht="15.75" customHeight="1" x14ac:dyDescent="0.25">
      <c r="C259" s="9"/>
      <c r="D259" s="164"/>
      <c r="E259" s="9"/>
    </row>
    <row r="260" spans="3:5" ht="15.75" customHeight="1" x14ac:dyDescent="0.25">
      <c r="C260" s="9"/>
      <c r="D260" s="164"/>
      <c r="E260" s="9"/>
    </row>
    <row r="261" spans="3:5" ht="15.75" customHeight="1" x14ac:dyDescent="0.25">
      <c r="C261" s="9"/>
      <c r="D261" s="164"/>
      <c r="E261" s="9"/>
    </row>
    <row r="262" spans="3:5" ht="15.75" customHeight="1" x14ac:dyDescent="0.25">
      <c r="C262" s="9"/>
      <c r="D262" s="164"/>
      <c r="E262" s="9"/>
    </row>
    <row r="263" spans="3:5" ht="15.75" customHeight="1" x14ac:dyDescent="0.25">
      <c r="C263" s="9"/>
      <c r="D263" s="164"/>
      <c r="E263" s="9"/>
    </row>
    <row r="264" spans="3:5" ht="15.75" customHeight="1" x14ac:dyDescent="0.25">
      <c r="C264" s="9"/>
      <c r="D264" s="164"/>
      <c r="E264" s="9"/>
    </row>
    <row r="265" spans="3:5" ht="15.75" customHeight="1" x14ac:dyDescent="0.25">
      <c r="C265" s="9"/>
      <c r="D265" s="164"/>
      <c r="E265" s="9"/>
    </row>
    <row r="266" spans="3:5" ht="15.75" customHeight="1" x14ac:dyDescent="0.25">
      <c r="C266" s="9"/>
      <c r="D266" s="164"/>
      <c r="E266" s="9"/>
    </row>
    <row r="267" spans="3:5" ht="15.75" customHeight="1" x14ac:dyDescent="0.25">
      <c r="C267" s="9"/>
      <c r="D267" s="164"/>
      <c r="E267" s="9"/>
    </row>
    <row r="268" spans="3:5" ht="15.75" customHeight="1" x14ac:dyDescent="0.25">
      <c r="C268" s="9"/>
      <c r="D268" s="164"/>
      <c r="E268" s="9"/>
    </row>
    <row r="269" spans="3:5" ht="15.75" customHeight="1" x14ac:dyDescent="0.25">
      <c r="C269" s="9"/>
      <c r="D269" s="164"/>
      <c r="E269" s="9"/>
    </row>
    <row r="270" spans="3:5" ht="15.75" customHeight="1" x14ac:dyDescent="0.25">
      <c r="C270" s="9"/>
      <c r="D270" s="164"/>
      <c r="E270" s="9"/>
    </row>
    <row r="271" spans="3:5" ht="15.75" customHeight="1" x14ac:dyDescent="0.25">
      <c r="C271" s="9"/>
      <c r="D271" s="164"/>
      <c r="E271" s="9"/>
    </row>
    <row r="272" spans="3:5" ht="15.75" customHeight="1" x14ac:dyDescent="0.25">
      <c r="C272" s="9"/>
      <c r="D272" s="164"/>
      <c r="E272" s="9"/>
    </row>
    <row r="273" spans="3:5" ht="15.75" customHeight="1" x14ac:dyDescent="0.25">
      <c r="C273" s="9"/>
      <c r="D273" s="164"/>
      <c r="E273" s="9"/>
    </row>
    <row r="274" spans="3:5" ht="15.75" customHeight="1" x14ac:dyDescent="0.25">
      <c r="C274" s="9"/>
      <c r="D274" s="164"/>
      <c r="E274" s="9"/>
    </row>
    <row r="275" spans="3:5" ht="15.75" customHeight="1" x14ac:dyDescent="0.25">
      <c r="C275" s="9"/>
      <c r="D275" s="164"/>
      <c r="E275" s="9"/>
    </row>
    <row r="276" spans="3:5" ht="15.75" customHeight="1" x14ac:dyDescent="0.25">
      <c r="C276" s="9"/>
      <c r="D276" s="164"/>
      <c r="E276" s="9"/>
    </row>
    <row r="277" spans="3:5" ht="15.75" customHeight="1" x14ac:dyDescent="0.25">
      <c r="C277" s="9"/>
      <c r="D277" s="164"/>
      <c r="E277" s="9"/>
    </row>
    <row r="278" spans="3:5" ht="15.75" customHeight="1" x14ac:dyDescent="0.25">
      <c r="C278" s="9"/>
      <c r="D278" s="164"/>
      <c r="E278" s="9"/>
    </row>
    <row r="279" spans="3:5" ht="15.75" customHeight="1" x14ac:dyDescent="0.25">
      <c r="C279" s="9"/>
      <c r="D279" s="164"/>
      <c r="E279" s="9"/>
    </row>
    <row r="280" spans="3:5" ht="15.75" customHeight="1" x14ac:dyDescent="0.25">
      <c r="C280" s="9"/>
      <c r="D280" s="164"/>
      <c r="E280" s="9"/>
    </row>
    <row r="281" spans="3:5" ht="15.75" customHeight="1" x14ac:dyDescent="0.25">
      <c r="C281" s="9"/>
      <c r="D281" s="164"/>
      <c r="E281" s="9"/>
    </row>
    <row r="282" spans="3:5" ht="15.75" customHeight="1" x14ac:dyDescent="0.25">
      <c r="C282" s="9"/>
      <c r="D282" s="164"/>
      <c r="E282" s="9"/>
    </row>
    <row r="283" spans="3:5" ht="15.75" customHeight="1" x14ac:dyDescent="0.25">
      <c r="C283" s="9"/>
      <c r="D283" s="164"/>
      <c r="E283" s="9"/>
    </row>
    <row r="284" spans="3:5" ht="15.75" customHeight="1" x14ac:dyDescent="0.25">
      <c r="C284" s="9"/>
      <c r="D284" s="164"/>
      <c r="E284" s="9"/>
    </row>
    <row r="285" spans="3:5" ht="15.75" customHeight="1" x14ac:dyDescent="0.25">
      <c r="C285" s="9"/>
      <c r="D285" s="164"/>
      <c r="E285" s="9"/>
    </row>
    <row r="286" spans="3:5" ht="15.75" customHeight="1" x14ac:dyDescent="0.25">
      <c r="C286" s="9"/>
      <c r="D286" s="164"/>
      <c r="E286" s="9"/>
    </row>
    <row r="287" spans="3:5" ht="15.75" customHeight="1" x14ac:dyDescent="0.25">
      <c r="C287" s="9"/>
      <c r="D287" s="164"/>
      <c r="E287" s="9"/>
    </row>
    <row r="288" spans="3:5" ht="15.75" customHeight="1" x14ac:dyDescent="0.25">
      <c r="C288" s="9"/>
      <c r="D288" s="164"/>
      <c r="E288" s="9"/>
    </row>
    <row r="289" spans="3:5" ht="15.75" customHeight="1" x14ac:dyDescent="0.25">
      <c r="C289" s="9"/>
      <c r="D289" s="164"/>
      <c r="E289" s="9"/>
    </row>
    <row r="290" spans="3:5" ht="15.75" customHeight="1" x14ac:dyDescent="0.25">
      <c r="C290" s="9"/>
      <c r="D290" s="164"/>
      <c r="E290" s="9"/>
    </row>
    <row r="291" spans="3:5" ht="15.75" customHeight="1" x14ac:dyDescent="0.25">
      <c r="C291" s="9"/>
      <c r="D291" s="164"/>
      <c r="E291" s="9"/>
    </row>
    <row r="292" spans="3:5" ht="15.75" customHeight="1" x14ac:dyDescent="0.25">
      <c r="C292" s="9"/>
      <c r="D292" s="164"/>
      <c r="E292" s="9"/>
    </row>
    <row r="293" spans="3:5" ht="15.75" customHeight="1" x14ac:dyDescent="0.25">
      <c r="C293" s="9"/>
      <c r="D293" s="164"/>
      <c r="E293" s="9"/>
    </row>
    <row r="294" spans="3:5" ht="15.75" customHeight="1" x14ac:dyDescent="0.25">
      <c r="C294" s="9"/>
      <c r="D294" s="164"/>
      <c r="E294" s="9"/>
    </row>
    <row r="295" spans="3:5" ht="15.75" customHeight="1" x14ac:dyDescent="0.25">
      <c r="C295" s="9"/>
      <c r="D295" s="164"/>
      <c r="E295" s="9"/>
    </row>
    <row r="296" spans="3:5" ht="15.75" customHeight="1" x14ac:dyDescent="0.25">
      <c r="C296" s="9"/>
      <c r="D296" s="164"/>
      <c r="E296" s="9"/>
    </row>
    <row r="297" spans="3:5" ht="15.75" customHeight="1" x14ac:dyDescent="0.25">
      <c r="C297" s="9"/>
      <c r="D297" s="164"/>
      <c r="E297" s="9"/>
    </row>
    <row r="298" spans="3:5" ht="15.75" customHeight="1" x14ac:dyDescent="0.2">
      <c r="C298" s="9"/>
      <c r="D298" s="9"/>
      <c r="E298" s="9"/>
    </row>
    <row r="299" spans="3:5" ht="15.75" customHeight="1" x14ac:dyDescent="0.2">
      <c r="C299" s="9"/>
      <c r="D299" s="9"/>
      <c r="E299" s="9"/>
    </row>
    <row r="300" spans="3:5" ht="15.75" customHeight="1" x14ac:dyDescent="0.2">
      <c r="C300" s="9"/>
      <c r="D300" s="9"/>
      <c r="E300" s="9"/>
    </row>
    <row r="301" spans="3:5" ht="15.75" customHeight="1" x14ac:dyDescent="0.2">
      <c r="C301" s="9"/>
      <c r="D301" s="9"/>
      <c r="E301" s="9"/>
    </row>
    <row r="302" spans="3:5" ht="15.75" customHeight="1" x14ac:dyDescent="0.2">
      <c r="C302" s="9"/>
      <c r="D302" s="9"/>
      <c r="E302" s="9"/>
    </row>
    <row r="303" spans="3:5" ht="15.75" customHeight="1" x14ac:dyDescent="0.2">
      <c r="C303" s="9"/>
      <c r="D303" s="9"/>
      <c r="E303" s="9"/>
    </row>
    <row r="304" spans="3:5" ht="15.75" customHeight="1" x14ac:dyDescent="0.2">
      <c r="C304" s="9"/>
      <c r="D304" s="9"/>
      <c r="E304" s="9"/>
    </row>
    <row r="305" spans="3:5" ht="15.75" customHeight="1" x14ac:dyDescent="0.2">
      <c r="C305" s="9"/>
      <c r="D305" s="9"/>
      <c r="E305" s="9"/>
    </row>
    <row r="306" spans="3:5" ht="15.75" customHeight="1" x14ac:dyDescent="0.2">
      <c r="C306" s="9"/>
      <c r="D306" s="9"/>
      <c r="E306" s="9"/>
    </row>
    <row r="307" spans="3:5" ht="15.75" customHeight="1" x14ac:dyDescent="0.2">
      <c r="C307" s="9"/>
      <c r="D307" s="9"/>
      <c r="E307" s="9"/>
    </row>
    <row r="308" spans="3:5" ht="15.75" customHeight="1" x14ac:dyDescent="0.2">
      <c r="C308" s="9"/>
      <c r="D308" s="9"/>
      <c r="E308" s="9"/>
    </row>
    <row r="309" spans="3:5" ht="15.75" customHeight="1" x14ac:dyDescent="0.2">
      <c r="C309" s="9"/>
      <c r="D309" s="9"/>
      <c r="E309" s="9"/>
    </row>
    <row r="310" spans="3:5" ht="15.75" customHeight="1" x14ac:dyDescent="0.2">
      <c r="C310" s="9"/>
      <c r="D310" s="9"/>
      <c r="E310" s="9"/>
    </row>
    <row r="311" spans="3:5" ht="15.75" customHeight="1" x14ac:dyDescent="0.2">
      <c r="C311" s="9"/>
      <c r="D311" s="9"/>
      <c r="E311" s="9"/>
    </row>
    <row r="312" spans="3:5" ht="15.75" customHeight="1" x14ac:dyDescent="0.2">
      <c r="C312" s="9"/>
      <c r="D312" s="9"/>
      <c r="E312" s="9"/>
    </row>
    <row r="313" spans="3:5" ht="15.75" customHeight="1" x14ac:dyDescent="0.2">
      <c r="C313" s="9"/>
      <c r="D313" s="9"/>
      <c r="E313" s="9"/>
    </row>
    <row r="314" spans="3:5" ht="15.75" customHeight="1" x14ac:dyDescent="0.2">
      <c r="C314" s="9"/>
      <c r="D314" s="9"/>
      <c r="E314" s="9"/>
    </row>
    <row r="315" spans="3:5" ht="15.75" customHeight="1" x14ac:dyDescent="0.2">
      <c r="C315" s="9"/>
      <c r="D315" s="9"/>
      <c r="E315" s="9"/>
    </row>
    <row r="316" spans="3:5" ht="15.75" customHeight="1" x14ac:dyDescent="0.2">
      <c r="C316" s="9"/>
      <c r="D316" s="9"/>
      <c r="E316" s="9"/>
    </row>
    <row r="317" spans="3:5" ht="15.75" customHeight="1" x14ac:dyDescent="0.2">
      <c r="C317" s="9"/>
      <c r="D317" s="9"/>
      <c r="E317" s="9"/>
    </row>
    <row r="318" spans="3:5" ht="15.75" customHeight="1" x14ac:dyDescent="0.2">
      <c r="C318" s="9"/>
      <c r="D318" s="9"/>
      <c r="E318" s="9"/>
    </row>
    <row r="319" spans="3:5" ht="15.75" customHeight="1" x14ac:dyDescent="0.2">
      <c r="C319" s="9"/>
      <c r="D319" s="9"/>
      <c r="E319" s="9"/>
    </row>
    <row r="320" spans="3:5" ht="15.75" customHeight="1" x14ac:dyDescent="0.2">
      <c r="C320" s="9"/>
      <c r="D320" s="9"/>
      <c r="E320" s="9"/>
    </row>
    <row r="321" spans="3:5" ht="15.75" customHeight="1" x14ac:dyDescent="0.2">
      <c r="C321" s="9"/>
      <c r="D321" s="9"/>
      <c r="E321" s="9"/>
    </row>
    <row r="322" spans="3:5" ht="15.75" customHeight="1" x14ac:dyDescent="0.2">
      <c r="C322" s="9"/>
      <c r="D322" s="9"/>
      <c r="E322" s="9"/>
    </row>
    <row r="323" spans="3:5" ht="15.75" customHeight="1" x14ac:dyDescent="0.2">
      <c r="C323" s="9"/>
      <c r="D323" s="9"/>
      <c r="E323" s="9"/>
    </row>
    <row r="324" spans="3:5" ht="15.75" customHeight="1" x14ac:dyDescent="0.2">
      <c r="C324" s="9"/>
      <c r="D324" s="9"/>
      <c r="E324" s="9"/>
    </row>
    <row r="325" spans="3:5" ht="15.75" customHeight="1" x14ac:dyDescent="0.2">
      <c r="C325" s="9"/>
      <c r="D325" s="9"/>
      <c r="E325" s="9"/>
    </row>
    <row r="326" spans="3:5" ht="15.75" customHeight="1" x14ac:dyDescent="0.2">
      <c r="C326" s="9"/>
      <c r="D326" s="9"/>
      <c r="E326" s="9"/>
    </row>
    <row r="327" spans="3:5" ht="15.75" customHeight="1" x14ac:dyDescent="0.2">
      <c r="C327" s="9"/>
      <c r="D327" s="9"/>
      <c r="E327" s="9"/>
    </row>
    <row r="328" spans="3:5" ht="15.75" customHeight="1" x14ac:dyDescent="0.2">
      <c r="C328" s="9"/>
      <c r="D328" s="9"/>
      <c r="E328" s="9"/>
    </row>
    <row r="329" spans="3:5" ht="15.75" customHeight="1" x14ac:dyDescent="0.2">
      <c r="C329" s="9"/>
      <c r="D329" s="9"/>
      <c r="E329" s="9"/>
    </row>
    <row r="330" spans="3:5" ht="15.75" customHeight="1" x14ac:dyDescent="0.2">
      <c r="C330" s="9"/>
      <c r="D330" s="9"/>
      <c r="E330" s="9"/>
    </row>
    <row r="331" spans="3:5" ht="15.75" customHeight="1" x14ac:dyDescent="0.2">
      <c r="C331" s="9"/>
      <c r="D331" s="9"/>
      <c r="E331" s="9"/>
    </row>
    <row r="332" spans="3:5" ht="15.75" customHeight="1" x14ac:dyDescent="0.2">
      <c r="C332" s="9"/>
      <c r="D332" s="9"/>
      <c r="E332" s="9"/>
    </row>
    <row r="333" spans="3:5" ht="15.75" customHeight="1" x14ac:dyDescent="0.2">
      <c r="C333" s="9"/>
      <c r="D333" s="9"/>
      <c r="E333" s="9"/>
    </row>
    <row r="334" spans="3:5" ht="15.75" customHeight="1" x14ac:dyDescent="0.2">
      <c r="C334" s="9"/>
      <c r="D334" s="9"/>
      <c r="E334" s="9"/>
    </row>
    <row r="335" spans="3:5" ht="15.75" customHeight="1" x14ac:dyDescent="0.2">
      <c r="C335" s="9"/>
      <c r="D335" s="9"/>
      <c r="E335" s="9"/>
    </row>
    <row r="336" spans="3:5" ht="15.75" customHeight="1" x14ac:dyDescent="0.2">
      <c r="C336" s="9"/>
      <c r="D336" s="9"/>
      <c r="E336" s="9"/>
    </row>
    <row r="337" spans="3:5" ht="15.75" customHeight="1" x14ac:dyDescent="0.2">
      <c r="C337" s="9"/>
      <c r="D337" s="9"/>
      <c r="E337" s="9"/>
    </row>
    <row r="338" spans="3:5" ht="15.75" customHeight="1" x14ac:dyDescent="0.2">
      <c r="C338" s="9"/>
      <c r="D338" s="9"/>
      <c r="E338" s="9"/>
    </row>
    <row r="339" spans="3:5" ht="15.75" customHeight="1" x14ac:dyDescent="0.2">
      <c r="C339" s="9"/>
      <c r="D339" s="9"/>
      <c r="E339" s="9"/>
    </row>
    <row r="340" spans="3:5" ht="15.75" customHeight="1" x14ac:dyDescent="0.2">
      <c r="C340" s="9"/>
      <c r="D340" s="9"/>
      <c r="E340" s="9"/>
    </row>
    <row r="341" spans="3:5" ht="15.75" customHeight="1" x14ac:dyDescent="0.2">
      <c r="C341" s="9"/>
      <c r="D341" s="9"/>
      <c r="E341" s="9"/>
    </row>
    <row r="342" spans="3:5" ht="15.75" customHeight="1" x14ac:dyDescent="0.2">
      <c r="C342" s="9"/>
      <c r="D342" s="9"/>
      <c r="E342" s="9"/>
    </row>
    <row r="343" spans="3:5" ht="15.75" customHeight="1" x14ac:dyDescent="0.2">
      <c r="C343" s="9"/>
      <c r="D343" s="9"/>
      <c r="E343" s="9"/>
    </row>
    <row r="344" spans="3:5" ht="15.75" customHeight="1" x14ac:dyDescent="0.2">
      <c r="C344" s="9"/>
      <c r="D344" s="9"/>
      <c r="E344" s="9"/>
    </row>
    <row r="345" spans="3:5" ht="15.75" customHeight="1" x14ac:dyDescent="0.2">
      <c r="C345" s="9"/>
      <c r="D345" s="9"/>
      <c r="E345" s="9"/>
    </row>
    <row r="346" spans="3:5" ht="15.75" customHeight="1" x14ac:dyDescent="0.2">
      <c r="C346" s="9"/>
      <c r="D346" s="9"/>
      <c r="E346" s="9"/>
    </row>
    <row r="347" spans="3:5" ht="15.75" customHeight="1" x14ac:dyDescent="0.2">
      <c r="C347" s="9"/>
      <c r="D347" s="9"/>
      <c r="E347" s="9"/>
    </row>
    <row r="348" spans="3:5" ht="15.75" customHeight="1" x14ac:dyDescent="0.2">
      <c r="C348" s="9"/>
      <c r="D348" s="9"/>
      <c r="E348" s="9"/>
    </row>
    <row r="349" spans="3:5" ht="15.75" customHeight="1" x14ac:dyDescent="0.2">
      <c r="C349" s="9"/>
      <c r="D349" s="9"/>
      <c r="E349" s="9"/>
    </row>
    <row r="350" spans="3:5" ht="15.75" customHeight="1" x14ac:dyDescent="0.2">
      <c r="C350" s="9"/>
      <c r="D350" s="9"/>
      <c r="E350" s="9"/>
    </row>
    <row r="351" spans="3:5" ht="15.75" customHeight="1" x14ac:dyDescent="0.2">
      <c r="C351" s="9"/>
      <c r="D351" s="9"/>
      <c r="E351" s="9"/>
    </row>
    <row r="352" spans="3:5" ht="15.75" customHeight="1" x14ac:dyDescent="0.2">
      <c r="C352" s="9"/>
      <c r="D352" s="9"/>
      <c r="E352" s="9"/>
    </row>
    <row r="353" spans="3:5" ht="15.75" customHeight="1" x14ac:dyDescent="0.2">
      <c r="C353" s="9"/>
      <c r="D353" s="9"/>
      <c r="E353" s="9"/>
    </row>
    <row r="354" spans="3:5" ht="15.75" customHeight="1" x14ac:dyDescent="0.2">
      <c r="C354" s="9"/>
      <c r="D354" s="9"/>
      <c r="E354" s="9"/>
    </row>
    <row r="355" spans="3:5" ht="15.75" customHeight="1" x14ac:dyDescent="0.2">
      <c r="C355" s="9"/>
      <c r="D355" s="9"/>
      <c r="E355" s="9"/>
    </row>
    <row r="356" spans="3:5" ht="15.75" customHeight="1" x14ac:dyDescent="0.2">
      <c r="C356" s="9"/>
      <c r="D356" s="9"/>
      <c r="E356" s="9"/>
    </row>
    <row r="357" spans="3:5" ht="15.75" customHeight="1" x14ac:dyDescent="0.2">
      <c r="C357" s="9"/>
      <c r="D357" s="9"/>
      <c r="E357" s="9"/>
    </row>
    <row r="358" spans="3:5" ht="15.75" customHeight="1" x14ac:dyDescent="0.2">
      <c r="C358" s="9"/>
      <c r="D358" s="9"/>
      <c r="E358" s="9"/>
    </row>
    <row r="359" spans="3:5" ht="15.75" customHeight="1" x14ac:dyDescent="0.2">
      <c r="C359" s="9"/>
      <c r="D359" s="9"/>
      <c r="E359" s="9"/>
    </row>
    <row r="360" spans="3:5" ht="15.75" customHeight="1" x14ac:dyDescent="0.2">
      <c r="C360" s="9"/>
      <c r="D360" s="9"/>
      <c r="E360" s="9"/>
    </row>
    <row r="361" spans="3:5" ht="15.75" customHeight="1" x14ac:dyDescent="0.2">
      <c r="C361" s="9"/>
      <c r="D361" s="9"/>
      <c r="E361" s="9"/>
    </row>
    <row r="362" spans="3:5" ht="15.75" customHeight="1" x14ac:dyDescent="0.2">
      <c r="C362" s="9"/>
      <c r="D362" s="9"/>
      <c r="E362" s="9"/>
    </row>
    <row r="363" spans="3:5" ht="15.75" customHeight="1" x14ac:dyDescent="0.2">
      <c r="C363" s="9"/>
      <c r="D363" s="9"/>
      <c r="E363" s="9"/>
    </row>
    <row r="364" spans="3:5" ht="15.75" customHeight="1" x14ac:dyDescent="0.2">
      <c r="C364" s="9"/>
      <c r="D364" s="9"/>
      <c r="E364" s="9"/>
    </row>
    <row r="365" spans="3:5" ht="15.75" customHeight="1" x14ac:dyDescent="0.2">
      <c r="C365" s="9"/>
      <c r="D365" s="9"/>
      <c r="E365" s="9"/>
    </row>
    <row r="366" spans="3:5" ht="15.75" customHeight="1" x14ac:dyDescent="0.2">
      <c r="C366" s="9"/>
      <c r="D366" s="9"/>
      <c r="E366" s="9"/>
    </row>
    <row r="367" spans="3:5" ht="15.75" customHeight="1" x14ac:dyDescent="0.2">
      <c r="C367" s="9"/>
      <c r="D367" s="9"/>
      <c r="E367" s="9"/>
    </row>
    <row r="368" spans="3:5" ht="15.75" customHeight="1" x14ac:dyDescent="0.2">
      <c r="C368" s="9"/>
      <c r="D368" s="9"/>
      <c r="E368" s="9"/>
    </row>
    <row r="369" spans="3:5" ht="15.75" customHeight="1" x14ac:dyDescent="0.2">
      <c r="C369" s="9"/>
      <c r="D369" s="9"/>
      <c r="E369" s="9"/>
    </row>
    <row r="370" spans="3:5" ht="15.75" customHeight="1" x14ac:dyDescent="0.2">
      <c r="C370" s="9"/>
      <c r="D370" s="9"/>
      <c r="E370" s="9"/>
    </row>
    <row r="371" spans="3:5" ht="15.75" customHeight="1" x14ac:dyDescent="0.2">
      <c r="C371" s="9"/>
      <c r="D371" s="9"/>
      <c r="E371" s="9"/>
    </row>
    <row r="372" spans="3:5" ht="15.75" customHeight="1" x14ac:dyDescent="0.2">
      <c r="C372" s="9"/>
      <c r="D372" s="9"/>
      <c r="E372" s="9"/>
    </row>
    <row r="373" spans="3:5" ht="15.75" customHeight="1" x14ac:dyDescent="0.2">
      <c r="C373" s="9"/>
      <c r="D373" s="9"/>
      <c r="E373" s="9"/>
    </row>
    <row r="374" spans="3:5" ht="15.75" customHeight="1" x14ac:dyDescent="0.2">
      <c r="C374" s="9"/>
      <c r="D374" s="9"/>
      <c r="E374" s="9"/>
    </row>
    <row r="375" spans="3:5" ht="15.75" customHeight="1" x14ac:dyDescent="0.2">
      <c r="C375" s="9"/>
      <c r="D375" s="9"/>
      <c r="E375" s="9"/>
    </row>
    <row r="376" spans="3:5" ht="15.75" customHeight="1" x14ac:dyDescent="0.2">
      <c r="C376" s="9"/>
      <c r="D376" s="9"/>
      <c r="E376" s="9"/>
    </row>
    <row r="377" spans="3:5" ht="15.75" customHeight="1" x14ac:dyDescent="0.2">
      <c r="C377" s="9"/>
      <c r="D377" s="9"/>
      <c r="E377" s="9"/>
    </row>
    <row r="378" spans="3:5" ht="15.75" customHeight="1" x14ac:dyDescent="0.2">
      <c r="C378" s="9"/>
      <c r="D378" s="9"/>
      <c r="E378" s="9"/>
    </row>
    <row r="379" spans="3:5" ht="15.75" customHeight="1" x14ac:dyDescent="0.2">
      <c r="C379" s="9"/>
      <c r="D379" s="9"/>
      <c r="E379" s="9"/>
    </row>
    <row r="380" spans="3:5" ht="15.75" customHeight="1" x14ac:dyDescent="0.2">
      <c r="C380" s="9"/>
      <c r="D380" s="9"/>
      <c r="E380" s="9"/>
    </row>
    <row r="381" spans="3:5" ht="15.75" customHeight="1" x14ac:dyDescent="0.2">
      <c r="C381" s="9"/>
      <c r="D381" s="9"/>
      <c r="E381" s="9"/>
    </row>
    <row r="382" spans="3:5" ht="15.75" customHeight="1" x14ac:dyDescent="0.2">
      <c r="C382" s="9"/>
      <c r="D382" s="9"/>
      <c r="E382" s="9"/>
    </row>
    <row r="383" spans="3:5" ht="15.75" customHeight="1" x14ac:dyDescent="0.2">
      <c r="C383" s="9"/>
      <c r="D383" s="9"/>
      <c r="E383" s="9"/>
    </row>
    <row r="384" spans="3:5" ht="15.75" customHeight="1" x14ac:dyDescent="0.2">
      <c r="C384" s="9"/>
      <c r="D384" s="9"/>
      <c r="E384" s="9"/>
    </row>
    <row r="385" spans="3:5" ht="15.75" customHeight="1" x14ac:dyDescent="0.2">
      <c r="C385" s="9"/>
      <c r="D385" s="9"/>
      <c r="E385" s="9"/>
    </row>
    <row r="386" spans="3:5" ht="15.75" customHeight="1" x14ac:dyDescent="0.2">
      <c r="C386" s="9"/>
      <c r="D386" s="9"/>
      <c r="E386" s="9"/>
    </row>
    <row r="387" spans="3:5" ht="15.75" customHeight="1" x14ac:dyDescent="0.2">
      <c r="C387" s="9"/>
      <c r="D387" s="9"/>
      <c r="E387" s="9"/>
    </row>
    <row r="388" spans="3:5" ht="15.75" customHeight="1" x14ac:dyDescent="0.2">
      <c r="C388" s="9"/>
      <c r="D388" s="9"/>
      <c r="E388" s="9"/>
    </row>
    <row r="389" spans="3:5" ht="15.75" customHeight="1" x14ac:dyDescent="0.2">
      <c r="C389" s="9"/>
      <c r="D389" s="9"/>
      <c r="E389" s="9"/>
    </row>
    <row r="390" spans="3:5" ht="15.75" customHeight="1" x14ac:dyDescent="0.2">
      <c r="C390" s="9"/>
      <c r="D390" s="9"/>
      <c r="E390" s="9"/>
    </row>
    <row r="391" spans="3:5" ht="15.75" customHeight="1" x14ac:dyDescent="0.2">
      <c r="C391" s="9"/>
      <c r="D391" s="9"/>
      <c r="E391" s="9"/>
    </row>
    <row r="392" spans="3:5" ht="15.75" customHeight="1" x14ac:dyDescent="0.2">
      <c r="C392" s="9"/>
      <c r="D392" s="9"/>
      <c r="E392" s="9"/>
    </row>
    <row r="393" spans="3:5" ht="15.75" customHeight="1" x14ac:dyDescent="0.2">
      <c r="C393" s="9"/>
      <c r="D393" s="9"/>
      <c r="E393" s="9"/>
    </row>
    <row r="394" spans="3:5" ht="15.75" customHeight="1" x14ac:dyDescent="0.2">
      <c r="C394" s="9"/>
      <c r="D394" s="9"/>
      <c r="E394" s="9"/>
    </row>
    <row r="395" spans="3:5" ht="15.75" customHeight="1" x14ac:dyDescent="0.2">
      <c r="C395" s="9"/>
      <c r="D395" s="9"/>
      <c r="E395" s="9"/>
    </row>
    <row r="396" spans="3:5" ht="15.75" customHeight="1" x14ac:dyDescent="0.2">
      <c r="C396" s="9"/>
      <c r="D396" s="9"/>
      <c r="E396" s="9"/>
    </row>
    <row r="397" spans="3:5" ht="15.75" customHeight="1" x14ac:dyDescent="0.2">
      <c r="C397" s="9"/>
      <c r="D397" s="9"/>
      <c r="E397" s="9"/>
    </row>
    <row r="398" spans="3:5" ht="15.75" customHeight="1" x14ac:dyDescent="0.2">
      <c r="C398" s="9"/>
      <c r="D398" s="9"/>
      <c r="E398" s="9"/>
    </row>
    <row r="399" spans="3:5" ht="15.75" customHeight="1" x14ac:dyDescent="0.2">
      <c r="C399" s="9"/>
      <c r="D399" s="9"/>
      <c r="E399" s="9"/>
    </row>
    <row r="400" spans="3:5" ht="15.75" customHeight="1" x14ac:dyDescent="0.2">
      <c r="C400" s="9"/>
      <c r="D400" s="9"/>
      <c r="E400" s="9"/>
    </row>
    <row r="401" spans="3:5" ht="15.75" customHeight="1" x14ac:dyDescent="0.2">
      <c r="C401" s="9"/>
      <c r="D401" s="9"/>
      <c r="E401" s="9"/>
    </row>
    <row r="402" spans="3:5" ht="15.75" customHeight="1" x14ac:dyDescent="0.2">
      <c r="C402" s="9"/>
      <c r="D402" s="9"/>
      <c r="E402" s="9"/>
    </row>
    <row r="403" spans="3:5" ht="15.75" customHeight="1" x14ac:dyDescent="0.2">
      <c r="C403" s="9"/>
      <c r="D403" s="9"/>
      <c r="E403" s="9"/>
    </row>
    <row r="404" spans="3:5" ht="15.75" customHeight="1" x14ac:dyDescent="0.2">
      <c r="C404" s="9"/>
      <c r="D404" s="9"/>
      <c r="E404" s="9"/>
    </row>
    <row r="405" spans="3:5" ht="15.75" customHeight="1" x14ac:dyDescent="0.2">
      <c r="C405" s="9"/>
      <c r="D405" s="9"/>
      <c r="E405" s="9"/>
    </row>
    <row r="406" spans="3:5" ht="15.75" customHeight="1" x14ac:dyDescent="0.2">
      <c r="C406" s="9"/>
      <c r="D406" s="9"/>
      <c r="E406" s="9"/>
    </row>
    <row r="407" spans="3:5" ht="15.75" customHeight="1" x14ac:dyDescent="0.2">
      <c r="C407" s="9"/>
      <c r="D407" s="9"/>
      <c r="E407" s="9"/>
    </row>
    <row r="408" spans="3:5" ht="15.75" customHeight="1" x14ac:dyDescent="0.2">
      <c r="C408" s="9"/>
      <c r="D408" s="9"/>
      <c r="E408" s="9"/>
    </row>
    <row r="409" spans="3:5" ht="15.75" customHeight="1" x14ac:dyDescent="0.2">
      <c r="C409" s="9"/>
      <c r="D409" s="9"/>
      <c r="E409" s="9"/>
    </row>
    <row r="410" spans="3:5" ht="15.75" customHeight="1" x14ac:dyDescent="0.2">
      <c r="C410" s="9"/>
      <c r="D410" s="9"/>
      <c r="E410" s="9"/>
    </row>
    <row r="411" spans="3:5" ht="15.75" customHeight="1" x14ac:dyDescent="0.2">
      <c r="C411" s="9"/>
      <c r="D411" s="9"/>
      <c r="E411" s="9"/>
    </row>
    <row r="412" spans="3:5" ht="15.75" customHeight="1" x14ac:dyDescent="0.2">
      <c r="C412" s="9"/>
      <c r="D412" s="9"/>
      <c r="E412" s="9"/>
    </row>
    <row r="413" spans="3:5" ht="15.75" customHeight="1" x14ac:dyDescent="0.2">
      <c r="C413" s="9"/>
      <c r="D413" s="9"/>
      <c r="E413" s="9"/>
    </row>
    <row r="414" spans="3:5" ht="15.75" customHeight="1" x14ac:dyDescent="0.2">
      <c r="C414" s="9"/>
      <c r="D414" s="9"/>
      <c r="E414" s="9"/>
    </row>
    <row r="415" spans="3:5" ht="15.75" customHeight="1" x14ac:dyDescent="0.2">
      <c r="C415" s="9"/>
      <c r="D415" s="9"/>
      <c r="E415" s="9"/>
    </row>
    <row r="416" spans="3:5" ht="15.75" customHeight="1" x14ac:dyDescent="0.2">
      <c r="C416" s="9"/>
      <c r="D416" s="9"/>
      <c r="E416" s="9"/>
    </row>
    <row r="417" spans="3:5" ht="15.75" customHeight="1" x14ac:dyDescent="0.2">
      <c r="C417" s="9"/>
      <c r="D417" s="9"/>
      <c r="E417" s="9"/>
    </row>
    <row r="418" spans="3:5" ht="15.75" customHeight="1" x14ac:dyDescent="0.2">
      <c r="C418" s="9"/>
      <c r="D418" s="9"/>
      <c r="E418" s="9"/>
    </row>
    <row r="419" spans="3:5" ht="15.75" customHeight="1" x14ac:dyDescent="0.2">
      <c r="C419" s="9"/>
      <c r="D419" s="9"/>
      <c r="E419" s="9"/>
    </row>
    <row r="420" spans="3:5" ht="15.75" customHeight="1" x14ac:dyDescent="0.2">
      <c r="C420" s="9"/>
      <c r="D420" s="9"/>
      <c r="E420" s="9"/>
    </row>
    <row r="421" spans="3:5" ht="15.75" customHeight="1" x14ac:dyDescent="0.2">
      <c r="C421" s="9"/>
      <c r="D421" s="9"/>
      <c r="E421" s="9"/>
    </row>
    <row r="422" spans="3:5" ht="15.75" customHeight="1" x14ac:dyDescent="0.2">
      <c r="C422" s="9"/>
      <c r="D422" s="9"/>
      <c r="E422" s="9"/>
    </row>
    <row r="423" spans="3:5" ht="15.75" customHeight="1" x14ac:dyDescent="0.2">
      <c r="C423" s="9"/>
      <c r="D423" s="9"/>
      <c r="E423" s="9"/>
    </row>
    <row r="424" spans="3:5" ht="15.75" customHeight="1" x14ac:dyDescent="0.2">
      <c r="C424" s="9"/>
      <c r="D424" s="9"/>
      <c r="E424" s="9"/>
    </row>
    <row r="425" spans="3:5" ht="15.75" customHeight="1" x14ac:dyDescent="0.2">
      <c r="C425" s="9"/>
      <c r="D425" s="9"/>
      <c r="E425" s="9"/>
    </row>
    <row r="426" spans="3:5" ht="15.75" customHeight="1" x14ac:dyDescent="0.2">
      <c r="C426" s="9"/>
      <c r="D426" s="9"/>
      <c r="E426" s="9"/>
    </row>
    <row r="427" spans="3:5" ht="15.75" customHeight="1" x14ac:dyDescent="0.2">
      <c r="C427" s="9"/>
      <c r="D427" s="9"/>
      <c r="E427" s="9"/>
    </row>
    <row r="428" spans="3:5" ht="15.75" customHeight="1" x14ac:dyDescent="0.2">
      <c r="C428" s="9"/>
      <c r="D428" s="9"/>
      <c r="E428" s="9"/>
    </row>
    <row r="429" spans="3:5" ht="15.75" customHeight="1" x14ac:dyDescent="0.2">
      <c r="C429" s="9"/>
      <c r="D429" s="9"/>
      <c r="E429" s="9"/>
    </row>
    <row r="430" spans="3:5" ht="15.75" customHeight="1" x14ac:dyDescent="0.2">
      <c r="C430" s="9"/>
      <c r="D430" s="9"/>
      <c r="E430" s="9"/>
    </row>
    <row r="431" spans="3:5" ht="15.75" customHeight="1" x14ac:dyDescent="0.2">
      <c r="C431" s="9"/>
      <c r="D431" s="9"/>
      <c r="E431" s="9"/>
    </row>
    <row r="432" spans="3:5" ht="15.75" customHeight="1" x14ac:dyDescent="0.2">
      <c r="C432" s="9"/>
      <c r="D432" s="9"/>
      <c r="E432" s="9"/>
    </row>
    <row r="433" spans="3:5" ht="15.75" customHeight="1" x14ac:dyDescent="0.2">
      <c r="C433" s="9"/>
      <c r="D433" s="9"/>
      <c r="E433" s="9"/>
    </row>
    <row r="434" spans="3:5" ht="15.75" customHeight="1" x14ac:dyDescent="0.2">
      <c r="C434" s="9"/>
      <c r="D434" s="9"/>
      <c r="E434" s="9"/>
    </row>
    <row r="435" spans="3:5" ht="15.75" customHeight="1" x14ac:dyDescent="0.2">
      <c r="C435" s="9"/>
      <c r="D435" s="9"/>
      <c r="E435" s="9"/>
    </row>
    <row r="436" spans="3:5" ht="15.75" customHeight="1" x14ac:dyDescent="0.2">
      <c r="C436" s="9"/>
      <c r="D436" s="9"/>
      <c r="E436" s="9"/>
    </row>
    <row r="437" spans="3:5" ht="15.75" customHeight="1" x14ac:dyDescent="0.2">
      <c r="C437" s="9"/>
      <c r="D437" s="9"/>
      <c r="E437" s="9"/>
    </row>
    <row r="438" spans="3:5" ht="15.75" customHeight="1" x14ac:dyDescent="0.2">
      <c r="C438" s="9"/>
      <c r="D438" s="9"/>
      <c r="E438" s="9"/>
    </row>
    <row r="439" spans="3:5" ht="15.75" customHeight="1" x14ac:dyDescent="0.2">
      <c r="C439" s="9"/>
      <c r="D439" s="9"/>
      <c r="E439" s="9"/>
    </row>
    <row r="440" spans="3:5" ht="15.75" customHeight="1" x14ac:dyDescent="0.2">
      <c r="C440" s="9"/>
      <c r="D440" s="9"/>
      <c r="E440" s="9"/>
    </row>
    <row r="441" spans="3:5" ht="15.75" customHeight="1" x14ac:dyDescent="0.2">
      <c r="C441" s="9"/>
      <c r="D441" s="9"/>
      <c r="E441" s="9"/>
    </row>
    <row r="442" spans="3:5" ht="15.75" customHeight="1" x14ac:dyDescent="0.2">
      <c r="C442" s="9"/>
      <c r="D442" s="9"/>
      <c r="E442" s="9"/>
    </row>
    <row r="443" spans="3:5" ht="15.75" customHeight="1" x14ac:dyDescent="0.2">
      <c r="C443" s="9"/>
      <c r="D443" s="9"/>
      <c r="E443" s="9"/>
    </row>
    <row r="444" spans="3:5" ht="15.75" customHeight="1" x14ac:dyDescent="0.2">
      <c r="C444" s="9"/>
      <c r="D444" s="9"/>
      <c r="E444" s="9"/>
    </row>
    <row r="445" spans="3:5" ht="15.75" customHeight="1" x14ac:dyDescent="0.2">
      <c r="C445" s="9"/>
      <c r="D445" s="9"/>
      <c r="E445" s="9"/>
    </row>
    <row r="446" spans="3:5" ht="15.75" customHeight="1" x14ac:dyDescent="0.2">
      <c r="C446" s="9"/>
      <c r="D446" s="9"/>
      <c r="E446" s="9"/>
    </row>
    <row r="447" spans="3:5" ht="15.75" customHeight="1" x14ac:dyDescent="0.2">
      <c r="C447" s="9"/>
      <c r="D447" s="9"/>
      <c r="E447" s="9"/>
    </row>
    <row r="448" spans="3:5" ht="15.75" customHeight="1" x14ac:dyDescent="0.2">
      <c r="C448" s="9"/>
      <c r="D448" s="9"/>
      <c r="E448" s="9"/>
    </row>
    <row r="449" spans="3:5" ht="15.75" customHeight="1" x14ac:dyDescent="0.2">
      <c r="C449" s="9"/>
      <c r="D449" s="9"/>
      <c r="E449" s="9"/>
    </row>
    <row r="450" spans="3:5" ht="15.75" customHeight="1" x14ac:dyDescent="0.2">
      <c r="C450" s="9"/>
      <c r="D450" s="9"/>
      <c r="E450" s="9"/>
    </row>
    <row r="451" spans="3:5" ht="15.75" customHeight="1" x14ac:dyDescent="0.2">
      <c r="C451" s="9"/>
      <c r="D451" s="9"/>
      <c r="E451" s="9"/>
    </row>
    <row r="452" spans="3:5" ht="15.75" customHeight="1" x14ac:dyDescent="0.2">
      <c r="C452" s="9"/>
      <c r="D452" s="9"/>
      <c r="E452" s="9"/>
    </row>
    <row r="453" spans="3:5" ht="15.75" customHeight="1" x14ac:dyDescent="0.2">
      <c r="C453" s="9"/>
      <c r="D453" s="9"/>
      <c r="E453" s="9"/>
    </row>
    <row r="454" spans="3:5" ht="15.75" customHeight="1" x14ac:dyDescent="0.2">
      <c r="C454" s="9"/>
      <c r="D454" s="9"/>
      <c r="E454" s="9"/>
    </row>
    <row r="455" spans="3:5" ht="15.75" customHeight="1" x14ac:dyDescent="0.2">
      <c r="C455" s="9"/>
      <c r="D455" s="9"/>
      <c r="E455" s="9"/>
    </row>
    <row r="456" spans="3:5" ht="15.75" customHeight="1" x14ac:dyDescent="0.2">
      <c r="C456" s="9"/>
      <c r="D456" s="9"/>
      <c r="E456" s="9"/>
    </row>
    <row r="457" spans="3:5" ht="15.75" customHeight="1" x14ac:dyDescent="0.2">
      <c r="C457" s="9"/>
      <c r="D457" s="9"/>
      <c r="E457" s="9"/>
    </row>
    <row r="458" spans="3:5" ht="15.75" customHeight="1" x14ac:dyDescent="0.2">
      <c r="C458" s="9"/>
      <c r="D458" s="9"/>
      <c r="E458" s="9"/>
    </row>
    <row r="459" spans="3:5" ht="15.75" customHeight="1" x14ac:dyDescent="0.2">
      <c r="C459" s="9"/>
      <c r="D459" s="9"/>
      <c r="E459" s="9"/>
    </row>
    <row r="460" spans="3:5" ht="15.75" customHeight="1" x14ac:dyDescent="0.2">
      <c r="C460" s="9"/>
      <c r="D460" s="9"/>
      <c r="E460" s="9"/>
    </row>
    <row r="461" spans="3:5" ht="15.75" customHeight="1" x14ac:dyDescent="0.2">
      <c r="C461" s="9"/>
      <c r="D461" s="9"/>
      <c r="E461" s="9"/>
    </row>
    <row r="462" spans="3:5" ht="15.75" customHeight="1" x14ac:dyDescent="0.2">
      <c r="C462" s="9"/>
      <c r="D462" s="9"/>
      <c r="E462" s="9"/>
    </row>
    <row r="463" spans="3:5" ht="15.75" customHeight="1" x14ac:dyDescent="0.2">
      <c r="C463" s="9"/>
      <c r="D463" s="9"/>
      <c r="E463" s="9"/>
    </row>
    <row r="464" spans="3:5" ht="15.75" customHeight="1" x14ac:dyDescent="0.2">
      <c r="C464" s="9"/>
      <c r="D464" s="9"/>
      <c r="E464" s="9"/>
    </row>
    <row r="465" spans="3:5" ht="15.75" customHeight="1" x14ac:dyDescent="0.2">
      <c r="C465" s="9"/>
      <c r="D465" s="9"/>
      <c r="E465" s="9"/>
    </row>
    <row r="466" spans="3:5" ht="15.75" customHeight="1" x14ac:dyDescent="0.2">
      <c r="C466" s="9"/>
      <c r="D466" s="9"/>
      <c r="E466" s="9"/>
    </row>
    <row r="467" spans="3:5" ht="15.75" customHeight="1" x14ac:dyDescent="0.2">
      <c r="C467" s="9"/>
      <c r="D467" s="9"/>
      <c r="E467" s="9"/>
    </row>
    <row r="468" spans="3:5" ht="15.75" customHeight="1" x14ac:dyDescent="0.2">
      <c r="C468" s="9"/>
      <c r="D468" s="9"/>
      <c r="E468" s="9"/>
    </row>
    <row r="469" spans="3:5" ht="15.75" customHeight="1" x14ac:dyDescent="0.2">
      <c r="C469" s="9"/>
      <c r="D469" s="9"/>
      <c r="E469" s="9"/>
    </row>
    <row r="470" spans="3:5" ht="15.75" customHeight="1" x14ac:dyDescent="0.2">
      <c r="C470" s="9"/>
      <c r="D470" s="9"/>
      <c r="E470" s="9"/>
    </row>
    <row r="471" spans="3:5" ht="15.75" customHeight="1" x14ac:dyDescent="0.2">
      <c r="C471" s="9"/>
      <c r="D471" s="9"/>
      <c r="E471" s="9"/>
    </row>
    <row r="472" spans="3:5" ht="15.75" customHeight="1" x14ac:dyDescent="0.2">
      <c r="C472" s="9"/>
      <c r="D472" s="9"/>
      <c r="E472" s="9"/>
    </row>
    <row r="473" spans="3:5" ht="15.75" customHeight="1" x14ac:dyDescent="0.2">
      <c r="C473" s="9"/>
      <c r="D473" s="9"/>
      <c r="E473" s="9"/>
    </row>
    <row r="474" spans="3:5" ht="15.75" customHeight="1" x14ac:dyDescent="0.2">
      <c r="C474" s="9"/>
      <c r="D474" s="9"/>
      <c r="E474" s="9"/>
    </row>
    <row r="475" spans="3:5" ht="15.75" customHeight="1" x14ac:dyDescent="0.2">
      <c r="C475" s="9"/>
      <c r="D475" s="9"/>
      <c r="E475" s="9"/>
    </row>
    <row r="476" spans="3:5" ht="15.75" customHeight="1" x14ac:dyDescent="0.2">
      <c r="C476" s="9"/>
      <c r="D476" s="9"/>
      <c r="E476" s="9"/>
    </row>
    <row r="477" spans="3:5" ht="15.75" customHeight="1" x14ac:dyDescent="0.2">
      <c r="C477" s="9"/>
      <c r="D477" s="9"/>
      <c r="E477" s="9"/>
    </row>
    <row r="478" spans="3:5" ht="15.75" customHeight="1" x14ac:dyDescent="0.2">
      <c r="C478" s="9"/>
      <c r="D478" s="9"/>
      <c r="E478" s="9"/>
    </row>
    <row r="479" spans="3:5" ht="15.75" customHeight="1" x14ac:dyDescent="0.2">
      <c r="C479" s="9"/>
      <c r="D479" s="9"/>
      <c r="E479" s="9"/>
    </row>
    <row r="480" spans="3:5" ht="15.75" customHeight="1" x14ac:dyDescent="0.2">
      <c r="C480" s="9"/>
      <c r="D480" s="9"/>
      <c r="E480" s="9"/>
    </row>
    <row r="481" spans="3:5" ht="15.75" customHeight="1" x14ac:dyDescent="0.2">
      <c r="C481" s="9"/>
      <c r="D481" s="9"/>
      <c r="E481" s="9"/>
    </row>
    <row r="482" spans="3:5" ht="15.75" customHeight="1" x14ac:dyDescent="0.2">
      <c r="C482" s="9"/>
      <c r="D482" s="9"/>
      <c r="E482" s="9"/>
    </row>
    <row r="483" spans="3:5" ht="15.75" customHeight="1" x14ac:dyDescent="0.2">
      <c r="C483" s="9"/>
      <c r="D483" s="9"/>
      <c r="E483" s="9"/>
    </row>
    <row r="484" spans="3:5" ht="15.75" customHeight="1" x14ac:dyDescent="0.2">
      <c r="C484" s="9"/>
      <c r="D484" s="9"/>
      <c r="E484" s="9"/>
    </row>
    <row r="485" spans="3:5" ht="15.75" customHeight="1" x14ac:dyDescent="0.2">
      <c r="C485" s="9"/>
      <c r="D485" s="9"/>
      <c r="E485" s="9"/>
    </row>
    <row r="486" spans="3:5" ht="15.75" customHeight="1" x14ac:dyDescent="0.2">
      <c r="C486" s="9"/>
      <c r="D486" s="9"/>
      <c r="E486" s="9"/>
    </row>
    <row r="487" spans="3:5" ht="15.75" customHeight="1" x14ac:dyDescent="0.2">
      <c r="C487" s="9"/>
      <c r="D487" s="9"/>
      <c r="E487" s="9"/>
    </row>
    <row r="488" spans="3:5" ht="15.75" customHeight="1" x14ac:dyDescent="0.2">
      <c r="C488" s="9"/>
      <c r="D488" s="9"/>
      <c r="E488" s="9"/>
    </row>
    <row r="489" spans="3:5" ht="15.75" customHeight="1" x14ac:dyDescent="0.2">
      <c r="C489" s="9"/>
      <c r="D489" s="9"/>
      <c r="E489" s="9"/>
    </row>
    <row r="490" spans="3:5" ht="15.75" customHeight="1" x14ac:dyDescent="0.2">
      <c r="C490" s="9"/>
      <c r="D490" s="9"/>
      <c r="E490" s="9"/>
    </row>
    <row r="491" spans="3:5" ht="15.75" customHeight="1" x14ac:dyDescent="0.2">
      <c r="C491" s="9"/>
      <c r="D491" s="9"/>
      <c r="E491" s="9"/>
    </row>
    <row r="492" spans="3:5" ht="15.75" customHeight="1" x14ac:dyDescent="0.2">
      <c r="C492" s="9"/>
      <c r="D492" s="9"/>
      <c r="E492" s="9"/>
    </row>
    <row r="493" spans="3:5" ht="15.75" customHeight="1" x14ac:dyDescent="0.2">
      <c r="C493" s="9"/>
      <c r="D493" s="9"/>
      <c r="E493" s="9"/>
    </row>
    <row r="494" spans="3:5" ht="15.75" customHeight="1" x14ac:dyDescent="0.2">
      <c r="C494" s="9"/>
      <c r="D494" s="9"/>
      <c r="E494" s="9"/>
    </row>
    <row r="495" spans="3:5" ht="15.75" customHeight="1" x14ac:dyDescent="0.2">
      <c r="C495" s="9"/>
      <c r="D495" s="9"/>
      <c r="E495" s="9"/>
    </row>
    <row r="496" spans="3:5" ht="15.75" customHeight="1" x14ac:dyDescent="0.2">
      <c r="C496" s="9"/>
      <c r="D496" s="9"/>
      <c r="E496" s="9"/>
    </row>
    <row r="497" spans="3:5" ht="15.75" customHeight="1" x14ac:dyDescent="0.2">
      <c r="C497" s="9"/>
      <c r="D497" s="9"/>
      <c r="E497" s="9"/>
    </row>
    <row r="498" spans="3:5" ht="15.75" customHeight="1" x14ac:dyDescent="0.2">
      <c r="C498" s="9"/>
      <c r="D498" s="9"/>
      <c r="E498" s="9"/>
    </row>
    <row r="499" spans="3:5" ht="15.75" customHeight="1" x14ac:dyDescent="0.2">
      <c r="C499" s="9"/>
      <c r="D499" s="9"/>
      <c r="E499" s="9"/>
    </row>
    <row r="500" spans="3:5" ht="15.75" customHeight="1" x14ac:dyDescent="0.2">
      <c r="C500" s="9"/>
      <c r="D500" s="9"/>
      <c r="E500" s="9"/>
    </row>
    <row r="501" spans="3:5" ht="15.75" customHeight="1" x14ac:dyDescent="0.2">
      <c r="C501" s="9"/>
      <c r="D501" s="9"/>
      <c r="E501" s="9"/>
    </row>
    <row r="502" spans="3:5" ht="15.75" customHeight="1" x14ac:dyDescent="0.2">
      <c r="C502" s="9"/>
      <c r="D502" s="9"/>
      <c r="E502" s="9"/>
    </row>
    <row r="503" spans="3:5" ht="15.75" customHeight="1" x14ac:dyDescent="0.2">
      <c r="C503" s="9"/>
      <c r="D503" s="9"/>
      <c r="E503" s="9"/>
    </row>
    <row r="504" spans="3:5" ht="15.75" customHeight="1" x14ac:dyDescent="0.2">
      <c r="C504" s="9"/>
      <c r="D504" s="9"/>
      <c r="E504" s="9"/>
    </row>
    <row r="505" spans="3:5" ht="15.75" customHeight="1" x14ac:dyDescent="0.2">
      <c r="C505" s="9"/>
      <c r="D505" s="9"/>
      <c r="E505" s="9"/>
    </row>
    <row r="506" spans="3:5" ht="15.75" customHeight="1" x14ac:dyDescent="0.2">
      <c r="C506" s="9"/>
      <c r="D506" s="9"/>
      <c r="E506" s="9"/>
    </row>
    <row r="507" spans="3:5" ht="15.75" customHeight="1" x14ac:dyDescent="0.2">
      <c r="C507" s="9"/>
      <c r="D507" s="9"/>
      <c r="E507" s="9"/>
    </row>
    <row r="508" spans="3:5" ht="15.75" customHeight="1" x14ac:dyDescent="0.2">
      <c r="C508" s="9"/>
      <c r="D508" s="9"/>
      <c r="E508" s="9"/>
    </row>
    <row r="509" spans="3:5" ht="15.75" customHeight="1" x14ac:dyDescent="0.2">
      <c r="C509" s="9"/>
      <c r="D509" s="9"/>
      <c r="E509" s="9"/>
    </row>
    <row r="510" spans="3:5" ht="15.75" customHeight="1" x14ac:dyDescent="0.2">
      <c r="C510" s="9"/>
      <c r="D510" s="9"/>
      <c r="E510" s="9"/>
    </row>
    <row r="511" spans="3:5" ht="15.75" customHeight="1" x14ac:dyDescent="0.2">
      <c r="C511" s="9"/>
      <c r="D511" s="9"/>
      <c r="E511" s="9"/>
    </row>
    <row r="512" spans="3:5" ht="15.75" customHeight="1" x14ac:dyDescent="0.2">
      <c r="C512" s="9"/>
      <c r="D512" s="9"/>
      <c r="E512" s="9"/>
    </row>
    <row r="513" spans="3:5" ht="15.75" customHeight="1" x14ac:dyDescent="0.2">
      <c r="C513" s="9"/>
      <c r="D513" s="9"/>
      <c r="E513" s="9"/>
    </row>
    <row r="514" spans="3:5" ht="15.75" customHeight="1" x14ac:dyDescent="0.2">
      <c r="C514" s="9"/>
      <c r="D514" s="9"/>
      <c r="E514" s="9"/>
    </row>
    <row r="515" spans="3:5" ht="15.75" customHeight="1" x14ac:dyDescent="0.2">
      <c r="C515" s="9"/>
      <c r="D515" s="9"/>
      <c r="E515" s="9"/>
    </row>
    <row r="516" spans="3:5" ht="15.75" customHeight="1" x14ac:dyDescent="0.2">
      <c r="C516" s="9"/>
      <c r="D516" s="9"/>
      <c r="E516" s="9"/>
    </row>
    <row r="517" spans="3:5" ht="15.75" customHeight="1" x14ac:dyDescent="0.2">
      <c r="C517" s="9"/>
      <c r="D517" s="9"/>
      <c r="E517" s="9"/>
    </row>
    <row r="518" spans="3:5" ht="15.75" customHeight="1" x14ac:dyDescent="0.2">
      <c r="C518" s="9"/>
      <c r="D518" s="9"/>
      <c r="E518" s="9"/>
    </row>
    <row r="519" spans="3:5" ht="15.75" customHeight="1" x14ac:dyDescent="0.2">
      <c r="C519" s="9"/>
      <c r="D519" s="9"/>
      <c r="E519" s="9"/>
    </row>
    <row r="520" spans="3:5" ht="15.75" customHeight="1" x14ac:dyDescent="0.2">
      <c r="C520" s="9"/>
      <c r="D520" s="9"/>
      <c r="E520" s="9"/>
    </row>
    <row r="521" spans="3:5" ht="15.75" customHeight="1" x14ac:dyDescent="0.2">
      <c r="C521" s="9"/>
      <c r="D521" s="9"/>
      <c r="E521" s="9"/>
    </row>
    <row r="522" spans="3:5" ht="15.75" customHeight="1" x14ac:dyDescent="0.2">
      <c r="C522" s="9"/>
      <c r="D522" s="9"/>
      <c r="E522" s="9"/>
    </row>
    <row r="523" spans="3:5" ht="15.75" customHeight="1" x14ac:dyDescent="0.2">
      <c r="C523" s="9"/>
      <c r="D523" s="9"/>
      <c r="E523" s="9"/>
    </row>
    <row r="524" spans="3:5" ht="15.75" customHeight="1" x14ac:dyDescent="0.2">
      <c r="C524" s="9"/>
      <c r="D524" s="9"/>
      <c r="E524" s="9"/>
    </row>
    <row r="525" spans="3:5" ht="15.75" customHeight="1" x14ac:dyDescent="0.2">
      <c r="C525" s="9"/>
      <c r="D525" s="9"/>
      <c r="E525" s="9"/>
    </row>
    <row r="526" spans="3:5" ht="15.75" customHeight="1" x14ac:dyDescent="0.2">
      <c r="C526" s="9"/>
      <c r="D526" s="9"/>
      <c r="E526" s="9"/>
    </row>
    <row r="527" spans="3:5" ht="15.75" customHeight="1" x14ac:dyDescent="0.2">
      <c r="C527" s="9"/>
      <c r="D527" s="9"/>
      <c r="E527" s="9"/>
    </row>
    <row r="528" spans="3:5" ht="15.75" customHeight="1" x14ac:dyDescent="0.2">
      <c r="C528" s="9"/>
      <c r="D528" s="9"/>
      <c r="E528" s="9"/>
    </row>
    <row r="529" spans="3:5" ht="15.75" customHeight="1" x14ac:dyDescent="0.2">
      <c r="C529" s="9"/>
      <c r="D529" s="9"/>
      <c r="E529" s="9"/>
    </row>
    <row r="530" spans="3:5" ht="15.75" customHeight="1" x14ac:dyDescent="0.2">
      <c r="C530" s="9"/>
      <c r="D530" s="9"/>
      <c r="E530" s="9"/>
    </row>
    <row r="531" spans="3:5" ht="15.75" customHeight="1" x14ac:dyDescent="0.2">
      <c r="C531" s="9"/>
      <c r="D531" s="9"/>
      <c r="E531" s="9"/>
    </row>
    <row r="532" spans="3:5" ht="15.75" customHeight="1" x14ac:dyDescent="0.2">
      <c r="C532" s="9"/>
      <c r="D532" s="9"/>
      <c r="E532" s="9"/>
    </row>
    <row r="533" spans="3:5" ht="15.75" customHeight="1" x14ac:dyDescent="0.2">
      <c r="C533" s="9"/>
      <c r="D533" s="9"/>
      <c r="E533" s="9"/>
    </row>
    <row r="534" spans="3:5" ht="15.75" customHeight="1" x14ac:dyDescent="0.2">
      <c r="C534" s="9"/>
      <c r="D534" s="9"/>
      <c r="E534" s="9"/>
    </row>
    <row r="535" spans="3:5" ht="15.75" customHeight="1" x14ac:dyDescent="0.2">
      <c r="C535" s="9"/>
      <c r="D535" s="9"/>
      <c r="E535" s="9"/>
    </row>
    <row r="536" spans="3:5" ht="15.75" customHeight="1" x14ac:dyDescent="0.2">
      <c r="C536" s="9"/>
      <c r="D536" s="9"/>
      <c r="E536" s="9"/>
    </row>
    <row r="537" spans="3:5" ht="15.75" customHeight="1" x14ac:dyDescent="0.2">
      <c r="C537" s="9"/>
      <c r="D537" s="9"/>
      <c r="E537" s="9"/>
    </row>
    <row r="538" spans="3:5" ht="15.75" customHeight="1" x14ac:dyDescent="0.2">
      <c r="C538" s="9"/>
      <c r="D538" s="9"/>
      <c r="E538" s="9"/>
    </row>
    <row r="539" spans="3:5" ht="15.75" customHeight="1" x14ac:dyDescent="0.2">
      <c r="C539" s="9"/>
      <c r="D539" s="9"/>
      <c r="E539" s="9"/>
    </row>
    <row r="540" spans="3:5" ht="15.75" customHeight="1" x14ac:dyDescent="0.2">
      <c r="C540" s="9"/>
      <c r="D540" s="9"/>
      <c r="E540" s="9"/>
    </row>
    <row r="541" spans="3:5" ht="15.75" customHeight="1" x14ac:dyDescent="0.2">
      <c r="C541" s="9"/>
      <c r="D541" s="9"/>
      <c r="E541" s="9"/>
    </row>
    <row r="542" spans="3:5" ht="15.75" customHeight="1" x14ac:dyDescent="0.2">
      <c r="C542" s="9"/>
      <c r="D542" s="9"/>
      <c r="E542" s="9"/>
    </row>
    <row r="543" spans="3:5" ht="15.75" customHeight="1" x14ac:dyDescent="0.2">
      <c r="C543" s="9"/>
      <c r="D543" s="9"/>
      <c r="E543" s="9"/>
    </row>
    <row r="544" spans="3:5" ht="15.75" customHeight="1" x14ac:dyDescent="0.2">
      <c r="C544" s="9"/>
      <c r="D544" s="9"/>
      <c r="E544" s="9"/>
    </row>
    <row r="545" spans="3:5" ht="15.75" customHeight="1" x14ac:dyDescent="0.2">
      <c r="C545" s="9"/>
      <c r="D545" s="9"/>
      <c r="E545" s="9"/>
    </row>
    <row r="546" spans="3:5" ht="15.75" customHeight="1" x14ac:dyDescent="0.2">
      <c r="C546" s="9"/>
      <c r="D546" s="9"/>
      <c r="E546" s="9"/>
    </row>
    <row r="547" spans="3:5" ht="15.75" customHeight="1" x14ac:dyDescent="0.2">
      <c r="C547" s="9"/>
      <c r="D547" s="9"/>
      <c r="E547" s="9"/>
    </row>
    <row r="548" spans="3:5" ht="15.75" customHeight="1" x14ac:dyDescent="0.2">
      <c r="C548" s="9"/>
      <c r="D548" s="9"/>
      <c r="E548" s="9"/>
    </row>
    <row r="549" spans="3:5" ht="15.75" customHeight="1" x14ac:dyDescent="0.2">
      <c r="C549" s="9"/>
      <c r="D549" s="9"/>
      <c r="E549" s="9"/>
    </row>
    <row r="550" spans="3:5" ht="15.75" customHeight="1" x14ac:dyDescent="0.2">
      <c r="C550" s="9"/>
      <c r="D550" s="9"/>
      <c r="E550" s="9"/>
    </row>
    <row r="551" spans="3:5" ht="15.75" customHeight="1" x14ac:dyDescent="0.2">
      <c r="C551" s="9"/>
      <c r="D551" s="9"/>
      <c r="E551" s="9"/>
    </row>
    <row r="552" spans="3:5" ht="15.75" customHeight="1" x14ac:dyDescent="0.2">
      <c r="C552" s="9"/>
      <c r="D552" s="9"/>
      <c r="E552" s="9"/>
    </row>
    <row r="553" spans="3:5" ht="15.75" customHeight="1" x14ac:dyDescent="0.2">
      <c r="C553" s="9"/>
      <c r="D553" s="9"/>
      <c r="E553" s="9"/>
    </row>
    <row r="554" spans="3:5" ht="15.75" customHeight="1" x14ac:dyDescent="0.2">
      <c r="C554" s="9"/>
      <c r="D554" s="9"/>
      <c r="E554" s="9"/>
    </row>
    <row r="555" spans="3:5" ht="15.75" customHeight="1" x14ac:dyDescent="0.2">
      <c r="C555" s="9"/>
      <c r="D555" s="9"/>
      <c r="E555" s="9"/>
    </row>
    <row r="556" spans="3:5" ht="15.75" customHeight="1" x14ac:dyDescent="0.2">
      <c r="C556" s="9"/>
      <c r="D556" s="9"/>
      <c r="E556" s="9"/>
    </row>
    <row r="557" spans="3:5" ht="15.75" customHeight="1" x14ac:dyDescent="0.2">
      <c r="C557" s="9"/>
      <c r="D557" s="9"/>
      <c r="E557" s="9"/>
    </row>
    <row r="558" spans="3:5" ht="15.75" customHeight="1" x14ac:dyDescent="0.2">
      <c r="C558" s="9"/>
      <c r="D558" s="9"/>
      <c r="E558" s="9"/>
    </row>
    <row r="559" spans="3:5" ht="15.75" customHeight="1" x14ac:dyDescent="0.2">
      <c r="C559" s="9"/>
      <c r="D559" s="9"/>
      <c r="E559" s="9"/>
    </row>
    <row r="560" spans="3:5" ht="15.75" customHeight="1" x14ac:dyDescent="0.2">
      <c r="C560" s="9"/>
      <c r="D560" s="9"/>
      <c r="E560" s="9"/>
    </row>
    <row r="561" spans="3:5" ht="15.75" customHeight="1" x14ac:dyDescent="0.2">
      <c r="C561" s="9"/>
      <c r="D561" s="9"/>
      <c r="E561" s="9"/>
    </row>
    <row r="562" spans="3:5" ht="15.75" customHeight="1" x14ac:dyDescent="0.2">
      <c r="C562" s="9"/>
      <c r="D562" s="9"/>
      <c r="E562" s="9"/>
    </row>
    <row r="563" spans="3:5" ht="15.75" customHeight="1" x14ac:dyDescent="0.2">
      <c r="C563" s="9"/>
      <c r="D563" s="9"/>
      <c r="E563" s="9"/>
    </row>
    <row r="564" spans="3:5" ht="15.75" customHeight="1" x14ac:dyDescent="0.2">
      <c r="C564" s="9"/>
      <c r="D564" s="9"/>
      <c r="E564" s="9"/>
    </row>
    <row r="565" spans="3:5" ht="15.75" customHeight="1" x14ac:dyDescent="0.2">
      <c r="C565" s="9"/>
      <c r="D565" s="9"/>
      <c r="E565" s="9"/>
    </row>
    <row r="566" spans="3:5" ht="15.75" customHeight="1" x14ac:dyDescent="0.2">
      <c r="C566" s="9"/>
      <c r="D566" s="9"/>
      <c r="E566" s="9"/>
    </row>
    <row r="567" spans="3:5" ht="15.75" customHeight="1" x14ac:dyDescent="0.2">
      <c r="C567" s="9"/>
      <c r="D567" s="9"/>
      <c r="E567" s="9"/>
    </row>
    <row r="568" spans="3:5" ht="15.75" customHeight="1" x14ac:dyDescent="0.2">
      <c r="C568" s="9"/>
      <c r="D568" s="9"/>
      <c r="E568" s="9"/>
    </row>
    <row r="569" spans="3:5" ht="15.75" customHeight="1" x14ac:dyDescent="0.2">
      <c r="C569" s="9"/>
      <c r="D569" s="9"/>
      <c r="E569" s="9"/>
    </row>
    <row r="570" spans="3:5" ht="15.75" customHeight="1" x14ac:dyDescent="0.2">
      <c r="C570" s="9"/>
      <c r="D570" s="9"/>
      <c r="E570" s="9"/>
    </row>
    <row r="571" spans="3:5" ht="15.75" customHeight="1" x14ac:dyDescent="0.2">
      <c r="C571" s="9"/>
      <c r="D571" s="9"/>
      <c r="E571" s="9"/>
    </row>
    <row r="572" spans="3:5" ht="15.75" customHeight="1" x14ac:dyDescent="0.2">
      <c r="C572" s="9"/>
      <c r="D572" s="9"/>
      <c r="E572" s="9"/>
    </row>
    <row r="573" spans="3:5" ht="15.75" customHeight="1" x14ac:dyDescent="0.2">
      <c r="C573" s="9"/>
      <c r="D573" s="9"/>
      <c r="E573" s="9"/>
    </row>
    <row r="574" spans="3:5" ht="15.75" customHeight="1" x14ac:dyDescent="0.2">
      <c r="C574" s="9"/>
      <c r="D574" s="9"/>
      <c r="E574" s="9"/>
    </row>
    <row r="575" spans="3:5" ht="15.75" customHeight="1" x14ac:dyDescent="0.2">
      <c r="C575" s="9"/>
      <c r="D575" s="9"/>
      <c r="E575" s="9"/>
    </row>
    <row r="576" spans="3:5" ht="15.75" customHeight="1" x14ac:dyDescent="0.2">
      <c r="C576" s="9"/>
      <c r="D576" s="9"/>
      <c r="E576" s="9"/>
    </row>
    <row r="577" spans="3:5" ht="15.75" customHeight="1" x14ac:dyDescent="0.2">
      <c r="C577" s="9"/>
      <c r="D577" s="9"/>
      <c r="E577" s="9"/>
    </row>
    <row r="578" spans="3:5" ht="15.75" customHeight="1" x14ac:dyDescent="0.2">
      <c r="C578" s="9"/>
      <c r="D578" s="9"/>
      <c r="E578" s="9"/>
    </row>
    <row r="579" spans="3:5" ht="15.75" customHeight="1" x14ac:dyDescent="0.2">
      <c r="C579" s="9"/>
      <c r="D579" s="9"/>
      <c r="E579" s="9"/>
    </row>
    <row r="580" spans="3:5" ht="15.75" customHeight="1" x14ac:dyDescent="0.2">
      <c r="C580" s="9"/>
      <c r="D580" s="9"/>
      <c r="E580" s="9"/>
    </row>
    <row r="581" spans="3:5" ht="15.75" customHeight="1" x14ac:dyDescent="0.2">
      <c r="C581" s="9"/>
      <c r="D581" s="9"/>
      <c r="E581" s="9"/>
    </row>
    <row r="582" spans="3:5" ht="15.75" customHeight="1" x14ac:dyDescent="0.2">
      <c r="C582" s="9"/>
      <c r="D582" s="9"/>
      <c r="E582" s="9"/>
    </row>
    <row r="583" spans="3:5" ht="15.75" customHeight="1" x14ac:dyDescent="0.2">
      <c r="C583" s="9"/>
      <c r="D583" s="9"/>
      <c r="E583" s="9"/>
    </row>
    <row r="584" spans="3:5" ht="15.75" customHeight="1" x14ac:dyDescent="0.2">
      <c r="C584" s="9"/>
      <c r="D584" s="9"/>
      <c r="E584" s="9"/>
    </row>
    <row r="585" spans="3:5" ht="15.75" customHeight="1" x14ac:dyDescent="0.2">
      <c r="C585" s="9"/>
      <c r="D585" s="9"/>
      <c r="E585" s="9"/>
    </row>
    <row r="586" spans="3:5" ht="15.75" customHeight="1" x14ac:dyDescent="0.2">
      <c r="C586" s="9"/>
      <c r="D586" s="9"/>
      <c r="E586" s="9"/>
    </row>
    <row r="587" spans="3:5" ht="15.75" customHeight="1" x14ac:dyDescent="0.2">
      <c r="C587" s="9"/>
      <c r="D587" s="9"/>
      <c r="E587" s="9"/>
    </row>
    <row r="588" spans="3:5" ht="15.75" customHeight="1" x14ac:dyDescent="0.2">
      <c r="C588" s="9"/>
      <c r="D588" s="9"/>
      <c r="E588" s="9"/>
    </row>
    <row r="589" spans="3:5" ht="15.75" customHeight="1" x14ac:dyDescent="0.2">
      <c r="C589" s="9"/>
      <c r="D589" s="9"/>
      <c r="E589" s="9"/>
    </row>
    <row r="590" spans="3:5" ht="15.75" customHeight="1" x14ac:dyDescent="0.2">
      <c r="C590" s="9"/>
      <c r="D590" s="9"/>
      <c r="E590" s="9"/>
    </row>
    <row r="591" spans="3:5" ht="15.75" customHeight="1" x14ac:dyDescent="0.2">
      <c r="C591" s="9"/>
      <c r="D591" s="9"/>
      <c r="E591" s="9"/>
    </row>
    <row r="592" spans="3:5" ht="15.75" customHeight="1" x14ac:dyDescent="0.2">
      <c r="C592" s="9"/>
      <c r="D592" s="9"/>
      <c r="E592" s="9"/>
    </row>
    <row r="593" spans="3:5" ht="15.75" customHeight="1" x14ac:dyDescent="0.2">
      <c r="C593" s="9"/>
      <c r="D593" s="9"/>
      <c r="E593" s="9"/>
    </row>
    <row r="594" spans="3:5" ht="15.75" customHeight="1" x14ac:dyDescent="0.2">
      <c r="C594" s="9"/>
      <c r="D594" s="9"/>
      <c r="E594" s="9"/>
    </row>
    <row r="595" spans="3:5" ht="15.75" customHeight="1" x14ac:dyDescent="0.2">
      <c r="C595" s="9"/>
      <c r="D595" s="9"/>
      <c r="E595" s="9"/>
    </row>
    <row r="596" spans="3:5" ht="15.75" customHeight="1" x14ac:dyDescent="0.2">
      <c r="C596" s="9"/>
      <c r="D596" s="9"/>
      <c r="E596" s="9"/>
    </row>
    <row r="597" spans="3:5" ht="15.75" customHeight="1" x14ac:dyDescent="0.2">
      <c r="C597" s="9"/>
      <c r="D597" s="9"/>
      <c r="E597" s="9"/>
    </row>
    <row r="598" spans="3:5" ht="15.75" customHeight="1" x14ac:dyDescent="0.2">
      <c r="C598" s="9"/>
      <c r="D598" s="9"/>
      <c r="E598" s="9"/>
    </row>
    <row r="599" spans="3:5" ht="15.75" customHeight="1" x14ac:dyDescent="0.2">
      <c r="C599" s="9"/>
      <c r="D599" s="9"/>
      <c r="E599" s="9"/>
    </row>
    <row r="600" spans="3:5" ht="15.75" customHeight="1" x14ac:dyDescent="0.2">
      <c r="C600" s="9"/>
      <c r="D600" s="9"/>
      <c r="E600" s="9"/>
    </row>
    <row r="601" spans="3:5" ht="15.75" customHeight="1" x14ac:dyDescent="0.2">
      <c r="C601" s="9"/>
      <c r="D601" s="9"/>
      <c r="E601" s="9"/>
    </row>
    <row r="602" spans="3:5" ht="15.75" customHeight="1" x14ac:dyDescent="0.2">
      <c r="C602" s="9"/>
      <c r="D602" s="9"/>
      <c r="E602" s="9"/>
    </row>
    <row r="603" spans="3:5" ht="15.75" customHeight="1" x14ac:dyDescent="0.2">
      <c r="C603" s="9"/>
      <c r="D603" s="9"/>
      <c r="E603" s="9"/>
    </row>
    <row r="604" spans="3:5" ht="15.75" customHeight="1" x14ac:dyDescent="0.2">
      <c r="C604" s="9"/>
      <c r="D604" s="9"/>
      <c r="E604" s="9"/>
    </row>
    <row r="605" spans="3:5" ht="15.75" customHeight="1" x14ac:dyDescent="0.2">
      <c r="C605" s="9"/>
      <c r="D605" s="9"/>
      <c r="E605" s="9"/>
    </row>
    <row r="606" spans="3:5" ht="15.75" customHeight="1" x14ac:dyDescent="0.2">
      <c r="C606" s="9"/>
      <c r="D606" s="9"/>
      <c r="E606" s="9"/>
    </row>
    <row r="607" spans="3:5" ht="15.75" customHeight="1" x14ac:dyDescent="0.2">
      <c r="C607" s="9"/>
      <c r="D607" s="9"/>
      <c r="E607" s="9"/>
    </row>
    <row r="608" spans="3:5" ht="15.75" customHeight="1" x14ac:dyDescent="0.2">
      <c r="C608" s="9"/>
      <c r="D608" s="9"/>
      <c r="E608" s="9"/>
    </row>
    <row r="609" spans="3:5" ht="15.75" customHeight="1" x14ac:dyDescent="0.2">
      <c r="C609" s="9"/>
      <c r="D609" s="9"/>
      <c r="E609" s="9"/>
    </row>
    <row r="610" spans="3:5" ht="15.75" customHeight="1" x14ac:dyDescent="0.2">
      <c r="C610" s="9"/>
      <c r="D610" s="9"/>
      <c r="E610" s="9"/>
    </row>
    <row r="611" spans="3:5" ht="15.75" customHeight="1" x14ac:dyDescent="0.2">
      <c r="C611" s="9"/>
      <c r="D611" s="9"/>
      <c r="E611" s="9"/>
    </row>
    <row r="612" spans="3:5" ht="15.75" customHeight="1" x14ac:dyDescent="0.2">
      <c r="C612" s="9"/>
      <c r="D612" s="9"/>
      <c r="E612" s="9"/>
    </row>
    <row r="613" spans="3:5" ht="15.75" customHeight="1" x14ac:dyDescent="0.2">
      <c r="C613" s="9"/>
      <c r="D613" s="9"/>
      <c r="E613" s="9"/>
    </row>
    <row r="614" spans="3:5" ht="15.75" customHeight="1" x14ac:dyDescent="0.2">
      <c r="C614" s="9"/>
      <c r="D614" s="9"/>
      <c r="E614" s="9"/>
    </row>
    <row r="615" spans="3:5" ht="15.75" customHeight="1" x14ac:dyDescent="0.2">
      <c r="C615" s="9"/>
      <c r="D615" s="9"/>
      <c r="E615" s="9"/>
    </row>
    <row r="616" spans="3:5" ht="15.75" customHeight="1" x14ac:dyDescent="0.2">
      <c r="C616" s="9"/>
      <c r="D616" s="9"/>
      <c r="E616" s="9"/>
    </row>
    <row r="617" spans="3:5" ht="15.75" customHeight="1" x14ac:dyDescent="0.2">
      <c r="C617" s="9"/>
      <c r="D617" s="9"/>
      <c r="E617" s="9"/>
    </row>
    <row r="618" spans="3:5" ht="15.75" customHeight="1" x14ac:dyDescent="0.2">
      <c r="C618" s="9"/>
      <c r="D618" s="9"/>
      <c r="E618" s="9"/>
    </row>
    <row r="619" spans="3:5" ht="15.75" customHeight="1" x14ac:dyDescent="0.2">
      <c r="C619" s="9"/>
      <c r="D619" s="9"/>
      <c r="E619" s="9"/>
    </row>
    <row r="620" spans="3:5" ht="15.75" customHeight="1" x14ac:dyDescent="0.2">
      <c r="C620" s="9"/>
      <c r="D620" s="9"/>
      <c r="E620" s="9"/>
    </row>
    <row r="621" spans="3:5" ht="15.75" customHeight="1" x14ac:dyDescent="0.2">
      <c r="C621" s="9"/>
      <c r="D621" s="9"/>
      <c r="E621" s="9"/>
    </row>
    <row r="622" spans="3:5" ht="15.75" customHeight="1" x14ac:dyDescent="0.2">
      <c r="C622" s="9"/>
      <c r="D622" s="9"/>
      <c r="E622" s="9"/>
    </row>
    <row r="623" spans="3:5" ht="15.75" customHeight="1" x14ac:dyDescent="0.2">
      <c r="C623" s="9"/>
      <c r="D623" s="9"/>
      <c r="E623" s="9"/>
    </row>
    <row r="624" spans="3:5" ht="15.75" customHeight="1" x14ac:dyDescent="0.2">
      <c r="C624" s="9"/>
      <c r="D624" s="9"/>
      <c r="E624" s="9"/>
    </row>
    <row r="625" spans="3:5" ht="15.75" customHeight="1" x14ac:dyDescent="0.2">
      <c r="C625" s="9"/>
      <c r="D625" s="9"/>
      <c r="E625" s="9"/>
    </row>
    <row r="626" spans="3:5" ht="15.75" customHeight="1" x14ac:dyDescent="0.2">
      <c r="C626" s="9"/>
      <c r="D626" s="9"/>
      <c r="E626" s="9"/>
    </row>
    <row r="627" spans="3:5" ht="15.75" customHeight="1" x14ac:dyDescent="0.2">
      <c r="C627" s="9"/>
      <c r="D627" s="9"/>
      <c r="E627" s="9"/>
    </row>
    <row r="628" spans="3:5" ht="15.75" customHeight="1" x14ac:dyDescent="0.2">
      <c r="C628" s="9"/>
      <c r="D628" s="9"/>
      <c r="E628" s="9"/>
    </row>
    <row r="629" spans="3:5" ht="15.75" customHeight="1" x14ac:dyDescent="0.2">
      <c r="C629" s="9"/>
      <c r="D629" s="9"/>
      <c r="E629" s="9"/>
    </row>
    <row r="630" spans="3:5" ht="15.75" customHeight="1" x14ac:dyDescent="0.2">
      <c r="C630" s="9"/>
      <c r="D630" s="9"/>
      <c r="E630" s="9"/>
    </row>
    <row r="631" spans="3:5" ht="15.75" customHeight="1" x14ac:dyDescent="0.2">
      <c r="C631" s="9"/>
      <c r="D631" s="9"/>
      <c r="E631" s="9"/>
    </row>
    <row r="632" spans="3:5" ht="15.75" customHeight="1" x14ac:dyDescent="0.2">
      <c r="C632" s="9"/>
      <c r="D632" s="9"/>
      <c r="E632" s="9"/>
    </row>
    <row r="633" spans="3:5" ht="15.75" customHeight="1" x14ac:dyDescent="0.2">
      <c r="C633" s="9"/>
      <c r="D633" s="9"/>
      <c r="E633" s="9"/>
    </row>
    <row r="634" spans="3:5" ht="15.75" customHeight="1" x14ac:dyDescent="0.2">
      <c r="C634" s="9"/>
      <c r="D634" s="9"/>
      <c r="E634" s="9"/>
    </row>
    <row r="635" spans="3:5" ht="15.75" customHeight="1" x14ac:dyDescent="0.2">
      <c r="C635" s="9"/>
      <c r="D635" s="9"/>
      <c r="E635" s="9"/>
    </row>
    <row r="636" spans="3:5" ht="15.75" customHeight="1" x14ac:dyDescent="0.2">
      <c r="C636" s="9"/>
      <c r="D636" s="9"/>
      <c r="E636" s="9"/>
    </row>
    <row r="637" spans="3:5" ht="15.75" customHeight="1" x14ac:dyDescent="0.2">
      <c r="C637" s="9"/>
      <c r="D637" s="9"/>
      <c r="E637" s="9"/>
    </row>
    <row r="638" spans="3:5" ht="15.75" customHeight="1" x14ac:dyDescent="0.2">
      <c r="C638" s="9"/>
      <c r="D638" s="9"/>
      <c r="E638" s="9"/>
    </row>
    <row r="639" spans="3:5" ht="15.75" customHeight="1" x14ac:dyDescent="0.2">
      <c r="C639" s="9"/>
      <c r="D639" s="9"/>
      <c r="E639" s="9"/>
    </row>
    <row r="640" spans="3:5" ht="15.75" customHeight="1" x14ac:dyDescent="0.2">
      <c r="C640" s="9"/>
      <c r="D640" s="9"/>
      <c r="E640" s="9"/>
    </row>
    <row r="641" spans="3:5" ht="15.75" customHeight="1" x14ac:dyDescent="0.2">
      <c r="C641" s="9"/>
      <c r="D641" s="9"/>
      <c r="E641" s="9"/>
    </row>
    <row r="642" spans="3:5" ht="15.75" customHeight="1" x14ac:dyDescent="0.2">
      <c r="C642" s="9"/>
      <c r="D642" s="9"/>
      <c r="E642" s="9"/>
    </row>
    <row r="643" spans="3:5" ht="15.75" customHeight="1" x14ac:dyDescent="0.2">
      <c r="C643" s="9"/>
      <c r="D643" s="9"/>
      <c r="E643" s="9"/>
    </row>
    <row r="644" spans="3:5" ht="15.75" customHeight="1" x14ac:dyDescent="0.2">
      <c r="C644" s="9"/>
      <c r="D644" s="9"/>
      <c r="E644" s="9"/>
    </row>
    <row r="645" spans="3:5" ht="15.75" customHeight="1" x14ac:dyDescent="0.2">
      <c r="C645" s="9"/>
      <c r="D645" s="9"/>
      <c r="E645" s="9"/>
    </row>
    <row r="646" spans="3:5" ht="15.75" customHeight="1" x14ac:dyDescent="0.2">
      <c r="C646" s="9"/>
      <c r="D646" s="9"/>
      <c r="E646" s="9"/>
    </row>
    <row r="647" spans="3:5" ht="15.75" customHeight="1" x14ac:dyDescent="0.2">
      <c r="C647" s="9"/>
      <c r="D647" s="9"/>
      <c r="E647" s="9"/>
    </row>
    <row r="648" spans="3:5" ht="15.75" customHeight="1" x14ac:dyDescent="0.2">
      <c r="C648" s="9"/>
      <c r="D648" s="9"/>
      <c r="E648" s="9"/>
    </row>
    <row r="649" spans="3:5" ht="15.75" customHeight="1" x14ac:dyDescent="0.2">
      <c r="C649" s="9"/>
      <c r="D649" s="9"/>
      <c r="E649" s="9"/>
    </row>
    <row r="650" spans="3:5" ht="15.75" customHeight="1" x14ac:dyDescent="0.2">
      <c r="C650" s="9"/>
      <c r="D650" s="9"/>
      <c r="E650" s="9"/>
    </row>
    <row r="651" spans="3:5" ht="15.75" customHeight="1" x14ac:dyDescent="0.2">
      <c r="C651" s="9"/>
      <c r="D651" s="9"/>
      <c r="E651" s="9"/>
    </row>
    <row r="652" spans="3:5" ht="15.75" customHeight="1" x14ac:dyDescent="0.2">
      <c r="C652" s="9"/>
      <c r="D652" s="9"/>
      <c r="E652" s="9"/>
    </row>
    <row r="653" spans="3:5" ht="15.75" customHeight="1" x14ac:dyDescent="0.2">
      <c r="C653" s="9"/>
      <c r="D653" s="9"/>
      <c r="E653" s="9"/>
    </row>
    <row r="654" spans="3:5" ht="15.75" customHeight="1" x14ac:dyDescent="0.2">
      <c r="C654" s="9"/>
      <c r="D654" s="9"/>
      <c r="E654" s="9"/>
    </row>
    <row r="655" spans="3:5" ht="15.75" customHeight="1" x14ac:dyDescent="0.2">
      <c r="C655" s="9"/>
      <c r="D655" s="9"/>
      <c r="E655" s="9"/>
    </row>
    <row r="656" spans="3:5" ht="15.75" customHeight="1" x14ac:dyDescent="0.2">
      <c r="C656" s="9"/>
      <c r="D656" s="9"/>
      <c r="E656" s="9"/>
    </row>
    <row r="657" spans="3:5" ht="15.75" customHeight="1" x14ac:dyDescent="0.2">
      <c r="C657" s="9"/>
      <c r="D657" s="9"/>
      <c r="E657" s="9"/>
    </row>
    <row r="658" spans="3:5" ht="15.75" customHeight="1" x14ac:dyDescent="0.2">
      <c r="C658" s="9"/>
      <c r="D658" s="9"/>
      <c r="E658" s="9"/>
    </row>
    <row r="659" spans="3:5" ht="15.75" customHeight="1" x14ac:dyDescent="0.2">
      <c r="C659" s="9"/>
      <c r="D659" s="9"/>
      <c r="E659" s="9"/>
    </row>
    <row r="660" spans="3:5" ht="15.75" customHeight="1" x14ac:dyDescent="0.2">
      <c r="C660" s="9"/>
      <c r="D660" s="9"/>
      <c r="E660" s="9"/>
    </row>
    <row r="661" spans="3:5" ht="15.75" customHeight="1" x14ac:dyDescent="0.2">
      <c r="C661" s="9"/>
      <c r="D661" s="9"/>
      <c r="E661" s="9"/>
    </row>
    <row r="662" spans="3:5" ht="15.75" customHeight="1" x14ac:dyDescent="0.2">
      <c r="C662" s="9"/>
      <c r="D662" s="9"/>
      <c r="E662" s="9"/>
    </row>
    <row r="663" spans="3:5" ht="15.75" customHeight="1" x14ac:dyDescent="0.2">
      <c r="C663" s="9"/>
      <c r="D663" s="9"/>
      <c r="E663" s="9"/>
    </row>
    <row r="664" spans="3:5" ht="15.75" customHeight="1" x14ac:dyDescent="0.2">
      <c r="C664" s="9"/>
      <c r="D664" s="9"/>
      <c r="E664" s="9"/>
    </row>
    <row r="665" spans="3:5" ht="15.75" customHeight="1" x14ac:dyDescent="0.2">
      <c r="C665" s="9"/>
      <c r="D665" s="9"/>
      <c r="E665" s="9"/>
    </row>
    <row r="666" spans="3:5" ht="15.75" customHeight="1" x14ac:dyDescent="0.2">
      <c r="C666" s="9"/>
      <c r="D666" s="9"/>
      <c r="E666" s="9"/>
    </row>
    <row r="667" spans="3:5" ht="15.75" customHeight="1" x14ac:dyDescent="0.2">
      <c r="C667" s="9"/>
      <c r="D667" s="9"/>
      <c r="E667" s="9"/>
    </row>
    <row r="668" spans="3:5" ht="15.75" customHeight="1" x14ac:dyDescent="0.2">
      <c r="C668" s="9"/>
      <c r="D668" s="9"/>
      <c r="E668" s="9"/>
    </row>
    <row r="669" spans="3:5" ht="15.75" customHeight="1" x14ac:dyDescent="0.2">
      <c r="C669" s="9"/>
      <c r="D669" s="9"/>
      <c r="E669" s="9"/>
    </row>
    <row r="670" spans="3:5" ht="15.75" customHeight="1" x14ac:dyDescent="0.2">
      <c r="C670" s="9"/>
      <c r="D670" s="9"/>
      <c r="E670" s="9"/>
    </row>
    <row r="671" spans="3:5" ht="15.75" customHeight="1" x14ac:dyDescent="0.2">
      <c r="C671" s="9"/>
      <c r="D671" s="9"/>
      <c r="E671" s="9"/>
    </row>
    <row r="672" spans="3:5" ht="15.75" customHeight="1" x14ac:dyDescent="0.2">
      <c r="C672" s="9"/>
      <c r="D672" s="9"/>
      <c r="E672" s="9"/>
    </row>
    <row r="673" spans="3:5" ht="15.75" customHeight="1" x14ac:dyDescent="0.2">
      <c r="C673" s="9"/>
      <c r="D673" s="9"/>
      <c r="E673" s="9"/>
    </row>
    <row r="674" spans="3:5" ht="15.75" customHeight="1" x14ac:dyDescent="0.2">
      <c r="C674" s="9"/>
      <c r="D674" s="9"/>
      <c r="E674" s="9"/>
    </row>
    <row r="675" spans="3:5" ht="15.75" customHeight="1" x14ac:dyDescent="0.2">
      <c r="C675" s="9"/>
      <c r="D675" s="9"/>
      <c r="E675" s="9"/>
    </row>
    <row r="676" spans="3:5" ht="15.75" customHeight="1" x14ac:dyDescent="0.2">
      <c r="C676" s="9"/>
      <c r="D676" s="9"/>
      <c r="E676" s="9"/>
    </row>
    <row r="677" spans="3:5" ht="15.75" customHeight="1" x14ac:dyDescent="0.2">
      <c r="C677" s="9"/>
      <c r="D677" s="9"/>
      <c r="E677" s="9"/>
    </row>
    <row r="678" spans="3:5" ht="15.75" customHeight="1" x14ac:dyDescent="0.2">
      <c r="C678" s="9"/>
      <c r="D678" s="9"/>
      <c r="E678" s="9"/>
    </row>
    <row r="679" spans="3:5" ht="15.75" customHeight="1" x14ac:dyDescent="0.2">
      <c r="C679" s="9"/>
      <c r="D679" s="9"/>
      <c r="E679" s="9"/>
    </row>
    <row r="680" spans="3:5" ht="15.75" customHeight="1" x14ac:dyDescent="0.2">
      <c r="C680" s="9"/>
      <c r="D680" s="9"/>
      <c r="E680" s="9"/>
    </row>
    <row r="681" spans="3:5" ht="15.75" customHeight="1" x14ac:dyDescent="0.2">
      <c r="C681" s="9"/>
      <c r="D681" s="9"/>
      <c r="E681" s="9"/>
    </row>
    <row r="682" spans="3:5" ht="15.75" customHeight="1" x14ac:dyDescent="0.2">
      <c r="C682" s="9"/>
      <c r="D682" s="9"/>
      <c r="E682" s="9"/>
    </row>
    <row r="683" spans="3:5" ht="15.75" customHeight="1" x14ac:dyDescent="0.2">
      <c r="C683" s="9"/>
      <c r="D683" s="9"/>
      <c r="E683" s="9"/>
    </row>
    <row r="684" spans="3:5" ht="15.75" customHeight="1" x14ac:dyDescent="0.2">
      <c r="C684" s="9"/>
      <c r="D684" s="9"/>
      <c r="E684" s="9"/>
    </row>
    <row r="685" spans="3:5" ht="15.75" customHeight="1" x14ac:dyDescent="0.2">
      <c r="C685" s="9"/>
      <c r="D685" s="9"/>
      <c r="E685" s="9"/>
    </row>
    <row r="686" spans="3:5" ht="15.75" customHeight="1" x14ac:dyDescent="0.2">
      <c r="C686" s="9"/>
      <c r="D686" s="9"/>
      <c r="E686" s="9"/>
    </row>
    <row r="687" spans="3:5" ht="15.75" customHeight="1" x14ac:dyDescent="0.2">
      <c r="C687" s="9"/>
      <c r="D687" s="9"/>
      <c r="E687" s="9"/>
    </row>
    <row r="688" spans="3:5" ht="15.75" customHeight="1" x14ac:dyDescent="0.2">
      <c r="C688" s="9"/>
      <c r="D688" s="9"/>
      <c r="E688" s="9"/>
    </row>
    <row r="689" spans="3:5" ht="15.75" customHeight="1" x14ac:dyDescent="0.2">
      <c r="C689" s="9"/>
      <c r="D689" s="9"/>
      <c r="E689" s="9"/>
    </row>
    <row r="690" spans="3:5" ht="15.75" customHeight="1" x14ac:dyDescent="0.2">
      <c r="C690" s="9"/>
      <c r="D690" s="9"/>
      <c r="E690" s="9"/>
    </row>
    <row r="691" spans="3:5" ht="15.75" customHeight="1" x14ac:dyDescent="0.2">
      <c r="C691" s="9"/>
      <c r="D691" s="9"/>
      <c r="E691" s="9"/>
    </row>
    <row r="692" spans="3:5" ht="15.75" customHeight="1" x14ac:dyDescent="0.2">
      <c r="C692" s="9"/>
      <c r="D692" s="9"/>
      <c r="E692" s="9"/>
    </row>
    <row r="693" spans="3:5" ht="15.75" customHeight="1" x14ac:dyDescent="0.2">
      <c r="C693" s="9"/>
      <c r="D693" s="9"/>
      <c r="E693" s="9"/>
    </row>
    <row r="694" spans="3:5" ht="15.75" customHeight="1" x14ac:dyDescent="0.2">
      <c r="C694" s="9"/>
      <c r="D694" s="9"/>
      <c r="E694" s="9"/>
    </row>
    <row r="695" spans="3:5" ht="15.75" customHeight="1" x14ac:dyDescent="0.2">
      <c r="C695" s="9"/>
      <c r="D695" s="9"/>
      <c r="E695" s="9"/>
    </row>
    <row r="696" spans="3:5" ht="15.75" customHeight="1" x14ac:dyDescent="0.2">
      <c r="C696" s="9"/>
      <c r="D696" s="9"/>
      <c r="E696" s="9"/>
    </row>
    <row r="697" spans="3:5" ht="15.75" customHeight="1" x14ac:dyDescent="0.2">
      <c r="C697" s="9"/>
      <c r="D697" s="9"/>
      <c r="E697" s="9"/>
    </row>
    <row r="698" spans="3:5" ht="15.75" customHeight="1" x14ac:dyDescent="0.2">
      <c r="C698" s="9"/>
      <c r="D698" s="9"/>
      <c r="E698" s="9"/>
    </row>
    <row r="699" spans="3:5" ht="15.75" customHeight="1" x14ac:dyDescent="0.2">
      <c r="C699" s="9"/>
      <c r="D699" s="9"/>
      <c r="E699" s="9"/>
    </row>
    <row r="700" spans="3:5" ht="15.75" customHeight="1" x14ac:dyDescent="0.2">
      <c r="C700" s="9"/>
      <c r="D700" s="9"/>
      <c r="E700" s="9"/>
    </row>
    <row r="701" spans="3:5" ht="15.75" customHeight="1" x14ac:dyDescent="0.2">
      <c r="C701" s="9"/>
      <c r="D701" s="9"/>
      <c r="E701" s="9"/>
    </row>
    <row r="702" spans="3:5" ht="15.75" customHeight="1" x14ac:dyDescent="0.2">
      <c r="C702" s="9"/>
      <c r="D702" s="9"/>
      <c r="E702" s="9"/>
    </row>
    <row r="703" spans="3:5" ht="15.75" customHeight="1" x14ac:dyDescent="0.2">
      <c r="C703" s="9"/>
      <c r="D703" s="9"/>
      <c r="E703" s="9"/>
    </row>
    <row r="704" spans="3:5" ht="15.75" customHeight="1" x14ac:dyDescent="0.2">
      <c r="C704" s="9"/>
      <c r="D704" s="9"/>
      <c r="E704" s="9"/>
    </row>
    <row r="705" spans="3:5" ht="15.75" customHeight="1" x14ac:dyDescent="0.2">
      <c r="C705" s="9"/>
      <c r="D705" s="9"/>
      <c r="E705" s="9"/>
    </row>
    <row r="706" spans="3:5" ht="15.75" customHeight="1" x14ac:dyDescent="0.2">
      <c r="C706" s="9"/>
      <c r="D706" s="9"/>
      <c r="E706" s="9"/>
    </row>
    <row r="707" spans="3:5" ht="15.75" customHeight="1" x14ac:dyDescent="0.2">
      <c r="C707" s="9"/>
      <c r="D707" s="9"/>
      <c r="E707" s="9"/>
    </row>
    <row r="708" spans="3:5" ht="15.75" customHeight="1" x14ac:dyDescent="0.2">
      <c r="C708" s="9"/>
      <c r="D708" s="9"/>
      <c r="E708" s="9"/>
    </row>
    <row r="709" spans="3:5" ht="15.75" customHeight="1" x14ac:dyDescent="0.2">
      <c r="C709" s="9"/>
      <c r="D709" s="9"/>
      <c r="E709" s="9"/>
    </row>
    <row r="710" spans="3:5" ht="15.75" customHeight="1" x14ac:dyDescent="0.2">
      <c r="C710" s="9"/>
      <c r="D710" s="9"/>
      <c r="E710" s="9"/>
    </row>
    <row r="711" spans="3:5" ht="15.75" customHeight="1" x14ac:dyDescent="0.2">
      <c r="C711" s="9"/>
      <c r="D711" s="9"/>
      <c r="E711" s="9"/>
    </row>
    <row r="712" spans="3:5" ht="15.75" customHeight="1" x14ac:dyDescent="0.2">
      <c r="C712" s="9"/>
      <c r="D712" s="9"/>
      <c r="E712" s="9"/>
    </row>
    <row r="713" spans="3:5" ht="15.75" customHeight="1" x14ac:dyDescent="0.2">
      <c r="C713" s="9"/>
      <c r="D713" s="9"/>
      <c r="E713" s="9"/>
    </row>
    <row r="714" spans="3:5" ht="15.75" customHeight="1" x14ac:dyDescent="0.2">
      <c r="C714" s="9"/>
      <c r="D714" s="9"/>
      <c r="E714" s="9"/>
    </row>
    <row r="715" spans="3:5" ht="15.75" customHeight="1" x14ac:dyDescent="0.2">
      <c r="C715" s="9"/>
      <c r="D715" s="9"/>
      <c r="E715" s="9"/>
    </row>
    <row r="716" spans="3:5" ht="15.75" customHeight="1" x14ac:dyDescent="0.2">
      <c r="C716" s="9"/>
      <c r="D716" s="9"/>
      <c r="E716" s="9"/>
    </row>
    <row r="717" spans="3:5" ht="15.75" customHeight="1" x14ac:dyDescent="0.2">
      <c r="C717" s="9"/>
      <c r="D717" s="9"/>
      <c r="E717" s="9"/>
    </row>
    <row r="718" spans="3:5" ht="15.75" customHeight="1" x14ac:dyDescent="0.2">
      <c r="C718" s="9"/>
      <c r="D718" s="9"/>
      <c r="E718" s="9"/>
    </row>
    <row r="719" spans="3:5" ht="15.75" customHeight="1" x14ac:dyDescent="0.2">
      <c r="C719" s="9"/>
      <c r="D719" s="9"/>
      <c r="E719" s="9"/>
    </row>
    <row r="720" spans="3:5" ht="15.75" customHeight="1" x14ac:dyDescent="0.2">
      <c r="C720" s="9"/>
      <c r="D720" s="9"/>
      <c r="E720" s="9"/>
    </row>
    <row r="721" spans="3:5" ht="15.75" customHeight="1" x14ac:dyDescent="0.2">
      <c r="C721" s="9"/>
      <c r="D721" s="9"/>
      <c r="E721" s="9"/>
    </row>
    <row r="722" spans="3:5" ht="15.75" customHeight="1" x14ac:dyDescent="0.2">
      <c r="C722" s="9"/>
      <c r="D722" s="9"/>
      <c r="E722" s="9"/>
    </row>
    <row r="723" spans="3:5" ht="15.75" customHeight="1" x14ac:dyDescent="0.2">
      <c r="C723" s="9"/>
      <c r="D723" s="9"/>
      <c r="E723" s="9"/>
    </row>
    <row r="724" spans="3:5" ht="15.75" customHeight="1" x14ac:dyDescent="0.2">
      <c r="C724" s="9"/>
      <c r="D724" s="9"/>
      <c r="E724" s="9"/>
    </row>
    <row r="725" spans="3:5" ht="15.75" customHeight="1" x14ac:dyDescent="0.2">
      <c r="C725" s="9"/>
      <c r="D725" s="9"/>
      <c r="E725" s="9"/>
    </row>
    <row r="726" spans="3:5" ht="15.75" customHeight="1" x14ac:dyDescent="0.2">
      <c r="C726" s="9"/>
      <c r="D726" s="9"/>
      <c r="E726" s="9"/>
    </row>
    <row r="727" spans="3:5" ht="15.75" customHeight="1" x14ac:dyDescent="0.2">
      <c r="C727" s="9"/>
      <c r="D727" s="9"/>
      <c r="E727" s="9"/>
    </row>
    <row r="728" spans="3:5" ht="15.75" customHeight="1" x14ac:dyDescent="0.2">
      <c r="C728" s="9"/>
      <c r="D728" s="9"/>
      <c r="E728" s="9"/>
    </row>
    <row r="729" spans="3:5" ht="15.75" customHeight="1" x14ac:dyDescent="0.2">
      <c r="C729" s="9"/>
      <c r="D729" s="9"/>
      <c r="E729" s="9"/>
    </row>
    <row r="730" spans="3:5" ht="15.75" customHeight="1" x14ac:dyDescent="0.2">
      <c r="C730" s="9"/>
      <c r="D730" s="9"/>
      <c r="E730" s="9"/>
    </row>
    <row r="731" spans="3:5" ht="15.75" customHeight="1" x14ac:dyDescent="0.2">
      <c r="C731" s="9"/>
      <c r="D731" s="9"/>
      <c r="E731" s="9"/>
    </row>
    <row r="732" spans="3:5" ht="15.75" customHeight="1" x14ac:dyDescent="0.2">
      <c r="C732" s="9"/>
      <c r="D732" s="9"/>
      <c r="E732" s="9"/>
    </row>
    <row r="733" spans="3:5" ht="15.75" customHeight="1" x14ac:dyDescent="0.2">
      <c r="C733" s="9"/>
      <c r="D733" s="9"/>
      <c r="E733" s="9"/>
    </row>
    <row r="734" spans="3:5" ht="15.75" customHeight="1" x14ac:dyDescent="0.2">
      <c r="C734" s="9"/>
      <c r="D734" s="9"/>
      <c r="E734" s="9"/>
    </row>
    <row r="735" spans="3:5" ht="15.75" customHeight="1" x14ac:dyDescent="0.2">
      <c r="C735" s="9"/>
      <c r="D735" s="9"/>
      <c r="E735" s="9"/>
    </row>
    <row r="736" spans="3:5" ht="15.75" customHeight="1" x14ac:dyDescent="0.2">
      <c r="C736" s="9"/>
      <c r="D736" s="9"/>
      <c r="E736" s="9"/>
    </row>
    <row r="737" spans="3:5" ht="15.75" customHeight="1" x14ac:dyDescent="0.2">
      <c r="C737" s="9"/>
      <c r="D737" s="9"/>
      <c r="E737" s="9"/>
    </row>
    <row r="738" spans="3:5" ht="15.75" customHeight="1" x14ac:dyDescent="0.2">
      <c r="C738" s="9"/>
      <c r="D738" s="9"/>
      <c r="E738" s="9"/>
    </row>
    <row r="739" spans="3:5" ht="15.75" customHeight="1" x14ac:dyDescent="0.2">
      <c r="C739" s="9"/>
      <c r="D739" s="9"/>
      <c r="E739" s="9"/>
    </row>
    <row r="740" spans="3:5" ht="15.75" customHeight="1" x14ac:dyDescent="0.2">
      <c r="C740" s="9"/>
      <c r="D740" s="9"/>
      <c r="E740" s="9"/>
    </row>
    <row r="741" spans="3:5" ht="15.75" customHeight="1" x14ac:dyDescent="0.2">
      <c r="C741" s="9"/>
      <c r="D741" s="9"/>
      <c r="E741" s="9"/>
    </row>
    <row r="742" spans="3:5" ht="15.75" customHeight="1" x14ac:dyDescent="0.2">
      <c r="C742" s="9"/>
      <c r="D742" s="9"/>
      <c r="E742" s="9"/>
    </row>
    <row r="743" spans="3:5" ht="15.75" customHeight="1" x14ac:dyDescent="0.2">
      <c r="C743" s="9"/>
      <c r="D743" s="9"/>
      <c r="E743" s="9"/>
    </row>
    <row r="744" spans="3:5" ht="15.75" customHeight="1" x14ac:dyDescent="0.2">
      <c r="C744" s="9"/>
      <c r="D744" s="9"/>
      <c r="E744" s="9"/>
    </row>
    <row r="745" spans="3:5" ht="15.75" customHeight="1" x14ac:dyDescent="0.2">
      <c r="C745" s="9"/>
      <c r="D745" s="9"/>
      <c r="E745" s="9"/>
    </row>
    <row r="746" spans="3:5" ht="15.75" customHeight="1" x14ac:dyDescent="0.2">
      <c r="C746" s="9"/>
      <c r="D746" s="9"/>
      <c r="E746" s="9"/>
    </row>
    <row r="747" spans="3:5" ht="15.75" customHeight="1" x14ac:dyDescent="0.2">
      <c r="C747" s="9"/>
      <c r="D747" s="9"/>
      <c r="E747" s="9"/>
    </row>
    <row r="748" spans="3:5" ht="15.75" customHeight="1" x14ac:dyDescent="0.2">
      <c r="C748" s="9"/>
      <c r="D748" s="9"/>
      <c r="E748" s="9"/>
    </row>
    <row r="749" spans="3:5" ht="15.75" customHeight="1" x14ac:dyDescent="0.2">
      <c r="C749" s="9"/>
      <c r="D749" s="9"/>
      <c r="E749" s="9"/>
    </row>
    <row r="750" spans="3:5" ht="15.75" customHeight="1" x14ac:dyDescent="0.2">
      <c r="C750" s="9"/>
      <c r="D750" s="9"/>
      <c r="E750" s="9"/>
    </row>
    <row r="751" spans="3:5" ht="15.75" customHeight="1" x14ac:dyDescent="0.2">
      <c r="C751" s="9"/>
      <c r="D751" s="9"/>
      <c r="E751" s="9"/>
    </row>
    <row r="752" spans="3:5" ht="15.75" customHeight="1" x14ac:dyDescent="0.2">
      <c r="C752" s="9"/>
      <c r="D752" s="9"/>
      <c r="E752" s="9"/>
    </row>
    <row r="753" spans="3:5" ht="15.75" customHeight="1" x14ac:dyDescent="0.2">
      <c r="C753" s="9"/>
      <c r="D753" s="9"/>
      <c r="E753" s="9"/>
    </row>
    <row r="754" spans="3:5" ht="15.75" customHeight="1" x14ac:dyDescent="0.2">
      <c r="C754" s="9"/>
      <c r="D754" s="9"/>
      <c r="E754" s="9"/>
    </row>
    <row r="755" spans="3:5" ht="15.75" customHeight="1" x14ac:dyDescent="0.2">
      <c r="C755" s="9"/>
      <c r="D755" s="9"/>
      <c r="E755" s="9"/>
    </row>
    <row r="756" spans="3:5" ht="15.75" customHeight="1" x14ac:dyDescent="0.2">
      <c r="C756" s="9"/>
      <c r="D756" s="9"/>
      <c r="E756" s="9"/>
    </row>
    <row r="757" spans="3:5" ht="15.75" customHeight="1" x14ac:dyDescent="0.2">
      <c r="C757" s="9"/>
      <c r="D757" s="9"/>
      <c r="E757" s="9"/>
    </row>
    <row r="758" spans="3:5" ht="15.75" customHeight="1" x14ac:dyDescent="0.2">
      <c r="C758" s="9"/>
      <c r="D758" s="9"/>
      <c r="E758" s="9"/>
    </row>
    <row r="759" spans="3:5" ht="15.75" customHeight="1" x14ac:dyDescent="0.2">
      <c r="C759" s="9"/>
      <c r="D759" s="9"/>
      <c r="E759" s="9"/>
    </row>
    <row r="760" spans="3:5" ht="15.75" customHeight="1" x14ac:dyDescent="0.2">
      <c r="C760" s="9"/>
      <c r="D760" s="9"/>
      <c r="E760" s="9"/>
    </row>
    <row r="761" spans="3:5" ht="15.75" customHeight="1" x14ac:dyDescent="0.2">
      <c r="C761" s="9"/>
      <c r="D761" s="9"/>
      <c r="E761" s="9"/>
    </row>
    <row r="762" spans="3:5" ht="15.75" customHeight="1" x14ac:dyDescent="0.2">
      <c r="C762" s="9"/>
      <c r="D762" s="9"/>
      <c r="E762" s="9"/>
    </row>
    <row r="763" spans="3:5" ht="15.75" customHeight="1" x14ac:dyDescent="0.2">
      <c r="C763" s="9"/>
      <c r="D763" s="9"/>
      <c r="E763" s="9"/>
    </row>
    <row r="764" spans="3:5" ht="15.75" customHeight="1" x14ac:dyDescent="0.2">
      <c r="C764" s="9"/>
      <c r="D764" s="9"/>
      <c r="E764" s="9"/>
    </row>
    <row r="765" spans="3:5" ht="15.75" customHeight="1" x14ac:dyDescent="0.2">
      <c r="C765" s="9"/>
      <c r="D765" s="9"/>
      <c r="E765" s="9"/>
    </row>
    <row r="766" spans="3:5" ht="15.75" customHeight="1" x14ac:dyDescent="0.2">
      <c r="C766" s="9"/>
      <c r="D766" s="9"/>
      <c r="E766" s="9"/>
    </row>
    <row r="767" spans="3:5" ht="15.75" customHeight="1" x14ac:dyDescent="0.2">
      <c r="C767" s="9"/>
      <c r="D767" s="9"/>
      <c r="E767" s="9"/>
    </row>
    <row r="768" spans="3:5" ht="15.75" customHeight="1" x14ac:dyDescent="0.2">
      <c r="C768" s="9"/>
      <c r="D768" s="9"/>
      <c r="E768" s="9"/>
    </row>
    <row r="769" spans="3:5" ht="15.75" customHeight="1" x14ac:dyDescent="0.2">
      <c r="C769" s="9"/>
      <c r="D769" s="9"/>
      <c r="E769" s="9"/>
    </row>
    <row r="770" spans="3:5" ht="15.75" customHeight="1" x14ac:dyDescent="0.2">
      <c r="C770" s="9"/>
      <c r="D770" s="9"/>
      <c r="E770" s="9"/>
    </row>
    <row r="771" spans="3:5" ht="15.75" customHeight="1" x14ac:dyDescent="0.2">
      <c r="C771" s="9"/>
      <c r="D771" s="9"/>
      <c r="E771" s="9"/>
    </row>
    <row r="772" spans="3:5" ht="15.75" customHeight="1" x14ac:dyDescent="0.2">
      <c r="C772" s="9"/>
      <c r="D772" s="9"/>
      <c r="E772" s="9"/>
    </row>
    <row r="773" spans="3:5" ht="15.75" customHeight="1" x14ac:dyDescent="0.2">
      <c r="C773" s="9"/>
      <c r="D773" s="9"/>
      <c r="E773" s="9"/>
    </row>
    <row r="774" spans="3:5" ht="15.75" customHeight="1" x14ac:dyDescent="0.2">
      <c r="C774" s="9"/>
      <c r="D774" s="9"/>
      <c r="E774" s="9"/>
    </row>
    <row r="775" spans="3:5" ht="15.75" customHeight="1" x14ac:dyDescent="0.2">
      <c r="C775" s="9"/>
      <c r="D775" s="9"/>
      <c r="E775" s="9"/>
    </row>
    <row r="776" spans="3:5" ht="15.75" customHeight="1" x14ac:dyDescent="0.2">
      <c r="C776" s="9"/>
      <c r="D776" s="9"/>
      <c r="E776" s="9"/>
    </row>
    <row r="777" spans="3:5" ht="15.75" customHeight="1" x14ac:dyDescent="0.2">
      <c r="C777" s="9"/>
      <c r="D777" s="9"/>
      <c r="E777" s="9"/>
    </row>
    <row r="778" spans="3:5" ht="15.75" customHeight="1" x14ac:dyDescent="0.2">
      <c r="C778" s="9"/>
      <c r="D778" s="9"/>
      <c r="E778" s="9"/>
    </row>
    <row r="779" spans="3:5" ht="15.75" customHeight="1" x14ac:dyDescent="0.2">
      <c r="C779" s="9"/>
      <c r="D779" s="9"/>
      <c r="E779" s="9"/>
    </row>
    <row r="780" spans="3:5" ht="15.75" customHeight="1" x14ac:dyDescent="0.2">
      <c r="C780" s="9"/>
      <c r="D780" s="9"/>
      <c r="E780" s="9"/>
    </row>
    <row r="781" spans="3:5" ht="15.75" customHeight="1" x14ac:dyDescent="0.2">
      <c r="C781" s="9"/>
      <c r="D781" s="9"/>
      <c r="E781" s="9"/>
    </row>
    <row r="782" spans="3:5" ht="15.75" customHeight="1" x14ac:dyDescent="0.2">
      <c r="C782" s="9"/>
      <c r="D782" s="9"/>
      <c r="E782" s="9"/>
    </row>
    <row r="783" spans="3:5" ht="15.75" customHeight="1" x14ac:dyDescent="0.2">
      <c r="C783" s="9"/>
      <c r="D783" s="9"/>
      <c r="E783" s="9"/>
    </row>
    <row r="784" spans="3:5" ht="15.75" customHeight="1" x14ac:dyDescent="0.2">
      <c r="C784" s="9"/>
      <c r="D784" s="9"/>
      <c r="E784" s="9"/>
    </row>
    <row r="785" spans="3:5" ht="15.75" customHeight="1" x14ac:dyDescent="0.2">
      <c r="C785" s="9"/>
      <c r="D785" s="9"/>
      <c r="E785" s="9"/>
    </row>
    <row r="786" spans="3:5" ht="15.75" customHeight="1" x14ac:dyDescent="0.2">
      <c r="C786" s="9"/>
      <c r="D786" s="9"/>
      <c r="E786" s="9"/>
    </row>
    <row r="787" spans="3:5" ht="15.75" customHeight="1" x14ac:dyDescent="0.2">
      <c r="C787" s="9"/>
      <c r="D787" s="9"/>
      <c r="E787" s="9"/>
    </row>
    <row r="788" spans="3:5" ht="15.75" customHeight="1" x14ac:dyDescent="0.2">
      <c r="C788" s="9"/>
      <c r="D788" s="9"/>
      <c r="E788" s="9"/>
    </row>
    <row r="789" spans="3:5" ht="15.75" customHeight="1" x14ac:dyDescent="0.2">
      <c r="C789" s="9"/>
      <c r="D789" s="9"/>
      <c r="E789" s="9"/>
    </row>
    <row r="790" spans="3:5" ht="15.75" customHeight="1" x14ac:dyDescent="0.2">
      <c r="C790" s="9"/>
      <c r="D790" s="9"/>
      <c r="E790" s="9"/>
    </row>
    <row r="791" spans="3:5" ht="15.75" customHeight="1" x14ac:dyDescent="0.2">
      <c r="C791" s="9"/>
      <c r="D791" s="9"/>
      <c r="E791" s="9"/>
    </row>
    <row r="792" spans="3:5" ht="15.75" customHeight="1" x14ac:dyDescent="0.2">
      <c r="C792" s="9"/>
      <c r="D792" s="9"/>
      <c r="E792" s="9"/>
    </row>
    <row r="793" spans="3:5" ht="15.75" customHeight="1" x14ac:dyDescent="0.2">
      <c r="C793" s="9"/>
      <c r="D793" s="9"/>
      <c r="E793" s="9"/>
    </row>
    <row r="794" spans="3:5" ht="15.75" customHeight="1" x14ac:dyDescent="0.2">
      <c r="C794" s="9"/>
      <c r="D794" s="9"/>
      <c r="E794" s="9"/>
    </row>
    <row r="795" spans="3:5" ht="15.75" customHeight="1" x14ac:dyDescent="0.2">
      <c r="C795" s="9"/>
      <c r="D795" s="9"/>
      <c r="E795" s="9"/>
    </row>
    <row r="796" spans="3:5" ht="15.75" customHeight="1" x14ac:dyDescent="0.2">
      <c r="C796" s="9"/>
      <c r="D796" s="9"/>
      <c r="E796" s="9"/>
    </row>
    <row r="797" spans="3:5" ht="15.75" customHeight="1" x14ac:dyDescent="0.2">
      <c r="C797" s="9"/>
      <c r="D797" s="9"/>
      <c r="E797" s="9"/>
    </row>
    <row r="798" spans="3:5" ht="15.75" customHeight="1" x14ac:dyDescent="0.2">
      <c r="C798" s="9"/>
      <c r="D798" s="9"/>
      <c r="E798" s="9"/>
    </row>
    <row r="799" spans="3:5" ht="15.75" customHeight="1" x14ac:dyDescent="0.2">
      <c r="C799" s="9"/>
      <c r="D799" s="9"/>
      <c r="E799" s="9"/>
    </row>
    <row r="800" spans="3:5" ht="15.75" customHeight="1" x14ac:dyDescent="0.2">
      <c r="C800" s="9"/>
      <c r="D800" s="9"/>
      <c r="E800" s="9"/>
    </row>
    <row r="801" spans="3:5" ht="15.75" customHeight="1" x14ac:dyDescent="0.2">
      <c r="C801" s="9"/>
      <c r="D801" s="9"/>
      <c r="E801" s="9"/>
    </row>
    <row r="802" spans="3:5" ht="15.75" customHeight="1" x14ac:dyDescent="0.2">
      <c r="C802" s="9"/>
      <c r="D802" s="9"/>
      <c r="E802" s="9"/>
    </row>
    <row r="803" spans="3:5" ht="15.75" customHeight="1" x14ac:dyDescent="0.2">
      <c r="C803" s="9"/>
      <c r="D803" s="9"/>
      <c r="E803" s="9"/>
    </row>
    <row r="804" spans="3:5" ht="15.75" customHeight="1" x14ac:dyDescent="0.2">
      <c r="C804" s="9"/>
      <c r="D804" s="9"/>
      <c r="E804" s="9"/>
    </row>
    <row r="805" spans="3:5" ht="15.75" customHeight="1" x14ac:dyDescent="0.2">
      <c r="C805" s="9"/>
      <c r="D805" s="9"/>
      <c r="E805" s="9"/>
    </row>
    <row r="806" spans="3:5" ht="15.75" customHeight="1" x14ac:dyDescent="0.2">
      <c r="C806" s="9"/>
      <c r="D806" s="9"/>
      <c r="E806" s="9"/>
    </row>
    <row r="807" spans="3:5" ht="15.75" customHeight="1" x14ac:dyDescent="0.2">
      <c r="C807" s="9"/>
      <c r="D807" s="9"/>
      <c r="E807" s="9"/>
    </row>
    <row r="808" spans="3:5" ht="15.75" customHeight="1" x14ac:dyDescent="0.2">
      <c r="C808" s="9"/>
      <c r="D808" s="9"/>
      <c r="E808" s="9"/>
    </row>
    <row r="809" spans="3:5" ht="15.75" customHeight="1" x14ac:dyDescent="0.2">
      <c r="C809" s="9"/>
      <c r="D809" s="9"/>
      <c r="E809" s="9"/>
    </row>
    <row r="810" spans="3:5" ht="15.75" customHeight="1" x14ac:dyDescent="0.2">
      <c r="C810" s="9"/>
      <c r="D810" s="9"/>
      <c r="E810" s="9"/>
    </row>
    <row r="811" spans="3:5" ht="15.75" customHeight="1" x14ac:dyDescent="0.2">
      <c r="C811" s="9"/>
      <c r="D811" s="9"/>
      <c r="E811" s="9"/>
    </row>
    <row r="812" spans="3:5" ht="15.75" customHeight="1" x14ac:dyDescent="0.2">
      <c r="C812" s="9"/>
      <c r="D812" s="9"/>
      <c r="E812" s="9"/>
    </row>
    <row r="813" spans="3:5" ht="15.75" customHeight="1" x14ac:dyDescent="0.2">
      <c r="C813" s="9"/>
      <c r="D813" s="9"/>
      <c r="E813" s="9"/>
    </row>
    <row r="814" spans="3:5" ht="15.75" customHeight="1" x14ac:dyDescent="0.2">
      <c r="C814" s="9"/>
      <c r="D814" s="9"/>
      <c r="E814" s="9"/>
    </row>
    <row r="815" spans="3:5" ht="15.75" customHeight="1" x14ac:dyDescent="0.2">
      <c r="C815" s="9"/>
      <c r="D815" s="9"/>
      <c r="E815" s="9"/>
    </row>
    <row r="816" spans="3:5" ht="15.75" customHeight="1" x14ac:dyDescent="0.2">
      <c r="C816" s="9"/>
      <c r="D816" s="9"/>
      <c r="E816" s="9"/>
    </row>
    <row r="817" spans="3:5" ht="15.75" customHeight="1" x14ac:dyDescent="0.2">
      <c r="C817" s="9"/>
      <c r="D817" s="9"/>
      <c r="E817" s="9"/>
    </row>
    <row r="818" spans="3:5" ht="15.75" customHeight="1" x14ac:dyDescent="0.2">
      <c r="C818" s="9"/>
      <c r="D818" s="9"/>
      <c r="E818" s="9"/>
    </row>
    <row r="819" spans="3:5" ht="15.75" customHeight="1" x14ac:dyDescent="0.2">
      <c r="C819" s="9"/>
      <c r="D819" s="9"/>
      <c r="E819" s="9"/>
    </row>
    <row r="820" spans="3:5" ht="15.75" customHeight="1" x14ac:dyDescent="0.2">
      <c r="C820" s="9"/>
      <c r="D820" s="9"/>
      <c r="E820" s="9"/>
    </row>
    <row r="821" spans="3:5" ht="15.75" customHeight="1" x14ac:dyDescent="0.2">
      <c r="C821" s="9"/>
      <c r="D821" s="9"/>
      <c r="E821" s="9"/>
    </row>
    <row r="822" spans="3:5" ht="15.75" customHeight="1" x14ac:dyDescent="0.2">
      <c r="C822" s="9"/>
      <c r="D822" s="9"/>
      <c r="E822" s="9"/>
    </row>
    <row r="823" spans="3:5" ht="15.75" customHeight="1" x14ac:dyDescent="0.2">
      <c r="C823" s="9"/>
      <c r="D823" s="9"/>
      <c r="E823" s="9"/>
    </row>
    <row r="824" spans="3:5" ht="15.75" customHeight="1" x14ac:dyDescent="0.2">
      <c r="C824" s="9"/>
      <c r="D824" s="9"/>
      <c r="E824" s="9"/>
    </row>
    <row r="825" spans="3:5" ht="15.75" customHeight="1" x14ac:dyDescent="0.2">
      <c r="C825" s="9"/>
      <c r="D825" s="9"/>
      <c r="E825" s="9"/>
    </row>
    <row r="826" spans="3:5" ht="15.75" customHeight="1" x14ac:dyDescent="0.2">
      <c r="C826" s="9"/>
      <c r="D826" s="9"/>
      <c r="E826" s="9"/>
    </row>
    <row r="827" spans="3:5" ht="15.75" customHeight="1" x14ac:dyDescent="0.2">
      <c r="C827" s="9"/>
      <c r="D827" s="9"/>
      <c r="E827" s="9"/>
    </row>
    <row r="828" spans="3:5" ht="15.75" customHeight="1" x14ac:dyDescent="0.2">
      <c r="C828" s="9"/>
      <c r="D828" s="9"/>
      <c r="E828" s="9"/>
    </row>
    <row r="829" spans="3:5" ht="15.75" customHeight="1" x14ac:dyDescent="0.2">
      <c r="C829" s="9"/>
      <c r="D829" s="9"/>
      <c r="E829" s="9"/>
    </row>
    <row r="830" spans="3:5" ht="15.75" customHeight="1" x14ac:dyDescent="0.2">
      <c r="C830" s="9"/>
      <c r="D830" s="9"/>
      <c r="E830" s="9"/>
    </row>
    <row r="831" spans="3:5" ht="15.75" customHeight="1" x14ac:dyDescent="0.2">
      <c r="C831" s="9"/>
      <c r="D831" s="9"/>
      <c r="E831" s="9"/>
    </row>
    <row r="832" spans="3:5" ht="15.75" customHeight="1" x14ac:dyDescent="0.2">
      <c r="C832" s="9"/>
      <c r="D832" s="9"/>
      <c r="E832" s="9"/>
    </row>
    <row r="833" spans="3:5" ht="15.75" customHeight="1" x14ac:dyDescent="0.2">
      <c r="C833" s="9"/>
      <c r="D833" s="9"/>
      <c r="E833" s="9"/>
    </row>
    <row r="834" spans="3:5" ht="15.75" customHeight="1" x14ac:dyDescent="0.2">
      <c r="C834" s="9"/>
      <c r="D834" s="9"/>
      <c r="E834" s="9"/>
    </row>
    <row r="835" spans="3:5" ht="15.75" customHeight="1" x14ac:dyDescent="0.2">
      <c r="C835" s="9"/>
      <c r="D835" s="9"/>
      <c r="E835" s="9"/>
    </row>
    <row r="836" spans="3:5" ht="15.75" customHeight="1" x14ac:dyDescent="0.2">
      <c r="C836" s="9"/>
      <c r="D836" s="9"/>
      <c r="E836" s="9"/>
    </row>
    <row r="837" spans="3:5" ht="15.75" customHeight="1" x14ac:dyDescent="0.2">
      <c r="C837" s="9"/>
      <c r="D837" s="9"/>
      <c r="E837" s="9"/>
    </row>
    <row r="838" spans="3:5" ht="15.75" customHeight="1" x14ac:dyDescent="0.2">
      <c r="C838" s="9"/>
      <c r="D838" s="9"/>
      <c r="E838" s="9"/>
    </row>
    <row r="839" spans="3:5" ht="15.75" customHeight="1" x14ac:dyDescent="0.2">
      <c r="C839" s="9"/>
      <c r="D839" s="9"/>
      <c r="E839" s="9"/>
    </row>
    <row r="840" spans="3:5" ht="15.75" customHeight="1" x14ac:dyDescent="0.2">
      <c r="C840" s="9"/>
      <c r="D840" s="9"/>
      <c r="E840" s="9"/>
    </row>
    <row r="841" spans="3:5" ht="15.75" customHeight="1" x14ac:dyDescent="0.2">
      <c r="C841" s="9"/>
      <c r="D841" s="9"/>
      <c r="E841" s="9"/>
    </row>
    <row r="842" spans="3:5" ht="15.75" customHeight="1" x14ac:dyDescent="0.2">
      <c r="C842" s="9"/>
      <c r="D842" s="9"/>
      <c r="E842" s="9"/>
    </row>
    <row r="843" spans="3:5" ht="15.75" customHeight="1" x14ac:dyDescent="0.2">
      <c r="C843" s="9"/>
      <c r="D843" s="9"/>
      <c r="E843" s="9"/>
    </row>
    <row r="844" spans="3:5" ht="15.75" customHeight="1" x14ac:dyDescent="0.2">
      <c r="C844" s="9"/>
      <c r="D844" s="9"/>
      <c r="E844" s="9"/>
    </row>
    <row r="845" spans="3:5" ht="15.75" customHeight="1" x14ac:dyDescent="0.2">
      <c r="C845" s="9"/>
      <c r="D845" s="9"/>
      <c r="E845" s="9"/>
    </row>
    <row r="846" spans="3:5" ht="15.75" customHeight="1" x14ac:dyDescent="0.2">
      <c r="C846" s="9"/>
      <c r="D846" s="9"/>
      <c r="E846" s="9"/>
    </row>
    <row r="847" spans="3:5" ht="15.75" customHeight="1" x14ac:dyDescent="0.2">
      <c r="C847" s="9"/>
      <c r="D847" s="9"/>
      <c r="E847" s="9"/>
    </row>
    <row r="848" spans="3:5" ht="15.75" customHeight="1" x14ac:dyDescent="0.2">
      <c r="C848" s="9"/>
      <c r="D848" s="9"/>
      <c r="E848" s="9"/>
    </row>
    <row r="849" spans="3:5" ht="15.75" customHeight="1" x14ac:dyDescent="0.2">
      <c r="C849" s="9"/>
      <c r="D849" s="9"/>
      <c r="E849" s="9"/>
    </row>
    <row r="850" spans="3:5" ht="15.75" customHeight="1" x14ac:dyDescent="0.2">
      <c r="C850" s="9"/>
      <c r="D850" s="9"/>
      <c r="E850" s="9"/>
    </row>
    <row r="851" spans="3:5" ht="15.75" customHeight="1" x14ac:dyDescent="0.2">
      <c r="C851" s="9"/>
      <c r="D851" s="9"/>
      <c r="E851" s="9"/>
    </row>
    <row r="852" spans="3:5" ht="15.75" customHeight="1" x14ac:dyDescent="0.2">
      <c r="C852" s="9"/>
      <c r="D852" s="9"/>
      <c r="E852" s="9"/>
    </row>
    <row r="853" spans="3:5" ht="15.75" customHeight="1" x14ac:dyDescent="0.2">
      <c r="C853" s="9"/>
      <c r="D853" s="9"/>
      <c r="E853" s="9"/>
    </row>
    <row r="854" spans="3:5" ht="15.75" customHeight="1" x14ac:dyDescent="0.2">
      <c r="C854" s="9"/>
      <c r="D854" s="9"/>
      <c r="E854" s="9"/>
    </row>
    <row r="855" spans="3:5" ht="15.75" customHeight="1" x14ac:dyDescent="0.2">
      <c r="C855" s="9"/>
      <c r="D855" s="9"/>
      <c r="E855" s="9"/>
    </row>
    <row r="856" spans="3:5" ht="15.75" customHeight="1" x14ac:dyDescent="0.2">
      <c r="C856" s="9"/>
      <c r="D856" s="9"/>
      <c r="E856" s="9"/>
    </row>
    <row r="857" spans="3:5" ht="15.75" customHeight="1" x14ac:dyDescent="0.2">
      <c r="C857" s="9"/>
      <c r="D857" s="9"/>
      <c r="E857" s="9"/>
    </row>
    <row r="858" spans="3:5" ht="15.75" customHeight="1" x14ac:dyDescent="0.2">
      <c r="C858" s="9"/>
      <c r="D858" s="9"/>
      <c r="E858" s="9"/>
    </row>
    <row r="859" spans="3:5" ht="15.75" customHeight="1" x14ac:dyDescent="0.2">
      <c r="C859" s="9"/>
      <c r="D859" s="9"/>
      <c r="E859" s="9"/>
    </row>
    <row r="860" spans="3:5" ht="15.75" customHeight="1" x14ac:dyDescent="0.2">
      <c r="C860" s="9"/>
      <c r="D860" s="9"/>
      <c r="E860" s="9"/>
    </row>
    <row r="861" spans="3:5" ht="15.75" customHeight="1" x14ac:dyDescent="0.2">
      <c r="C861" s="9"/>
      <c r="D861" s="9"/>
      <c r="E861" s="9"/>
    </row>
    <row r="862" spans="3:5" ht="15.75" customHeight="1" x14ac:dyDescent="0.2">
      <c r="C862" s="9"/>
      <c r="D862" s="9"/>
      <c r="E862" s="9"/>
    </row>
    <row r="863" spans="3:5" ht="15.75" customHeight="1" x14ac:dyDescent="0.2">
      <c r="C863" s="9"/>
      <c r="D863" s="9"/>
      <c r="E863" s="9"/>
    </row>
    <row r="864" spans="3:5" ht="15.75" customHeight="1" x14ac:dyDescent="0.2">
      <c r="C864" s="9"/>
      <c r="D864" s="9"/>
      <c r="E864" s="9"/>
    </row>
    <row r="865" spans="3:5" ht="15.75" customHeight="1" x14ac:dyDescent="0.2">
      <c r="C865" s="9"/>
      <c r="D865" s="9"/>
      <c r="E865" s="9"/>
    </row>
    <row r="866" spans="3:5" ht="15.75" customHeight="1" x14ac:dyDescent="0.2">
      <c r="C866" s="9"/>
      <c r="D866" s="9"/>
      <c r="E866" s="9"/>
    </row>
    <row r="867" spans="3:5" ht="15.75" customHeight="1" x14ac:dyDescent="0.2">
      <c r="C867" s="9"/>
      <c r="D867" s="9"/>
      <c r="E867" s="9"/>
    </row>
    <row r="868" spans="3:5" ht="15.75" customHeight="1" x14ac:dyDescent="0.2">
      <c r="C868" s="9"/>
      <c r="D868" s="9"/>
      <c r="E868" s="9"/>
    </row>
    <row r="869" spans="3:5" ht="15.75" customHeight="1" x14ac:dyDescent="0.2">
      <c r="C869" s="9"/>
      <c r="D869" s="9"/>
      <c r="E869" s="9"/>
    </row>
    <row r="870" spans="3:5" ht="15.75" customHeight="1" x14ac:dyDescent="0.2">
      <c r="C870" s="9"/>
      <c r="D870" s="9"/>
      <c r="E870" s="9"/>
    </row>
    <row r="871" spans="3:5" ht="15.75" customHeight="1" x14ac:dyDescent="0.2">
      <c r="C871" s="9"/>
      <c r="D871" s="9"/>
      <c r="E871" s="9"/>
    </row>
    <row r="872" spans="3:5" ht="15.75" customHeight="1" x14ac:dyDescent="0.2">
      <c r="C872" s="9"/>
      <c r="D872" s="9"/>
      <c r="E872" s="9"/>
    </row>
    <row r="873" spans="3:5" ht="15.75" customHeight="1" x14ac:dyDescent="0.2">
      <c r="C873" s="9"/>
      <c r="D873" s="9"/>
      <c r="E873" s="9"/>
    </row>
    <row r="874" spans="3:5" ht="15.75" customHeight="1" x14ac:dyDescent="0.2">
      <c r="C874" s="9"/>
      <c r="D874" s="9"/>
      <c r="E874" s="9"/>
    </row>
    <row r="875" spans="3:5" ht="15.75" customHeight="1" x14ac:dyDescent="0.2">
      <c r="C875" s="9"/>
      <c r="D875" s="9"/>
      <c r="E875" s="9"/>
    </row>
    <row r="876" spans="3:5" ht="15.75" customHeight="1" x14ac:dyDescent="0.2">
      <c r="C876" s="9"/>
      <c r="D876" s="9"/>
      <c r="E876" s="9"/>
    </row>
    <row r="877" spans="3:5" ht="15.75" customHeight="1" x14ac:dyDescent="0.2">
      <c r="C877" s="9"/>
      <c r="D877" s="9"/>
      <c r="E877" s="9"/>
    </row>
    <row r="878" spans="3:5" ht="15.75" customHeight="1" x14ac:dyDescent="0.2">
      <c r="C878" s="9"/>
      <c r="D878" s="9"/>
      <c r="E878" s="9"/>
    </row>
    <row r="879" spans="3:5" ht="15.75" customHeight="1" x14ac:dyDescent="0.2">
      <c r="C879" s="9"/>
      <c r="D879" s="9"/>
      <c r="E879" s="9"/>
    </row>
    <row r="880" spans="3:5" ht="15.75" customHeight="1" x14ac:dyDescent="0.2">
      <c r="C880" s="9"/>
      <c r="D880" s="9"/>
      <c r="E880" s="9"/>
    </row>
    <row r="881" spans="3:5" ht="15.75" customHeight="1" x14ac:dyDescent="0.2">
      <c r="C881" s="9"/>
      <c r="D881" s="9"/>
      <c r="E881" s="9"/>
    </row>
    <row r="882" spans="3:5" ht="15.75" customHeight="1" x14ac:dyDescent="0.2">
      <c r="C882" s="9"/>
      <c r="D882" s="9"/>
      <c r="E882" s="9"/>
    </row>
    <row r="883" spans="3:5" ht="15.75" customHeight="1" x14ac:dyDescent="0.2">
      <c r="C883" s="9"/>
      <c r="D883" s="9"/>
      <c r="E883" s="9"/>
    </row>
    <row r="884" spans="3:5" ht="15.75" customHeight="1" x14ac:dyDescent="0.2">
      <c r="C884" s="9"/>
      <c r="D884" s="9"/>
      <c r="E884" s="9"/>
    </row>
    <row r="885" spans="3:5" ht="15.75" customHeight="1" x14ac:dyDescent="0.2">
      <c r="C885" s="9"/>
      <c r="D885" s="9"/>
      <c r="E885" s="9"/>
    </row>
    <row r="886" spans="3:5" ht="15.75" customHeight="1" x14ac:dyDescent="0.2">
      <c r="C886" s="9"/>
      <c r="D886" s="9"/>
      <c r="E886" s="9"/>
    </row>
    <row r="887" spans="3:5" ht="15.75" customHeight="1" x14ac:dyDescent="0.2">
      <c r="C887" s="9"/>
      <c r="D887" s="9"/>
      <c r="E887" s="9"/>
    </row>
    <row r="888" spans="3:5" ht="15.75" customHeight="1" x14ac:dyDescent="0.2">
      <c r="C888" s="9"/>
      <c r="D888" s="9"/>
      <c r="E888" s="9"/>
    </row>
    <row r="889" spans="3:5" ht="15.75" customHeight="1" x14ac:dyDescent="0.2">
      <c r="C889" s="9"/>
      <c r="D889" s="9"/>
      <c r="E889" s="9"/>
    </row>
    <row r="890" spans="3:5" ht="15.75" customHeight="1" x14ac:dyDescent="0.2">
      <c r="C890" s="9"/>
      <c r="D890" s="9"/>
      <c r="E890" s="9"/>
    </row>
    <row r="891" spans="3:5" ht="15.75" customHeight="1" x14ac:dyDescent="0.2">
      <c r="C891" s="9"/>
      <c r="D891" s="9"/>
      <c r="E891" s="9"/>
    </row>
    <row r="892" spans="3:5" ht="15.75" customHeight="1" x14ac:dyDescent="0.2">
      <c r="C892" s="9"/>
      <c r="D892" s="9"/>
      <c r="E892" s="9"/>
    </row>
    <row r="893" spans="3:5" ht="15.75" customHeight="1" x14ac:dyDescent="0.2">
      <c r="C893" s="9"/>
      <c r="D893" s="9"/>
      <c r="E893" s="9"/>
    </row>
    <row r="894" spans="3:5" ht="15.75" customHeight="1" x14ac:dyDescent="0.2">
      <c r="C894" s="9"/>
      <c r="D894" s="9"/>
      <c r="E894" s="9"/>
    </row>
    <row r="895" spans="3:5" ht="15.75" customHeight="1" x14ac:dyDescent="0.2">
      <c r="C895" s="9"/>
      <c r="D895" s="9"/>
      <c r="E895" s="9"/>
    </row>
    <row r="896" spans="3:5" ht="15.75" customHeight="1" x14ac:dyDescent="0.2">
      <c r="C896" s="9"/>
      <c r="D896" s="9"/>
      <c r="E896" s="9"/>
    </row>
    <row r="897" spans="3:5" ht="15.75" customHeight="1" x14ac:dyDescent="0.2">
      <c r="C897" s="9"/>
      <c r="D897" s="9"/>
      <c r="E897" s="9"/>
    </row>
    <row r="898" spans="3:5" ht="15.75" customHeight="1" x14ac:dyDescent="0.2">
      <c r="C898" s="9"/>
      <c r="D898" s="9"/>
      <c r="E898" s="9"/>
    </row>
    <row r="899" spans="3:5" ht="15.75" customHeight="1" x14ac:dyDescent="0.2">
      <c r="C899" s="9"/>
      <c r="D899" s="9"/>
      <c r="E899" s="9"/>
    </row>
    <row r="900" spans="3:5" ht="15.75" customHeight="1" x14ac:dyDescent="0.2">
      <c r="C900" s="9"/>
      <c r="D900" s="9"/>
      <c r="E900" s="9"/>
    </row>
    <row r="901" spans="3:5" ht="15.75" customHeight="1" x14ac:dyDescent="0.2">
      <c r="C901" s="9"/>
      <c r="D901" s="9"/>
      <c r="E901" s="9"/>
    </row>
    <row r="902" spans="3:5" ht="15.75" customHeight="1" x14ac:dyDescent="0.2">
      <c r="C902" s="9"/>
      <c r="D902" s="9"/>
      <c r="E902" s="9"/>
    </row>
    <row r="903" spans="3:5" ht="15.75" customHeight="1" x14ac:dyDescent="0.2">
      <c r="C903" s="9"/>
      <c r="D903" s="9"/>
      <c r="E903" s="9"/>
    </row>
    <row r="904" spans="3:5" ht="15.75" customHeight="1" x14ac:dyDescent="0.2">
      <c r="C904" s="9"/>
      <c r="D904" s="9"/>
      <c r="E904" s="9"/>
    </row>
    <row r="905" spans="3:5" ht="15.75" customHeight="1" x14ac:dyDescent="0.2">
      <c r="C905" s="9"/>
      <c r="D905" s="9"/>
      <c r="E905" s="9"/>
    </row>
    <row r="906" spans="3:5" ht="15.75" customHeight="1" x14ac:dyDescent="0.2">
      <c r="C906" s="9"/>
      <c r="D906" s="9"/>
      <c r="E906" s="9"/>
    </row>
    <row r="907" spans="3:5" ht="15.75" customHeight="1" x14ac:dyDescent="0.2">
      <c r="C907" s="9"/>
      <c r="D907" s="9"/>
      <c r="E907" s="9"/>
    </row>
    <row r="908" spans="3:5" ht="15.75" customHeight="1" x14ac:dyDescent="0.2">
      <c r="C908" s="9"/>
      <c r="D908" s="9"/>
      <c r="E908" s="9"/>
    </row>
    <row r="909" spans="3:5" ht="15.75" customHeight="1" x14ac:dyDescent="0.2">
      <c r="C909" s="9"/>
      <c r="D909" s="9"/>
      <c r="E909" s="9"/>
    </row>
    <row r="910" spans="3:5" ht="15.75" customHeight="1" x14ac:dyDescent="0.2">
      <c r="C910" s="9"/>
      <c r="D910" s="9"/>
      <c r="E910" s="9"/>
    </row>
    <row r="911" spans="3:5" ht="15.75" customHeight="1" x14ac:dyDescent="0.2">
      <c r="C911" s="9"/>
      <c r="D911" s="9"/>
      <c r="E911" s="9"/>
    </row>
    <row r="912" spans="3:5" ht="15.75" customHeight="1" x14ac:dyDescent="0.2">
      <c r="C912" s="9"/>
      <c r="D912" s="9"/>
      <c r="E912" s="9"/>
    </row>
    <row r="913" spans="3:5" ht="15.75" customHeight="1" x14ac:dyDescent="0.2">
      <c r="C913" s="9"/>
      <c r="D913" s="9"/>
      <c r="E913" s="9"/>
    </row>
    <row r="914" spans="3:5" ht="15.75" customHeight="1" x14ac:dyDescent="0.2">
      <c r="C914" s="9"/>
      <c r="D914" s="9"/>
      <c r="E914" s="9"/>
    </row>
    <row r="915" spans="3:5" ht="15.75" customHeight="1" x14ac:dyDescent="0.2">
      <c r="C915" s="9"/>
      <c r="D915" s="9"/>
      <c r="E915" s="9"/>
    </row>
    <row r="916" spans="3:5" ht="15.75" customHeight="1" x14ac:dyDescent="0.2">
      <c r="C916" s="9"/>
      <c r="D916" s="9"/>
      <c r="E916" s="9"/>
    </row>
    <row r="917" spans="3:5" ht="15.75" customHeight="1" x14ac:dyDescent="0.2">
      <c r="C917" s="9"/>
      <c r="D917" s="9"/>
      <c r="E917" s="9"/>
    </row>
    <row r="918" spans="3:5" ht="15.75" customHeight="1" x14ac:dyDescent="0.2">
      <c r="C918" s="9"/>
      <c r="D918" s="9"/>
      <c r="E918" s="9"/>
    </row>
    <row r="919" spans="3:5" ht="15.75" customHeight="1" x14ac:dyDescent="0.2">
      <c r="C919" s="9"/>
      <c r="D919" s="9"/>
      <c r="E919" s="9"/>
    </row>
    <row r="920" spans="3:5" ht="15.75" customHeight="1" x14ac:dyDescent="0.2">
      <c r="C920" s="9"/>
      <c r="D920" s="9"/>
      <c r="E920" s="9"/>
    </row>
    <row r="921" spans="3:5" ht="15.75" customHeight="1" x14ac:dyDescent="0.2">
      <c r="C921" s="9"/>
      <c r="D921" s="9"/>
      <c r="E921" s="9"/>
    </row>
    <row r="922" spans="3:5" ht="15.75" customHeight="1" x14ac:dyDescent="0.2">
      <c r="C922" s="9"/>
      <c r="D922" s="9"/>
      <c r="E922" s="9"/>
    </row>
    <row r="923" spans="3:5" ht="15.75" customHeight="1" x14ac:dyDescent="0.2">
      <c r="C923" s="9"/>
      <c r="D923" s="9"/>
      <c r="E923" s="9"/>
    </row>
    <row r="924" spans="3:5" ht="15.75" customHeight="1" x14ac:dyDescent="0.2">
      <c r="C924" s="9"/>
      <c r="D924" s="9"/>
      <c r="E924" s="9"/>
    </row>
    <row r="925" spans="3:5" ht="15.75" customHeight="1" x14ac:dyDescent="0.2">
      <c r="C925" s="9"/>
      <c r="D925" s="9"/>
      <c r="E925" s="9"/>
    </row>
    <row r="926" spans="3:5" ht="15.75" customHeight="1" x14ac:dyDescent="0.2">
      <c r="C926" s="9"/>
      <c r="D926" s="9"/>
      <c r="E926" s="9"/>
    </row>
    <row r="927" spans="3:5" ht="15.75" customHeight="1" x14ac:dyDescent="0.2">
      <c r="C927" s="9"/>
      <c r="D927" s="9"/>
      <c r="E927" s="9"/>
    </row>
    <row r="928" spans="3:5" ht="15.75" customHeight="1" x14ac:dyDescent="0.2">
      <c r="C928" s="9"/>
      <c r="D928" s="9"/>
      <c r="E928" s="9"/>
    </row>
    <row r="929" spans="3:5" ht="15.75" customHeight="1" x14ac:dyDescent="0.2">
      <c r="C929" s="9"/>
      <c r="D929" s="9"/>
      <c r="E929" s="9"/>
    </row>
    <row r="930" spans="3:5" ht="15.75" customHeight="1" x14ac:dyDescent="0.2">
      <c r="C930" s="9"/>
      <c r="D930" s="9"/>
      <c r="E930" s="9"/>
    </row>
    <row r="931" spans="3:5" ht="15.75" customHeight="1" x14ac:dyDescent="0.2">
      <c r="C931" s="9"/>
      <c r="D931" s="9"/>
      <c r="E931" s="9"/>
    </row>
    <row r="932" spans="3:5" ht="15.75" customHeight="1" x14ac:dyDescent="0.2">
      <c r="C932" s="9"/>
      <c r="D932" s="9"/>
      <c r="E932" s="9"/>
    </row>
    <row r="933" spans="3:5" ht="15.75" customHeight="1" x14ac:dyDescent="0.2">
      <c r="C933" s="9"/>
      <c r="D933" s="9"/>
      <c r="E933" s="9"/>
    </row>
    <row r="934" spans="3:5" ht="15.75" customHeight="1" x14ac:dyDescent="0.2">
      <c r="C934" s="9"/>
      <c r="D934" s="9"/>
      <c r="E934" s="9"/>
    </row>
    <row r="935" spans="3:5" ht="15.75" customHeight="1" x14ac:dyDescent="0.2">
      <c r="C935" s="9"/>
      <c r="D935" s="9"/>
      <c r="E935" s="9"/>
    </row>
    <row r="936" spans="3:5" ht="15.75" customHeight="1" x14ac:dyDescent="0.2">
      <c r="C936" s="9"/>
      <c r="D936" s="9"/>
      <c r="E936" s="9"/>
    </row>
    <row r="937" spans="3:5" ht="15.75" customHeight="1" x14ac:dyDescent="0.2">
      <c r="C937" s="9"/>
      <c r="D937" s="9"/>
      <c r="E937" s="9"/>
    </row>
    <row r="938" spans="3:5" ht="15.75" customHeight="1" x14ac:dyDescent="0.2">
      <c r="C938" s="9"/>
      <c r="D938" s="9"/>
      <c r="E938" s="9"/>
    </row>
    <row r="939" spans="3:5" ht="15.75" customHeight="1" x14ac:dyDescent="0.2">
      <c r="C939" s="9"/>
      <c r="D939" s="9"/>
      <c r="E939" s="9"/>
    </row>
    <row r="940" spans="3:5" ht="15.75" customHeight="1" x14ac:dyDescent="0.2">
      <c r="C940" s="9"/>
      <c r="D940" s="9"/>
      <c r="E940" s="9"/>
    </row>
    <row r="941" spans="3:5" ht="15.75" customHeight="1" x14ac:dyDescent="0.2">
      <c r="C941" s="9"/>
      <c r="D941" s="9"/>
      <c r="E941" s="9"/>
    </row>
    <row r="942" spans="3:5" ht="15.75" customHeight="1" x14ac:dyDescent="0.2">
      <c r="C942" s="9"/>
      <c r="D942" s="9"/>
      <c r="E942" s="9"/>
    </row>
    <row r="943" spans="3:5" ht="15.75" customHeight="1" x14ac:dyDescent="0.2">
      <c r="C943" s="9"/>
      <c r="D943" s="9"/>
      <c r="E943" s="9"/>
    </row>
    <row r="944" spans="3:5" ht="15.75" customHeight="1" x14ac:dyDescent="0.2">
      <c r="C944" s="9"/>
      <c r="D944" s="9"/>
      <c r="E944" s="9"/>
    </row>
    <row r="945" spans="3:5" ht="15.75" customHeight="1" x14ac:dyDescent="0.2">
      <c r="C945" s="9"/>
      <c r="D945" s="9"/>
      <c r="E945" s="9"/>
    </row>
    <row r="946" spans="3:5" ht="15.75" customHeight="1" x14ac:dyDescent="0.2">
      <c r="C946" s="9"/>
      <c r="D946" s="9"/>
      <c r="E946" s="9"/>
    </row>
    <row r="947" spans="3:5" ht="15.75" customHeight="1" x14ac:dyDescent="0.2">
      <c r="C947" s="9"/>
      <c r="D947" s="9"/>
      <c r="E947" s="9"/>
    </row>
    <row r="948" spans="3:5" ht="15.75" customHeight="1" x14ac:dyDescent="0.2">
      <c r="C948" s="9"/>
      <c r="D948" s="9"/>
      <c r="E948" s="9"/>
    </row>
    <row r="949" spans="3:5" ht="15.75" customHeight="1" x14ac:dyDescent="0.2">
      <c r="C949" s="9"/>
      <c r="D949" s="9"/>
      <c r="E949" s="9"/>
    </row>
    <row r="950" spans="3:5" ht="15.75" customHeight="1" x14ac:dyDescent="0.2">
      <c r="C950" s="9"/>
      <c r="D950" s="9"/>
      <c r="E950" s="9"/>
    </row>
    <row r="951" spans="3:5" ht="15.75" customHeight="1" x14ac:dyDescent="0.2">
      <c r="C951" s="9"/>
      <c r="D951" s="9"/>
      <c r="E951" s="9"/>
    </row>
    <row r="952" spans="3:5" ht="15.75" customHeight="1" x14ac:dyDescent="0.2">
      <c r="C952" s="9"/>
      <c r="D952" s="9"/>
      <c r="E952" s="9"/>
    </row>
    <row r="953" spans="3:5" ht="15.75" customHeight="1" x14ac:dyDescent="0.2">
      <c r="C953" s="9"/>
      <c r="D953" s="9"/>
      <c r="E953" s="9"/>
    </row>
    <row r="954" spans="3:5" ht="15.75" customHeight="1" x14ac:dyDescent="0.2">
      <c r="C954" s="9"/>
      <c r="D954" s="9"/>
      <c r="E954" s="9"/>
    </row>
    <row r="955" spans="3:5" ht="15.75" customHeight="1" x14ac:dyDescent="0.2">
      <c r="C955" s="9"/>
      <c r="D955" s="9"/>
      <c r="E955" s="9"/>
    </row>
    <row r="956" spans="3:5" ht="15.75" customHeight="1" x14ac:dyDescent="0.2">
      <c r="C956" s="9"/>
      <c r="D956" s="9"/>
      <c r="E956" s="9"/>
    </row>
    <row r="957" spans="3:5" ht="15.75" customHeight="1" x14ac:dyDescent="0.2">
      <c r="C957" s="9"/>
      <c r="D957" s="9"/>
      <c r="E957" s="9"/>
    </row>
    <row r="958" spans="3:5" ht="15.75" customHeight="1" x14ac:dyDescent="0.2">
      <c r="C958" s="9"/>
      <c r="D958" s="9"/>
      <c r="E958" s="9"/>
    </row>
    <row r="959" spans="3:5" ht="15.75" customHeight="1" x14ac:dyDescent="0.2">
      <c r="C959" s="9"/>
      <c r="D959" s="9"/>
      <c r="E959" s="9"/>
    </row>
    <row r="960" spans="3:5" ht="15.75" customHeight="1" x14ac:dyDescent="0.2">
      <c r="C960" s="9"/>
      <c r="D960" s="9"/>
      <c r="E960" s="9"/>
    </row>
    <row r="961" spans="3:5" ht="15.75" customHeight="1" x14ac:dyDescent="0.2">
      <c r="C961" s="9"/>
      <c r="D961" s="9"/>
      <c r="E961" s="9"/>
    </row>
    <row r="962" spans="3:5" ht="15.75" customHeight="1" x14ac:dyDescent="0.2">
      <c r="C962" s="9"/>
      <c r="D962" s="9"/>
      <c r="E962" s="9"/>
    </row>
    <row r="963" spans="3:5" ht="15.75" customHeight="1" x14ac:dyDescent="0.2">
      <c r="C963" s="9"/>
      <c r="D963" s="9"/>
      <c r="E963" s="9"/>
    </row>
    <row r="964" spans="3:5" ht="15.75" customHeight="1" x14ac:dyDescent="0.2">
      <c r="C964" s="9"/>
      <c r="D964" s="9"/>
      <c r="E964" s="9"/>
    </row>
    <row r="965" spans="3:5" ht="15.75" customHeight="1" x14ac:dyDescent="0.2">
      <c r="C965" s="9"/>
      <c r="D965" s="9"/>
      <c r="E965" s="9"/>
    </row>
    <row r="966" spans="3:5" ht="15.75" customHeight="1" x14ac:dyDescent="0.2">
      <c r="C966" s="9"/>
      <c r="D966" s="9"/>
      <c r="E966" s="9"/>
    </row>
    <row r="967" spans="3:5" ht="15.75" customHeight="1" x14ac:dyDescent="0.2">
      <c r="C967" s="9"/>
      <c r="D967" s="9"/>
      <c r="E967" s="9"/>
    </row>
    <row r="968" spans="3:5" ht="15.75" customHeight="1" x14ac:dyDescent="0.2">
      <c r="C968" s="9"/>
      <c r="D968" s="9"/>
      <c r="E968" s="9"/>
    </row>
    <row r="969" spans="3:5" ht="15.75" customHeight="1" x14ac:dyDescent="0.2">
      <c r="C969" s="9"/>
      <c r="D969" s="9"/>
      <c r="E969" s="9"/>
    </row>
    <row r="970" spans="3:5" ht="15.75" customHeight="1" x14ac:dyDescent="0.2">
      <c r="C970" s="9"/>
      <c r="D970" s="9"/>
      <c r="E970" s="9"/>
    </row>
    <row r="971" spans="3:5" ht="15.75" customHeight="1" x14ac:dyDescent="0.2">
      <c r="C971" s="9"/>
      <c r="D971" s="9"/>
      <c r="E971" s="9"/>
    </row>
    <row r="972" spans="3:5" ht="15.75" customHeight="1" x14ac:dyDescent="0.2">
      <c r="C972" s="9"/>
      <c r="D972" s="9"/>
      <c r="E972" s="9"/>
    </row>
    <row r="973" spans="3:5" ht="15.75" customHeight="1" x14ac:dyDescent="0.2">
      <c r="C973" s="9"/>
      <c r="D973" s="9"/>
      <c r="E973" s="9"/>
    </row>
    <row r="974" spans="3:5" ht="15.75" customHeight="1" x14ac:dyDescent="0.2">
      <c r="C974" s="9"/>
      <c r="D974" s="9"/>
      <c r="E974" s="9"/>
    </row>
    <row r="975" spans="3:5" ht="15.75" customHeight="1" x14ac:dyDescent="0.2">
      <c r="C975" s="9"/>
      <c r="D975" s="9"/>
      <c r="E975" s="9"/>
    </row>
    <row r="976" spans="3:5" ht="15.75" customHeight="1" x14ac:dyDescent="0.2">
      <c r="C976" s="9"/>
      <c r="D976" s="9"/>
      <c r="E976" s="9"/>
    </row>
    <row r="977" spans="3:5" ht="15.75" customHeight="1" x14ac:dyDescent="0.2">
      <c r="C977" s="9"/>
      <c r="D977" s="9"/>
      <c r="E977" s="9"/>
    </row>
    <row r="978" spans="3:5" ht="15.75" customHeight="1" x14ac:dyDescent="0.2">
      <c r="C978" s="9"/>
      <c r="D978" s="9"/>
      <c r="E978" s="9"/>
    </row>
    <row r="979" spans="3:5" ht="15.75" customHeight="1" x14ac:dyDescent="0.2">
      <c r="C979" s="9"/>
      <c r="D979" s="9"/>
      <c r="E979" s="9"/>
    </row>
    <row r="980" spans="3:5" ht="15.75" customHeight="1" x14ac:dyDescent="0.2">
      <c r="C980" s="9"/>
      <c r="D980" s="9"/>
      <c r="E980" s="9"/>
    </row>
    <row r="981" spans="3:5" ht="15.75" customHeight="1" x14ac:dyDescent="0.2">
      <c r="C981" s="9"/>
      <c r="D981" s="9"/>
      <c r="E981" s="9"/>
    </row>
    <row r="982" spans="3:5" ht="15.75" customHeight="1" x14ac:dyDescent="0.2">
      <c r="C982" s="9"/>
      <c r="D982" s="9"/>
      <c r="E982" s="9"/>
    </row>
    <row r="983" spans="3:5" ht="15.75" customHeight="1" x14ac:dyDescent="0.2">
      <c r="C983" s="9"/>
      <c r="D983" s="9"/>
      <c r="E983" s="9"/>
    </row>
    <row r="984" spans="3:5" ht="15.75" customHeight="1" x14ac:dyDescent="0.2">
      <c r="C984" s="9"/>
      <c r="D984" s="9"/>
      <c r="E984" s="9"/>
    </row>
    <row r="985" spans="3:5" ht="15.75" customHeight="1" x14ac:dyDescent="0.2">
      <c r="C985" s="9"/>
      <c r="D985" s="9"/>
      <c r="E985" s="9"/>
    </row>
    <row r="986" spans="3:5" ht="15.75" customHeight="1" x14ac:dyDescent="0.2">
      <c r="C986" s="9"/>
      <c r="D986" s="9"/>
      <c r="E986" s="9"/>
    </row>
    <row r="987" spans="3:5" ht="15.75" customHeight="1" x14ac:dyDescent="0.2">
      <c r="C987" s="9"/>
      <c r="D987" s="9"/>
      <c r="E987" s="9"/>
    </row>
    <row r="988" spans="3:5" ht="15.75" customHeight="1" x14ac:dyDescent="0.2">
      <c r="C988" s="9"/>
      <c r="D988" s="9"/>
      <c r="E988" s="9"/>
    </row>
    <row r="989" spans="3:5" ht="15.75" customHeight="1" x14ac:dyDescent="0.2">
      <c r="C989" s="9"/>
      <c r="D989" s="9"/>
      <c r="E989" s="9"/>
    </row>
    <row r="990" spans="3:5" ht="15.75" customHeight="1" x14ac:dyDescent="0.2">
      <c r="C990" s="9"/>
      <c r="D990" s="9"/>
      <c r="E990" s="9"/>
    </row>
    <row r="991" spans="3:5" ht="15.75" customHeight="1" x14ac:dyDescent="0.2">
      <c r="C991" s="9"/>
      <c r="D991" s="9"/>
      <c r="E991" s="9"/>
    </row>
    <row r="992" spans="3:5" ht="15.75" customHeight="1" x14ac:dyDescent="0.2">
      <c r="C992" s="9"/>
      <c r="D992" s="9"/>
      <c r="E992" s="9"/>
    </row>
    <row r="993" spans="3:5" ht="15.75" customHeight="1" x14ac:dyDescent="0.2">
      <c r="C993" s="9"/>
      <c r="D993" s="9"/>
      <c r="E993" s="9"/>
    </row>
    <row r="994" spans="3:5" ht="15.75" customHeight="1" x14ac:dyDescent="0.2">
      <c r="C994" s="9"/>
      <c r="D994" s="9"/>
      <c r="E994" s="9"/>
    </row>
    <row r="995" spans="3:5" ht="15.75" customHeight="1" x14ac:dyDescent="0.2">
      <c r="C995" s="9"/>
      <c r="D995" s="9"/>
      <c r="E995" s="9"/>
    </row>
    <row r="996" spans="3:5" ht="15.75" customHeight="1" x14ac:dyDescent="0.2">
      <c r="C996" s="9"/>
      <c r="D996" s="9"/>
      <c r="E996" s="9"/>
    </row>
    <row r="997" spans="3:5" ht="15.75" customHeight="1" x14ac:dyDescent="0.2">
      <c r="C997" s="9"/>
      <c r="D997" s="9"/>
      <c r="E997" s="9"/>
    </row>
    <row r="998" spans="3:5" ht="15.75" customHeight="1" x14ac:dyDescent="0.2">
      <c r="C998" s="9"/>
      <c r="D998" s="9"/>
      <c r="E998" s="9"/>
    </row>
    <row r="999" spans="3:5" ht="15.75" customHeight="1" x14ac:dyDescent="0.2">
      <c r="C999" s="9"/>
      <c r="D999" s="9"/>
      <c r="E999" s="9"/>
    </row>
    <row r="1000" spans="3:5" ht="15.75" customHeight="1" x14ac:dyDescent="0.2">
      <c r="C1000" s="9"/>
      <c r="D1000" s="9"/>
      <c r="E1000" s="9"/>
    </row>
    <row r="1001" spans="3:5" ht="15.75" customHeight="1" x14ac:dyDescent="0.2">
      <c r="C1001" s="9"/>
      <c r="D1001" s="9"/>
      <c r="E1001" s="9"/>
    </row>
    <row r="1002" spans="3:5" ht="15.75" customHeight="1" x14ac:dyDescent="0.2">
      <c r="C1002" s="9"/>
      <c r="D1002" s="9"/>
      <c r="E1002" s="9"/>
    </row>
    <row r="1003" spans="3:5" ht="15.75" customHeight="1" x14ac:dyDescent="0.2">
      <c r="C1003" s="9"/>
      <c r="D1003" s="9"/>
      <c r="E1003" s="9"/>
    </row>
    <row r="1004" spans="3:5" ht="15.75" customHeight="1" x14ac:dyDescent="0.2">
      <c r="C1004" s="9"/>
      <c r="D1004" s="9"/>
      <c r="E1004" s="9"/>
    </row>
    <row r="1005" spans="3:5" ht="15.75" customHeight="1" x14ac:dyDescent="0.2">
      <c r="C1005" s="9"/>
      <c r="D1005" s="9"/>
      <c r="E1005" s="9"/>
    </row>
    <row r="1006" spans="3:5" ht="15.75" customHeight="1" x14ac:dyDescent="0.2">
      <c r="C1006" s="9"/>
      <c r="D1006" s="9"/>
      <c r="E1006" s="9"/>
    </row>
    <row r="1007" spans="3:5" ht="15.75" customHeight="1" x14ac:dyDescent="0.2">
      <c r="C1007" s="9"/>
      <c r="D1007" s="9"/>
      <c r="E1007" s="9"/>
    </row>
    <row r="1008" spans="3:5" ht="15.75" customHeight="1" x14ac:dyDescent="0.2">
      <c r="C1008" s="9"/>
      <c r="D1008" s="9"/>
      <c r="E1008" s="9"/>
    </row>
    <row r="1009" spans="3:5" ht="15.75" customHeight="1" x14ac:dyDescent="0.2">
      <c r="C1009" s="9"/>
      <c r="D1009" s="9"/>
      <c r="E1009" s="9"/>
    </row>
    <row r="1010" spans="3:5" ht="15.75" customHeight="1" x14ac:dyDescent="0.2">
      <c r="C1010" s="9"/>
      <c r="D1010" s="9"/>
      <c r="E1010" s="9"/>
    </row>
    <row r="1011" spans="3:5" ht="15.75" customHeight="1" x14ac:dyDescent="0.2">
      <c r="C1011" s="9"/>
      <c r="D1011" s="9"/>
      <c r="E1011" s="9"/>
    </row>
    <row r="1012" spans="3:5" ht="15.75" customHeight="1" x14ac:dyDescent="0.2">
      <c r="C1012" s="9"/>
      <c r="D1012" s="9"/>
      <c r="E1012" s="9"/>
    </row>
    <row r="1013" spans="3:5" ht="15.75" customHeight="1" x14ac:dyDescent="0.2">
      <c r="C1013" s="9"/>
      <c r="D1013" s="9"/>
      <c r="E1013" s="9"/>
    </row>
    <row r="1014" spans="3:5" ht="15.75" customHeight="1" x14ac:dyDescent="0.2">
      <c r="C1014" s="9"/>
      <c r="D1014" s="9"/>
      <c r="E1014" s="9"/>
    </row>
    <row r="1015" spans="3:5" ht="15.75" customHeight="1" x14ac:dyDescent="0.2">
      <c r="C1015" s="9"/>
      <c r="D1015" s="9"/>
      <c r="E1015" s="9"/>
    </row>
    <row r="1016" spans="3:5" ht="15.75" customHeight="1" x14ac:dyDescent="0.2">
      <c r="C1016" s="9"/>
      <c r="D1016" s="9"/>
      <c r="E1016" s="9"/>
    </row>
    <row r="1017" spans="3:5" ht="15.75" customHeight="1" x14ac:dyDescent="0.2">
      <c r="C1017" s="9"/>
      <c r="D1017" s="9"/>
      <c r="E1017" s="9"/>
    </row>
  </sheetData>
  <mergeCells count="43">
    <mergeCell ref="H98:T98"/>
    <mergeCell ref="H101:T101"/>
    <mergeCell ref="H102:T102"/>
    <mergeCell ref="J87:T87"/>
    <mergeCell ref="J88:T88"/>
    <mergeCell ref="I91:N91"/>
    <mergeCell ref="Q91:T91"/>
    <mergeCell ref="I94:N94"/>
    <mergeCell ref="Q94:T94"/>
    <mergeCell ref="Q95:T95"/>
    <mergeCell ref="A95:B95"/>
    <mergeCell ref="C95:F95"/>
    <mergeCell ref="C97:E97"/>
    <mergeCell ref="B71:V71"/>
    <mergeCell ref="B82:I82"/>
    <mergeCell ref="C84:E84"/>
    <mergeCell ref="C85:E85"/>
    <mergeCell ref="H85:I85"/>
    <mergeCell ref="J85:T85"/>
    <mergeCell ref="J86:T86"/>
    <mergeCell ref="I95:N95"/>
    <mergeCell ref="I97:L97"/>
    <mergeCell ref="B65:V65"/>
    <mergeCell ref="C86:E86"/>
    <mergeCell ref="C87:E87"/>
    <mergeCell ref="C91:E91"/>
    <mergeCell ref="A94:B94"/>
    <mergeCell ref="C94:F94"/>
    <mergeCell ref="B10:V10"/>
    <mergeCell ref="B32:V32"/>
    <mergeCell ref="B35:V35"/>
    <mergeCell ref="B51:V51"/>
    <mergeCell ref="B62:V62"/>
    <mergeCell ref="F8:F9"/>
    <mergeCell ref="G8:G9"/>
    <mergeCell ref="A1:V1"/>
    <mergeCell ref="A2:V2"/>
    <mergeCell ref="A3:V3"/>
    <mergeCell ref="A8:A9"/>
    <mergeCell ref="B8:B9"/>
    <mergeCell ref="D8:D9"/>
    <mergeCell ref="E8:E9"/>
    <mergeCell ref="H8:V8"/>
  </mergeCell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50" man="1"/>
  </rowBreaks>
  <colBreaks count="2" manualBreakCount="2">
    <brk man="1"/>
    <brk id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4th Quarter</vt:lpstr>
      <vt:lpstr>3rd Quarter</vt:lpstr>
      <vt:lpstr>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Cristina David</cp:lastModifiedBy>
  <dcterms:created xsi:type="dcterms:W3CDTF">2024-01-03T07:55:13Z</dcterms:created>
  <dcterms:modified xsi:type="dcterms:W3CDTF">2024-07-29T03:15:00Z</dcterms:modified>
</cp:coreProperties>
</file>