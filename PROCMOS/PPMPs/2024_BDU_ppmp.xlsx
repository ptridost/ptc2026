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 PPMP BDU Rev 2" sheetId="1" r:id="rId4"/>
    <sheet state="visible" name=" 2024 PPMP BDU 1" sheetId="2" r:id="rId5"/>
    <sheet state="hidden" name="Copy of 2024 PPMP BDU" sheetId="3" r:id="rId6"/>
    <sheet state="visible" name="PPMP Sample" sheetId="4" r:id="rId7"/>
  </sheets>
  <definedNames/>
  <calcPr/>
  <extLst>
    <ext uri="GoogleSheetsCustomDataVersion2">
      <go:sheetsCustomData xmlns:go="http://customooxmlschemas.google.com/" r:id="rId8" roundtripDataChecksum="M9xwowVvAWwmr2ZtGkvskst/hGyedgGIsdilwOyFYM8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93">
      <text>
        <t xml:space="preserve">======
ID#AAABEd1cmkU
upmnih    (2021-04-08 04:25:07)
Submitted by: Project Leader</t>
      </text>
    </comment>
    <comment authorId="0" ref="A93">
      <text>
        <t xml:space="preserve">======
ID#AAABEd1cmkg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id3797A/6KHNErClEErmVO2tfFgw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86">
      <text>
        <t xml:space="preserve">======
ID#AAABEd1cmkY
upmnih    (2021-04-08 04:25:07)
Prepared by: Project Staff/ Research Associate</t>
      </text>
    </comment>
    <comment authorId="0" ref="C86">
      <text>
        <t xml:space="preserve">======
ID#AAABEd1cmkc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inkxdtQ5yY0TtfB8ClaB/wZcfs9A=="/>
    </ext>
  </extLst>
</comments>
</file>

<file path=xl/sharedStrings.xml><?xml version="1.0" encoding="utf-8"?>
<sst xmlns="http://schemas.openxmlformats.org/spreadsheetml/2006/main" count="801" uniqueCount="228">
  <si>
    <t xml:space="preserve">  PROJECT PROCUREMENT MANAGEMENT PLAN (PPMP) 2024</t>
  </si>
  <si>
    <t>For 1st Quarter of CY 2024</t>
  </si>
  <si>
    <t>END-USER/UNIT: RDD-CDABUS</t>
  </si>
  <si>
    <t>Charged to: “Functional Philippine Camouflage Fabric for Field Service Uniform(FSU)/ Battle Dress Unifom(BDU) Application”</t>
  </si>
  <si>
    <t>Projects, Programs and Activities (PAPs)</t>
  </si>
  <si>
    <t>CODE</t>
  </si>
  <si>
    <t>GENERAL DESCRIPTION</t>
  </si>
  <si>
    <t>QUANTITY/</t>
  </si>
  <si>
    <t>UNIT OF MEASURE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</si>
  <si>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</si>
  <si>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</si>
  <si>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</si>
  <si>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</si>
  <si>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</si>
  <si>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</si>
  <si>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</si>
  <si>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</si>
  <si>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</si>
  <si>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</si>
  <si>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</si>
  <si>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</si>
  <si>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</si>
  <si>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</si>
  <si>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</si>
  <si>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</si>
  <si>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</si>
  <si>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</si>
  <si>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</si>
  <si>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</si>
  <si>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OPS</t>
  </si>
  <si>
    <t>Customized Corporate Polo Shirt with Logo Embroidery</t>
  </si>
  <si>
    <t>40 pcs.</t>
  </si>
  <si>
    <t>Negotiated Procurement</t>
  </si>
  <si>
    <t>Printing Services (Camouflage Print 2)</t>
  </si>
  <si>
    <t>1 lot</t>
  </si>
  <si>
    <t xml:space="preserve">Sewing Services for the Battle Dress Uniform </t>
  </si>
  <si>
    <t>10 lots</t>
  </si>
  <si>
    <t>Professional Weaving Services (Natural Textile Fiber (NTF) blended yarns)</t>
  </si>
  <si>
    <t>200 lots</t>
  </si>
  <si>
    <t>Abrasion Resistance</t>
  </si>
  <si>
    <t>3 samples</t>
  </si>
  <si>
    <t>Agency to Agency</t>
  </si>
  <si>
    <t>Strength and Elongation (single strand, ASTM D 2256 / ASTM D 2256 M)</t>
  </si>
  <si>
    <t>Evenness (ASTM D 1425 / ASTM D 1425M)</t>
  </si>
  <si>
    <t>Hairiness (ASTM D 5647)</t>
  </si>
  <si>
    <t>Yarn shrinkage (oven, ASTM D 2259 single yarns)</t>
  </si>
  <si>
    <t>Yarn number (Skein, ASTM D 1907)</t>
  </si>
  <si>
    <t>Yarn twist (single, ASTM D 1423)</t>
  </si>
  <si>
    <t>FESEM Imaging</t>
  </si>
  <si>
    <t>25 samples</t>
  </si>
  <si>
    <t>Thermogravimetric Analysis</t>
  </si>
  <si>
    <t>Differential Scanning Calorimetry</t>
  </si>
  <si>
    <t>Laboratory Supplies Expenses</t>
  </si>
  <si>
    <t xml:space="preserve">Sodium Hydroxide,CAS # 1310-73-2, AR grade, 1 kg/bottle
</t>
  </si>
  <si>
    <t>15 btls</t>
  </si>
  <si>
    <t>Small Value Procurement</t>
  </si>
  <si>
    <t>Sodium Sulfite, anhydrous, AR grade, CAS # 7757-83-7, 500 g/bottle</t>
  </si>
  <si>
    <t>Acetone, CAS # 67-64-1, AR Grade, 2.5 L/bottle</t>
  </si>
  <si>
    <t>10 btls</t>
  </si>
  <si>
    <t>Other Supplies and Materials Expenses</t>
  </si>
  <si>
    <t xml:space="preserve">Customized Certificate Holder </t>
  </si>
  <si>
    <t>20 pcs</t>
  </si>
  <si>
    <t>Bag Tag</t>
  </si>
  <si>
    <t>Upgraded Box Packaging</t>
  </si>
  <si>
    <t>Infinity scarf</t>
  </si>
  <si>
    <t>10 pcs</t>
  </si>
  <si>
    <t>Headband belt</t>
  </si>
  <si>
    <t>Bamboo Lei</t>
  </si>
  <si>
    <t>Corrugated Box</t>
  </si>
  <si>
    <t>Sign Pen, Blue, 0.5mm</t>
  </si>
  <si>
    <t>30 pcs</t>
  </si>
  <si>
    <t>Mobile Prepaid Load Cards (Smart – 100 pesos load)</t>
  </si>
  <si>
    <t>40 pcs</t>
  </si>
  <si>
    <t>Mobile Prepaid Load Cards (Globe – 100 pesos load)</t>
  </si>
  <si>
    <t>P.E. Plastic Bag (20x30 inches, 0.002 inches (thickness) 50pcs/pack)</t>
  </si>
  <si>
    <t>10 packs</t>
  </si>
  <si>
    <t>P.E. Plastic Bag (25x50 inches, 0.002 inches (thickness) 50pcs/pack</t>
  </si>
  <si>
    <t>P.E. Plastic Bag (40x60 inches, 0.002 inches (thickness) 50pcs/pack)</t>
  </si>
  <si>
    <t>Nitrile Gloves (Medium)</t>
  </si>
  <si>
    <t>10 boxes</t>
  </si>
  <si>
    <t>Nitrile Gloves (Large)</t>
  </si>
  <si>
    <t>Labgown (Medium)</t>
  </si>
  <si>
    <t>6 pcs</t>
  </si>
  <si>
    <t>Labgown (Large)</t>
  </si>
  <si>
    <t>Mask</t>
  </si>
  <si>
    <t>Facial Tissue</t>
  </si>
  <si>
    <t>Rolled Tissue</t>
  </si>
  <si>
    <t>Parafilm</t>
  </si>
  <si>
    <t>10 rolls</t>
  </si>
  <si>
    <t>Ziplock (Small)</t>
  </si>
  <si>
    <t>Ziplock (Medium)</t>
  </si>
  <si>
    <t>Ziplock (Large)</t>
  </si>
  <si>
    <t>Ziplock (Extra Large)</t>
  </si>
  <si>
    <t>Office Equipment</t>
  </si>
  <si>
    <t>Laboratory Equipment</t>
  </si>
  <si>
    <t>Customized stainless bucket with cover and water tap</t>
  </si>
  <si>
    <t>Industrial filter paper, 60x60 cm</t>
  </si>
  <si>
    <t>5 packs</t>
  </si>
  <si>
    <t>Electrical Cables; Royal Cord, 3 Core</t>
  </si>
  <si>
    <t>2 units</t>
  </si>
  <si>
    <t>Electrical Breaker</t>
  </si>
  <si>
    <t>6 units</t>
  </si>
  <si>
    <t>Uninterruptible Power Supply</t>
  </si>
  <si>
    <t>Gooch Glass Filter</t>
  </si>
  <si>
    <t>24 pcs</t>
  </si>
  <si>
    <t>Beakers, borosilicate glass, 2L</t>
  </si>
  <si>
    <t>Beakers, borosilicate glass, 1L</t>
  </si>
  <si>
    <t>15 pcs</t>
  </si>
  <si>
    <t>Beakers, borosilicate glass, 500 mL</t>
  </si>
  <si>
    <t>Glass Cylinders</t>
  </si>
  <si>
    <t>pcs</t>
  </si>
  <si>
    <t>SSD external hard drive</t>
  </si>
  <si>
    <t>3 pcs</t>
  </si>
  <si>
    <t>Brown cones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</si>
  <si>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</si>
  <si>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</si>
  <si>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</si>
  <si>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</si>
  <si>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</si>
  <si>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</si>
  <si>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</si>
  <si>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</si>
  <si>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</si>
  <si>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</si>
  <si>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________________________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</si>
  <si>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</si>
  <si>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</si>
  <si>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</si>
  <si>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</si>
  <si>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</si>
  <si>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</si>
  <si>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</si>
  <si>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</si>
  <si>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Graduated cylinder, borosilicate glass, 1L</t>
  </si>
  <si>
    <t>Graduated cylinder, borosilicate glass, 500 mL</t>
  </si>
  <si>
    <t>Graduated cylinder, borosilicate glass, 100 mL</t>
  </si>
  <si>
    <t>Office Partition</t>
  </si>
  <si>
    <t>lots</t>
  </si>
  <si>
    <t>Industrial air compressor</t>
  </si>
  <si>
    <t>lot</t>
  </si>
  <si>
    <t>1 pc.</t>
  </si>
  <si>
    <t>Certificate Holder, Legal Size, Material: PTF Fabric</t>
  </si>
  <si>
    <t>Lei/Garland</t>
  </si>
  <si>
    <t>-Bag Tag</t>
  </si>
  <si>
    <t>-Infinity scarf</t>
  </si>
  <si>
    <t>5 pcs</t>
  </si>
  <si>
    <t>-Headband belt</t>
  </si>
  <si>
    <t>Packaging Box</t>
  </si>
  <si>
    <t>2 packs</t>
  </si>
  <si>
    <t>2 pcs</t>
  </si>
  <si>
    <t>(Sample Only)</t>
  </si>
  <si>
    <t>END-USER/UNIT: RDD-NFUS</t>
  </si>
  <si>
    <t>Charged to: Digitalization of Philippine Textiles to Protect and Sustain the Handloom Weaving Sector</t>
  </si>
  <si>
    <t>Office Supplies</t>
  </si>
  <si>
    <t>32gb OTG flashdrive</t>
  </si>
  <si>
    <t>80 pieces</t>
  </si>
  <si>
    <t>16GB microSD card</t>
  </si>
  <si>
    <t>5 pieces</t>
  </si>
  <si>
    <t>Powerbank</t>
  </si>
  <si>
    <t>10 pieces</t>
  </si>
  <si>
    <t>External hard drive, 1TB</t>
  </si>
  <si>
    <t>Wireless mouse</t>
  </si>
  <si>
    <t>Binder Clip 4 per pack black</t>
  </si>
  <si>
    <t>20 packs</t>
  </si>
  <si>
    <t>Shopping</t>
  </si>
  <si>
    <t>Binder clip 2 per pack black</t>
  </si>
  <si>
    <t>15 packs</t>
  </si>
  <si>
    <t>Paper clip vinyl coated assorted 100s</t>
  </si>
  <si>
    <t>Envelope document 5/pack</t>
  </si>
  <si>
    <t>Envelope expanding with elastic, legal</t>
  </si>
  <si>
    <t>30 packs</t>
  </si>
  <si>
    <t>Sticky flags</t>
  </si>
  <si>
    <t>Highlighter (yellow)</t>
  </si>
  <si>
    <t>Glue stick</t>
  </si>
  <si>
    <t>Long brown envelope</t>
  </si>
  <si>
    <t>50 packs</t>
  </si>
  <si>
    <t>Clearbook, long</t>
  </si>
  <si>
    <t>15 pieces</t>
  </si>
  <si>
    <t>Spray paint</t>
  </si>
  <si>
    <t>1 piece</t>
  </si>
  <si>
    <t>All in one laser printer</t>
  </si>
  <si>
    <t>3 units</t>
  </si>
  <si>
    <t>Certificate paper</t>
  </si>
  <si>
    <t>100 pieces</t>
  </si>
  <si>
    <t>ID and ID laces</t>
  </si>
  <si>
    <t>Manila paper</t>
  </si>
  <si>
    <t>50 pieces</t>
  </si>
  <si>
    <t>USB to VGA/HDMI adapter for Macbook</t>
  </si>
  <si>
    <t>USB to VGA/HDMI adapter for other laptops</t>
  </si>
  <si>
    <t>A4 paper/500 pcs/ream</t>
  </si>
  <si>
    <t>30 reams</t>
  </si>
  <si>
    <t>Paper shredder</t>
  </si>
  <si>
    <t>Black ink for printer</t>
  </si>
  <si>
    <t>8 carts</t>
  </si>
  <si>
    <t>Colored ink for printer</t>
  </si>
  <si>
    <t>Metal fasteners</t>
  </si>
  <si>
    <t>3 packs</t>
  </si>
  <si>
    <t>Folder for A4 size documents, 10 pcs per pack</t>
  </si>
  <si>
    <t>Blue sign pens</t>
  </si>
  <si>
    <t>20 pieces</t>
  </si>
  <si>
    <t>Regular pens</t>
  </si>
  <si>
    <t>Permanent markers</t>
  </si>
  <si>
    <t>Transparent tape</t>
  </si>
  <si>
    <t>Stapler</t>
  </si>
  <si>
    <t>3 pieces</t>
  </si>
  <si>
    <t>Staple wires</t>
  </si>
  <si>
    <t>Correction tape</t>
  </si>
  <si>
    <t>Scissors</t>
  </si>
  <si>
    <t>Laboratory Supplies</t>
  </si>
  <si>
    <t>Machining of components H1</t>
  </si>
  <si>
    <t>4 units</t>
  </si>
  <si>
    <t>Machining of components H2</t>
  </si>
  <si>
    <t>Machining of component M</t>
  </si>
  <si>
    <t>8 units</t>
  </si>
  <si>
    <t>Disposable ABR electrodes</t>
  </si>
  <si>
    <t>300 units</t>
  </si>
  <si>
    <t>Disposable snap electrodes</t>
  </si>
  <si>
    <t>100 units</t>
  </si>
  <si>
    <t>Skin prep gel</t>
  </si>
  <si>
    <t>Neurodiagnostic Conductive Electrode Paste</t>
  </si>
  <si>
    <t xml:space="preserve">4 units </t>
  </si>
  <si>
    <t>Gold/silver electrode</t>
  </si>
  <si>
    <t>70% Isopropyl alcohol</t>
  </si>
  <si>
    <t>10 units</t>
  </si>
  <si>
    <t>Micropore tape 1in</t>
  </si>
  <si>
    <t>6 boxes</t>
  </si>
  <si>
    <t>Sterile gauze, individually wrapped</t>
  </si>
  <si>
    <t>Alcohol swab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</si>
</sst>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2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</fonts>
  <fills count="1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</fills>
  <borders count="28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3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right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2" numFmtId="3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3" xfId="0" applyAlignment="1" applyBorder="1" applyFont="1" applyNumberFormat="1">
      <alignment horizontal="center" readingOrder="0" shrinkToFit="0" vertical="center" wrapText="1"/>
    </xf>
    <xf borderId="2" fillId="0" fontId="6" numFmtId="4" xfId="0" applyAlignment="1" applyBorder="1" applyFont="1" applyNumberFormat="1">
      <alignment horizontal="center" readingOrder="0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0" fillId="0" fontId="9" numFmtId="0" xfId="0" applyFont="1"/>
    <xf borderId="7" fillId="0" fontId="8" numFmtId="0" xfId="0" applyBorder="1" applyFont="1"/>
    <xf borderId="8" fillId="0" fontId="8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8" fillId="0" fontId="6" numFmtId="3" xfId="0" applyAlignment="1" applyBorder="1" applyFont="1" applyNumberFormat="1">
      <alignment horizontal="center" readingOrder="0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12" fillId="0" fontId="10" numFmtId="0" xfId="0" applyAlignment="1" applyBorder="1" applyFont="1">
      <alignment horizontal="center" shrinkToFit="0" vertical="center" wrapText="1"/>
    </xf>
    <xf borderId="13" fillId="2" fontId="10" numFmtId="0" xfId="0" applyAlignment="1" applyBorder="1" applyFill="1" applyFont="1">
      <alignment horizontal="left" vertical="center"/>
    </xf>
    <xf borderId="14" fillId="2" fontId="2" numFmtId="0" xfId="0" applyBorder="1" applyFont="1"/>
    <xf borderId="14" fillId="2" fontId="2" numFmtId="3" xfId="0" applyAlignment="1" applyBorder="1" applyFont="1" applyNumberFormat="1">
      <alignment horizontal="center"/>
    </xf>
    <xf borderId="14" fillId="2" fontId="2" numFmtId="4" xfId="0" applyAlignment="1" applyBorder="1" applyFont="1" applyNumberFormat="1">
      <alignment horizontal="center"/>
    </xf>
    <xf borderId="14" fillId="2" fontId="2" numFmtId="4" xfId="0" applyAlignment="1" applyBorder="1" applyFont="1" applyNumberFormat="1">
      <alignment horizontal="right"/>
    </xf>
    <xf borderId="14" fillId="2" fontId="2" numFmtId="0" xfId="0" applyAlignment="1" applyBorder="1" applyFont="1">
      <alignment horizontal="center"/>
    </xf>
    <xf borderId="15" fillId="2" fontId="2" numFmtId="0" xfId="0" applyBorder="1" applyFont="1"/>
    <xf borderId="13" fillId="2" fontId="2" numFmtId="0" xfId="0" applyBorder="1" applyFont="1"/>
    <xf borderId="13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center"/>
    </xf>
    <xf borderId="14" fillId="0" fontId="2" numFmtId="3" xfId="0" applyAlignment="1" applyBorder="1" applyFont="1" applyNumberFormat="1">
      <alignment horizontal="center" readingOrder="0" shrinkToFit="0" vertical="center" wrapText="1"/>
    </xf>
    <xf borderId="14" fillId="0" fontId="2" numFmtId="4" xfId="0" applyAlignment="1" applyBorder="1" applyFont="1" applyNumberFormat="1">
      <alignment horizontal="center" readingOrder="0" shrinkToFit="0" vertical="center" wrapText="1"/>
    </xf>
    <xf borderId="14" fillId="0" fontId="2" numFmtId="4" xfId="0" applyAlignment="1" applyBorder="1" applyFont="1" applyNumberFormat="1">
      <alignment horizontal="right" shrinkToFit="0" vertical="center" wrapText="1"/>
    </xf>
    <xf borderId="16" fillId="0" fontId="2" numFmtId="4" xfId="0" applyAlignment="1" applyBorder="1" applyFont="1" applyNumberFormat="1">
      <alignment horizontal="right"/>
    </xf>
    <xf borderId="16" fillId="0" fontId="2" numFmtId="0" xfId="0" applyAlignment="1" applyBorder="1" applyFont="1">
      <alignment horizontal="center" readingOrder="0"/>
    </xf>
    <xf borderId="16" fillId="0" fontId="2" numFmtId="0" xfId="0" applyBorder="1" applyFont="1"/>
    <xf borderId="13" fillId="0" fontId="2" numFmtId="49" xfId="0" applyBorder="1" applyFont="1" applyNumberFormat="1"/>
    <xf borderId="14" fillId="3" fontId="2" numFmtId="0" xfId="0" applyAlignment="1" applyBorder="1" applyFill="1" applyFont="1">
      <alignment horizontal="center" readingOrder="0" shrinkToFit="0" vertical="center" wrapText="1"/>
    </xf>
    <xf borderId="14" fillId="3" fontId="2" numFmtId="3" xfId="0" applyAlignment="1" applyBorder="1" applyFont="1" applyNumberFormat="1">
      <alignment horizontal="center" readingOrder="0" shrinkToFit="0" vertical="center" wrapText="1"/>
    </xf>
    <xf borderId="13" fillId="0" fontId="2" numFmtId="49" xfId="0" applyAlignment="1" applyBorder="1" applyFont="1" applyNumberFormat="1">
      <alignment readingOrder="0"/>
    </xf>
    <xf borderId="14" fillId="0" fontId="2" numFmtId="0" xfId="0" applyAlignment="1" applyBorder="1" applyFont="1">
      <alignment horizontal="center" readingOrder="0" shrinkToFit="0" vertical="center" wrapText="1"/>
    </xf>
    <xf borderId="14" fillId="0" fontId="2" numFmtId="4" xfId="0" applyAlignment="1" applyBorder="1" applyFont="1" applyNumberFormat="1">
      <alignment horizontal="right" readingOrder="0" shrinkToFit="0" vertical="center" wrapText="1"/>
    </xf>
    <xf borderId="14" fillId="0" fontId="2" numFmtId="164" xfId="0" applyAlignment="1" applyBorder="1" applyFont="1" applyNumberFormat="1">
      <alignment horizontal="center" readingOrder="0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4" fillId="0" fontId="2" numFmtId="4" xfId="0" applyAlignment="1" applyBorder="1" applyFont="1" applyNumberFormat="1">
      <alignment horizontal="center" shrinkToFit="0" vertical="center" wrapText="1"/>
    </xf>
    <xf borderId="14" fillId="0" fontId="2" numFmtId="164" xfId="0" applyAlignment="1" applyBorder="1" applyFont="1" applyNumberFormat="1">
      <alignment horizontal="center" shrinkToFit="0" vertical="center" wrapText="1"/>
    </xf>
    <xf borderId="14" fillId="4" fontId="2" numFmtId="0" xfId="0" applyAlignment="1" applyBorder="1" applyFill="1" applyFont="1">
      <alignment horizontal="center" readingOrder="0" shrinkToFit="0" vertical="center" wrapText="1"/>
    </xf>
    <xf borderId="14" fillId="0" fontId="11" numFmtId="3" xfId="0" applyAlignment="1" applyBorder="1" applyFont="1" applyNumberFormat="1">
      <alignment horizontal="center" readingOrder="0" vertical="top"/>
    </xf>
    <xf borderId="14" fillId="0" fontId="11" numFmtId="4" xfId="0" applyAlignment="1" applyBorder="1" applyFont="1" applyNumberFormat="1">
      <alignment horizontal="center" vertical="top"/>
    </xf>
    <xf borderId="16" fillId="0" fontId="11" numFmtId="4" xfId="0" applyAlignment="1" applyBorder="1" applyFont="1" applyNumberFormat="1">
      <alignment horizontal="right" vertical="top"/>
    </xf>
    <xf borderId="14" fillId="0" fontId="2" numFmtId="0" xfId="0" applyBorder="1" applyFont="1"/>
    <xf borderId="14" fillId="0" fontId="2" numFmtId="0" xfId="0" applyAlignment="1" applyBorder="1" applyFont="1">
      <alignment horizontal="center"/>
    </xf>
    <xf borderId="14" fillId="0" fontId="2" numFmtId="0" xfId="0" applyAlignment="1" applyBorder="1" applyFont="1">
      <alignment readingOrder="0"/>
    </xf>
    <xf borderId="15" fillId="0" fontId="2" numFmtId="0" xfId="0" applyBorder="1" applyFont="1"/>
    <xf borderId="13" fillId="0" fontId="2" numFmtId="0" xfId="0" applyBorder="1" applyFont="1"/>
    <xf borderId="13" fillId="2" fontId="10" numFmtId="0" xfId="0" applyAlignment="1" applyBorder="1" applyFont="1">
      <alignment horizontal="left" readingOrder="0" vertical="center"/>
    </xf>
    <xf borderId="13" fillId="0" fontId="2" numFmtId="49" xfId="0" applyAlignment="1" applyBorder="1" applyFont="1" applyNumberFormat="1">
      <alignment horizontal="left" readingOrder="0" vertical="center"/>
    </xf>
    <xf borderId="16" fillId="0" fontId="6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horizontal="center" readingOrder="0"/>
    </xf>
    <xf borderId="13" fillId="0" fontId="2" numFmtId="49" xfId="0" applyAlignment="1" applyBorder="1" applyFont="1" applyNumberFormat="1">
      <alignment horizontal="left" vertical="center"/>
    </xf>
    <xf borderId="17" fillId="0" fontId="10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left" vertical="center"/>
    </xf>
    <xf borderId="18" fillId="2" fontId="10" numFmtId="0" xfId="0" applyAlignment="1" applyBorder="1" applyFont="1">
      <alignment horizontal="left" vertical="center"/>
    </xf>
    <xf borderId="16" fillId="2" fontId="2" numFmtId="0" xfId="0" applyBorder="1" applyFont="1"/>
    <xf borderId="16" fillId="2" fontId="2" numFmtId="0" xfId="0" applyAlignment="1" applyBorder="1" applyFont="1">
      <alignment horizontal="center"/>
    </xf>
    <xf borderId="16" fillId="0" fontId="2" numFmtId="164" xfId="0" applyAlignment="1" applyBorder="1" applyFont="1" applyNumberFormat="1">
      <alignment horizontal="center" readingOrder="0" shrinkToFit="0" vertical="center" wrapText="1"/>
    </xf>
    <xf borderId="13" fillId="5" fontId="2" numFmtId="49" xfId="0" applyAlignment="1" applyBorder="1" applyFill="1" applyFont="1" applyNumberFormat="1">
      <alignment horizontal="left" readingOrder="0" vertical="center"/>
    </xf>
    <xf borderId="14" fillId="5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readingOrder="0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0" fillId="0" fontId="0" numFmtId="0" xfId="0" applyFont="1"/>
    <xf borderId="16" fillId="0" fontId="9" numFmtId="0" xfId="0" applyAlignment="1" applyBorder="1" applyFont="1">
      <alignment horizontal="left" shrinkToFit="0" vertical="center" wrapText="1"/>
    </xf>
    <xf borderId="14" fillId="0" fontId="9" numFmtId="3" xfId="0" applyAlignment="1" applyBorder="1" applyFont="1" applyNumberFormat="1">
      <alignment horizontal="center" readingOrder="0" shrinkToFit="0" vertical="center" wrapText="1"/>
    </xf>
    <xf borderId="14" fillId="0" fontId="9" numFmtId="0" xfId="0" applyAlignment="1" applyBorder="1" applyFont="1">
      <alignment horizontal="center" readingOrder="0" shrinkToFit="0" vertical="center" wrapText="1"/>
    </xf>
    <xf borderId="12" fillId="4" fontId="2" numFmtId="0" xfId="0" applyAlignment="1" applyBorder="1" applyFont="1">
      <alignment horizontal="center" shrinkToFit="0" vertical="center" wrapText="1"/>
    </xf>
    <xf borderId="14" fillId="4" fontId="2" numFmtId="3" xfId="0" applyAlignment="1" applyBorder="1" applyFont="1" applyNumberFormat="1">
      <alignment horizontal="center" readingOrder="0" shrinkToFit="0" vertical="center" wrapText="1"/>
    </xf>
    <xf borderId="14" fillId="4" fontId="2" numFmtId="164" xfId="0" applyAlignment="1" applyBorder="1" applyFont="1" applyNumberFormat="1">
      <alignment horizontal="center" readingOrder="0" shrinkToFit="0" vertical="center" wrapText="1"/>
    </xf>
    <xf borderId="16" fillId="4" fontId="2" numFmtId="164" xfId="0" applyAlignment="1" applyBorder="1" applyFont="1" applyNumberFormat="1">
      <alignment horizontal="center" readingOrder="0" shrinkToFit="0" vertical="center" wrapText="1"/>
    </xf>
    <xf borderId="16" fillId="4" fontId="9" numFmtId="0" xfId="0" applyAlignment="1" applyBorder="1" applyFont="1">
      <alignment horizontal="left" shrinkToFit="0" vertical="center" wrapText="1"/>
    </xf>
    <xf borderId="16" fillId="4" fontId="9" numFmtId="0" xfId="0" applyAlignment="1" applyBorder="1" applyFont="1">
      <alignment horizontal="left" readingOrder="0" shrinkToFit="0" vertical="center" wrapText="1"/>
    </xf>
    <xf borderId="16" fillId="4" fontId="2" numFmtId="0" xfId="0" applyBorder="1" applyFont="1"/>
    <xf borderId="0" fillId="4" fontId="9" numFmtId="0" xfId="0" applyFont="1"/>
    <xf borderId="0" fillId="4" fontId="12" numFmtId="0" xfId="0" applyFont="1"/>
    <xf borderId="13" fillId="3" fontId="2" numFmtId="49" xfId="0" applyAlignment="1" applyBorder="1" applyFont="1" applyNumberFormat="1">
      <alignment horizontal="left" readingOrder="0" vertical="center"/>
    </xf>
    <xf borderId="14" fillId="0" fontId="6" numFmtId="0" xfId="0" applyAlignment="1" applyBorder="1" applyFont="1">
      <alignment horizontal="left" shrinkToFit="0" vertical="center" wrapText="1"/>
    </xf>
    <xf borderId="14" fillId="0" fontId="6" numFmtId="3" xfId="0" applyAlignment="1" applyBorder="1" applyFont="1" applyNumberFormat="1">
      <alignment horizontal="center" readingOrder="0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left" shrinkToFit="0" vertical="center" wrapText="1"/>
    </xf>
    <xf borderId="14" fillId="0" fontId="6" numFmtId="3" xfId="0" applyAlignment="1" applyBorder="1" applyFont="1" applyNumberForma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left" shrinkToFit="0" vertical="center" wrapText="1"/>
    </xf>
    <xf borderId="19" fillId="0" fontId="6" numFmtId="0" xfId="0" applyAlignment="1" applyBorder="1" applyFont="1">
      <alignment horizontal="left" shrinkToFit="0" vertical="center" wrapText="1"/>
    </xf>
    <xf borderId="20" fillId="0" fontId="8" numFmtId="0" xfId="0" applyBorder="1" applyFont="1"/>
    <xf borderId="21" fillId="0" fontId="8" numFmtId="0" xfId="0" applyBorder="1" applyFont="1"/>
    <xf borderId="0" fillId="0" fontId="6" numFmtId="0" xfId="0" applyAlignment="1" applyFont="1">
      <alignment vertical="center"/>
    </xf>
    <xf borderId="0" fillId="0" fontId="13" numFmtId="0" xfId="0" applyAlignment="1" applyFont="1">
      <alignment vertical="center"/>
    </xf>
    <xf borderId="22" fillId="0" fontId="2" numFmtId="164" xfId="0" applyBorder="1" applyFont="1" applyNumberFormat="1"/>
    <xf borderId="0" fillId="0" fontId="14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13" fillId="0" fontId="6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23" fillId="0" fontId="1" numFmtId="164" xfId="0" applyAlignment="1" applyBorder="1" applyFont="1" applyNumberFormat="1">
      <alignment horizontal="center"/>
    </xf>
    <xf borderId="24" fillId="0" fontId="8" numFmtId="0" xfId="0" applyBorder="1" applyFont="1"/>
    <xf borderId="25" fillId="0" fontId="8" numFmtId="0" xfId="0" applyBorder="1" applyFont="1"/>
    <xf borderId="0" fillId="0" fontId="9" numFmtId="0" xfId="0" applyAlignment="1" applyFont="1">
      <alignment horizontal="left"/>
    </xf>
    <xf borderId="16" fillId="0" fontId="6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9" fillId="0" fontId="1" numFmtId="164" xfId="0" applyAlignment="1" applyBorder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0" xfId="0" applyFont="1"/>
    <xf borderId="0" fillId="0" fontId="13" numFmtId="164" xfId="0" applyAlignment="1" applyFont="1" applyNumberFormat="1">
      <alignment horizont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7" numFmtId="3" xfId="0" applyAlignment="1" applyFont="1" applyNumberFormat="1">
      <alignment horizontal="center" shrinkToFit="0" vertical="center" wrapText="1"/>
    </xf>
    <xf borderId="0" fillId="0" fontId="7" numFmtId="4" xfId="0" applyAlignment="1" applyFont="1" applyNumberFormat="1">
      <alignment horizontal="center" shrinkToFit="0" vertical="center" wrapText="1"/>
    </xf>
    <xf borderId="0" fillId="0" fontId="7" numFmtId="4" xfId="0" applyAlignment="1" applyFont="1" applyNumberFormat="1">
      <alignment horizontal="right" shrinkToFit="0" vertical="center" wrapText="1"/>
    </xf>
    <xf borderId="0" fillId="0" fontId="13" numFmtId="3" xfId="0" applyAlignment="1" applyFont="1" applyNumberFormat="1">
      <alignment horizontal="center"/>
    </xf>
    <xf borderId="0" fillId="0" fontId="13" numFmtId="4" xfId="0" applyAlignment="1" applyFont="1" applyNumberFormat="1">
      <alignment horizontal="center"/>
    </xf>
    <xf borderId="0" fillId="0" fontId="13" numFmtId="4" xfId="0" applyAlignment="1" applyFont="1" applyNumberFormat="1">
      <alignment horizontal="right"/>
    </xf>
    <xf borderId="0" fillId="0" fontId="7" numFmtId="0" xfId="0" applyAlignment="1" applyFont="1">
      <alignment shrinkToFit="0" wrapText="1"/>
    </xf>
    <xf borderId="0" fillId="0" fontId="17" numFmtId="0" xfId="0" applyAlignment="1" applyFont="1">
      <alignment horizontal="left" vertical="center"/>
    </xf>
    <xf borderId="0" fillId="0" fontId="7" numFmtId="0" xfId="0" applyAlignment="1" applyFont="1">
      <alignment horizontal="left" shrinkToFit="0" wrapText="1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3" numFmtId="0" xfId="0" applyAlignment="1" applyFont="1">
      <alignment shrinkToFit="0" vertical="center" wrapText="1"/>
    </xf>
    <xf borderId="0" fillId="0" fontId="18" numFmtId="3" xfId="0" applyAlignment="1" applyFont="1" applyNumberFormat="1">
      <alignment horizontal="center"/>
    </xf>
    <xf borderId="0" fillId="0" fontId="18" numFmtId="4" xfId="0" applyAlignment="1" applyFont="1" applyNumberFormat="1">
      <alignment horizontal="center"/>
    </xf>
    <xf borderId="0" fillId="0" fontId="18" numFmtId="4" xfId="0" applyAlignment="1" applyFont="1" applyNumberFormat="1">
      <alignment horizontal="right"/>
    </xf>
    <xf borderId="0" fillId="0" fontId="19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/>
    </xf>
    <xf borderId="0" fillId="0" fontId="19" numFmtId="0" xfId="0" applyAlignment="1" applyFont="1">
      <alignment shrinkToFit="0" wrapText="1"/>
    </xf>
    <xf borderId="0" fillId="0" fontId="21" numFmtId="0" xfId="0" applyFont="1"/>
    <xf borderId="0" fillId="0" fontId="19" numFmtId="0" xfId="0" applyAlignment="1" applyFont="1">
      <alignment horizontal="left" shrinkToFit="0" wrapText="1"/>
    </xf>
    <xf borderId="0" fillId="0" fontId="21" numFmtId="164" xfId="0" applyAlignment="1" applyFont="1" applyNumberFormat="1">
      <alignment horizontal="left" shrinkToFit="0" vertical="center" wrapText="1"/>
    </xf>
    <xf borderId="0" fillId="0" fontId="12" numFmtId="3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16" fillId="6" fontId="2" numFmtId="0" xfId="0" applyAlignment="1" applyBorder="1" applyFill="1" applyFont="1">
      <alignment horizontal="center"/>
    </xf>
    <xf borderId="16" fillId="7" fontId="2" numFmtId="0" xfId="0" applyAlignment="1" applyBorder="1" applyFill="1" applyFont="1">
      <alignment horizontal="center"/>
    </xf>
    <xf borderId="16" fillId="8" fontId="2" numFmtId="0" xfId="0" applyAlignment="1" applyBorder="1" applyFill="1" applyFont="1">
      <alignment horizontal="center" readingOrder="0"/>
    </xf>
    <xf borderId="16" fillId="9" fontId="2" numFmtId="0" xfId="0" applyAlignment="1" applyBorder="1" applyFill="1" applyFont="1">
      <alignment horizontal="center" readingOrder="0"/>
    </xf>
    <xf borderId="16" fillId="10" fontId="2" numFmtId="0" xfId="0" applyAlignment="1" applyBorder="1" applyFill="1" applyFont="1">
      <alignment horizontal="center"/>
    </xf>
    <xf borderId="14" fillId="11" fontId="2" numFmtId="0" xfId="0" applyAlignment="1" applyBorder="1" applyFill="1" applyFont="1">
      <alignment readingOrder="0"/>
    </xf>
    <xf borderId="14" fillId="12" fontId="2" numFmtId="0" xfId="0" applyAlignment="1" applyBorder="1" applyFill="1" applyFont="1">
      <alignment readingOrder="0"/>
    </xf>
    <xf borderId="14" fillId="13" fontId="2" numFmtId="0" xfId="0" applyAlignment="1" applyBorder="1" applyFill="1" applyFont="1">
      <alignment readingOrder="0"/>
    </xf>
    <xf borderId="16" fillId="14" fontId="2" numFmtId="0" xfId="0" applyAlignment="1" applyBorder="1" applyFill="1" applyFont="1">
      <alignment horizontal="center" readingOrder="0"/>
    </xf>
    <xf borderId="16" fillId="10" fontId="2" numFmtId="0" xfId="0" applyAlignment="1" applyBorder="1" applyFont="1">
      <alignment horizontal="center" readingOrder="0"/>
    </xf>
    <xf borderId="14" fillId="8" fontId="2" numFmtId="0" xfId="0" applyAlignment="1" applyBorder="1" applyFont="1">
      <alignment horizontal="center" readingOrder="0"/>
    </xf>
    <xf borderId="14" fillId="6" fontId="2" numFmtId="0" xfId="0" applyAlignment="1" applyBorder="1" applyFont="1">
      <alignment horizontal="center" readingOrder="0"/>
    </xf>
    <xf borderId="16" fillId="15" fontId="2" numFmtId="0" xfId="0" applyAlignment="1" applyBorder="1" applyFill="1" applyFont="1">
      <alignment horizontal="center"/>
    </xf>
    <xf borderId="16" fillId="6" fontId="2" numFmtId="0" xfId="0" applyAlignment="1" applyBorder="1" applyFont="1">
      <alignment horizontal="center" readingOrder="0"/>
    </xf>
    <xf borderId="16" fillId="0" fontId="12" numFmtId="0" xfId="0" applyBorder="1" applyFont="1"/>
    <xf borderId="16" fillId="11" fontId="2" numFmtId="0" xfId="0" applyAlignment="1" applyBorder="1" applyFont="1">
      <alignment horizontal="center" readingOrder="0"/>
    </xf>
    <xf borderId="16" fillId="16" fontId="2" numFmtId="0" xfId="0" applyAlignment="1" applyBorder="1" applyFill="1" applyFont="1">
      <alignment horizontal="center" readingOrder="0"/>
    </xf>
    <xf borderId="16" fillId="17" fontId="2" numFmtId="0" xfId="0" applyAlignment="1" applyBorder="1" applyFill="1" applyFont="1">
      <alignment horizontal="center" readingOrder="0"/>
    </xf>
    <xf borderId="16" fillId="18" fontId="2" numFmtId="0" xfId="0" applyAlignment="1" applyBorder="1" applyFill="1" applyFont="1">
      <alignment horizontal="center" readingOrder="0"/>
    </xf>
    <xf borderId="16" fillId="0" fontId="11" numFmtId="49" xfId="0" applyAlignment="1" applyBorder="1" applyFont="1" applyNumberFormat="1">
      <alignment readingOrder="0" vertical="top"/>
    </xf>
    <xf borderId="16" fillId="0" fontId="11" numFmtId="49" xfId="0" applyAlignment="1" applyBorder="1" applyFont="1" applyNumberFormat="1">
      <alignment vertical="top"/>
    </xf>
    <xf borderId="16" fillId="0" fontId="11" numFmtId="49" xfId="0" applyAlignment="1" applyBorder="1" applyFont="1" applyNumberFormat="1">
      <alignment shrinkToFit="0" vertical="top" wrapText="1"/>
    </xf>
    <xf borderId="16" fillId="0" fontId="2" numFmtId="0" xfId="0" applyAlignment="1" applyBorder="1" applyFont="1">
      <alignment readingOrder="0"/>
    </xf>
    <xf borderId="16" fillId="0" fontId="2" numFmtId="0" xfId="0" applyAlignment="1" applyBorder="1" applyFont="1">
      <alignment horizontal="center" shrinkToFit="0" vertical="center" wrapText="1"/>
    </xf>
    <xf borderId="16" fillId="0" fontId="2" numFmtId="4" xfId="0" applyAlignment="1" applyBorder="1" applyFont="1" applyNumberFormat="1">
      <alignment horizontal="right" shrinkToFit="0" vertical="center" wrapText="1"/>
    </xf>
    <xf borderId="16" fillId="0" fontId="2" numFmtId="164" xfId="0" applyAlignment="1" applyBorder="1" applyFont="1" applyNumberFormat="1">
      <alignment horizontal="center" shrinkToFit="0" vertical="center" wrapText="1"/>
    </xf>
    <xf borderId="16" fillId="2" fontId="2" numFmtId="4" xfId="0" applyAlignment="1" applyBorder="1" applyFont="1" applyNumberFormat="1">
      <alignment horizontal="right"/>
    </xf>
    <xf borderId="12" fillId="0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left" shrinkToFit="0" vertical="center" wrapText="1"/>
    </xf>
    <xf borderId="26" fillId="2" fontId="6" numFmtId="0" xfId="0" applyAlignment="1" applyBorder="1" applyFont="1">
      <alignment horizontal="center" shrinkToFit="0" vertical="center" wrapText="1"/>
    </xf>
    <xf borderId="26" fillId="2" fontId="6" numFmtId="4" xfId="0" applyAlignment="1" applyBorder="1" applyFont="1" applyNumberFormat="1">
      <alignment horizontal="right" shrinkToFit="0" vertical="center" wrapText="1"/>
    </xf>
    <xf borderId="26" fillId="2" fontId="6" numFmtId="164" xfId="0" applyAlignment="1" applyBorder="1" applyFont="1" applyNumberFormat="1">
      <alignment horizontal="center" shrinkToFit="0" vertical="center" wrapText="1"/>
    </xf>
    <xf borderId="26" fillId="2" fontId="7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14" fillId="0" fontId="2" numFmtId="4" xfId="0" applyAlignment="1" applyBorder="1" applyFont="1" applyNumberFormat="1">
      <alignment horizontal="right"/>
    </xf>
    <xf borderId="14" fillId="0" fontId="2" numFmtId="0" xfId="0" applyAlignment="1" applyBorder="1" applyFont="1">
      <alignment horizontal="right" shrinkToFit="0" vertical="center" wrapText="1"/>
    </xf>
    <xf borderId="0" fillId="0" fontId="20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2.13"/>
    <col customWidth="1" min="3" max="3" width="11.63"/>
    <col customWidth="1" min="4" max="6" width="10.13"/>
    <col customWidth="1" min="7" max="7" width="11.25"/>
    <col customWidth="1" min="8" max="8" width="23.25"/>
    <col customWidth="1" min="9" max="9" width="10.38"/>
    <col customWidth="1" min="10" max="14" width="7.63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1" t="s">
        <v>0</v>
      </c>
      <c r="Y1" s="2"/>
      <c r="Z1" s="2"/>
    </row>
    <row r="2">
      <c r="A2" s="3" t="s">
        <v>1</v>
      </c>
      <c r="Y2" s="2"/>
      <c r="Z2" s="2"/>
    </row>
    <row r="3">
      <c r="A3" s="4"/>
      <c r="Y3" s="2"/>
      <c r="Z3" s="2"/>
    </row>
    <row r="4">
      <c r="A4" s="5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"/>
      <c r="Y4" s="2"/>
      <c r="Z4" s="2"/>
    </row>
    <row r="5">
      <c r="A5" s="11"/>
      <c r="B5" s="6"/>
      <c r="C5" s="2"/>
      <c r="D5" s="12"/>
      <c r="E5" s="13"/>
      <c r="F5" s="14"/>
      <c r="G5" s="15"/>
      <c r="H5" s="16"/>
      <c r="I5" s="16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</v>
      </c>
      <c r="B6" s="6"/>
      <c r="C6" s="2"/>
      <c r="D6" s="12"/>
      <c r="E6" s="13"/>
      <c r="F6" s="14"/>
      <c r="G6" s="15"/>
      <c r="H6" s="16"/>
      <c r="I6" s="16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4</v>
      </c>
      <c r="B7" s="6"/>
      <c r="C7" s="2"/>
      <c r="D7" s="12"/>
      <c r="E7" s="13"/>
      <c r="F7" s="14"/>
      <c r="G7" s="15"/>
      <c r="H7" s="16"/>
      <c r="I7" s="16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7" t="s">
        <v>5</v>
      </c>
      <c r="B8" s="18" t="s">
        <v>6</v>
      </c>
      <c r="C8" s="19" t="s">
        <v>7</v>
      </c>
      <c r="D8" s="20"/>
      <c r="E8" s="21" t="s">
        <v>8</v>
      </c>
      <c r="F8" s="22" t="s">
        <v>9</v>
      </c>
      <c r="G8" s="23" t="s">
        <v>10</v>
      </c>
      <c r="H8" s="24" t="s">
        <v>11</v>
      </c>
      <c r="I8" s="18" t="s">
        <v>12</v>
      </c>
      <c r="J8" s="25" t="s">
        <v>13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7"/>
      <c r="Y8" s="28"/>
      <c r="Z8" s="28"/>
    </row>
    <row r="9">
      <c r="A9" s="29"/>
      <c r="B9" s="30"/>
      <c r="C9" s="31" t="s">
        <v>14</v>
      </c>
      <c r="D9" s="32"/>
      <c r="E9" s="30"/>
      <c r="F9" s="30"/>
      <c r="G9" s="30"/>
      <c r="H9" s="30"/>
      <c r="I9" s="30"/>
      <c r="J9" s="33" t="s">
        <v>15</v>
      </c>
      <c r="K9" s="33" t="s">
        <v>16</v>
      </c>
      <c r="L9" s="33" t="s">
        <v>17</v>
      </c>
      <c r="M9" s="33" t="s">
        <v>18</v>
      </c>
      <c r="N9" s="33" t="s">
        <v>19</v>
      </c>
      <c r="O9" s="33" t="s">
        <v>20</v>
      </c>
      <c r="P9" s="33" t="s">
        <v>21</v>
      </c>
      <c r="Q9" s="33" t="s">
        <v>22</v>
      </c>
      <c r="R9" s="33" t="s">
        <v>23</v>
      </c>
      <c r="S9" s="33" t="s">
        <v>24</v>
      </c>
      <c r="T9" s="33" t="s">
        <v>25</v>
      </c>
      <c r="U9" s="33" t="s">
        <v>26</v>
      </c>
      <c r="V9" s="33" t="s">
        <v>27</v>
      </c>
      <c r="W9" s="34" t="str">
        <f>$X$9</f>
        <v>REMARKS</v>
      </c>
      <c r="X9" s="34" t="s">
        <v>28</v>
      </c>
      <c r="Y9" s="35"/>
      <c r="Z9" s="28"/>
    </row>
    <row r="10" ht="15.75" customHeight="1">
      <c r="A10" s="36"/>
      <c r="B10" s="37" t="s">
        <v>29</v>
      </c>
      <c r="C10" s="38"/>
      <c r="D10" s="39"/>
      <c r="E10" s="40"/>
      <c r="F10" s="41"/>
      <c r="G10" s="38"/>
      <c r="H10" s="38"/>
      <c r="I10" s="38"/>
      <c r="J10" s="42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43"/>
      <c r="X10" s="44"/>
      <c r="Y10" s="28"/>
      <c r="Z10" s="28"/>
    </row>
    <row r="11" ht="15.75" customHeight="1">
      <c r="A11" s="36"/>
      <c r="B11" s="45" t="s">
        <v>30</v>
      </c>
      <c r="C11" s="46" t="s">
        <v>31</v>
      </c>
      <c r="D11" s="47">
        <v>40.0</v>
      </c>
      <c r="E11" s="48" t="str">
        <f>IFERROR(__xludf.DUMMYFUNCTION("REGEXEXTRACT(C11,""[A-Za-z]+"")"),"pcs")</f>
        <v>pcs</v>
      </c>
      <c r="F11" s="49">
        <v>800.0</v>
      </c>
      <c r="G11" s="50">
        <v>32000.0</v>
      </c>
      <c r="H11" s="51" t="s">
        <v>32</v>
      </c>
      <c r="I11" s="52"/>
      <c r="J11" s="46">
        <v>40.0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28"/>
      <c r="Z11" s="28"/>
    </row>
    <row r="12" ht="15.75" customHeight="1">
      <c r="A12" s="36"/>
      <c r="B12" s="53" t="s">
        <v>33</v>
      </c>
      <c r="C12" s="54" t="s">
        <v>34</v>
      </c>
      <c r="D12" s="55">
        <v>1.0</v>
      </c>
      <c r="E12" s="48" t="str">
        <f>IFERROR(__xludf.DUMMYFUNCTION("REGEXEXTRACT(C12,""[A-Za-z]+"")"),"lot")</f>
        <v>lot</v>
      </c>
      <c r="F12" s="49">
        <v>33000.0</v>
      </c>
      <c r="G12" s="49">
        <v>33000.0</v>
      </c>
      <c r="H12" s="51" t="s">
        <v>32</v>
      </c>
      <c r="I12" s="52"/>
      <c r="J12" s="46">
        <v>1.0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28"/>
      <c r="Z12" s="28"/>
    </row>
    <row r="13" ht="15.75" customHeight="1">
      <c r="A13" s="36"/>
      <c r="B13" s="56" t="s">
        <v>35</v>
      </c>
      <c r="C13" s="57" t="s">
        <v>36</v>
      </c>
      <c r="D13" s="47">
        <v>10.0</v>
      </c>
      <c r="E13" s="48" t="str">
        <f>IFERROR(__xludf.DUMMYFUNCTION("REGEXEXTRACT(C13,""[A-Za-z]+"")"),"lots")</f>
        <v>lots</v>
      </c>
      <c r="F13" s="58">
        <v>3000.0</v>
      </c>
      <c r="G13" s="59">
        <v>30000.0</v>
      </c>
      <c r="H13" s="51" t="s">
        <v>32</v>
      </c>
      <c r="I13" s="52"/>
      <c r="J13" s="51">
        <v>10.0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28"/>
      <c r="Z13" s="28"/>
    </row>
    <row r="14" ht="15.75" customHeight="1">
      <c r="A14" s="36"/>
      <c r="B14" s="56" t="s">
        <v>37</v>
      </c>
      <c r="C14" s="57" t="s">
        <v>38</v>
      </c>
      <c r="D14" s="47">
        <v>200.0</v>
      </c>
      <c r="E14" s="48" t="str">
        <f>IFERROR(__xludf.DUMMYFUNCTION("REGEXEXTRACT(C14,""[A-Za-z]+"")"),"lots")</f>
        <v>lots</v>
      </c>
      <c r="F14" s="58">
        <v>150.0</v>
      </c>
      <c r="G14" s="59">
        <v>30000.0</v>
      </c>
      <c r="H14" s="51" t="s">
        <v>32</v>
      </c>
      <c r="I14" s="52"/>
      <c r="J14" s="46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28"/>
      <c r="Z14" s="28"/>
    </row>
    <row r="15" ht="15.75" customHeight="1">
      <c r="A15" s="36"/>
      <c r="B15" s="53" t="s">
        <v>39</v>
      </c>
      <c r="C15" s="60" t="s">
        <v>40</v>
      </c>
      <c r="D15" s="47">
        <v>3.0</v>
      </c>
      <c r="E15" s="61" t="str">
        <f>IFERROR(__xludf.DUMMYFUNCTION("REGEXEXTRACT(C15,""[A-Za-z]+"")"),"samples")</f>
        <v>samples</v>
      </c>
      <c r="F15" s="49">
        <v>800.0</v>
      </c>
      <c r="G15" s="62">
        <v>2400.0</v>
      </c>
      <c r="H15" s="51" t="s">
        <v>41</v>
      </c>
      <c r="I15" s="52"/>
      <c r="J15" s="46">
        <v>3.0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28"/>
      <c r="Z15" s="28"/>
    </row>
    <row r="16" ht="15.75" customHeight="1">
      <c r="A16" s="36"/>
      <c r="B16" s="53" t="s">
        <v>42</v>
      </c>
      <c r="C16" s="60" t="s">
        <v>40</v>
      </c>
      <c r="D16" s="47">
        <v>3.0</v>
      </c>
      <c r="E16" s="61" t="str">
        <f>IFERROR(__xludf.DUMMYFUNCTION("REGEXEXTRACT(C16,""[A-Za-z]+"")"),"samples")</f>
        <v>samples</v>
      </c>
      <c r="F16" s="49">
        <v>700.0</v>
      </c>
      <c r="G16" s="62">
        <v>2100.0</v>
      </c>
      <c r="H16" s="51" t="s">
        <v>41</v>
      </c>
      <c r="I16" s="52"/>
      <c r="J16" s="46">
        <v>3.0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28"/>
      <c r="Z16" s="28"/>
    </row>
    <row r="17" ht="15.75" customHeight="1">
      <c r="A17" s="36"/>
      <c r="B17" s="53" t="s">
        <v>43</v>
      </c>
      <c r="C17" s="60" t="s">
        <v>40</v>
      </c>
      <c r="D17" s="47">
        <v>3.0</v>
      </c>
      <c r="E17" s="61" t="str">
        <f>IFERROR(__xludf.DUMMYFUNCTION("REGEXEXTRACT(C17,""[A-Za-z]+"")"),"samples")</f>
        <v>samples</v>
      </c>
      <c r="F17" s="49">
        <v>1100.0</v>
      </c>
      <c r="G17" s="62">
        <v>3300.0</v>
      </c>
      <c r="H17" s="51" t="s">
        <v>41</v>
      </c>
      <c r="I17" s="52"/>
      <c r="J17" s="46">
        <v>3.0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28"/>
      <c r="Z17" s="28"/>
    </row>
    <row r="18" ht="15.75" customHeight="1">
      <c r="A18" s="36"/>
      <c r="B18" s="53" t="s">
        <v>44</v>
      </c>
      <c r="C18" s="60" t="s">
        <v>40</v>
      </c>
      <c r="D18" s="47">
        <v>3.0</v>
      </c>
      <c r="E18" s="61" t="str">
        <f>IFERROR(__xludf.DUMMYFUNCTION("REGEXEXTRACT(C18,""[A-Za-z]+"")"),"samples")</f>
        <v>samples</v>
      </c>
      <c r="F18" s="49">
        <v>1100.0</v>
      </c>
      <c r="G18" s="62">
        <v>3300.0</v>
      </c>
      <c r="H18" s="51" t="s">
        <v>41</v>
      </c>
      <c r="I18" s="52"/>
      <c r="J18" s="46">
        <v>3.0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28"/>
      <c r="Z18" s="28"/>
    </row>
    <row r="19" ht="15.75" customHeight="1">
      <c r="A19" s="36"/>
      <c r="B19" s="53" t="s">
        <v>45</v>
      </c>
      <c r="C19" s="60" t="s">
        <v>40</v>
      </c>
      <c r="D19" s="47">
        <v>3.0</v>
      </c>
      <c r="E19" s="61" t="str">
        <f>IFERROR(__xludf.DUMMYFUNCTION("REGEXEXTRACT(C19,""[A-Za-z]+"")"),"samples")</f>
        <v>samples</v>
      </c>
      <c r="F19" s="49">
        <v>700.0</v>
      </c>
      <c r="G19" s="62">
        <v>2100.0</v>
      </c>
      <c r="H19" s="51" t="s">
        <v>41</v>
      </c>
      <c r="I19" s="52"/>
      <c r="J19" s="46">
        <v>3.0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28"/>
      <c r="Z19" s="28"/>
    </row>
    <row r="20" ht="15.75" customHeight="1">
      <c r="A20" s="36"/>
      <c r="B20" s="53" t="s">
        <v>46</v>
      </c>
      <c r="C20" s="60" t="s">
        <v>40</v>
      </c>
      <c r="D20" s="47">
        <v>3.0</v>
      </c>
      <c r="E20" s="61" t="str">
        <f>IFERROR(__xludf.DUMMYFUNCTION("REGEXEXTRACT(C20,""[A-Za-z]+"")"),"samples")</f>
        <v>samples</v>
      </c>
      <c r="F20" s="49">
        <v>400.0</v>
      </c>
      <c r="G20" s="62">
        <v>1200.0</v>
      </c>
      <c r="H20" s="51" t="s">
        <v>41</v>
      </c>
      <c r="I20" s="52"/>
      <c r="J20" s="46">
        <v>3.0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28"/>
      <c r="Z20" s="28"/>
    </row>
    <row r="21" ht="15.75" customHeight="1">
      <c r="A21" s="36"/>
      <c r="B21" s="53" t="s">
        <v>47</v>
      </c>
      <c r="C21" s="60" t="s">
        <v>40</v>
      </c>
      <c r="D21" s="47">
        <v>3.0</v>
      </c>
      <c r="E21" s="61" t="str">
        <f>IFERROR(__xludf.DUMMYFUNCTION("REGEXEXTRACT(C21,""[A-Za-z]+"")"),"samples")</f>
        <v>samples</v>
      </c>
      <c r="F21" s="49">
        <v>700.0</v>
      </c>
      <c r="G21" s="62">
        <v>2100.0</v>
      </c>
      <c r="H21" s="51" t="s">
        <v>41</v>
      </c>
      <c r="I21" s="52"/>
      <c r="J21" s="46">
        <v>3.0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28"/>
      <c r="Z21" s="28"/>
    </row>
    <row r="22" ht="15.75" customHeight="1">
      <c r="A22" s="36"/>
      <c r="B22" s="53" t="s">
        <v>48</v>
      </c>
      <c r="C22" s="63" t="s">
        <v>49</v>
      </c>
      <c r="D22" s="64">
        <v>25.0</v>
      </c>
      <c r="E22" s="65" t="str">
        <f>IFERROR(__xludf.DUMMYFUNCTION("REGEXEXTRACT(C22,""[A-Za-z]+"")"),"samples")</f>
        <v>samples</v>
      </c>
      <c r="F22" s="66">
        <v>8000.0</v>
      </c>
      <c r="G22" s="59">
        <v>200000.0</v>
      </c>
      <c r="H22" s="51" t="s">
        <v>41</v>
      </c>
      <c r="I22" s="67"/>
      <c r="J22" s="68"/>
      <c r="K22" s="69">
        <v>25.0</v>
      </c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70"/>
      <c r="X22" s="71"/>
      <c r="Y22" s="28"/>
      <c r="Z22" s="28"/>
    </row>
    <row r="23" ht="15.75" customHeight="1">
      <c r="A23" s="36"/>
      <c r="B23" s="53" t="s">
        <v>50</v>
      </c>
      <c r="C23" s="63" t="s">
        <v>49</v>
      </c>
      <c r="D23" s="64">
        <v>25.0</v>
      </c>
      <c r="E23" s="65" t="str">
        <f>IFERROR(__xludf.DUMMYFUNCTION("REGEXEXTRACT(C23,""[A-Za-z]+"")"),"samples")</f>
        <v>samples</v>
      </c>
      <c r="F23" s="66">
        <v>3500.0</v>
      </c>
      <c r="G23" s="59">
        <v>87500.0</v>
      </c>
      <c r="H23" s="51" t="s">
        <v>41</v>
      </c>
      <c r="I23" s="67"/>
      <c r="J23" s="68"/>
      <c r="K23" s="69">
        <v>25.0</v>
      </c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70"/>
      <c r="X23" s="71"/>
      <c r="Y23" s="28"/>
      <c r="Z23" s="28"/>
    </row>
    <row r="24" ht="15.75" customHeight="1">
      <c r="A24" s="36"/>
      <c r="B24" s="53" t="s">
        <v>51</v>
      </c>
      <c r="C24" s="63" t="s">
        <v>49</v>
      </c>
      <c r="D24" s="64">
        <v>25.0</v>
      </c>
      <c r="E24" s="65" t="str">
        <f>IFERROR(__xludf.DUMMYFUNCTION("REGEXEXTRACT(C24,""[A-Za-z]+"")"),"samples")</f>
        <v>samples</v>
      </c>
      <c r="F24" s="66">
        <v>3000.0</v>
      </c>
      <c r="G24" s="59">
        <v>75000.0</v>
      </c>
      <c r="H24" s="51" t="s">
        <v>41</v>
      </c>
      <c r="I24" s="67"/>
      <c r="J24" s="68"/>
      <c r="K24" s="69">
        <v>25.0</v>
      </c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70"/>
      <c r="X24" s="71"/>
      <c r="Y24" s="28"/>
      <c r="Z24" s="28"/>
    </row>
    <row r="25" ht="15.75" customHeight="1">
      <c r="A25" s="36"/>
      <c r="B25" s="72" t="s">
        <v>52</v>
      </c>
      <c r="C25" s="38"/>
      <c r="D25" s="39"/>
      <c r="E25" s="40"/>
      <c r="F25" s="41"/>
      <c r="G25" s="38"/>
      <c r="H25" s="38"/>
      <c r="I25" s="38"/>
      <c r="J25" s="42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43"/>
      <c r="X25" s="44"/>
      <c r="Y25" s="28"/>
      <c r="Z25" s="28"/>
    </row>
    <row r="26" ht="15.75" customHeight="1">
      <c r="A26" s="36"/>
      <c r="B26" s="73" t="s">
        <v>53</v>
      </c>
      <c r="C26" s="57" t="s">
        <v>54</v>
      </c>
      <c r="D26" s="47">
        <v>15.0</v>
      </c>
      <c r="E26" s="59" t="str">
        <f>IFERROR(__xludf.DUMMYFUNCTION("REGEXEXTRACT(C26,""[A-Za-z]+"")")," btls ")</f>
        <v>btls</v>
      </c>
      <c r="F26" s="59">
        <v>3000.0</v>
      </c>
      <c r="G26" s="59">
        <v>45000.0</v>
      </c>
      <c r="H26" s="57" t="s">
        <v>55</v>
      </c>
      <c r="I26" s="74"/>
      <c r="J26" s="51">
        <v>8.0</v>
      </c>
      <c r="K26" s="51"/>
      <c r="L26" s="51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28"/>
      <c r="Z26" s="28"/>
    </row>
    <row r="27" ht="15.75" customHeight="1">
      <c r="A27" s="36"/>
      <c r="B27" s="73" t="s">
        <v>56</v>
      </c>
      <c r="C27" s="57" t="s">
        <v>54</v>
      </c>
      <c r="D27" s="47">
        <v>15.0</v>
      </c>
      <c r="E27" s="59" t="str">
        <f>IFERROR(__xludf.DUMMYFUNCTION("REGEXEXTRACT(C27,""[A-Za-z]+"")")," btls ")</f>
        <v>btls</v>
      </c>
      <c r="F27" s="59">
        <v>2000.0</v>
      </c>
      <c r="G27" s="59">
        <v>30000.0</v>
      </c>
      <c r="H27" s="57" t="s">
        <v>55</v>
      </c>
      <c r="I27" s="74"/>
      <c r="J27" s="51">
        <v>6.0</v>
      </c>
      <c r="K27" s="51"/>
      <c r="L27" s="51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28"/>
      <c r="Z27" s="28"/>
    </row>
    <row r="28" ht="15.75" customHeight="1">
      <c r="A28" s="36"/>
      <c r="B28" s="73" t="s">
        <v>57</v>
      </c>
      <c r="C28" s="57" t="s">
        <v>58</v>
      </c>
      <c r="D28" s="47">
        <v>10.0</v>
      </c>
      <c r="E28" s="59" t="str">
        <f>IFERROR(__xludf.DUMMYFUNCTION("REGEXEXTRACT(C28,""[A-Za-z]+"")")," btls ")</f>
        <v>btls</v>
      </c>
      <c r="F28" s="59">
        <v>4999.0</v>
      </c>
      <c r="G28" s="59">
        <v>49990.0</v>
      </c>
      <c r="H28" s="57" t="s">
        <v>55</v>
      </c>
      <c r="I28" s="74"/>
      <c r="J28" s="51"/>
      <c r="K28" s="51">
        <v>10.0</v>
      </c>
      <c r="L28" s="51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28"/>
      <c r="Z28" s="28"/>
    </row>
    <row r="29" ht="15.75" customHeight="1">
      <c r="A29" s="36"/>
      <c r="B29" s="37" t="s">
        <v>59</v>
      </c>
      <c r="C29" s="38"/>
      <c r="D29" s="39"/>
      <c r="E29" s="40" t="str">
        <f>IFERROR(__xludf.DUMMYFUNCTION("REGEXEXTRACT(C29,""[A-Za-z]+"")"),"#N/A")</f>
        <v>#N/A</v>
      </c>
      <c r="F29" s="41"/>
      <c r="G29" s="38"/>
      <c r="H29" s="38"/>
      <c r="I29" s="38"/>
      <c r="J29" s="42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43"/>
      <c r="X29" s="44"/>
      <c r="Y29" s="28"/>
      <c r="Z29" s="28"/>
    </row>
    <row r="30" ht="15.75" customHeight="1">
      <c r="A30" s="36"/>
      <c r="B30" s="73" t="s">
        <v>60</v>
      </c>
      <c r="C30" s="57" t="s">
        <v>61</v>
      </c>
      <c r="D30" s="64">
        <v>20.0</v>
      </c>
      <c r="E30" s="65" t="str">
        <f>IFERROR(__xludf.DUMMYFUNCTION("REGEXEXTRACT(C30,""[A-Za-z]+"")"),"pcs")</f>
        <v>pcs</v>
      </c>
      <c r="F30" s="66">
        <v>500.0</v>
      </c>
      <c r="G30" s="59">
        <v>10000.0</v>
      </c>
      <c r="H30" s="46" t="s">
        <v>55</v>
      </c>
      <c r="I30" s="67"/>
      <c r="J30" s="75">
        <v>20.0</v>
      </c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70"/>
      <c r="X30" s="71"/>
      <c r="Y30" s="28"/>
      <c r="Z30" s="28"/>
    </row>
    <row r="31" ht="15.75" customHeight="1">
      <c r="A31" s="36"/>
      <c r="B31" s="73" t="s">
        <v>62</v>
      </c>
      <c r="C31" s="57" t="s">
        <v>61</v>
      </c>
      <c r="D31" s="64">
        <v>20.0</v>
      </c>
      <c r="E31" s="65" t="str">
        <f>IFERROR(__xludf.DUMMYFUNCTION("REGEXEXTRACT(C31,""[A-Za-z]+"")"),"pcs")</f>
        <v>pcs</v>
      </c>
      <c r="F31" s="66">
        <v>300.0</v>
      </c>
      <c r="G31" s="59">
        <v>6000.0</v>
      </c>
      <c r="H31" s="46" t="s">
        <v>55</v>
      </c>
      <c r="I31" s="67"/>
      <c r="J31" s="75">
        <v>20.0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70"/>
      <c r="X31" s="71"/>
      <c r="Y31" s="28"/>
      <c r="Z31" s="28"/>
    </row>
    <row r="32" ht="15.75" customHeight="1">
      <c r="A32" s="36"/>
      <c r="B32" s="73" t="s">
        <v>63</v>
      </c>
      <c r="C32" s="57" t="s">
        <v>61</v>
      </c>
      <c r="D32" s="64">
        <v>20.0</v>
      </c>
      <c r="E32" s="65" t="str">
        <f>IFERROR(__xludf.DUMMYFUNCTION("REGEXEXTRACT(C32,""[A-Za-z]+"")"),"pcs")</f>
        <v>pcs</v>
      </c>
      <c r="F32" s="66">
        <v>200.0</v>
      </c>
      <c r="G32" s="59">
        <v>4000.0</v>
      </c>
      <c r="H32" s="46" t="s">
        <v>55</v>
      </c>
      <c r="I32" s="67"/>
      <c r="J32" s="75">
        <v>20.0</v>
      </c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70"/>
      <c r="X32" s="71"/>
      <c r="Y32" s="28"/>
      <c r="Z32" s="28"/>
    </row>
    <row r="33" ht="15.75" customHeight="1">
      <c r="A33" s="36"/>
      <c r="B33" s="73" t="s">
        <v>64</v>
      </c>
      <c r="C33" s="57" t="s">
        <v>65</v>
      </c>
      <c r="D33" s="64">
        <v>10.0</v>
      </c>
      <c r="E33" s="65" t="str">
        <f>IFERROR(__xludf.DUMMYFUNCTION("REGEXEXTRACT(C33,""[A-Za-z]+"")"),"pcs")</f>
        <v>pcs</v>
      </c>
      <c r="F33" s="66">
        <v>500.0</v>
      </c>
      <c r="G33" s="59">
        <v>5000.0</v>
      </c>
      <c r="H33" s="46" t="s">
        <v>55</v>
      </c>
      <c r="I33" s="67"/>
      <c r="J33" s="75">
        <v>10.0</v>
      </c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70"/>
      <c r="X33" s="71"/>
      <c r="Y33" s="28"/>
      <c r="Z33" s="28"/>
    </row>
    <row r="34" ht="15.75" customHeight="1">
      <c r="A34" s="36"/>
      <c r="B34" s="73" t="s">
        <v>66</v>
      </c>
      <c r="C34" s="57" t="s">
        <v>65</v>
      </c>
      <c r="D34" s="64">
        <v>10.0</v>
      </c>
      <c r="E34" s="65" t="str">
        <f>IFERROR(__xludf.DUMMYFUNCTION("REGEXEXTRACT(C34,""[A-Za-z]+"")"),"pcs")</f>
        <v>pcs</v>
      </c>
      <c r="F34" s="66">
        <v>450.0</v>
      </c>
      <c r="G34" s="59">
        <v>4500.0</v>
      </c>
      <c r="H34" s="46" t="s">
        <v>55</v>
      </c>
      <c r="I34" s="67"/>
      <c r="J34" s="75">
        <v>10.0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70"/>
      <c r="X34" s="71"/>
      <c r="Y34" s="28"/>
      <c r="Z34" s="28"/>
    </row>
    <row r="35" ht="15.75" customHeight="1">
      <c r="A35" s="36"/>
      <c r="B35" s="73" t="s">
        <v>67</v>
      </c>
      <c r="C35" s="57" t="s">
        <v>61</v>
      </c>
      <c r="D35" s="64">
        <v>20.0</v>
      </c>
      <c r="E35" s="65" t="str">
        <f>IFERROR(__xludf.DUMMYFUNCTION("REGEXEXTRACT(C35,""[A-Za-z]+"")"),"pcs")</f>
        <v>pcs</v>
      </c>
      <c r="F35" s="66">
        <v>430.0</v>
      </c>
      <c r="G35" s="59">
        <v>8600.0</v>
      </c>
      <c r="H35" s="46" t="s">
        <v>55</v>
      </c>
      <c r="I35" s="67"/>
      <c r="J35" s="75">
        <v>20.0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70"/>
      <c r="X35" s="71"/>
      <c r="Y35" s="28"/>
      <c r="Z35" s="28"/>
    </row>
    <row r="36" ht="15.75" customHeight="1">
      <c r="A36" s="36"/>
      <c r="B36" s="76" t="s">
        <v>68</v>
      </c>
      <c r="C36" s="57" t="s">
        <v>65</v>
      </c>
      <c r="D36" s="64">
        <v>10.0</v>
      </c>
      <c r="E36" s="65" t="str">
        <f>IFERROR(__xludf.DUMMYFUNCTION("REGEXEXTRACT(C36,""[A-Za-z]+"")"),"pcs")</f>
        <v>pcs</v>
      </c>
      <c r="F36" s="66">
        <v>65.0</v>
      </c>
      <c r="G36" s="59">
        <v>650.0</v>
      </c>
      <c r="H36" s="46" t="s">
        <v>55</v>
      </c>
      <c r="I36" s="67"/>
      <c r="J36" s="75">
        <v>10.0</v>
      </c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70"/>
      <c r="X36" s="71"/>
      <c r="Y36" s="28"/>
      <c r="Z36" s="28"/>
    </row>
    <row r="37" ht="15.75" customHeight="1">
      <c r="A37" s="36"/>
      <c r="B37" s="76" t="s">
        <v>69</v>
      </c>
      <c r="C37" s="57" t="s">
        <v>70</v>
      </c>
      <c r="D37" s="64">
        <v>30.0</v>
      </c>
      <c r="E37" s="65" t="str">
        <f>IFERROR(__xludf.DUMMYFUNCTION("REGEXEXTRACT(C37,""[A-Za-z]+"")"),"pcs")</f>
        <v>pcs</v>
      </c>
      <c r="F37" s="66">
        <v>150.0</v>
      </c>
      <c r="G37" s="59">
        <v>4500.0</v>
      </c>
      <c r="H37" s="46" t="s">
        <v>55</v>
      </c>
      <c r="I37" s="67"/>
      <c r="J37" s="75">
        <v>30.0</v>
      </c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70"/>
      <c r="X37" s="71"/>
      <c r="Y37" s="28"/>
      <c r="Z37" s="28"/>
    </row>
    <row r="38" ht="15.75" customHeight="1">
      <c r="A38" s="36"/>
      <c r="B38" s="76" t="s">
        <v>71</v>
      </c>
      <c r="C38" s="57" t="s">
        <v>72</v>
      </c>
      <c r="D38" s="47">
        <v>40.0</v>
      </c>
      <c r="E38" s="61" t="str">
        <f>IFERROR(__xludf.DUMMYFUNCTION("REGEXEXTRACT(C38,""[A-Za-z]+"")"),"pcs")</f>
        <v>pcs</v>
      </c>
      <c r="F38" s="49">
        <v>199.0</v>
      </c>
      <c r="G38" s="62">
        <v>7960.0</v>
      </c>
      <c r="H38" s="46" t="s">
        <v>55</v>
      </c>
      <c r="I38" s="52"/>
      <c r="J38" s="46">
        <v>40.0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28"/>
      <c r="Z38" s="28"/>
    </row>
    <row r="39" ht="15.75" customHeight="1">
      <c r="A39" s="36"/>
      <c r="B39" s="76" t="s">
        <v>73</v>
      </c>
      <c r="C39" s="57" t="s">
        <v>72</v>
      </c>
      <c r="D39" s="47">
        <v>40.0</v>
      </c>
      <c r="E39" s="61" t="str">
        <f>IFERROR(__xludf.DUMMYFUNCTION("REGEXEXTRACT(C39,""[A-Za-z]+"")"),"pcs")</f>
        <v>pcs</v>
      </c>
      <c r="F39" s="49">
        <v>199.0</v>
      </c>
      <c r="G39" s="62">
        <v>7960.0</v>
      </c>
      <c r="H39" s="46" t="s">
        <v>55</v>
      </c>
      <c r="I39" s="52"/>
      <c r="J39" s="46">
        <v>40.0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28"/>
      <c r="Z39" s="28"/>
    </row>
    <row r="40" ht="15.75" customHeight="1">
      <c r="A40" s="36"/>
      <c r="B40" s="76" t="s">
        <v>74</v>
      </c>
      <c r="C40" s="54" t="s">
        <v>75</v>
      </c>
      <c r="D40" s="55">
        <v>10.0</v>
      </c>
      <c r="E40" s="61" t="str">
        <f>IFERROR(__xludf.DUMMYFUNCTION("REGEXEXTRACT(C40,""[A-Za-z]+"")"),"packs")</f>
        <v>packs</v>
      </c>
      <c r="F40" s="49">
        <v>2000.0</v>
      </c>
      <c r="G40" s="62">
        <v>4000.0</v>
      </c>
      <c r="H40" s="46" t="s">
        <v>55</v>
      </c>
      <c r="I40" s="52"/>
      <c r="J40" s="46">
        <v>2.0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28"/>
      <c r="Z40" s="28"/>
    </row>
    <row r="41" ht="15.75" customHeight="1">
      <c r="A41" s="36"/>
      <c r="B41" s="76" t="s">
        <v>76</v>
      </c>
      <c r="C41" s="54" t="s">
        <v>75</v>
      </c>
      <c r="D41" s="55">
        <v>10.0</v>
      </c>
      <c r="E41" s="61" t="str">
        <f>IFERROR(__xludf.DUMMYFUNCTION("REGEXEXTRACT(C41,""[A-Za-z]+"")"),"packs")</f>
        <v>packs</v>
      </c>
      <c r="F41" s="49">
        <v>2500.0</v>
      </c>
      <c r="G41" s="62">
        <v>5000.0</v>
      </c>
      <c r="H41" s="46" t="s">
        <v>55</v>
      </c>
      <c r="I41" s="52"/>
      <c r="J41" s="46">
        <v>2.0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28"/>
      <c r="Z41" s="28"/>
    </row>
    <row r="42">
      <c r="A42" s="36"/>
      <c r="B42" s="76" t="s">
        <v>77</v>
      </c>
      <c r="C42" s="54" t="s">
        <v>75</v>
      </c>
      <c r="D42" s="55">
        <v>10.0</v>
      </c>
      <c r="E42" s="61" t="str">
        <f>IFERROR(__xludf.DUMMYFUNCTION("REGEXEXTRACT(C42,""[A-Za-z]+"")"),"packs")</f>
        <v>packs</v>
      </c>
      <c r="F42" s="49">
        <v>3000.0</v>
      </c>
      <c r="G42" s="62">
        <v>6000.0</v>
      </c>
      <c r="H42" s="46" t="s">
        <v>55</v>
      </c>
      <c r="I42" s="52"/>
      <c r="J42" s="46">
        <v>2.0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28"/>
      <c r="Z42" s="28"/>
    </row>
    <row r="43" ht="15.75" customHeight="1">
      <c r="A43" s="36"/>
      <c r="B43" s="73" t="s">
        <v>78</v>
      </c>
      <c r="C43" s="57" t="s">
        <v>79</v>
      </c>
      <c r="D43" s="47">
        <v>10.0</v>
      </c>
      <c r="E43" s="48" t="str">
        <f>IFERROR(__xludf.DUMMYFUNCTION("REGEXEXTRACT(C43,""[A-Za-z]+"")"),"boxes")</f>
        <v>boxes</v>
      </c>
      <c r="F43" s="58">
        <v>300.0</v>
      </c>
      <c r="G43" s="59">
        <v>3000.0</v>
      </c>
      <c r="H43" s="46" t="s">
        <v>55</v>
      </c>
      <c r="I43" s="52"/>
      <c r="J43" s="51">
        <v>10.0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28"/>
      <c r="Z43" s="28"/>
    </row>
    <row r="44" ht="15.75" customHeight="1">
      <c r="A44" s="36"/>
      <c r="B44" s="73" t="s">
        <v>80</v>
      </c>
      <c r="C44" s="57" t="s">
        <v>79</v>
      </c>
      <c r="D44" s="47">
        <v>10.0</v>
      </c>
      <c r="E44" s="48" t="str">
        <f>IFERROR(__xludf.DUMMYFUNCTION("REGEXEXTRACT(C44,""[A-Za-z]+"")"),"boxes")</f>
        <v>boxes</v>
      </c>
      <c r="F44" s="58">
        <v>300.0</v>
      </c>
      <c r="G44" s="59">
        <v>3000.0</v>
      </c>
      <c r="H44" s="46" t="s">
        <v>55</v>
      </c>
      <c r="I44" s="52"/>
      <c r="J44" s="51">
        <v>10.0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28"/>
      <c r="Z44" s="28"/>
    </row>
    <row r="45" ht="15.75" customHeight="1">
      <c r="A45" s="36"/>
      <c r="B45" s="73" t="s">
        <v>81</v>
      </c>
      <c r="C45" s="54" t="s">
        <v>82</v>
      </c>
      <c r="D45" s="55">
        <v>6.0</v>
      </c>
      <c r="E45" s="48" t="str">
        <f>IFERROR(__xludf.DUMMYFUNCTION("REGEXEXTRACT(C45,""[A-Za-z]+"")"),"pcs")</f>
        <v>pcs</v>
      </c>
      <c r="F45" s="58">
        <v>500.0</v>
      </c>
      <c r="G45" s="59">
        <v>1000.0</v>
      </c>
      <c r="H45" s="46" t="s">
        <v>55</v>
      </c>
      <c r="I45" s="52"/>
      <c r="J45" s="51">
        <v>2.0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28"/>
      <c r="Z45" s="28"/>
    </row>
    <row r="46" ht="15.75" customHeight="1">
      <c r="A46" s="36"/>
      <c r="B46" s="73" t="s">
        <v>83</v>
      </c>
      <c r="C46" s="54" t="s">
        <v>82</v>
      </c>
      <c r="D46" s="55">
        <v>6.0</v>
      </c>
      <c r="E46" s="48" t="str">
        <f>IFERROR(__xludf.DUMMYFUNCTION("REGEXEXTRACT(C46,""[A-Za-z]+"")"),"pcs")</f>
        <v>pcs</v>
      </c>
      <c r="F46" s="58">
        <v>500.0</v>
      </c>
      <c r="G46" s="59">
        <v>1000.0</v>
      </c>
      <c r="H46" s="46" t="s">
        <v>55</v>
      </c>
      <c r="I46" s="52"/>
      <c r="J46" s="51">
        <v>2.0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28"/>
      <c r="Z46" s="28"/>
    </row>
    <row r="47" ht="15.75" customHeight="1">
      <c r="A47" s="36"/>
      <c r="B47" s="73" t="s">
        <v>84</v>
      </c>
      <c r="C47" s="57" t="s">
        <v>79</v>
      </c>
      <c r="D47" s="47">
        <v>10.0</v>
      </c>
      <c r="E47" s="48" t="str">
        <f>IFERROR(__xludf.DUMMYFUNCTION("REGEXEXTRACT(C47,""[A-Za-z]+"")"),"boxes")</f>
        <v>boxes</v>
      </c>
      <c r="F47" s="58">
        <v>200.0</v>
      </c>
      <c r="G47" s="59">
        <v>2000.0</v>
      </c>
      <c r="H47" s="46" t="s">
        <v>55</v>
      </c>
      <c r="I47" s="52"/>
      <c r="J47" s="51">
        <v>10.0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28"/>
      <c r="Z47" s="28"/>
    </row>
    <row r="48" ht="15.75" customHeight="1">
      <c r="A48" s="36"/>
      <c r="B48" s="73" t="s">
        <v>85</v>
      </c>
      <c r="C48" s="57" t="s">
        <v>75</v>
      </c>
      <c r="D48" s="47">
        <v>10.0</v>
      </c>
      <c r="E48" s="48" t="str">
        <f>IFERROR(__xludf.DUMMYFUNCTION("REGEXEXTRACT(C48,""[A-Za-z]+"")"),"packs")</f>
        <v>packs</v>
      </c>
      <c r="F48" s="58">
        <v>200.0</v>
      </c>
      <c r="G48" s="59">
        <v>2000.0</v>
      </c>
      <c r="H48" s="46" t="s">
        <v>55</v>
      </c>
      <c r="I48" s="52"/>
      <c r="J48" s="51">
        <v>10.0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28"/>
      <c r="Z48" s="28"/>
    </row>
    <row r="49" ht="15.75" customHeight="1">
      <c r="A49" s="36"/>
      <c r="B49" s="73" t="s">
        <v>86</v>
      </c>
      <c r="C49" s="57" t="s">
        <v>75</v>
      </c>
      <c r="D49" s="47">
        <v>10.0</v>
      </c>
      <c r="E49" s="48" t="str">
        <f>IFERROR(__xludf.DUMMYFUNCTION("REGEXEXTRACT(C49,""[A-Za-z]+"")"),"packs")</f>
        <v>packs</v>
      </c>
      <c r="F49" s="58">
        <v>200.0</v>
      </c>
      <c r="G49" s="59">
        <v>2000.0</v>
      </c>
      <c r="H49" s="46" t="s">
        <v>55</v>
      </c>
      <c r="I49" s="52"/>
      <c r="J49" s="51">
        <v>10.0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28"/>
      <c r="Z49" s="28"/>
    </row>
    <row r="50" ht="15.75" customHeight="1">
      <c r="A50" s="36"/>
      <c r="B50" s="73" t="s">
        <v>87</v>
      </c>
      <c r="C50" s="57" t="s">
        <v>88</v>
      </c>
      <c r="D50" s="47">
        <v>10.0</v>
      </c>
      <c r="E50" s="48" t="str">
        <f>IFERROR(__xludf.DUMMYFUNCTION("REGEXEXTRACT(C50,""[A-Za-z]+"")"),"rolls")</f>
        <v>rolls</v>
      </c>
      <c r="F50" s="58">
        <v>4000.0</v>
      </c>
      <c r="G50" s="59">
        <v>40000.0</v>
      </c>
      <c r="H50" s="46" t="s">
        <v>55</v>
      </c>
      <c r="I50" s="52"/>
      <c r="J50" s="51"/>
      <c r="K50" s="51">
        <v>10.0</v>
      </c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28"/>
      <c r="Z50" s="28"/>
    </row>
    <row r="51" ht="15.75" customHeight="1">
      <c r="A51" s="36"/>
      <c r="B51" s="73" t="s">
        <v>89</v>
      </c>
      <c r="C51" s="57" t="s">
        <v>75</v>
      </c>
      <c r="D51" s="47">
        <v>10.0</v>
      </c>
      <c r="E51" s="48" t="str">
        <f>IFERROR(__xludf.DUMMYFUNCTION("REGEXEXTRACT(C51,""[A-Za-z]+"")"),"packs")</f>
        <v>packs</v>
      </c>
      <c r="F51" s="58">
        <v>200.0</v>
      </c>
      <c r="G51" s="59">
        <v>2000.0</v>
      </c>
      <c r="H51" s="46" t="s">
        <v>55</v>
      </c>
      <c r="I51" s="52"/>
      <c r="J51" s="51">
        <v>10.0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28"/>
      <c r="Z51" s="28"/>
    </row>
    <row r="52" ht="15.75" customHeight="1">
      <c r="A52" s="36"/>
      <c r="B52" s="73" t="s">
        <v>90</v>
      </c>
      <c r="C52" s="57" t="s">
        <v>75</v>
      </c>
      <c r="D52" s="47">
        <v>10.0</v>
      </c>
      <c r="E52" s="48" t="str">
        <f>IFERROR(__xludf.DUMMYFUNCTION("REGEXEXTRACT(C52,""[A-Za-z]+"")"),"packs")</f>
        <v>packs</v>
      </c>
      <c r="F52" s="58">
        <v>250.0</v>
      </c>
      <c r="G52" s="59">
        <v>2500.0</v>
      </c>
      <c r="H52" s="46" t="s">
        <v>55</v>
      </c>
      <c r="I52" s="52"/>
      <c r="J52" s="51">
        <v>10.0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28"/>
      <c r="Z52" s="28"/>
    </row>
    <row r="53" ht="15.75" customHeight="1">
      <c r="A53" s="36"/>
      <c r="B53" s="73" t="s">
        <v>91</v>
      </c>
      <c r="C53" s="57" t="s">
        <v>75</v>
      </c>
      <c r="D53" s="47">
        <v>10.0</v>
      </c>
      <c r="E53" s="59" t="str">
        <f>IFERROR(__xludf.DUMMYFUNCTION("REGEXEXTRACT(C53,""[A-Za-z]+"")")," packs ")</f>
        <v>packs</v>
      </c>
      <c r="F53" s="59">
        <v>350.0</v>
      </c>
      <c r="G53" s="59">
        <v>3500.0</v>
      </c>
      <c r="H53" s="57" t="s">
        <v>55</v>
      </c>
      <c r="I53" s="52"/>
      <c r="J53" s="51">
        <v>10.0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28"/>
      <c r="Z53" s="28"/>
    </row>
    <row r="54" ht="15.75" customHeight="1">
      <c r="A54" s="36"/>
      <c r="B54" s="73" t="s">
        <v>92</v>
      </c>
      <c r="C54" s="57" t="s">
        <v>75</v>
      </c>
      <c r="D54" s="47">
        <v>10.0</v>
      </c>
      <c r="E54" s="59" t="str">
        <f>IFERROR(__xludf.DUMMYFUNCTION("REGEXEXTRACT(C54,""[A-Za-z]+"")")," packs ")</f>
        <v>packs</v>
      </c>
      <c r="F54" s="59">
        <v>400.0</v>
      </c>
      <c r="G54" s="59">
        <v>4000.0</v>
      </c>
      <c r="H54" s="57" t="s">
        <v>55</v>
      </c>
      <c r="I54" s="52"/>
      <c r="J54" s="51">
        <v>10.0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28"/>
      <c r="Z54" s="28"/>
    </row>
    <row r="55" ht="15.75" hidden="1" customHeight="1">
      <c r="A55" s="36"/>
      <c r="B55" s="45"/>
      <c r="C55" s="57"/>
      <c r="D55" s="47"/>
      <c r="E55" s="59" t="str">
        <f>IFERROR(__xludf.DUMMYFUNCTION("REGEXEXTRACT(C55,""[A-Za-z]+"")"),"#N/A")</f>
        <v>#N/A</v>
      </c>
      <c r="F55" s="59"/>
      <c r="G55" s="59"/>
      <c r="H55" s="57"/>
      <c r="I55" s="52"/>
      <c r="J55" s="46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28"/>
      <c r="Z55" s="28"/>
    </row>
    <row r="56" ht="15.75" hidden="1" customHeight="1">
      <c r="A56" s="36"/>
      <c r="B56" s="45"/>
      <c r="C56" s="57"/>
      <c r="D56" s="47"/>
      <c r="E56" s="59" t="str">
        <f>IFERROR(__xludf.DUMMYFUNCTION("REGEXEXTRACT(C56,""[A-Za-z]+"")"),"#N/A")</f>
        <v>#N/A</v>
      </c>
      <c r="F56" s="59"/>
      <c r="G56" s="59"/>
      <c r="H56" s="57"/>
      <c r="I56" s="52"/>
      <c r="J56" s="46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28"/>
      <c r="Z56" s="28"/>
    </row>
    <row r="57" ht="15.75" hidden="1" customHeight="1">
      <c r="A57" s="36"/>
      <c r="B57" s="45"/>
      <c r="C57" s="57"/>
      <c r="D57" s="47"/>
      <c r="E57" s="59" t="str">
        <f>IFERROR(__xludf.DUMMYFUNCTION("REGEXEXTRACT(C57,""[A-Za-z]+"")"),"#N/A")</f>
        <v>#N/A</v>
      </c>
      <c r="F57" s="59"/>
      <c r="G57" s="59"/>
      <c r="H57" s="57"/>
      <c r="I57" s="52"/>
      <c r="J57" s="46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28"/>
      <c r="Z57" s="28"/>
    </row>
    <row r="58" ht="15.75" hidden="1" customHeight="1">
      <c r="A58" s="36"/>
      <c r="B58" s="45"/>
      <c r="C58" s="57"/>
      <c r="D58" s="47"/>
      <c r="E58" s="59" t="str">
        <f>IFERROR(__xludf.DUMMYFUNCTION("REGEXEXTRACT(C58,""[A-Za-z]+"")"),"#N/A")</f>
        <v>#N/A</v>
      </c>
      <c r="F58" s="59"/>
      <c r="G58" s="59"/>
      <c r="H58" s="57"/>
      <c r="I58" s="52"/>
      <c r="J58" s="46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28"/>
      <c r="Z58" s="28"/>
    </row>
    <row r="59" ht="15.75" hidden="1" customHeight="1">
      <c r="A59" s="36"/>
      <c r="B59" s="45"/>
      <c r="C59" s="57"/>
      <c r="D59" s="47"/>
      <c r="E59" s="59" t="str">
        <f>IFERROR(__xludf.DUMMYFUNCTION("REGEXEXTRACT(C59,""[A-Za-z]+"")"),"#N/A")</f>
        <v>#N/A</v>
      </c>
      <c r="F59" s="59"/>
      <c r="G59" s="59"/>
      <c r="H59" s="57"/>
      <c r="I59" s="52"/>
      <c r="J59" s="46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28"/>
      <c r="Z59" s="28"/>
    </row>
    <row r="60" ht="15.75" hidden="1" customHeight="1">
      <c r="A60" s="36"/>
      <c r="B60" s="45"/>
      <c r="C60" s="57"/>
      <c r="D60" s="47"/>
      <c r="E60" s="59" t="str">
        <f>IFERROR(__xludf.DUMMYFUNCTION("REGEXEXTRACT(C60,""[A-Za-z]+"")"),"#N/A")</f>
        <v>#N/A</v>
      </c>
      <c r="F60" s="59"/>
      <c r="G60" s="59"/>
      <c r="H60" s="57"/>
      <c r="I60" s="52"/>
      <c r="J60" s="46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28"/>
      <c r="Z60" s="28"/>
    </row>
    <row r="61" ht="15.75" hidden="1" customHeight="1">
      <c r="A61" s="77"/>
      <c r="B61" s="78"/>
      <c r="C61" s="57"/>
      <c r="D61" s="47"/>
      <c r="E61" s="59" t="str">
        <f>IFERROR(__xludf.DUMMYFUNCTION("REGEXEXTRACT(C61,""[A-Za-z]+"")"),"#N/A")</f>
        <v>#N/A</v>
      </c>
      <c r="F61" s="59"/>
      <c r="G61" s="59"/>
      <c r="H61" s="57"/>
      <c r="I61" s="52"/>
      <c r="J61" s="46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28"/>
      <c r="Z61" s="28"/>
    </row>
    <row r="62" ht="15.75" hidden="1" customHeight="1">
      <c r="A62" s="36"/>
      <c r="B62" s="79" t="s">
        <v>93</v>
      </c>
      <c r="C62" s="57"/>
      <c r="D62" s="47"/>
      <c r="E62" s="59" t="str">
        <f>IFERROR(__xludf.DUMMYFUNCTION("REGEXEXTRACT(C62,""[A-Za-z]+"")"),"#N/A")</f>
        <v>#N/A</v>
      </c>
      <c r="F62" s="59"/>
      <c r="G62" s="59"/>
      <c r="H62" s="57"/>
      <c r="I62" s="80"/>
      <c r="J62" s="81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28"/>
      <c r="Z62" s="28"/>
    </row>
    <row r="63" ht="15.75" hidden="1" customHeight="1">
      <c r="A63" s="36"/>
      <c r="B63" s="45"/>
      <c r="C63" s="57"/>
      <c r="D63" s="47"/>
      <c r="E63" s="59" t="str">
        <f>IFERROR(__xludf.DUMMYFUNCTION("REGEXEXTRACT(C63,""[A-Za-z]+"")"),"#N/A")</f>
        <v>#N/A</v>
      </c>
      <c r="F63" s="59"/>
      <c r="G63" s="59"/>
      <c r="H63" s="57"/>
      <c r="I63" s="52"/>
      <c r="J63" s="46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28"/>
      <c r="Z63" s="28"/>
    </row>
    <row r="64" ht="15.75" hidden="1" customHeight="1">
      <c r="A64" s="36"/>
      <c r="B64" s="45"/>
      <c r="C64" s="57"/>
      <c r="D64" s="47"/>
      <c r="E64" s="59" t="str">
        <f>IFERROR(__xludf.DUMMYFUNCTION("REGEXEXTRACT(C64,""[A-Za-z]+"")"),"#N/A")</f>
        <v>#N/A</v>
      </c>
      <c r="F64" s="59"/>
      <c r="G64" s="59"/>
      <c r="H64" s="57"/>
      <c r="I64" s="52"/>
      <c r="J64" s="46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28"/>
      <c r="Z64" s="28"/>
    </row>
    <row r="65" ht="15.75" hidden="1" customHeight="1">
      <c r="A65" s="36"/>
      <c r="B65" s="45"/>
      <c r="C65" s="57"/>
      <c r="D65" s="47"/>
      <c r="E65" s="59" t="str">
        <f>IFERROR(__xludf.DUMMYFUNCTION("REGEXEXTRACT(C65,""[A-Za-z]+"")"),"#N/A")</f>
        <v>#N/A</v>
      </c>
      <c r="F65" s="59"/>
      <c r="G65" s="59"/>
      <c r="H65" s="57"/>
      <c r="I65" s="52"/>
      <c r="J65" s="46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28"/>
      <c r="Z65" s="28"/>
    </row>
    <row r="66" ht="15.75" hidden="1" customHeight="1">
      <c r="A66" s="36"/>
      <c r="B66" s="45"/>
      <c r="C66" s="57"/>
      <c r="D66" s="47"/>
      <c r="E66" s="59" t="str">
        <f>IFERROR(__xludf.DUMMYFUNCTION("REGEXEXTRACT(C66,""[A-Za-z]+"")"),"#N/A")</f>
        <v>#N/A</v>
      </c>
      <c r="F66" s="59"/>
      <c r="G66" s="59"/>
      <c r="H66" s="57"/>
      <c r="I66" s="52"/>
      <c r="J66" s="46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28"/>
      <c r="Z66" s="28"/>
    </row>
    <row r="67" ht="15.75" hidden="1" customHeight="1">
      <c r="A67" s="36"/>
      <c r="B67" s="79" t="s">
        <v>94</v>
      </c>
      <c r="C67" s="57"/>
      <c r="D67" s="47"/>
      <c r="E67" s="59" t="str">
        <f>IFERROR(__xludf.DUMMYFUNCTION("REGEXEXTRACT(C67,""[A-Za-z]+"")"),"#N/A")</f>
        <v>#N/A</v>
      </c>
      <c r="F67" s="59"/>
      <c r="G67" s="59"/>
      <c r="H67" s="57"/>
      <c r="I67" s="80"/>
      <c r="J67" s="81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28"/>
      <c r="Z67" s="28"/>
    </row>
    <row r="68" ht="15.75" hidden="1" customHeight="1">
      <c r="A68" s="36"/>
      <c r="B68" s="45"/>
      <c r="C68" s="57"/>
      <c r="D68" s="47"/>
      <c r="E68" s="59" t="str">
        <f>IFERROR(__xludf.DUMMYFUNCTION("REGEXEXTRACT(C68,""[A-Za-z]+"")"),"#N/A")</f>
        <v>#N/A</v>
      </c>
      <c r="F68" s="59"/>
      <c r="G68" s="59"/>
      <c r="H68" s="57"/>
      <c r="I68" s="52"/>
      <c r="J68" s="46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28"/>
      <c r="Z68" s="28"/>
    </row>
    <row r="69" ht="15.75" hidden="1" customHeight="1">
      <c r="A69" s="36"/>
      <c r="B69" s="45"/>
      <c r="C69" s="57"/>
      <c r="D69" s="47"/>
      <c r="E69" s="59" t="str">
        <f>IFERROR(__xludf.DUMMYFUNCTION("REGEXEXTRACT(C69,""[A-Za-z]+"")"),"#N/A")</f>
        <v>#N/A</v>
      </c>
      <c r="F69" s="59"/>
      <c r="G69" s="59"/>
      <c r="H69" s="57"/>
      <c r="I69" s="52"/>
      <c r="J69" s="46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28"/>
      <c r="Z69" s="28"/>
    </row>
    <row r="70" ht="15.75" hidden="1" customHeight="1">
      <c r="A70" s="36"/>
      <c r="B70" s="45"/>
      <c r="C70" s="57"/>
      <c r="D70" s="47"/>
      <c r="E70" s="59" t="str">
        <f>IFERROR(__xludf.DUMMYFUNCTION("REGEXEXTRACT(C70,""[A-Za-z]+"")"),"#N/A")</f>
        <v>#N/A</v>
      </c>
      <c r="F70" s="59"/>
      <c r="G70" s="59"/>
      <c r="H70" s="57"/>
      <c r="I70" s="52"/>
      <c r="J70" s="46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28"/>
      <c r="Z70" s="28"/>
    </row>
    <row r="71" ht="15.75" customHeight="1">
      <c r="A71" s="36"/>
      <c r="B71" s="73" t="s">
        <v>95</v>
      </c>
      <c r="C71" s="57" t="s">
        <v>82</v>
      </c>
      <c r="D71" s="47">
        <v>6.0</v>
      </c>
      <c r="E71" s="59" t="str">
        <f>IFERROR(__xludf.DUMMYFUNCTION("REGEXEXTRACT(C71,""[A-Za-z]+"")")," pcs ")</f>
        <v>pcs</v>
      </c>
      <c r="F71" s="59">
        <v>7000.0</v>
      </c>
      <c r="G71" s="59">
        <v>4200.0</v>
      </c>
      <c r="H71" s="57" t="s">
        <v>55</v>
      </c>
      <c r="I71" s="74"/>
      <c r="J71" s="51">
        <v>6.0</v>
      </c>
      <c r="K71" s="51"/>
      <c r="L71" s="51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28"/>
      <c r="Z71" s="28"/>
    </row>
    <row r="72" ht="15.75" customHeight="1">
      <c r="A72" s="36"/>
      <c r="B72" s="73" t="s">
        <v>96</v>
      </c>
      <c r="C72" s="57" t="s">
        <v>97</v>
      </c>
      <c r="D72" s="47">
        <v>5.0</v>
      </c>
      <c r="E72" s="59" t="str">
        <f>IFERROR(__xludf.DUMMYFUNCTION("REGEXEXTRACT(C72,""[A-Za-z]+"")")," packs ")</f>
        <v>packs</v>
      </c>
      <c r="F72" s="59">
        <v>9999.0</v>
      </c>
      <c r="G72" s="59">
        <v>49995.0</v>
      </c>
      <c r="H72" s="57" t="s">
        <v>55</v>
      </c>
      <c r="I72" s="74"/>
      <c r="J72" s="51"/>
      <c r="K72" s="51">
        <v>10.0</v>
      </c>
      <c r="L72" s="51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28"/>
      <c r="Z72" s="28"/>
    </row>
    <row r="73" ht="15.75" customHeight="1">
      <c r="A73" s="36"/>
      <c r="B73" s="73" t="s">
        <v>98</v>
      </c>
      <c r="C73" s="57" t="s">
        <v>99</v>
      </c>
      <c r="D73" s="47">
        <v>2.0</v>
      </c>
      <c r="E73" s="59" t="str">
        <f>IFERROR(__xludf.DUMMYFUNCTION("REGEXEXTRACT(C73,""[A-Za-z]+"")")," units ")</f>
        <v>units</v>
      </c>
      <c r="F73" s="82">
        <v>7200.0</v>
      </c>
      <c r="G73" s="82">
        <v>14400.0</v>
      </c>
      <c r="H73" s="57" t="s">
        <v>55</v>
      </c>
      <c r="I73" s="74"/>
      <c r="J73" s="51">
        <v>2.0</v>
      </c>
      <c r="K73" s="51"/>
      <c r="L73" s="51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28"/>
      <c r="Z73" s="28"/>
    </row>
    <row r="74" ht="15.75" customHeight="1">
      <c r="A74" s="36"/>
      <c r="B74" s="83" t="s">
        <v>100</v>
      </c>
      <c r="C74" s="84" t="s">
        <v>101</v>
      </c>
      <c r="D74" s="47">
        <v>6.0</v>
      </c>
      <c r="E74" s="59" t="str">
        <f>IFERROR(__xludf.DUMMYFUNCTION("REGEXEXTRACT(C74,""[A-Za-z]+"")")," units ")</f>
        <v>units</v>
      </c>
      <c r="F74" s="82">
        <v>500.0</v>
      </c>
      <c r="G74" s="82">
        <v>3000.0</v>
      </c>
      <c r="H74" s="57" t="s">
        <v>55</v>
      </c>
      <c r="I74" s="74"/>
      <c r="J74" s="51"/>
      <c r="K74" s="51"/>
      <c r="L74" s="51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28"/>
      <c r="Z74" s="28"/>
    </row>
    <row r="75" ht="15.75" customHeight="1">
      <c r="A75" s="36"/>
      <c r="B75" s="73" t="s">
        <v>102</v>
      </c>
      <c r="C75" s="57" t="s">
        <v>99</v>
      </c>
      <c r="D75" s="47">
        <v>2.0</v>
      </c>
      <c r="E75" s="59" t="str">
        <f>IFERROR(__xludf.DUMMYFUNCTION("REGEXEXTRACT(C75,""[A-Za-z]+"")")," units ")</f>
        <v>units</v>
      </c>
      <c r="F75" s="82">
        <v>10000.0</v>
      </c>
      <c r="G75" s="82">
        <v>10000.0</v>
      </c>
      <c r="H75" s="57" t="s">
        <v>55</v>
      </c>
      <c r="I75" s="74"/>
      <c r="J75" s="51">
        <v>1.0</v>
      </c>
      <c r="K75" s="51"/>
      <c r="L75" s="51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28"/>
      <c r="Z75" s="28"/>
    </row>
    <row r="76" ht="15.75" customHeight="1">
      <c r="A76" s="85"/>
      <c r="B76" s="86" t="s">
        <v>103</v>
      </c>
      <c r="C76" s="84" t="s">
        <v>104</v>
      </c>
      <c r="D76" s="47">
        <v>24.0</v>
      </c>
      <c r="E76" s="59" t="str">
        <f>IFERROR(__xludf.DUMMYFUNCTION("REGEXEXTRACT(C76,""[A-Za-z]+"")")," pcs ")</f>
        <v>pcs</v>
      </c>
      <c r="F76" s="82">
        <v>2500.0</v>
      </c>
      <c r="G76" s="82">
        <f t="shared" ref="G76:G77" si="1">F76*24</f>
        <v>60000</v>
      </c>
      <c r="H76" s="57" t="s">
        <v>55</v>
      </c>
      <c r="I76" s="87"/>
      <c r="J76" s="87"/>
      <c r="K76" s="87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2"/>
      <c r="Z76" s="2"/>
      <c r="AA76" s="88"/>
      <c r="AB76" s="88"/>
    </row>
    <row r="77" ht="15.75" customHeight="1">
      <c r="A77" s="85"/>
      <c r="B77" s="73" t="s">
        <v>105</v>
      </c>
      <c r="C77" s="84" t="s">
        <v>61</v>
      </c>
      <c r="D77" s="64">
        <v>20.0</v>
      </c>
      <c r="E77" s="65" t="str">
        <f>IFERROR(__xludf.DUMMYFUNCTION("REGEXEXTRACT(C77,""[A-Za-z]+"")"),"pcs")</f>
        <v>pcs</v>
      </c>
      <c r="F77" s="66">
        <v>1300.0</v>
      </c>
      <c r="G77" s="82">
        <f t="shared" si="1"/>
        <v>31200</v>
      </c>
      <c r="H77" s="57" t="s">
        <v>55</v>
      </c>
      <c r="I77" s="89"/>
      <c r="J77" s="89"/>
      <c r="K77" s="89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28"/>
      <c r="Z77" s="28"/>
    </row>
    <row r="78" ht="15.75" customHeight="1">
      <c r="A78" s="85"/>
      <c r="B78" s="73" t="s">
        <v>106</v>
      </c>
      <c r="C78" s="84" t="s">
        <v>107</v>
      </c>
      <c r="D78" s="64">
        <v>15.0</v>
      </c>
      <c r="E78" s="65" t="str">
        <f>IFERROR(__xludf.DUMMYFUNCTION("REGEXEXTRACT(C78,""[A-Za-z]+"")"),"pcs")</f>
        <v>pcs</v>
      </c>
      <c r="F78" s="66">
        <v>800.0</v>
      </c>
      <c r="G78" s="82">
        <f>F78*20</f>
        <v>16000</v>
      </c>
      <c r="H78" s="57" t="s">
        <v>55</v>
      </c>
      <c r="I78" s="89"/>
      <c r="J78" s="89"/>
      <c r="K78" s="89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28"/>
      <c r="Z78" s="28"/>
    </row>
    <row r="79" ht="15.75" customHeight="1">
      <c r="A79" s="85"/>
      <c r="B79" s="73" t="s">
        <v>108</v>
      </c>
      <c r="C79" s="84" t="s">
        <v>107</v>
      </c>
      <c r="D79" s="64">
        <v>15.0</v>
      </c>
      <c r="E79" s="65" t="str">
        <f>IFERROR(__xludf.DUMMYFUNCTION("REGEXEXTRACT(C79,""[A-Za-z]+"")"),"pcs")</f>
        <v>pcs</v>
      </c>
      <c r="F79" s="66">
        <v>250.0</v>
      </c>
      <c r="G79" s="82">
        <f>F79*15</f>
        <v>3750</v>
      </c>
      <c r="H79" s="57" t="s">
        <v>55</v>
      </c>
      <c r="I79" s="89"/>
      <c r="J79" s="89"/>
      <c r="K79" s="89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28"/>
      <c r="Z79" s="28"/>
    </row>
    <row r="80" ht="15.75" customHeight="1">
      <c r="A80" s="85"/>
      <c r="B80" s="73" t="s">
        <v>109</v>
      </c>
      <c r="C80" s="84"/>
      <c r="D80" s="90"/>
      <c r="E80" s="91" t="s">
        <v>110</v>
      </c>
      <c r="F80" s="89"/>
      <c r="G80" s="82"/>
      <c r="H80" s="57" t="s">
        <v>55</v>
      </c>
      <c r="I80" s="89"/>
      <c r="J80" s="89"/>
      <c r="K80" s="89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28"/>
      <c r="Z80" s="28"/>
    </row>
    <row r="81" ht="15.75" customHeight="1">
      <c r="A81" s="92"/>
      <c r="B81" s="73" t="s">
        <v>111</v>
      </c>
      <c r="C81" s="63" t="s">
        <v>112</v>
      </c>
      <c r="D81" s="93">
        <v>3.0</v>
      </c>
      <c r="E81" s="94" t="str">
        <f>IFERROR(__xludf.DUMMYFUNCTION("REGEXEXTRACT(C81,""[A-Za-z]+"")")," pcs ")</f>
        <v>pcs</v>
      </c>
      <c r="F81" s="95">
        <v>10000.0</v>
      </c>
      <c r="G81" s="95">
        <v>30000.0</v>
      </c>
      <c r="H81" s="63" t="s">
        <v>55</v>
      </c>
      <c r="I81" s="96"/>
      <c r="J81" s="96"/>
      <c r="K81" s="97">
        <v>3.0</v>
      </c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9"/>
      <c r="Z81" s="99"/>
      <c r="AA81" s="100"/>
      <c r="AB81" s="100"/>
    </row>
    <row r="82" ht="15.75" customHeight="1">
      <c r="A82" s="36"/>
      <c r="B82" s="101" t="s">
        <v>113</v>
      </c>
      <c r="C82" s="102"/>
      <c r="D82" s="103"/>
      <c r="E82" s="104" t="s">
        <v>110</v>
      </c>
      <c r="F82" s="74"/>
      <c r="G82" s="82"/>
      <c r="H82" s="57" t="s">
        <v>55</v>
      </c>
      <c r="I82" s="74"/>
      <c r="J82" s="74"/>
      <c r="K82" s="74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28"/>
      <c r="Z82" s="28"/>
    </row>
    <row r="83" ht="15.75" customHeight="1">
      <c r="A83" s="36"/>
      <c r="B83" s="105"/>
      <c r="C83" s="102"/>
      <c r="D83" s="106"/>
      <c r="E83" s="107"/>
      <c r="F83" s="102"/>
      <c r="G83" s="108"/>
      <c r="H83" s="102"/>
      <c r="I83" s="74"/>
      <c r="J83" s="74"/>
      <c r="K83" s="74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28"/>
      <c r="Z83" s="28"/>
    </row>
    <row r="84" ht="15.75" customHeight="1">
      <c r="A84" s="77"/>
      <c r="B84" s="109" t="s">
        <v>114</v>
      </c>
      <c r="C84" s="110"/>
      <c r="D84" s="110"/>
      <c r="E84" s="110"/>
      <c r="F84" s="110"/>
      <c r="G84" s="110"/>
      <c r="H84" s="110"/>
      <c r="I84" s="110"/>
      <c r="J84" s="110"/>
      <c r="K84" s="111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28"/>
      <c r="Z84" s="28"/>
    </row>
    <row r="85" ht="15.75" customHeight="1">
      <c r="A85" s="112"/>
      <c r="B85" s="113"/>
      <c r="C85" s="2"/>
      <c r="D85" s="12"/>
      <c r="E85" s="13"/>
      <c r="F85" s="14"/>
      <c r="G85" s="114"/>
      <c r="H85" s="16"/>
      <c r="I85" s="16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15" t="s">
        <v>115</v>
      </c>
      <c r="B86" s="6"/>
      <c r="C86" s="116">
        <f>SUM(G11:G75)</f>
        <v>850755</v>
      </c>
      <c r="H86" s="16"/>
      <c r="I86" s="16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hidden="1" customHeight="1">
      <c r="A87" s="117" t="s">
        <v>116</v>
      </c>
      <c r="B87" s="118"/>
      <c r="C87" s="119">
        <f>PRODUCT(C86,0.1)</f>
        <v>85075.5</v>
      </c>
      <c r="D87" s="120"/>
      <c r="E87" s="120"/>
      <c r="F87" s="120"/>
      <c r="G87" s="121"/>
      <c r="H87" s="16"/>
      <c r="I87" s="16"/>
      <c r="J87" s="122"/>
      <c r="L87" s="122"/>
      <c r="W87" s="122"/>
      <c r="X87" s="2"/>
      <c r="Y87" s="2"/>
      <c r="Z87" s="2"/>
    </row>
    <row r="88" ht="15.75" hidden="1" customHeight="1">
      <c r="A88" s="123" t="s">
        <v>117</v>
      </c>
      <c r="B88" s="124"/>
      <c r="C88" s="125">
        <f>PRODUCT(C86,0.1)</f>
        <v>85075.5</v>
      </c>
      <c r="D88" s="110"/>
      <c r="E88" s="110"/>
      <c r="F88" s="110"/>
      <c r="G88" s="111"/>
      <c r="H88" s="16"/>
      <c r="I88" s="16"/>
      <c r="J88" s="126"/>
      <c r="K88" s="127"/>
      <c r="L88" s="128"/>
      <c r="W88" s="128"/>
      <c r="X88" s="2"/>
      <c r="Y88" s="2"/>
      <c r="Z88" s="2"/>
    </row>
    <row r="89" ht="15.75" hidden="1" customHeight="1">
      <c r="A89" s="123" t="s">
        <v>118</v>
      </c>
      <c r="B89" s="124"/>
      <c r="C89" s="125">
        <f>SUM(C86:G88)</f>
        <v>1020906</v>
      </c>
      <c r="D89" s="110"/>
      <c r="E89" s="110"/>
      <c r="F89" s="110"/>
      <c r="G89" s="111"/>
      <c r="H89" s="16"/>
      <c r="I89" s="16"/>
      <c r="J89" s="126"/>
      <c r="K89" s="127"/>
      <c r="L89" s="128"/>
      <c r="W89" s="128"/>
      <c r="X89" s="2"/>
      <c r="Y89" s="2"/>
      <c r="Z89" s="2"/>
    </row>
    <row r="90" ht="15.75" customHeight="1">
      <c r="A90" s="129"/>
      <c r="B90" s="6"/>
      <c r="C90" s="2"/>
      <c r="D90" s="12"/>
      <c r="E90" s="13"/>
      <c r="F90" s="14"/>
      <c r="G90" s="15"/>
      <c r="H90" s="16"/>
      <c r="I90" s="16"/>
      <c r="J90" s="126"/>
      <c r="K90" s="127"/>
      <c r="L90" s="128"/>
      <c r="W90" s="128"/>
      <c r="X90" s="2"/>
      <c r="Y90" s="2"/>
      <c r="Z90" s="2"/>
    </row>
    <row r="91" ht="15.75" customHeight="1">
      <c r="A91" s="130" t="s">
        <v>119</v>
      </c>
      <c r="B91" s="6"/>
      <c r="C91" s="2"/>
      <c r="D91" s="12"/>
      <c r="E91" s="13"/>
      <c r="F91" s="14"/>
      <c r="G91" s="15"/>
      <c r="H91" s="16"/>
      <c r="I91" s="16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31"/>
      <c r="B92" s="6"/>
      <c r="C92" s="2"/>
      <c r="D92" s="12"/>
      <c r="E92" s="13"/>
      <c r="F92" s="14"/>
      <c r="G92" s="15"/>
      <c r="H92" s="16"/>
      <c r="I92" s="16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32" t="s">
        <v>120</v>
      </c>
      <c r="B93" s="113"/>
      <c r="C93" s="133" t="s">
        <v>121</v>
      </c>
      <c r="H93" s="127"/>
      <c r="I93" s="127"/>
      <c r="J93" s="3"/>
      <c r="K93" s="133" t="s">
        <v>122</v>
      </c>
      <c r="Q93" s="2"/>
      <c r="R93" s="2"/>
      <c r="S93" s="133" t="s">
        <v>123</v>
      </c>
      <c r="W93" s="2"/>
      <c r="X93" s="2"/>
      <c r="Z93" s="127"/>
    </row>
    <row r="94" ht="15.75" customHeight="1">
      <c r="A94" s="132"/>
      <c r="B94" s="113"/>
      <c r="C94" s="133"/>
      <c r="D94" s="134"/>
      <c r="E94" s="135"/>
      <c r="F94" s="136"/>
      <c r="G94" s="133"/>
      <c r="H94" s="127"/>
      <c r="I94" s="127"/>
      <c r="J94" s="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27"/>
      <c r="Z94" s="127"/>
    </row>
    <row r="95" ht="15.75" customHeight="1">
      <c r="A95" s="113"/>
      <c r="B95" s="113"/>
      <c r="C95" s="127"/>
      <c r="D95" s="137"/>
      <c r="E95" s="138"/>
      <c r="F95" s="139"/>
      <c r="G95" s="140"/>
      <c r="H95" s="127"/>
      <c r="I95" s="127"/>
      <c r="J95" s="3"/>
      <c r="K95" s="127"/>
      <c r="L95" s="140"/>
      <c r="M95" s="140"/>
      <c r="N95" s="140"/>
      <c r="O95" s="140"/>
      <c r="P95" s="140"/>
      <c r="Q95" s="140"/>
      <c r="R95" s="140"/>
      <c r="S95" s="127"/>
      <c r="T95" s="140"/>
      <c r="U95" s="127"/>
      <c r="V95" s="127"/>
      <c r="W95" s="127"/>
      <c r="X95" s="127"/>
      <c r="Y95" s="127"/>
      <c r="Z95" s="127"/>
    </row>
    <row r="96" ht="15.75" customHeight="1">
      <c r="A96" s="141" t="s">
        <v>124</v>
      </c>
      <c r="C96" s="142" t="s">
        <v>125</v>
      </c>
      <c r="I96" s="2"/>
      <c r="J96" s="3"/>
      <c r="K96" s="142" t="s">
        <v>126</v>
      </c>
      <c r="Q96" s="2"/>
      <c r="R96" s="2"/>
      <c r="S96" s="142" t="s">
        <v>127</v>
      </c>
      <c r="W96" s="2"/>
      <c r="X96" s="2"/>
    </row>
    <row r="97" ht="15.0" customHeight="1">
      <c r="A97" s="143" t="s">
        <v>128</v>
      </c>
      <c r="C97" s="144" t="s">
        <v>129</v>
      </c>
      <c r="I97" s="145"/>
      <c r="J97" s="3"/>
      <c r="K97" s="146" t="s">
        <v>130</v>
      </c>
      <c r="Q97" s="2"/>
      <c r="R97" s="2"/>
      <c r="S97" s="144" t="s">
        <v>131</v>
      </c>
      <c r="W97" s="2"/>
      <c r="X97" s="2"/>
      <c r="Y97" s="127"/>
      <c r="Z97" s="127"/>
    </row>
    <row r="98" ht="15.75" customHeight="1">
      <c r="A98" s="2"/>
      <c r="B98" s="2"/>
      <c r="C98" s="2"/>
      <c r="D98" s="12"/>
      <c r="E98" s="13"/>
      <c r="F98" s="14"/>
      <c r="G98" s="2"/>
      <c r="H98" s="2"/>
      <c r="I98" s="2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132</v>
      </c>
      <c r="B99" s="2"/>
      <c r="C99" s="2" t="s">
        <v>132</v>
      </c>
      <c r="D99" s="12"/>
      <c r="E99" s="13"/>
      <c r="F99" s="14"/>
      <c r="G99" s="2"/>
      <c r="H99" s="2"/>
      <c r="I99" s="2"/>
      <c r="J99" s="3"/>
      <c r="K99" s="2" t="s">
        <v>132</v>
      </c>
      <c r="L99" s="2"/>
      <c r="M99" s="2"/>
      <c r="N99" s="2"/>
      <c r="O99" s="2"/>
      <c r="P99" s="2"/>
      <c r="Q99" s="2"/>
      <c r="R99" s="2"/>
      <c r="S99" s="2" t="s">
        <v>132</v>
      </c>
      <c r="T99" s="2"/>
      <c r="U99" s="2"/>
      <c r="V99" s="2"/>
      <c r="W99" s="2"/>
      <c r="X99" s="2"/>
      <c r="Y99" s="2"/>
      <c r="Z99" s="2"/>
    </row>
    <row r="100" ht="15.75" customHeight="1">
      <c r="D100" s="147"/>
      <c r="E100" s="148"/>
      <c r="F100" s="149"/>
      <c r="J100" s="150"/>
    </row>
    <row r="101" ht="15.75" customHeight="1">
      <c r="D101" s="147"/>
      <c r="E101" s="148"/>
      <c r="F101" s="149"/>
      <c r="J101" s="151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</row>
    <row r="102" ht="15.75" customHeight="1">
      <c r="D102" s="147"/>
      <c r="E102" s="148"/>
      <c r="F102" s="149"/>
      <c r="J102" s="152"/>
      <c r="K102" s="153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</row>
    <row r="103" ht="15.75" customHeight="1">
      <c r="D103" s="147"/>
      <c r="E103" s="148"/>
      <c r="F103" s="149"/>
      <c r="J103" s="155"/>
    </row>
    <row r="104" ht="15.75" customHeight="1">
      <c r="D104" s="147"/>
      <c r="E104" s="148"/>
      <c r="F104" s="149"/>
      <c r="J104" s="156"/>
    </row>
    <row r="105" ht="15.75" customHeight="1">
      <c r="D105" s="147"/>
      <c r="E105" s="148"/>
      <c r="F105" s="149"/>
      <c r="J105" s="3"/>
    </row>
    <row r="106" ht="15.75" customHeight="1">
      <c r="D106" s="147"/>
      <c r="E106" s="148"/>
      <c r="F106" s="149"/>
      <c r="J106" s="3"/>
    </row>
    <row r="107" ht="15.75" customHeight="1">
      <c r="D107" s="147"/>
      <c r="E107" s="148"/>
      <c r="F107" s="149"/>
      <c r="J107" s="3"/>
    </row>
    <row r="108" ht="15.75" customHeight="1">
      <c r="D108" s="147"/>
      <c r="E108" s="148"/>
      <c r="F108" s="149"/>
      <c r="J108" s="3"/>
    </row>
    <row r="109" ht="15.75" customHeight="1">
      <c r="D109" s="147"/>
      <c r="E109" s="148"/>
      <c r="F109" s="149"/>
      <c r="J109" s="3"/>
    </row>
    <row r="110" ht="15.75" customHeight="1">
      <c r="D110" s="147"/>
      <c r="E110" s="148"/>
      <c r="F110" s="149"/>
      <c r="J110" s="3"/>
    </row>
    <row r="111" ht="15.75" customHeight="1">
      <c r="D111" s="147"/>
      <c r="E111" s="148"/>
      <c r="F111" s="149"/>
      <c r="J111" s="3"/>
    </row>
    <row r="112" ht="15.75" customHeight="1">
      <c r="D112" s="147"/>
      <c r="E112" s="148"/>
      <c r="F112" s="149"/>
      <c r="J112" s="3"/>
    </row>
    <row r="113" ht="15.75" customHeight="1">
      <c r="D113" s="147"/>
      <c r="E113" s="148"/>
      <c r="F113" s="149"/>
      <c r="J113" s="3"/>
    </row>
    <row r="114" ht="15.75" customHeight="1">
      <c r="D114" s="147"/>
      <c r="E114" s="148"/>
      <c r="F114" s="149"/>
      <c r="J114" s="3"/>
    </row>
    <row r="115" ht="15.75" customHeight="1">
      <c r="D115" s="147"/>
      <c r="E115" s="148"/>
      <c r="F115" s="149"/>
      <c r="J115" s="3"/>
    </row>
    <row r="116" ht="15.75" customHeight="1">
      <c r="D116" s="147"/>
      <c r="E116" s="148"/>
      <c r="F116" s="149"/>
      <c r="J116" s="3"/>
    </row>
    <row r="117" ht="15.75" customHeight="1">
      <c r="D117" s="147"/>
      <c r="E117" s="148"/>
      <c r="F117" s="149"/>
      <c r="J117" s="3"/>
    </row>
    <row r="118" ht="15.75" customHeight="1">
      <c r="D118" s="147"/>
      <c r="E118" s="148"/>
      <c r="F118" s="149"/>
      <c r="J118" s="3"/>
    </row>
    <row r="119" ht="15.75" customHeight="1">
      <c r="D119" s="147"/>
      <c r="E119" s="148"/>
      <c r="F119" s="149"/>
      <c r="J119" s="3"/>
    </row>
    <row r="120" ht="15.75" customHeight="1">
      <c r="D120" s="147"/>
      <c r="E120" s="148"/>
      <c r="F120" s="149"/>
      <c r="J120" s="3"/>
    </row>
    <row r="121" ht="15.75" customHeight="1">
      <c r="D121" s="147"/>
      <c r="E121" s="148"/>
      <c r="F121" s="149"/>
      <c r="J121" s="3"/>
    </row>
    <row r="122" ht="15.75" customHeight="1">
      <c r="D122" s="147"/>
      <c r="E122" s="148"/>
      <c r="F122" s="149"/>
      <c r="J122" s="3"/>
    </row>
    <row r="123" ht="15.75" customHeight="1">
      <c r="D123" s="147"/>
      <c r="E123" s="148"/>
      <c r="F123" s="149"/>
      <c r="J123" s="3"/>
    </row>
    <row r="124" ht="15.75" customHeight="1">
      <c r="D124" s="147"/>
      <c r="E124" s="148"/>
      <c r="F124" s="149"/>
      <c r="J124" s="3"/>
    </row>
    <row r="125" ht="15.75" customHeight="1">
      <c r="D125" s="147"/>
      <c r="E125" s="148"/>
      <c r="F125" s="149"/>
      <c r="J125" s="3"/>
    </row>
    <row r="126" ht="15.75" customHeight="1">
      <c r="D126" s="147"/>
      <c r="E126" s="148"/>
      <c r="F126" s="149"/>
      <c r="J126" s="3"/>
    </row>
    <row r="127" ht="15.75" customHeight="1">
      <c r="D127" s="147"/>
      <c r="E127" s="148"/>
      <c r="F127" s="149"/>
      <c r="J127" s="3"/>
    </row>
    <row r="128" ht="15.75" customHeight="1">
      <c r="D128" s="147"/>
      <c r="E128" s="148"/>
      <c r="F128" s="149"/>
      <c r="J128" s="3"/>
    </row>
    <row r="129" ht="15.75" customHeight="1">
      <c r="D129" s="147"/>
      <c r="E129" s="148"/>
      <c r="F129" s="149"/>
      <c r="J129" s="3"/>
    </row>
    <row r="130" ht="15.75" customHeight="1">
      <c r="D130" s="147"/>
      <c r="E130" s="148"/>
      <c r="F130" s="149"/>
      <c r="J130" s="3"/>
    </row>
    <row r="131" ht="15.75" customHeight="1">
      <c r="D131" s="147"/>
      <c r="E131" s="148"/>
      <c r="F131" s="149"/>
      <c r="J131" s="3"/>
    </row>
    <row r="132" ht="15.75" customHeight="1">
      <c r="D132" s="147"/>
      <c r="E132" s="148"/>
      <c r="F132" s="149"/>
      <c r="J132" s="3"/>
    </row>
    <row r="133" ht="15.75" customHeight="1">
      <c r="D133" s="147"/>
      <c r="E133" s="148"/>
      <c r="F133" s="149"/>
      <c r="J133" s="3"/>
    </row>
    <row r="134" ht="15.75" customHeight="1">
      <c r="D134" s="147"/>
      <c r="E134" s="148"/>
      <c r="F134" s="149"/>
      <c r="J134" s="3"/>
    </row>
    <row r="135" ht="15.75" customHeight="1">
      <c r="D135" s="147"/>
      <c r="E135" s="148"/>
      <c r="F135" s="149"/>
      <c r="J135" s="3"/>
    </row>
    <row r="136" ht="15.75" customHeight="1">
      <c r="D136" s="147"/>
      <c r="E136" s="148"/>
      <c r="F136" s="149"/>
      <c r="J136" s="3"/>
    </row>
    <row r="137" ht="15.75" customHeight="1">
      <c r="D137" s="147"/>
      <c r="E137" s="148"/>
      <c r="F137" s="149"/>
      <c r="J137" s="3"/>
    </row>
    <row r="138" ht="15.75" customHeight="1">
      <c r="D138" s="147"/>
      <c r="E138" s="148"/>
      <c r="F138" s="149"/>
      <c r="J138" s="3"/>
    </row>
    <row r="139" ht="15.75" customHeight="1">
      <c r="D139" s="147"/>
      <c r="E139" s="148"/>
      <c r="F139" s="149"/>
      <c r="J139" s="3"/>
    </row>
    <row r="140" ht="15.75" customHeight="1">
      <c r="D140" s="147"/>
      <c r="E140" s="148"/>
      <c r="F140" s="149"/>
      <c r="J140" s="3"/>
    </row>
    <row r="141" ht="15.75" customHeight="1">
      <c r="D141" s="147"/>
      <c r="E141" s="148"/>
      <c r="F141" s="149"/>
      <c r="J141" s="3"/>
    </row>
    <row r="142" ht="15.75" customHeight="1">
      <c r="D142" s="147"/>
      <c r="E142" s="148"/>
      <c r="F142" s="149"/>
      <c r="J142" s="3"/>
    </row>
    <row r="143" ht="15.75" customHeight="1">
      <c r="D143" s="147"/>
      <c r="E143" s="148"/>
      <c r="F143" s="149"/>
      <c r="J143" s="3"/>
    </row>
    <row r="144" ht="15.75" customHeight="1">
      <c r="D144" s="147"/>
      <c r="E144" s="148"/>
      <c r="F144" s="149"/>
      <c r="J144" s="3"/>
    </row>
    <row r="145" ht="15.75" customHeight="1">
      <c r="D145" s="147"/>
      <c r="E145" s="148"/>
      <c r="F145" s="149"/>
      <c r="J145" s="3"/>
    </row>
    <row r="146" ht="15.75" customHeight="1">
      <c r="D146" s="147"/>
      <c r="E146" s="148"/>
      <c r="F146" s="149"/>
      <c r="J146" s="3"/>
    </row>
    <row r="147" ht="15.75" customHeight="1">
      <c r="D147" s="147"/>
      <c r="E147" s="148"/>
      <c r="F147" s="149"/>
      <c r="J147" s="3"/>
    </row>
    <row r="148" ht="15.75" customHeight="1">
      <c r="D148" s="147"/>
      <c r="E148" s="148"/>
      <c r="F148" s="149"/>
      <c r="J148" s="3"/>
    </row>
    <row r="149" ht="15.75" customHeight="1">
      <c r="D149" s="147"/>
      <c r="E149" s="148"/>
      <c r="F149" s="149"/>
      <c r="J149" s="3"/>
    </row>
    <row r="150" ht="15.75" customHeight="1">
      <c r="D150" s="147"/>
      <c r="E150" s="148"/>
      <c r="F150" s="149"/>
      <c r="J150" s="3"/>
    </row>
    <row r="151" ht="15.75" customHeight="1">
      <c r="D151" s="147"/>
      <c r="E151" s="148"/>
      <c r="F151" s="149"/>
      <c r="J151" s="3"/>
    </row>
    <row r="152" ht="15.75" customHeight="1">
      <c r="D152" s="147"/>
      <c r="E152" s="148"/>
      <c r="F152" s="149"/>
      <c r="J152" s="3"/>
    </row>
    <row r="153" ht="15.75" customHeight="1">
      <c r="D153" s="147"/>
      <c r="E153" s="148"/>
      <c r="F153" s="149"/>
      <c r="J153" s="3"/>
    </row>
    <row r="154" ht="15.75" customHeight="1">
      <c r="D154" s="147"/>
      <c r="E154" s="148"/>
      <c r="F154" s="149"/>
      <c r="J154" s="3"/>
    </row>
    <row r="155" ht="15.75" customHeight="1">
      <c r="D155" s="147"/>
      <c r="E155" s="148"/>
      <c r="F155" s="149"/>
      <c r="J155" s="3"/>
    </row>
    <row r="156" ht="15.75" customHeight="1">
      <c r="D156" s="147"/>
      <c r="E156" s="148"/>
      <c r="F156" s="149"/>
      <c r="J156" s="3"/>
    </row>
    <row r="157" ht="15.75" customHeight="1">
      <c r="D157" s="147"/>
      <c r="E157" s="148"/>
      <c r="F157" s="149"/>
      <c r="J157" s="3"/>
    </row>
    <row r="158" ht="15.75" customHeight="1">
      <c r="D158" s="147"/>
      <c r="E158" s="148"/>
      <c r="F158" s="149"/>
      <c r="J158" s="3"/>
    </row>
    <row r="159" ht="15.75" customHeight="1">
      <c r="D159" s="147"/>
      <c r="E159" s="148"/>
      <c r="F159" s="149"/>
      <c r="J159" s="3"/>
    </row>
    <row r="160" ht="15.75" customHeight="1">
      <c r="D160" s="147"/>
      <c r="E160" s="148"/>
      <c r="F160" s="149"/>
      <c r="J160" s="3"/>
    </row>
    <row r="161" ht="15.75" customHeight="1">
      <c r="D161" s="147"/>
      <c r="E161" s="148"/>
      <c r="F161" s="149"/>
      <c r="J161" s="3"/>
    </row>
    <row r="162" ht="15.75" customHeight="1">
      <c r="D162" s="147"/>
      <c r="E162" s="148"/>
      <c r="F162" s="149"/>
      <c r="J162" s="3"/>
    </row>
    <row r="163" ht="15.75" customHeight="1">
      <c r="D163" s="147"/>
      <c r="E163" s="148"/>
      <c r="F163" s="149"/>
      <c r="J163" s="3"/>
    </row>
    <row r="164" ht="15.75" customHeight="1">
      <c r="D164" s="147"/>
      <c r="E164" s="148"/>
      <c r="F164" s="149"/>
      <c r="J164" s="3"/>
    </row>
    <row r="165" ht="15.75" customHeight="1">
      <c r="D165" s="147"/>
      <c r="E165" s="148"/>
      <c r="F165" s="149"/>
      <c r="J165" s="3"/>
    </row>
    <row r="166" ht="15.75" customHeight="1">
      <c r="D166" s="147"/>
      <c r="E166" s="148"/>
      <c r="F166" s="149"/>
      <c r="J166" s="3"/>
    </row>
    <row r="167" ht="15.75" customHeight="1">
      <c r="D167" s="147"/>
      <c r="E167" s="148"/>
      <c r="F167" s="149"/>
      <c r="J167" s="3"/>
    </row>
    <row r="168" ht="15.75" customHeight="1">
      <c r="D168" s="147"/>
      <c r="E168" s="148"/>
      <c r="F168" s="149"/>
      <c r="J168" s="3"/>
    </row>
    <row r="169" ht="15.75" customHeight="1">
      <c r="D169" s="147"/>
      <c r="E169" s="148"/>
      <c r="F169" s="149"/>
      <c r="J169" s="3"/>
    </row>
    <row r="170" ht="15.75" customHeight="1">
      <c r="D170" s="147"/>
      <c r="E170" s="148"/>
      <c r="F170" s="149"/>
      <c r="J170" s="3"/>
    </row>
    <row r="171" ht="15.75" customHeight="1">
      <c r="D171" s="147"/>
      <c r="E171" s="148"/>
      <c r="F171" s="149"/>
      <c r="J171" s="3"/>
    </row>
    <row r="172" ht="15.75" customHeight="1">
      <c r="D172" s="147"/>
      <c r="E172" s="148"/>
      <c r="F172" s="149"/>
      <c r="J172" s="3"/>
    </row>
    <row r="173" ht="15.75" customHeight="1">
      <c r="D173" s="147"/>
      <c r="E173" s="148"/>
      <c r="F173" s="149"/>
      <c r="J173" s="3"/>
    </row>
    <row r="174" ht="15.75" customHeight="1">
      <c r="D174" s="147"/>
      <c r="E174" s="148"/>
      <c r="F174" s="149"/>
      <c r="J174" s="3"/>
    </row>
    <row r="175" ht="15.75" customHeight="1">
      <c r="D175" s="147"/>
      <c r="E175" s="148"/>
      <c r="F175" s="149"/>
      <c r="J175" s="3"/>
    </row>
    <row r="176" ht="15.75" customHeight="1">
      <c r="D176" s="147"/>
      <c r="E176" s="148"/>
      <c r="F176" s="149"/>
      <c r="J176" s="3"/>
    </row>
    <row r="177" ht="15.75" customHeight="1">
      <c r="D177" s="147"/>
      <c r="E177" s="148"/>
      <c r="F177" s="149"/>
      <c r="J177" s="3"/>
    </row>
    <row r="178" ht="15.75" customHeight="1">
      <c r="D178" s="147"/>
      <c r="E178" s="148"/>
      <c r="F178" s="149"/>
      <c r="J178" s="3"/>
    </row>
    <row r="179" ht="15.75" customHeight="1">
      <c r="D179" s="147"/>
      <c r="E179" s="148"/>
      <c r="F179" s="149"/>
      <c r="J179" s="3"/>
    </row>
    <row r="180" ht="15.75" customHeight="1">
      <c r="D180" s="147"/>
      <c r="E180" s="148"/>
      <c r="F180" s="149"/>
      <c r="J180" s="3"/>
    </row>
    <row r="181" ht="15.75" customHeight="1">
      <c r="D181" s="147"/>
      <c r="E181" s="148"/>
      <c r="F181" s="149"/>
      <c r="J181" s="3"/>
    </row>
    <row r="182" ht="15.75" customHeight="1">
      <c r="D182" s="147"/>
      <c r="E182" s="148"/>
      <c r="F182" s="149"/>
      <c r="J182" s="3"/>
    </row>
    <row r="183" ht="15.75" customHeight="1">
      <c r="D183" s="147"/>
      <c r="E183" s="148"/>
      <c r="F183" s="149"/>
      <c r="J183" s="3"/>
    </row>
    <row r="184" ht="15.75" customHeight="1">
      <c r="D184" s="147"/>
      <c r="E184" s="148"/>
      <c r="F184" s="149"/>
      <c r="J184" s="3"/>
    </row>
    <row r="185" ht="15.75" customHeight="1">
      <c r="D185" s="147"/>
      <c r="E185" s="148"/>
      <c r="F185" s="149"/>
      <c r="J185" s="3"/>
    </row>
    <row r="186" ht="15.75" customHeight="1">
      <c r="D186" s="147"/>
      <c r="E186" s="148"/>
      <c r="F186" s="149"/>
      <c r="J186" s="3"/>
    </row>
    <row r="187" ht="15.75" customHeight="1">
      <c r="D187" s="147"/>
      <c r="E187" s="148"/>
      <c r="F187" s="149"/>
      <c r="J187" s="3"/>
    </row>
    <row r="188" ht="15.75" customHeight="1">
      <c r="D188" s="147"/>
      <c r="E188" s="148"/>
      <c r="F188" s="149"/>
      <c r="J188" s="3"/>
    </row>
    <row r="189" ht="15.75" customHeight="1">
      <c r="D189" s="147"/>
      <c r="E189" s="148"/>
      <c r="F189" s="149"/>
      <c r="J189" s="3"/>
    </row>
    <row r="190" ht="15.75" customHeight="1">
      <c r="D190" s="147"/>
      <c r="E190" s="148"/>
      <c r="F190" s="149"/>
      <c r="J190" s="3"/>
    </row>
    <row r="191" ht="15.75" customHeight="1">
      <c r="D191" s="147"/>
      <c r="E191" s="148"/>
      <c r="F191" s="149"/>
      <c r="J191" s="3"/>
    </row>
    <row r="192" ht="15.75" customHeight="1">
      <c r="D192" s="147"/>
      <c r="E192" s="148"/>
      <c r="F192" s="149"/>
      <c r="J192" s="3"/>
    </row>
    <row r="193" ht="15.75" customHeight="1">
      <c r="D193" s="147"/>
      <c r="E193" s="148"/>
      <c r="F193" s="149"/>
      <c r="J193" s="3"/>
    </row>
    <row r="194" ht="15.75" customHeight="1">
      <c r="D194" s="147"/>
      <c r="E194" s="148"/>
      <c r="F194" s="149"/>
      <c r="J194" s="3"/>
    </row>
    <row r="195" ht="15.75" customHeight="1">
      <c r="D195" s="147"/>
      <c r="E195" s="148"/>
      <c r="F195" s="149"/>
      <c r="J195" s="3"/>
    </row>
    <row r="196" ht="15.75" customHeight="1">
      <c r="D196" s="147"/>
      <c r="E196" s="148"/>
      <c r="F196" s="149"/>
      <c r="J196" s="3"/>
    </row>
    <row r="197" ht="15.75" customHeight="1">
      <c r="D197" s="147"/>
      <c r="E197" s="148"/>
      <c r="F197" s="149"/>
      <c r="J197" s="3"/>
    </row>
    <row r="198" ht="15.75" customHeight="1">
      <c r="D198" s="147"/>
      <c r="E198" s="148"/>
      <c r="F198" s="149"/>
      <c r="J198" s="3"/>
    </row>
    <row r="199" ht="15.75" customHeight="1">
      <c r="D199" s="147"/>
      <c r="E199" s="148"/>
      <c r="F199" s="149"/>
      <c r="J199" s="3"/>
    </row>
    <row r="200" ht="15.75" customHeight="1">
      <c r="D200" s="147"/>
      <c r="E200" s="148"/>
      <c r="F200" s="149"/>
      <c r="J200" s="3"/>
    </row>
    <row r="201" ht="15.75" customHeight="1">
      <c r="D201" s="147"/>
      <c r="E201" s="148"/>
      <c r="F201" s="149"/>
      <c r="J201" s="3"/>
    </row>
    <row r="202" ht="15.75" customHeight="1">
      <c r="D202" s="147"/>
      <c r="E202" s="148"/>
      <c r="F202" s="149"/>
      <c r="J202" s="3"/>
    </row>
    <row r="203" ht="15.75" customHeight="1">
      <c r="D203" s="147"/>
      <c r="E203" s="148"/>
      <c r="F203" s="149"/>
      <c r="J203" s="3"/>
    </row>
    <row r="204" ht="15.75" customHeight="1">
      <c r="D204" s="147"/>
      <c r="E204" s="148"/>
      <c r="F204" s="149"/>
      <c r="J204" s="3"/>
    </row>
    <row r="205" ht="15.75" customHeight="1">
      <c r="D205" s="147"/>
      <c r="E205" s="148"/>
      <c r="F205" s="149"/>
      <c r="J205" s="3"/>
    </row>
    <row r="206" ht="15.75" customHeight="1">
      <c r="D206" s="147"/>
      <c r="E206" s="148"/>
      <c r="F206" s="149"/>
      <c r="J206" s="3"/>
    </row>
    <row r="207" ht="15.75" customHeight="1">
      <c r="D207" s="147"/>
      <c r="E207" s="148"/>
      <c r="F207" s="149"/>
      <c r="J207" s="3"/>
    </row>
    <row r="208" ht="15.75" customHeight="1">
      <c r="D208" s="147"/>
      <c r="E208" s="148"/>
      <c r="F208" s="149"/>
      <c r="J208" s="3"/>
    </row>
    <row r="209" ht="15.75" customHeight="1">
      <c r="D209" s="147"/>
      <c r="E209" s="148"/>
      <c r="F209" s="149"/>
      <c r="J209" s="3"/>
    </row>
    <row r="210" ht="15.75" customHeight="1">
      <c r="D210" s="147"/>
      <c r="E210" s="148"/>
      <c r="F210" s="149"/>
      <c r="J210" s="3"/>
    </row>
    <row r="211" ht="15.75" customHeight="1">
      <c r="D211" s="147"/>
      <c r="E211" s="148"/>
      <c r="F211" s="149"/>
      <c r="J211" s="3"/>
    </row>
    <row r="212" ht="15.75" customHeight="1">
      <c r="D212" s="147"/>
      <c r="E212" s="148"/>
      <c r="F212" s="149"/>
      <c r="J212" s="3"/>
    </row>
    <row r="213" ht="15.75" customHeight="1">
      <c r="D213" s="147"/>
      <c r="E213" s="148"/>
      <c r="F213" s="149"/>
      <c r="J213" s="3"/>
    </row>
    <row r="214" ht="15.75" customHeight="1">
      <c r="D214" s="147"/>
      <c r="E214" s="148"/>
      <c r="F214" s="149"/>
      <c r="J214" s="3"/>
    </row>
    <row r="215" ht="15.75" customHeight="1">
      <c r="D215" s="147"/>
      <c r="E215" s="148"/>
      <c r="F215" s="149"/>
      <c r="J215" s="3"/>
    </row>
    <row r="216" ht="15.75" customHeight="1">
      <c r="D216" s="147"/>
      <c r="E216" s="148"/>
      <c r="F216" s="149"/>
      <c r="J216" s="3"/>
    </row>
    <row r="217" ht="15.75" customHeight="1">
      <c r="D217" s="147"/>
      <c r="E217" s="148"/>
      <c r="F217" s="149"/>
      <c r="J217" s="3"/>
    </row>
    <row r="218" ht="15.75" customHeight="1">
      <c r="D218" s="147"/>
      <c r="E218" s="148"/>
      <c r="F218" s="149"/>
      <c r="J218" s="3"/>
    </row>
    <row r="219" ht="15.75" customHeight="1">
      <c r="D219" s="147"/>
      <c r="E219" s="148"/>
      <c r="F219" s="149"/>
      <c r="J219" s="3"/>
    </row>
    <row r="220" ht="15.75" customHeight="1">
      <c r="D220" s="147"/>
      <c r="E220" s="148"/>
      <c r="F220" s="149"/>
      <c r="J220" s="3"/>
    </row>
    <row r="221" ht="15.75" customHeight="1">
      <c r="D221" s="147"/>
      <c r="E221" s="148"/>
      <c r="F221" s="149"/>
      <c r="J221" s="3"/>
    </row>
    <row r="222" ht="15.75" customHeight="1">
      <c r="D222" s="147"/>
      <c r="E222" s="148"/>
      <c r="F222" s="149"/>
      <c r="J222" s="3"/>
    </row>
    <row r="223" ht="15.75" customHeight="1">
      <c r="D223" s="147"/>
      <c r="E223" s="148"/>
      <c r="F223" s="149"/>
      <c r="J223" s="3"/>
    </row>
    <row r="224" ht="15.75" customHeight="1">
      <c r="D224" s="147"/>
      <c r="E224" s="148"/>
      <c r="F224" s="149"/>
      <c r="J224" s="3"/>
    </row>
    <row r="225" ht="15.75" customHeight="1">
      <c r="D225" s="147"/>
      <c r="E225" s="148"/>
      <c r="F225" s="149"/>
      <c r="J225" s="3"/>
    </row>
    <row r="226" ht="15.75" customHeight="1">
      <c r="D226" s="147"/>
      <c r="E226" s="148"/>
      <c r="F226" s="149"/>
      <c r="J226" s="3"/>
    </row>
    <row r="227" ht="15.75" customHeight="1">
      <c r="D227" s="147"/>
      <c r="E227" s="148"/>
      <c r="F227" s="149"/>
      <c r="J227" s="3"/>
    </row>
    <row r="228" ht="15.75" customHeight="1">
      <c r="D228" s="147"/>
      <c r="E228" s="148"/>
      <c r="F228" s="149"/>
      <c r="J228" s="3"/>
    </row>
    <row r="229" ht="15.75" customHeight="1">
      <c r="D229" s="147"/>
      <c r="E229" s="148"/>
      <c r="F229" s="149"/>
      <c r="J229" s="3"/>
    </row>
    <row r="230" ht="15.75" customHeight="1">
      <c r="D230" s="147"/>
      <c r="E230" s="148"/>
      <c r="F230" s="149"/>
      <c r="J230" s="3"/>
    </row>
    <row r="231" ht="15.75" customHeight="1">
      <c r="D231" s="147"/>
      <c r="E231" s="148"/>
      <c r="F231" s="149"/>
      <c r="J231" s="3"/>
    </row>
    <row r="232" ht="15.75" customHeight="1">
      <c r="D232" s="147"/>
      <c r="E232" s="148"/>
      <c r="F232" s="149"/>
      <c r="J232" s="3"/>
    </row>
    <row r="233" ht="15.75" customHeight="1">
      <c r="D233" s="147"/>
      <c r="E233" s="148"/>
      <c r="F233" s="149"/>
      <c r="J233" s="3"/>
    </row>
    <row r="234" ht="15.75" customHeight="1">
      <c r="D234" s="147"/>
      <c r="E234" s="148"/>
      <c r="F234" s="149"/>
      <c r="J234" s="3"/>
    </row>
    <row r="235" ht="15.75" customHeight="1">
      <c r="D235" s="147"/>
      <c r="E235" s="148"/>
      <c r="F235" s="149"/>
      <c r="J235" s="3"/>
    </row>
    <row r="236" ht="15.75" customHeight="1">
      <c r="D236" s="147"/>
      <c r="E236" s="148"/>
      <c r="F236" s="149"/>
      <c r="J236" s="3"/>
    </row>
    <row r="237" ht="15.75" customHeight="1">
      <c r="D237" s="147"/>
      <c r="E237" s="148"/>
      <c r="F237" s="149"/>
      <c r="J237" s="3"/>
    </row>
    <row r="238" ht="15.75" customHeight="1">
      <c r="D238" s="147"/>
      <c r="E238" s="148"/>
      <c r="F238" s="149"/>
      <c r="J238" s="3"/>
    </row>
    <row r="239" ht="15.75" customHeight="1">
      <c r="D239" s="147"/>
      <c r="E239" s="148"/>
      <c r="F239" s="149"/>
      <c r="J239" s="3"/>
    </row>
    <row r="240" ht="15.75" customHeight="1">
      <c r="D240" s="147"/>
      <c r="E240" s="148"/>
      <c r="F240" s="149"/>
      <c r="J240" s="3"/>
    </row>
    <row r="241" ht="15.75" customHeight="1">
      <c r="D241" s="147"/>
      <c r="E241" s="148"/>
      <c r="F241" s="149"/>
      <c r="J241" s="3"/>
    </row>
    <row r="242" ht="15.75" customHeight="1">
      <c r="D242" s="147"/>
      <c r="E242" s="148"/>
      <c r="F242" s="149"/>
      <c r="J242" s="3"/>
    </row>
    <row r="243" ht="15.75" customHeight="1">
      <c r="D243" s="147"/>
      <c r="E243" s="148"/>
      <c r="F243" s="149"/>
      <c r="J243" s="3"/>
    </row>
    <row r="244" ht="15.75" customHeight="1">
      <c r="D244" s="147"/>
      <c r="E244" s="148"/>
      <c r="F244" s="149"/>
      <c r="J244" s="3"/>
    </row>
    <row r="245" ht="15.75" customHeight="1">
      <c r="D245" s="147"/>
      <c r="E245" s="148"/>
      <c r="F245" s="149"/>
      <c r="J245" s="3"/>
    </row>
    <row r="246" ht="15.75" customHeight="1">
      <c r="D246" s="147"/>
      <c r="E246" s="148"/>
      <c r="F246" s="149"/>
      <c r="J246" s="3"/>
    </row>
    <row r="247" ht="15.75" customHeight="1">
      <c r="D247" s="147"/>
      <c r="E247" s="148"/>
      <c r="F247" s="149"/>
      <c r="J247" s="3"/>
    </row>
    <row r="248" ht="15.75" customHeight="1">
      <c r="D248" s="147"/>
      <c r="E248" s="148"/>
      <c r="F248" s="149"/>
      <c r="J248" s="3"/>
    </row>
    <row r="249" ht="15.75" customHeight="1">
      <c r="D249" s="147"/>
      <c r="E249" s="148"/>
      <c r="F249" s="149"/>
      <c r="J249" s="3"/>
    </row>
    <row r="250" ht="15.75" customHeight="1">
      <c r="D250" s="147"/>
      <c r="E250" s="148"/>
      <c r="F250" s="149"/>
      <c r="J250" s="3"/>
    </row>
    <row r="251" ht="15.75" customHeight="1">
      <c r="D251" s="147"/>
      <c r="E251" s="148"/>
      <c r="F251" s="149"/>
      <c r="J251" s="3"/>
    </row>
    <row r="252" ht="15.75" customHeight="1">
      <c r="D252" s="147"/>
      <c r="E252" s="148"/>
      <c r="F252" s="149"/>
      <c r="J252" s="3"/>
    </row>
    <row r="253" ht="15.75" customHeight="1">
      <c r="D253" s="147"/>
      <c r="E253" s="148"/>
      <c r="F253" s="149"/>
      <c r="J253" s="3"/>
    </row>
    <row r="254" ht="15.75" customHeight="1">
      <c r="D254" s="147"/>
      <c r="E254" s="148"/>
      <c r="F254" s="149"/>
      <c r="J254" s="3"/>
    </row>
    <row r="255" ht="15.75" customHeight="1">
      <c r="D255" s="147"/>
      <c r="E255" s="148"/>
      <c r="F255" s="149"/>
      <c r="J255" s="3"/>
    </row>
    <row r="256" ht="15.75" customHeight="1">
      <c r="D256" s="147"/>
      <c r="E256" s="148"/>
      <c r="F256" s="149"/>
      <c r="J256" s="3"/>
    </row>
    <row r="257" ht="15.75" customHeight="1">
      <c r="D257" s="147"/>
      <c r="E257" s="148"/>
      <c r="F257" s="149"/>
      <c r="J257" s="3"/>
    </row>
    <row r="258" ht="15.75" customHeight="1">
      <c r="D258" s="147"/>
      <c r="E258" s="148"/>
      <c r="F258" s="149"/>
      <c r="J258" s="3"/>
    </row>
    <row r="259" ht="15.75" customHeight="1">
      <c r="D259" s="147"/>
      <c r="E259" s="148"/>
      <c r="F259" s="149"/>
      <c r="J259" s="3"/>
    </row>
    <row r="260" ht="15.75" customHeight="1">
      <c r="D260" s="147"/>
      <c r="E260" s="148"/>
      <c r="F260" s="149"/>
      <c r="J260" s="3"/>
    </row>
    <row r="261" ht="15.75" customHeight="1">
      <c r="D261" s="147"/>
      <c r="E261" s="148"/>
      <c r="F261" s="149"/>
      <c r="J261" s="3"/>
    </row>
    <row r="262" ht="15.75" customHeight="1">
      <c r="D262" s="147"/>
      <c r="E262" s="148"/>
      <c r="F262" s="149"/>
      <c r="J262" s="3"/>
    </row>
    <row r="263" ht="15.75" customHeight="1">
      <c r="D263" s="147"/>
      <c r="E263" s="148"/>
      <c r="F263" s="149"/>
      <c r="J263" s="3"/>
    </row>
    <row r="264" ht="15.75" customHeight="1">
      <c r="D264" s="147"/>
      <c r="E264" s="148"/>
      <c r="F264" s="149"/>
      <c r="J264" s="3"/>
    </row>
    <row r="265" ht="15.75" customHeight="1">
      <c r="D265" s="147"/>
      <c r="E265" s="148"/>
      <c r="F265" s="149"/>
      <c r="J265" s="3"/>
    </row>
    <row r="266" ht="15.75" customHeight="1">
      <c r="D266" s="147"/>
      <c r="E266" s="148"/>
      <c r="F266" s="149"/>
      <c r="J266" s="3"/>
    </row>
    <row r="267" ht="15.75" customHeight="1">
      <c r="D267" s="147"/>
      <c r="E267" s="148"/>
      <c r="F267" s="149"/>
      <c r="J267" s="3"/>
    </row>
    <row r="268" ht="15.75" customHeight="1">
      <c r="D268" s="147"/>
      <c r="E268" s="148"/>
      <c r="F268" s="149"/>
      <c r="J268" s="3"/>
    </row>
    <row r="269" ht="15.75" customHeight="1">
      <c r="D269" s="147"/>
      <c r="E269" s="148"/>
      <c r="F269" s="149"/>
      <c r="J269" s="3"/>
    </row>
    <row r="270" ht="15.75" customHeight="1">
      <c r="D270" s="147"/>
      <c r="E270" s="148"/>
      <c r="F270" s="149"/>
      <c r="J270" s="3"/>
    </row>
    <row r="271" ht="15.75" customHeight="1">
      <c r="D271" s="147"/>
      <c r="E271" s="148"/>
      <c r="F271" s="149"/>
      <c r="J271" s="3"/>
    </row>
    <row r="272" ht="15.75" customHeight="1">
      <c r="D272" s="147"/>
      <c r="E272" s="148"/>
      <c r="F272" s="149"/>
      <c r="J272" s="3"/>
    </row>
    <row r="273" ht="15.75" customHeight="1">
      <c r="D273" s="147"/>
      <c r="E273" s="148"/>
      <c r="F273" s="149"/>
      <c r="J273" s="3"/>
    </row>
    <row r="274" ht="15.75" customHeight="1">
      <c r="D274" s="147"/>
      <c r="E274" s="148"/>
      <c r="F274" s="149"/>
      <c r="J274" s="3"/>
    </row>
    <row r="275" ht="15.75" customHeight="1">
      <c r="D275" s="147"/>
      <c r="E275" s="148"/>
      <c r="F275" s="149"/>
      <c r="J275" s="3"/>
    </row>
    <row r="276" ht="15.75" customHeight="1">
      <c r="D276" s="147"/>
      <c r="E276" s="148"/>
      <c r="F276" s="149"/>
      <c r="J276" s="3"/>
    </row>
    <row r="277" ht="15.75" customHeight="1">
      <c r="D277" s="147"/>
      <c r="E277" s="148"/>
      <c r="F277" s="149"/>
      <c r="J277" s="3"/>
    </row>
    <row r="278" ht="15.75" customHeight="1">
      <c r="D278" s="147"/>
      <c r="E278" s="148"/>
      <c r="F278" s="149"/>
      <c r="J278" s="3"/>
    </row>
    <row r="279" ht="15.75" customHeight="1">
      <c r="D279" s="147"/>
      <c r="E279" s="148"/>
      <c r="F279" s="149"/>
      <c r="J279" s="3"/>
    </row>
    <row r="280" ht="15.75" customHeight="1">
      <c r="D280" s="147"/>
      <c r="E280" s="148"/>
      <c r="F280" s="149"/>
      <c r="J280" s="3"/>
    </row>
    <row r="281" ht="15.75" customHeight="1">
      <c r="D281" s="147"/>
      <c r="E281" s="148"/>
      <c r="F281" s="149"/>
      <c r="J281" s="3"/>
    </row>
    <row r="282" ht="15.75" customHeight="1">
      <c r="D282" s="147"/>
      <c r="E282" s="148"/>
      <c r="F282" s="149"/>
      <c r="J282" s="3"/>
    </row>
    <row r="283" ht="15.75" customHeight="1">
      <c r="D283" s="147"/>
      <c r="E283" s="148"/>
      <c r="F283" s="149"/>
      <c r="J283" s="3"/>
    </row>
    <row r="284" ht="15.75" customHeight="1">
      <c r="D284" s="147"/>
      <c r="E284" s="148"/>
      <c r="F284" s="149"/>
      <c r="J284" s="3"/>
    </row>
    <row r="285" ht="15.75" customHeight="1">
      <c r="D285" s="147"/>
      <c r="E285" s="148"/>
      <c r="F285" s="149"/>
      <c r="J285" s="3"/>
    </row>
    <row r="286" ht="15.75" customHeight="1">
      <c r="D286" s="147"/>
      <c r="E286" s="148"/>
      <c r="F286" s="149"/>
      <c r="J286" s="3"/>
    </row>
    <row r="287" ht="15.75" customHeight="1">
      <c r="D287" s="147"/>
      <c r="E287" s="148"/>
      <c r="F287" s="149"/>
      <c r="J287" s="3"/>
    </row>
    <row r="288" ht="15.75" customHeight="1">
      <c r="D288" s="147"/>
      <c r="E288" s="148"/>
      <c r="F288" s="149"/>
      <c r="J288" s="3"/>
    </row>
    <row r="289" ht="15.75" customHeight="1">
      <c r="D289" s="147"/>
      <c r="E289" s="148"/>
      <c r="F289" s="149"/>
      <c r="J289" s="3"/>
    </row>
    <row r="290" ht="15.75" customHeight="1">
      <c r="D290" s="147"/>
      <c r="E290" s="148"/>
      <c r="F290" s="149"/>
      <c r="J290" s="3"/>
    </row>
    <row r="291" ht="15.75" customHeight="1">
      <c r="D291" s="147"/>
      <c r="E291" s="148"/>
      <c r="F291" s="149"/>
      <c r="J291" s="3"/>
    </row>
    <row r="292" ht="15.75" customHeight="1">
      <c r="D292" s="147"/>
      <c r="E292" s="148"/>
      <c r="F292" s="149"/>
      <c r="J292" s="3"/>
    </row>
    <row r="293" ht="15.75" customHeight="1">
      <c r="D293" s="147"/>
      <c r="E293" s="148"/>
      <c r="F293" s="149"/>
      <c r="J293" s="3"/>
    </row>
    <row r="294" ht="15.75" customHeight="1">
      <c r="D294" s="147"/>
      <c r="E294" s="148"/>
      <c r="F294" s="149"/>
      <c r="J294" s="3"/>
    </row>
    <row r="295" ht="15.75" customHeight="1">
      <c r="D295" s="147"/>
      <c r="E295" s="148"/>
      <c r="F295" s="149"/>
      <c r="J295" s="3"/>
    </row>
    <row r="296" ht="15.75" customHeight="1">
      <c r="D296" s="147"/>
      <c r="E296" s="148"/>
      <c r="F296" s="149"/>
      <c r="J296" s="3"/>
    </row>
    <row r="297" ht="15.75" customHeight="1">
      <c r="D297" s="147"/>
      <c r="E297" s="148"/>
      <c r="F297" s="149"/>
      <c r="J297" s="3"/>
    </row>
    <row r="298" ht="15.75" customHeight="1">
      <c r="D298" s="147"/>
      <c r="E298" s="148"/>
      <c r="F298" s="149"/>
      <c r="J298" s="3"/>
    </row>
    <row r="299" ht="15.75" customHeight="1">
      <c r="D299" s="147"/>
      <c r="E299" s="148"/>
      <c r="F299" s="149"/>
      <c r="J299" s="3"/>
    </row>
    <row r="300" ht="15.75" customHeight="1">
      <c r="D300" s="157"/>
      <c r="E300" s="158"/>
      <c r="J300" s="3"/>
    </row>
    <row r="301" ht="15.75" customHeight="1">
      <c r="D301" s="157"/>
      <c r="E301" s="158"/>
      <c r="J301" s="3"/>
    </row>
    <row r="302" ht="15.75" customHeight="1">
      <c r="D302" s="157"/>
      <c r="E302" s="158"/>
      <c r="J302" s="3"/>
    </row>
    <row r="303" ht="15.75" customHeight="1">
      <c r="D303" s="157"/>
      <c r="E303" s="158"/>
      <c r="J303" s="3"/>
    </row>
    <row r="304" ht="15.75" customHeight="1">
      <c r="D304" s="157"/>
      <c r="E304" s="158"/>
      <c r="J304" s="3"/>
    </row>
    <row r="305" ht="15.75" customHeight="1">
      <c r="D305" s="157"/>
      <c r="E305" s="158"/>
      <c r="J305" s="3"/>
    </row>
    <row r="306" ht="15.75" customHeight="1">
      <c r="D306" s="157"/>
      <c r="E306" s="158"/>
      <c r="J306" s="3"/>
    </row>
    <row r="307" ht="15.75" customHeight="1">
      <c r="D307" s="157"/>
      <c r="E307" s="158"/>
      <c r="J307" s="3"/>
    </row>
    <row r="308" ht="15.75" customHeight="1">
      <c r="D308" s="157"/>
      <c r="E308" s="158"/>
      <c r="J308" s="3"/>
    </row>
    <row r="309" ht="15.75" customHeight="1">
      <c r="D309" s="157"/>
      <c r="E309" s="158"/>
      <c r="J309" s="3"/>
    </row>
    <row r="310" ht="15.75" customHeight="1">
      <c r="D310" s="157"/>
      <c r="E310" s="158"/>
      <c r="J310" s="3"/>
    </row>
    <row r="311" ht="15.75" customHeight="1">
      <c r="D311" s="157"/>
      <c r="E311" s="158"/>
      <c r="J311" s="3"/>
    </row>
    <row r="312" ht="15.75" customHeight="1">
      <c r="D312" s="157"/>
      <c r="E312" s="158"/>
      <c r="J312" s="3"/>
    </row>
    <row r="313" ht="15.75" customHeight="1">
      <c r="D313" s="157"/>
      <c r="E313" s="158"/>
      <c r="J313" s="3"/>
    </row>
    <row r="314" ht="15.75" customHeight="1">
      <c r="D314" s="157"/>
      <c r="E314" s="158"/>
      <c r="J314" s="3"/>
    </row>
    <row r="315" ht="15.75" customHeight="1">
      <c r="D315" s="157"/>
      <c r="E315" s="158"/>
      <c r="J315" s="3"/>
    </row>
    <row r="316" ht="15.75" customHeight="1">
      <c r="D316" s="157"/>
      <c r="E316" s="158"/>
      <c r="J316" s="3"/>
    </row>
    <row r="317" ht="15.75" customHeight="1">
      <c r="D317" s="157"/>
      <c r="E317" s="158"/>
      <c r="J317" s="3"/>
    </row>
    <row r="318" ht="15.75" customHeight="1">
      <c r="D318" s="157"/>
      <c r="E318" s="158"/>
      <c r="J318" s="3"/>
    </row>
    <row r="319" ht="15.75" customHeight="1">
      <c r="D319" s="157"/>
      <c r="E319" s="158"/>
      <c r="J319" s="3"/>
    </row>
    <row r="320" ht="15.75" customHeight="1">
      <c r="D320" s="157"/>
      <c r="E320" s="158"/>
      <c r="J320" s="3"/>
    </row>
    <row r="321" ht="15.75" customHeight="1">
      <c r="D321" s="157"/>
      <c r="E321" s="158"/>
      <c r="J321" s="3"/>
    </row>
    <row r="322" ht="15.75" customHeight="1">
      <c r="D322" s="157"/>
      <c r="E322" s="158"/>
      <c r="J322" s="3"/>
    </row>
    <row r="323" ht="15.75" customHeight="1">
      <c r="D323" s="157"/>
      <c r="E323" s="158"/>
      <c r="J323" s="3"/>
    </row>
    <row r="324" ht="15.75" customHeight="1">
      <c r="D324" s="157"/>
      <c r="E324" s="158"/>
      <c r="J324" s="3"/>
    </row>
    <row r="325" ht="15.75" customHeight="1">
      <c r="D325" s="157"/>
      <c r="E325" s="158"/>
      <c r="J325" s="3"/>
    </row>
    <row r="326" ht="15.75" customHeight="1">
      <c r="D326" s="157"/>
      <c r="E326" s="158"/>
      <c r="J326" s="3"/>
    </row>
    <row r="327" ht="15.75" customHeight="1">
      <c r="D327" s="157"/>
      <c r="E327" s="158"/>
      <c r="J327" s="3"/>
    </row>
    <row r="328" ht="15.75" customHeight="1">
      <c r="D328" s="157"/>
      <c r="E328" s="158"/>
      <c r="J328" s="3"/>
    </row>
    <row r="329" ht="15.75" customHeight="1">
      <c r="D329" s="157"/>
      <c r="E329" s="158"/>
      <c r="J329" s="3"/>
    </row>
    <row r="330" ht="15.75" customHeight="1">
      <c r="D330" s="157"/>
      <c r="E330" s="158"/>
      <c r="J330" s="3"/>
    </row>
    <row r="331" ht="15.75" customHeight="1">
      <c r="D331" s="157"/>
      <c r="E331" s="158"/>
      <c r="J331" s="3"/>
    </row>
    <row r="332" ht="15.75" customHeight="1">
      <c r="D332" s="157"/>
      <c r="E332" s="158"/>
      <c r="J332" s="3"/>
    </row>
    <row r="333" ht="15.75" customHeight="1">
      <c r="D333" s="157"/>
      <c r="E333" s="158"/>
      <c r="J333" s="3"/>
    </row>
    <row r="334" ht="15.75" customHeight="1">
      <c r="D334" s="157"/>
      <c r="E334" s="158"/>
      <c r="J334" s="3"/>
    </row>
    <row r="335" ht="15.75" customHeight="1">
      <c r="D335" s="157"/>
      <c r="E335" s="158"/>
      <c r="J335" s="3"/>
    </row>
    <row r="336" ht="15.75" customHeight="1">
      <c r="D336" s="157"/>
      <c r="E336" s="158"/>
      <c r="J336" s="3"/>
    </row>
    <row r="337" ht="15.75" customHeight="1">
      <c r="D337" s="157"/>
      <c r="E337" s="158"/>
      <c r="J337" s="3"/>
    </row>
    <row r="338" ht="15.75" customHeight="1">
      <c r="D338" s="157"/>
      <c r="E338" s="158"/>
      <c r="J338" s="3"/>
    </row>
    <row r="339" ht="15.75" customHeight="1">
      <c r="D339" s="157"/>
      <c r="E339" s="158"/>
      <c r="J339" s="3"/>
    </row>
    <row r="340" ht="15.75" customHeight="1">
      <c r="D340" s="157"/>
      <c r="E340" s="158"/>
      <c r="J340" s="3"/>
    </row>
    <row r="341" ht="15.75" customHeight="1">
      <c r="D341" s="157"/>
      <c r="E341" s="158"/>
      <c r="J341" s="3"/>
    </row>
    <row r="342" ht="15.75" customHeight="1">
      <c r="D342" s="157"/>
      <c r="E342" s="158"/>
      <c r="J342" s="3"/>
    </row>
    <row r="343" ht="15.75" customHeight="1">
      <c r="D343" s="157"/>
      <c r="E343" s="158"/>
      <c r="J343" s="3"/>
    </row>
    <row r="344" ht="15.75" customHeight="1">
      <c r="D344" s="157"/>
      <c r="E344" s="158"/>
      <c r="J344" s="3"/>
    </row>
    <row r="345" ht="15.75" customHeight="1">
      <c r="D345" s="157"/>
      <c r="E345" s="158"/>
      <c r="J345" s="3"/>
    </row>
    <row r="346" ht="15.75" customHeight="1">
      <c r="D346" s="157"/>
      <c r="E346" s="158"/>
      <c r="J346" s="3"/>
    </row>
    <row r="347" ht="15.75" customHeight="1">
      <c r="D347" s="157"/>
      <c r="E347" s="158"/>
      <c r="J347" s="3"/>
    </row>
    <row r="348" ht="15.75" customHeight="1">
      <c r="D348" s="157"/>
      <c r="E348" s="158"/>
      <c r="J348" s="3"/>
    </row>
    <row r="349" ht="15.75" customHeight="1">
      <c r="D349" s="157"/>
      <c r="E349" s="158"/>
      <c r="J349" s="3"/>
    </row>
    <row r="350" ht="15.75" customHeight="1">
      <c r="D350" s="157"/>
      <c r="E350" s="158"/>
      <c r="J350" s="3"/>
    </row>
    <row r="351" ht="15.75" customHeight="1">
      <c r="D351" s="157"/>
      <c r="E351" s="158"/>
      <c r="J351" s="3"/>
    </row>
    <row r="352" ht="15.75" customHeight="1">
      <c r="D352" s="157"/>
      <c r="E352" s="158"/>
      <c r="J352" s="3"/>
    </row>
    <row r="353" ht="15.75" customHeight="1">
      <c r="D353" s="157"/>
      <c r="E353" s="158"/>
      <c r="J353" s="3"/>
    </row>
    <row r="354" ht="15.75" customHeight="1">
      <c r="D354" s="157"/>
      <c r="E354" s="158"/>
      <c r="J354" s="3"/>
    </row>
    <row r="355" ht="15.75" customHeight="1">
      <c r="D355" s="157"/>
      <c r="E355" s="158"/>
      <c r="J355" s="3"/>
    </row>
    <row r="356" ht="15.75" customHeight="1">
      <c r="D356" s="157"/>
      <c r="E356" s="158"/>
      <c r="J356" s="3"/>
    </row>
    <row r="357" ht="15.75" customHeight="1">
      <c r="D357" s="157"/>
      <c r="E357" s="158"/>
      <c r="J357" s="3"/>
    </row>
    <row r="358" ht="15.75" customHeight="1">
      <c r="D358" s="157"/>
      <c r="E358" s="158"/>
      <c r="J358" s="3"/>
    </row>
    <row r="359" ht="15.75" customHeight="1">
      <c r="D359" s="157"/>
      <c r="E359" s="158"/>
      <c r="J359" s="3"/>
    </row>
    <row r="360" ht="15.75" customHeight="1">
      <c r="D360" s="157"/>
      <c r="E360" s="158"/>
      <c r="J360" s="3"/>
    </row>
    <row r="361" ht="15.75" customHeight="1">
      <c r="D361" s="157"/>
      <c r="E361" s="158"/>
      <c r="J361" s="3"/>
    </row>
    <row r="362" ht="15.75" customHeight="1">
      <c r="D362" s="157"/>
      <c r="E362" s="158"/>
      <c r="J362" s="3"/>
    </row>
    <row r="363" ht="15.75" customHeight="1">
      <c r="D363" s="157"/>
      <c r="E363" s="158"/>
      <c r="J363" s="3"/>
    </row>
    <row r="364" ht="15.75" customHeight="1">
      <c r="D364" s="157"/>
      <c r="E364" s="158"/>
      <c r="J364" s="3"/>
    </row>
    <row r="365" ht="15.75" customHeight="1">
      <c r="D365" s="157"/>
      <c r="E365" s="158"/>
      <c r="J365" s="3"/>
    </row>
    <row r="366" ht="15.75" customHeight="1">
      <c r="D366" s="157"/>
      <c r="E366" s="158"/>
      <c r="J366" s="3"/>
    </row>
    <row r="367" ht="15.75" customHeight="1">
      <c r="D367" s="157"/>
      <c r="E367" s="158"/>
      <c r="J367" s="3"/>
    </row>
    <row r="368" ht="15.75" customHeight="1">
      <c r="D368" s="157"/>
      <c r="E368" s="158"/>
      <c r="J368" s="3"/>
    </row>
    <row r="369" ht="15.75" customHeight="1">
      <c r="D369" s="157"/>
      <c r="E369" s="158"/>
      <c r="J369" s="3"/>
    </row>
    <row r="370" ht="15.75" customHeight="1">
      <c r="D370" s="157"/>
      <c r="E370" s="158"/>
      <c r="J370" s="3"/>
    </row>
    <row r="371" ht="15.75" customHeight="1">
      <c r="D371" s="157"/>
      <c r="E371" s="158"/>
      <c r="J371" s="3"/>
    </row>
    <row r="372" ht="15.75" customHeight="1">
      <c r="D372" s="157"/>
      <c r="E372" s="158"/>
      <c r="J372" s="3"/>
    </row>
    <row r="373" ht="15.75" customHeight="1">
      <c r="D373" s="157"/>
      <c r="E373" s="158"/>
      <c r="J373" s="3"/>
    </row>
    <row r="374" ht="15.75" customHeight="1">
      <c r="D374" s="157"/>
      <c r="E374" s="158"/>
      <c r="J374" s="3"/>
    </row>
    <row r="375" ht="15.75" customHeight="1">
      <c r="D375" s="157"/>
      <c r="E375" s="158"/>
      <c r="J375" s="3"/>
    </row>
    <row r="376" ht="15.75" customHeight="1">
      <c r="D376" s="157"/>
      <c r="E376" s="158"/>
      <c r="J376" s="3"/>
    </row>
    <row r="377" ht="15.75" customHeight="1">
      <c r="D377" s="157"/>
      <c r="E377" s="158"/>
      <c r="J377" s="3"/>
    </row>
    <row r="378" ht="15.75" customHeight="1">
      <c r="D378" s="157"/>
      <c r="E378" s="158"/>
      <c r="J378" s="3"/>
    </row>
    <row r="379" ht="15.75" customHeight="1">
      <c r="D379" s="157"/>
      <c r="E379" s="158"/>
      <c r="J379" s="3"/>
    </row>
    <row r="380" ht="15.75" customHeight="1">
      <c r="D380" s="157"/>
      <c r="E380" s="158"/>
      <c r="J380" s="3"/>
    </row>
    <row r="381" ht="15.75" customHeight="1">
      <c r="D381" s="157"/>
      <c r="E381" s="158"/>
      <c r="J381" s="3"/>
    </row>
    <row r="382" ht="15.75" customHeight="1">
      <c r="D382" s="157"/>
      <c r="E382" s="158"/>
      <c r="J382" s="3"/>
    </row>
    <row r="383" ht="15.75" customHeight="1">
      <c r="D383" s="157"/>
      <c r="E383" s="158"/>
      <c r="J383" s="3"/>
    </row>
    <row r="384" ht="15.75" customHeight="1">
      <c r="D384" s="157"/>
      <c r="E384" s="158"/>
      <c r="J384" s="3"/>
    </row>
    <row r="385" ht="15.75" customHeight="1">
      <c r="D385" s="157"/>
      <c r="E385" s="158"/>
      <c r="J385" s="3"/>
    </row>
    <row r="386" ht="15.75" customHeight="1">
      <c r="D386" s="157"/>
      <c r="E386" s="158"/>
      <c r="J386" s="3"/>
    </row>
    <row r="387" ht="15.75" customHeight="1">
      <c r="D387" s="157"/>
      <c r="E387" s="158"/>
      <c r="J387" s="3"/>
    </row>
    <row r="388" ht="15.75" customHeight="1">
      <c r="D388" s="157"/>
      <c r="E388" s="158"/>
      <c r="J388" s="3"/>
    </row>
    <row r="389" ht="15.75" customHeight="1">
      <c r="D389" s="157"/>
      <c r="E389" s="158"/>
      <c r="J389" s="3"/>
    </row>
    <row r="390" ht="15.75" customHeight="1">
      <c r="D390" s="157"/>
      <c r="E390" s="158"/>
      <c r="J390" s="3"/>
    </row>
    <row r="391" ht="15.75" customHeight="1">
      <c r="D391" s="157"/>
      <c r="E391" s="158"/>
      <c r="J391" s="3"/>
    </row>
    <row r="392" ht="15.75" customHeight="1">
      <c r="D392" s="157"/>
      <c r="E392" s="158"/>
      <c r="J392" s="3"/>
    </row>
    <row r="393" ht="15.75" customHeight="1">
      <c r="D393" s="157"/>
      <c r="E393" s="158"/>
      <c r="J393" s="3"/>
    </row>
    <row r="394" ht="15.75" customHeight="1">
      <c r="D394" s="157"/>
      <c r="E394" s="158"/>
      <c r="J394" s="3"/>
    </row>
    <row r="395" ht="15.75" customHeight="1">
      <c r="D395" s="157"/>
      <c r="E395" s="158"/>
      <c r="J395" s="3"/>
    </row>
    <row r="396" ht="15.75" customHeight="1">
      <c r="D396" s="157"/>
      <c r="E396" s="158"/>
      <c r="J396" s="3"/>
    </row>
    <row r="397" ht="15.75" customHeight="1">
      <c r="D397" s="157"/>
      <c r="E397" s="158"/>
      <c r="J397" s="3"/>
    </row>
    <row r="398" ht="15.75" customHeight="1">
      <c r="D398" s="157"/>
      <c r="E398" s="158"/>
      <c r="J398" s="3"/>
    </row>
    <row r="399" ht="15.75" customHeight="1">
      <c r="D399" s="157"/>
      <c r="E399" s="158"/>
      <c r="J399" s="3"/>
    </row>
    <row r="400" ht="15.75" customHeight="1">
      <c r="D400" s="157"/>
      <c r="E400" s="158"/>
      <c r="J400" s="3"/>
    </row>
    <row r="401" ht="15.75" customHeight="1">
      <c r="D401" s="157"/>
      <c r="E401" s="158"/>
      <c r="J401" s="3"/>
    </row>
    <row r="402" ht="15.75" customHeight="1">
      <c r="D402" s="157"/>
      <c r="E402" s="158"/>
      <c r="J402" s="3"/>
    </row>
    <row r="403" ht="15.75" customHeight="1">
      <c r="D403" s="157"/>
      <c r="E403" s="158"/>
      <c r="J403" s="3"/>
    </row>
    <row r="404" ht="15.75" customHeight="1">
      <c r="D404" s="157"/>
      <c r="E404" s="158"/>
      <c r="J404" s="3"/>
    </row>
    <row r="405" ht="15.75" customHeight="1">
      <c r="D405" s="157"/>
      <c r="E405" s="158"/>
      <c r="J405" s="3"/>
    </row>
    <row r="406" ht="15.75" customHeight="1">
      <c r="D406" s="157"/>
      <c r="E406" s="158"/>
      <c r="J406" s="3"/>
    </row>
    <row r="407" ht="15.75" customHeight="1">
      <c r="D407" s="157"/>
      <c r="E407" s="158"/>
      <c r="J407" s="3"/>
    </row>
    <row r="408" ht="15.75" customHeight="1">
      <c r="D408" s="157"/>
      <c r="E408" s="158"/>
      <c r="J408" s="3"/>
    </row>
    <row r="409" ht="15.75" customHeight="1">
      <c r="D409" s="157"/>
      <c r="E409" s="158"/>
      <c r="J409" s="3"/>
    </row>
    <row r="410" ht="15.75" customHeight="1">
      <c r="D410" s="157"/>
      <c r="E410" s="158"/>
      <c r="J410" s="3"/>
    </row>
    <row r="411" ht="15.75" customHeight="1">
      <c r="D411" s="157"/>
      <c r="E411" s="158"/>
      <c r="J411" s="3"/>
    </row>
    <row r="412" ht="15.75" customHeight="1">
      <c r="D412" s="157"/>
      <c r="E412" s="158"/>
      <c r="J412" s="3"/>
    </row>
    <row r="413" ht="15.75" customHeight="1">
      <c r="D413" s="157"/>
      <c r="E413" s="158"/>
      <c r="J413" s="3"/>
    </row>
    <row r="414" ht="15.75" customHeight="1">
      <c r="D414" s="157"/>
      <c r="E414" s="158"/>
      <c r="J414" s="3"/>
    </row>
    <row r="415" ht="15.75" customHeight="1">
      <c r="D415" s="157"/>
      <c r="E415" s="158"/>
      <c r="J415" s="3"/>
    </row>
    <row r="416" ht="15.75" customHeight="1">
      <c r="D416" s="157"/>
      <c r="E416" s="158"/>
      <c r="J416" s="3"/>
    </row>
    <row r="417" ht="15.75" customHeight="1">
      <c r="D417" s="157"/>
      <c r="E417" s="158"/>
      <c r="J417" s="3"/>
    </row>
    <row r="418" ht="15.75" customHeight="1">
      <c r="D418" s="157"/>
      <c r="E418" s="158"/>
      <c r="J418" s="3"/>
    </row>
    <row r="419" ht="15.75" customHeight="1">
      <c r="D419" s="157"/>
      <c r="E419" s="158"/>
      <c r="J419" s="3"/>
    </row>
    <row r="420" ht="15.75" customHeight="1">
      <c r="D420" s="157"/>
      <c r="E420" s="158"/>
      <c r="J420" s="3"/>
    </row>
    <row r="421" ht="15.75" customHeight="1">
      <c r="D421" s="157"/>
      <c r="E421" s="158"/>
      <c r="J421" s="3"/>
    </row>
    <row r="422" ht="15.75" customHeight="1">
      <c r="D422" s="157"/>
      <c r="E422" s="158"/>
      <c r="J422" s="3"/>
    </row>
    <row r="423" ht="15.75" customHeight="1">
      <c r="D423" s="157"/>
      <c r="E423" s="158"/>
      <c r="J423" s="3"/>
    </row>
    <row r="424" ht="15.75" customHeight="1">
      <c r="D424" s="157"/>
      <c r="E424" s="158"/>
      <c r="J424" s="3"/>
    </row>
    <row r="425" ht="15.75" customHeight="1">
      <c r="D425" s="157"/>
      <c r="E425" s="158"/>
      <c r="J425" s="3"/>
    </row>
    <row r="426" ht="15.75" customHeight="1">
      <c r="D426" s="157"/>
      <c r="E426" s="158"/>
      <c r="J426" s="3"/>
    </row>
    <row r="427" ht="15.75" customHeight="1">
      <c r="D427" s="157"/>
      <c r="E427" s="158"/>
      <c r="J427" s="3"/>
    </row>
    <row r="428" ht="15.75" customHeight="1">
      <c r="D428" s="157"/>
      <c r="E428" s="158"/>
      <c r="J428" s="3"/>
    </row>
    <row r="429" ht="15.75" customHeight="1">
      <c r="D429" s="157"/>
      <c r="E429" s="158"/>
      <c r="J429" s="3"/>
    </row>
    <row r="430" ht="15.75" customHeight="1">
      <c r="D430" s="157"/>
      <c r="E430" s="158"/>
      <c r="J430" s="3"/>
    </row>
    <row r="431" ht="15.75" customHeight="1">
      <c r="D431" s="157"/>
      <c r="E431" s="158"/>
      <c r="J431" s="3"/>
    </row>
    <row r="432" ht="15.75" customHeight="1">
      <c r="D432" s="157"/>
      <c r="E432" s="158"/>
      <c r="J432" s="3"/>
    </row>
    <row r="433" ht="15.75" customHeight="1">
      <c r="D433" s="157"/>
      <c r="E433" s="158"/>
      <c r="J433" s="3"/>
    </row>
    <row r="434" ht="15.75" customHeight="1">
      <c r="D434" s="157"/>
      <c r="E434" s="158"/>
      <c r="J434" s="3"/>
    </row>
    <row r="435" ht="15.75" customHeight="1">
      <c r="D435" s="157"/>
      <c r="E435" s="158"/>
      <c r="J435" s="3"/>
    </row>
    <row r="436" ht="15.75" customHeight="1">
      <c r="D436" s="157"/>
      <c r="E436" s="158"/>
      <c r="J436" s="3"/>
    </row>
    <row r="437" ht="15.75" customHeight="1">
      <c r="D437" s="157"/>
      <c r="E437" s="158"/>
      <c r="J437" s="3"/>
    </row>
    <row r="438" ht="15.75" customHeight="1">
      <c r="D438" s="157"/>
      <c r="E438" s="158"/>
      <c r="J438" s="3"/>
    </row>
    <row r="439" ht="15.75" customHeight="1">
      <c r="D439" s="157"/>
      <c r="E439" s="158"/>
      <c r="J439" s="3"/>
    </row>
    <row r="440" ht="15.75" customHeight="1">
      <c r="D440" s="157"/>
      <c r="E440" s="158"/>
      <c r="J440" s="3"/>
    </row>
    <row r="441" ht="15.75" customHeight="1">
      <c r="D441" s="157"/>
      <c r="E441" s="158"/>
      <c r="J441" s="3"/>
    </row>
    <row r="442" ht="15.75" customHeight="1">
      <c r="D442" s="157"/>
      <c r="E442" s="158"/>
      <c r="J442" s="3"/>
    </row>
    <row r="443" ht="15.75" customHeight="1">
      <c r="D443" s="157"/>
      <c r="E443" s="158"/>
      <c r="J443" s="3"/>
    </row>
    <row r="444" ht="15.75" customHeight="1">
      <c r="D444" s="157"/>
      <c r="E444" s="158"/>
      <c r="J444" s="3"/>
    </row>
    <row r="445" ht="15.75" customHeight="1">
      <c r="D445" s="157"/>
      <c r="E445" s="158"/>
      <c r="J445" s="3"/>
    </row>
    <row r="446" ht="15.75" customHeight="1">
      <c r="D446" s="157"/>
      <c r="E446" s="158"/>
      <c r="J446" s="3"/>
    </row>
    <row r="447" ht="15.75" customHeight="1">
      <c r="D447" s="157"/>
      <c r="E447" s="158"/>
      <c r="J447" s="3"/>
    </row>
    <row r="448" ht="15.75" customHeight="1">
      <c r="D448" s="157"/>
      <c r="E448" s="158"/>
      <c r="J448" s="3"/>
    </row>
    <row r="449" ht="15.75" customHeight="1">
      <c r="D449" s="157"/>
      <c r="E449" s="158"/>
      <c r="J449" s="3"/>
    </row>
    <row r="450" ht="15.75" customHeight="1">
      <c r="D450" s="157"/>
      <c r="E450" s="158"/>
      <c r="J450" s="3"/>
    </row>
    <row r="451" ht="15.75" customHeight="1">
      <c r="D451" s="157"/>
      <c r="E451" s="158"/>
      <c r="J451" s="3"/>
    </row>
    <row r="452" ht="15.75" customHeight="1">
      <c r="D452" s="157"/>
      <c r="E452" s="158"/>
      <c r="J452" s="3"/>
    </row>
    <row r="453" ht="15.75" customHeight="1">
      <c r="D453" s="157"/>
      <c r="E453" s="158"/>
      <c r="J453" s="3"/>
    </row>
    <row r="454" ht="15.75" customHeight="1">
      <c r="D454" s="157"/>
      <c r="E454" s="158"/>
      <c r="J454" s="3"/>
    </row>
    <row r="455" ht="15.75" customHeight="1">
      <c r="D455" s="157"/>
      <c r="E455" s="158"/>
      <c r="J455" s="3"/>
    </row>
    <row r="456" ht="15.75" customHeight="1">
      <c r="D456" s="157"/>
      <c r="E456" s="158"/>
      <c r="J456" s="3"/>
    </row>
    <row r="457" ht="15.75" customHeight="1">
      <c r="D457" s="157"/>
      <c r="E457" s="158"/>
      <c r="J457" s="3"/>
    </row>
    <row r="458" ht="15.75" customHeight="1">
      <c r="D458" s="157"/>
      <c r="E458" s="158"/>
      <c r="J458" s="3"/>
    </row>
    <row r="459" ht="15.75" customHeight="1">
      <c r="D459" s="157"/>
      <c r="E459" s="158"/>
      <c r="J459" s="3"/>
    </row>
    <row r="460" ht="15.75" customHeight="1">
      <c r="D460" s="157"/>
      <c r="E460" s="158"/>
      <c r="J460" s="3"/>
    </row>
    <row r="461" ht="15.75" customHeight="1">
      <c r="D461" s="157"/>
      <c r="E461" s="158"/>
      <c r="J461" s="3"/>
    </row>
    <row r="462" ht="15.75" customHeight="1">
      <c r="D462" s="157"/>
      <c r="E462" s="158"/>
      <c r="J462" s="3"/>
    </row>
    <row r="463" ht="15.75" customHeight="1">
      <c r="D463" s="157"/>
      <c r="E463" s="158"/>
      <c r="J463" s="3"/>
    </row>
    <row r="464" ht="15.75" customHeight="1">
      <c r="D464" s="157"/>
      <c r="E464" s="158"/>
      <c r="J464" s="3"/>
    </row>
    <row r="465" ht="15.75" customHeight="1">
      <c r="D465" s="157"/>
      <c r="E465" s="158"/>
      <c r="J465" s="3"/>
    </row>
    <row r="466" ht="15.75" customHeight="1">
      <c r="D466" s="157"/>
      <c r="E466" s="158"/>
      <c r="J466" s="3"/>
    </row>
    <row r="467" ht="15.75" customHeight="1">
      <c r="D467" s="157"/>
      <c r="E467" s="158"/>
      <c r="J467" s="3"/>
    </row>
    <row r="468" ht="15.75" customHeight="1">
      <c r="D468" s="157"/>
      <c r="E468" s="158"/>
      <c r="J468" s="3"/>
    </row>
    <row r="469" ht="15.75" customHeight="1">
      <c r="D469" s="157"/>
      <c r="E469" s="158"/>
      <c r="J469" s="3"/>
    </row>
    <row r="470" ht="15.75" customHeight="1">
      <c r="D470" s="157"/>
      <c r="E470" s="158"/>
      <c r="J470" s="3"/>
    </row>
    <row r="471" ht="15.75" customHeight="1">
      <c r="D471" s="157"/>
      <c r="E471" s="158"/>
      <c r="J471" s="3"/>
    </row>
    <row r="472" ht="15.75" customHeight="1">
      <c r="D472" s="157"/>
      <c r="E472" s="158"/>
      <c r="J472" s="3"/>
    </row>
    <row r="473" ht="15.75" customHeight="1">
      <c r="D473" s="157"/>
      <c r="E473" s="158"/>
      <c r="J473" s="3"/>
    </row>
    <row r="474" ht="15.75" customHeight="1">
      <c r="D474" s="157"/>
      <c r="E474" s="158"/>
      <c r="J474" s="3"/>
    </row>
    <row r="475" ht="15.75" customHeight="1">
      <c r="D475" s="157"/>
      <c r="E475" s="158"/>
      <c r="J475" s="3"/>
    </row>
    <row r="476" ht="15.75" customHeight="1">
      <c r="D476" s="157"/>
      <c r="E476" s="158"/>
      <c r="J476" s="3"/>
    </row>
    <row r="477" ht="15.75" customHeight="1">
      <c r="D477" s="157"/>
      <c r="E477" s="158"/>
      <c r="J477" s="3"/>
    </row>
    <row r="478" ht="15.75" customHeight="1">
      <c r="D478" s="157"/>
      <c r="E478" s="158"/>
      <c r="J478" s="3"/>
    </row>
    <row r="479" ht="15.75" customHeight="1">
      <c r="D479" s="157"/>
      <c r="E479" s="158"/>
      <c r="J479" s="3"/>
    </row>
    <row r="480" ht="15.75" customHeight="1">
      <c r="D480" s="157"/>
      <c r="E480" s="158"/>
      <c r="J480" s="3"/>
    </row>
    <row r="481" ht="15.75" customHeight="1">
      <c r="D481" s="157"/>
      <c r="E481" s="158"/>
      <c r="J481" s="3"/>
    </row>
    <row r="482" ht="15.75" customHeight="1">
      <c r="D482" s="157"/>
      <c r="E482" s="158"/>
      <c r="J482" s="3"/>
    </row>
    <row r="483" ht="15.75" customHeight="1">
      <c r="D483" s="157"/>
      <c r="E483" s="158"/>
      <c r="J483" s="3"/>
    </row>
    <row r="484" ht="15.75" customHeight="1">
      <c r="D484" s="157"/>
      <c r="E484" s="158"/>
      <c r="J484" s="3"/>
    </row>
    <row r="485" ht="15.75" customHeight="1">
      <c r="D485" s="157"/>
      <c r="E485" s="158"/>
      <c r="J485" s="3"/>
    </row>
    <row r="486" ht="15.75" customHeight="1">
      <c r="D486" s="157"/>
      <c r="E486" s="158"/>
      <c r="J486" s="3"/>
    </row>
    <row r="487" ht="15.75" customHeight="1">
      <c r="D487" s="157"/>
      <c r="E487" s="158"/>
      <c r="J487" s="3"/>
    </row>
    <row r="488" ht="15.75" customHeight="1">
      <c r="D488" s="157"/>
      <c r="E488" s="158"/>
      <c r="J488" s="3"/>
    </row>
    <row r="489" ht="15.75" customHeight="1">
      <c r="D489" s="157"/>
      <c r="E489" s="158"/>
      <c r="J489" s="3"/>
    </row>
    <row r="490" ht="15.75" customHeight="1">
      <c r="D490" s="157"/>
      <c r="E490" s="158"/>
      <c r="J490" s="3"/>
    </row>
    <row r="491" ht="15.75" customHeight="1">
      <c r="D491" s="157"/>
      <c r="E491" s="158"/>
      <c r="J491" s="3"/>
    </row>
    <row r="492" ht="15.75" customHeight="1">
      <c r="D492" s="157"/>
      <c r="E492" s="158"/>
      <c r="J492" s="3"/>
    </row>
    <row r="493" ht="15.75" customHeight="1">
      <c r="D493" s="157"/>
      <c r="E493" s="158"/>
      <c r="J493" s="3"/>
    </row>
    <row r="494" ht="15.75" customHeight="1">
      <c r="D494" s="157"/>
      <c r="E494" s="158"/>
      <c r="J494" s="3"/>
    </row>
    <row r="495" ht="15.75" customHeight="1">
      <c r="D495" s="157"/>
      <c r="E495" s="158"/>
      <c r="J495" s="3"/>
    </row>
    <row r="496" ht="15.75" customHeight="1">
      <c r="D496" s="157"/>
      <c r="E496" s="158"/>
      <c r="J496" s="3"/>
    </row>
    <row r="497" ht="15.75" customHeight="1">
      <c r="D497" s="157"/>
      <c r="E497" s="158"/>
      <c r="J497" s="3"/>
    </row>
    <row r="498" ht="15.75" customHeight="1">
      <c r="D498" s="157"/>
      <c r="E498" s="158"/>
      <c r="J498" s="3"/>
    </row>
    <row r="499" ht="15.75" customHeight="1">
      <c r="D499" s="157"/>
      <c r="E499" s="158"/>
      <c r="J499" s="3"/>
    </row>
    <row r="500" ht="15.75" customHeight="1">
      <c r="D500" s="157"/>
      <c r="E500" s="158"/>
      <c r="J500" s="3"/>
    </row>
    <row r="501" ht="15.75" customHeight="1">
      <c r="D501" s="157"/>
      <c r="E501" s="158"/>
      <c r="J501" s="3"/>
    </row>
    <row r="502" ht="15.75" customHeight="1">
      <c r="D502" s="157"/>
      <c r="E502" s="158"/>
      <c r="J502" s="3"/>
    </row>
    <row r="503" ht="15.75" customHeight="1">
      <c r="D503" s="157"/>
      <c r="E503" s="158"/>
      <c r="J503" s="3"/>
    </row>
    <row r="504" ht="15.75" customHeight="1">
      <c r="D504" s="157"/>
      <c r="E504" s="158"/>
      <c r="J504" s="3"/>
    </row>
    <row r="505" ht="15.75" customHeight="1">
      <c r="D505" s="157"/>
      <c r="E505" s="158"/>
      <c r="J505" s="3"/>
    </row>
    <row r="506" ht="15.75" customHeight="1">
      <c r="D506" s="157"/>
      <c r="E506" s="158"/>
      <c r="J506" s="3"/>
    </row>
    <row r="507" ht="15.75" customHeight="1">
      <c r="D507" s="157"/>
      <c r="E507" s="158"/>
      <c r="J507" s="3"/>
    </row>
    <row r="508" ht="15.75" customHeight="1">
      <c r="D508" s="157"/>
      <c r="E508" s="158"/>
      <c r="J508" s="3"/>
    </row>
    <row r="509" ht="15.75" customHeight="1">
      <c r="D509" s="157"/>
      <c r="E509" s="158"/>
      <c r="J509" s="3"/>
    </row>
    <row r="510" ht="15.75" customHeight="1">
      <c r="D510" s="157"/>
      <c r="E510" s="158"/>
      <c r="J510" s="3"/>
    </row>
    <row r="511" ht="15.75" customHeight="1">
      <c r="D511" s="157"/>
      <c r="E511" s="158"/>
      <c r="J511" s="3"/>
    </row>
    <row r="512" ht="15.75" customHeight="1">
      <c r="D512" s="157"/>
      <c r="E512" s="158"/>
      <c r="J512" s="3"/>
    </row>
    <row r="513" ht="15.75" customHeight="1">
      <c r="D513" s="157"/>
      <c r="E513" s="158"/>
      <c r="J513" s="3"/>
    </row>
    <row r="514" ht="15.75" customHeight="1">
      <c r="D514" s="157"/>
      <c r="E514" s="158"/>
      <c r="J514" s="3"/>
    </row>
    <row r="515" ht="15.75" customHeight="1">
      <c r="D515" s="157"/>
      <c r="E515" s="158"/>
      <c r="J515" s="3"/>
    </row>
    <row r="516" ht="15.75" customHeight="1">
      <c r="D516" s="157"/>
      <c r="E516" s="158"/>
      <c r="J516" s="3"/>
    </row>
    <row r="517" ht="15.75" customHeight="1">
      <c r="D517" s="157"/>
      <c r="E517" s="158"/>
      <c r="J517" s="3"/>
    </row>
    <row r="518" ht="15.75" customHeight="1">
      <c r="D518" s="157"/>
      <c r="E518" s="158"/>
      <c r="J518" s="3"/>
    </row>
    <row r="519" ht="15.75" customHeight="1">
      <c r="D519" s="157"/>
      <c r="E519" s="158"/>
      <c r="J519" s="3"/>
    </row>
    <row r="520" ht="15.75" customHeight="1">
      <c r="D520" s="157"/>
      <c r="E520" s="158"/>
      <c r="J520" s="3"/>
    </row>
    <row r="521" ht="15.75" customHeight="1">
      <c r="D521" s="157"/>
      <c r="E521" s="158"/>
      <c r="J521" s="3"/>
    </row>
    <row r="522" ht="15.75" customHeight="1">
      <c r="D522" s="157"/>
      <c r="E522" s="158"/>
      <c r="J522" s="3"/>
    </row>
    <row r="523" ht="15.75" customHeight="1">
      <c r="D523" s="157"/>
      <c r="E523" s="158"/>
      <c r="J523" s="3"/>
    </row>
    <row r="524" ht="15.75" customHeight="1">
      <c r="D524" s="157"/>
      <c r="E524" s="158"/>
      <c r="J524" s="3"/>
    </row>
    <row r="525" ht="15.75" customHeight="1">
      <c r="D525" s="157"/>
      <c r="E525" s="158"/>
      <c r="J525" s="3"/>
    </row>
    <row r="526" ht="15.75" customHeight="1">
      <c r="D526" s="157"/>
      <c r="E526" s="158"/>
      <c r="J526" s="3"/>
    </row>
    <row r="527" ht="15.75" customHeight="1">
      <c r="D527" s="157"/>
      <c r="E527" s="158"/>
      <c r="J527" s="3"/>
    </row>
    <row r="528" ht="15.75" customHeight="1">
      <c r="D528" s="157"/>
      <c r="E528" s="158"/>
      <c r="J528" s="3"/>
    </row>
    <row r="529" ht="15.75" customHeight="1">
      <c r="D529" s="157"/>
      <c r="E529" s="158"/>
      <c r="J529" s="3"/>
    </row>
    <row r="530" ht="15.75" customHeight="1">
      <c r="D530" s="157"/>
      <c r="E530" s="158"/>
      <c r="J530" s="3"/>
    </row>
    <row r="531" ht="15.75" customHeight="1">
      <c r="D531" s="157"/>
      <c r="E531" s="158"/>
      <c r="J531" s="3"/>
    </row>
    <row r="532" ht="15.75" customHeight="1">
      <c r="D532" s="157"/>
      <c r="E532" s="158"/>
      <c r="J532" s="3"/>
    </row>
    <row r="533" ht="15.75" customHeight="1">
      <c r="D533" s="157"/>
      <c r="E533" s="158"/>
      <c r="J533" s="3"/>
    </row>
    <row r="534" ht="15.75" customHeight="1">
      <c r="D534" s="157"/>
      <c r="E534" s="158"/>
      <c r="J534" s="3"/>
    </row>
    <row r="535" ht="15.75" customHeight="1">
      <c r="D535" s="157"/>
      <c r="E535" s="158"/>
      <c r="J535" s="3"/>
    </row>
    <row r="536" ht="15.75" customHeight="1">
      <c r="D536" s="157"/>
      <c r="E536" s="158"/>
      <c r="J536" s="3"/>
    </row>
    <row r="537" ht="15.75" customHeight="1">
      <c r="D537" s="157"/>
      <c r="E537" s="158"/>
      <c r="J537" s="3"/>
    </row>
    <row r="538" ht="15.75" customHeight="1">
      <c r="D538" s="157"/>
      <c r="E538" s="158"/>
      <c r="J538" s="3"/>
    </row>
    <row r="539" ht="15.75" customHeight="1">
      <c r="D539" s="157"/>
      <c r="E539" s="158"/>
      <c r="J539" s="3"/>
    </row>
    <row r="540" ht="15.75" customHeight="1">
      <c r="D540" s="157"/>
      <c r="E540" s="158"/>
      <c r="J540" s="3"/>
    </row>
    <row r="541" ht="15.75" customHeight="1">
      <c r="D541" s="157"/>
      <c r="E541" s="158"/>
      <c r="J541" s="3"/>
    </row>
    <row r="542" ht="15.75" customHeight="1">
      <c r="D542" s="157"/>
      <c r="E542" s="158"/>
      <c r="J542" s="3"/>
    </row>
    <row r="543" ht="15.75" customHeight="1">
      <c r="D543" s="157"/>
      <c r="E543" s="158"/>
      <c r="J543" s="3"/>
    </row>
    <row r="544" ht="15.75" customHeight="1">
      <c r="D544" s="157"/>
      <c r="E544" s="158"/>
      <c r="J544" s="3"/>
    </row>
    <row r="545" ht="15.75" customHeight="1">
      <c r="D545" s="157"/>
      <c r="E545" s="158"/>
      <c r="J545" s="3"/>
    </row>
    <row r="546" ht="15.75" customHeight="1">
      <c r="D546" s="157"/>
      <c r="E546" s="158"/>
      <c r="J546" s="3"/>
    </row>
    <row r="547" ht="15.75" customHeight="1">
      <c r="D547" s="157"/>
      <c r="E547" s="158"/>
      <c r="J547" s="3"/>
    </row>
    <row r="548" ht="15.75" customHeight="1">
      <c r="D548" s="157"/>
      <c r="E548" s="158"/>
      <c r="J548" s="3"/>
    </row>
    <row r="549" ht="15.75" customHeight="1">
      <c r="D549" s="157"/>
      <c r="E549" s="158"/>
      <c r="J549" s="3"/>
    </row>
    <row r="550" ht="15.75" customHeight="1">
      <c r="D550" s="157"/>
      <c r="E550" s="158"/>
      <c r="J550" s="3"/>
    </row>
    <row r="551" ht="15.75" customHeight="1">
      <c r="D551" s="157"/>
      <c r="E551" s="158"/>
      <c r="J551" s="3"/>
    </row>
    <row r="552" ht="15.75" customHeight="1">
      <c r="D552" s="157"/>
      <c r="E552" s="158"/>
      <c r="J552" s="3"/>
    </row>
    <row r="553" ht="15.75" customHeight="1">
      <c r="D553" s="157"/>
      <c r="E553" s="158"/>
      <c r="J553" s="3"/>
    </row>
    <row r="554" ht="15.75" customHeight="1">
      <c r="D554" s="157"/>
      <c r="E554" s="158"/>
      <c r="J554" s="3"/>
    </row>
    <row r="555" ht="15.75" customHeight="1">
      <c r="D555" s="157"/>
      <c r="E555" s="158"/>
      <c r="J555" s="3"/>
    </row>
    <row r="556" ht="15.75" customHeight="1">
      <c r="D556" s="157"/>
      <c r="E556" s="158"/>
      <c r="J556" s="3"/>
    </row>
    <row r="557" ht="15.75" customHeight="1">
      <c r="D557" s="157"/>
      <c r="E557" s="158"/>
      <c r="J557" s="3"/>
    </row>
    <row r="558" ht="15.75" customHeight="1">
      <c r="D558" s="157"/>
      <c r="E558" s="158"/>
      <c r="J558" s="3"/>
    </row>
    <row r="559" ht="15.75" customHeight="1">
      <c r="D559" s="157"/>
      <c r="E559" s="158"/>
      <c r="J559" s="3"/>
    </row>
    <row r="560" ht="15.75" customHeight="1">
      <c r="D560" s="157"/>
      <c r="E560" s="158"/>
      <c r="J560" s="3"/>
    </row>
    <row r="561" ht="15.75" customHeight="1">
      <c r="D561" s="157"/>
      <c r="E561" s="158"/>
      <c r="J561" s="3"/>
    </row>
    <row r="562" ht="15.75" customHeight="1">
      <c r="D562" s="157"/>
      <c r="E562" s="158"/>
      <c r="J562" s="3"/>
    </row>
    <row r="563" ht="15.75" customHeight="1">
      <c r="D563" s="157"/>
      <c r="E563" s="158"/>
      <c r="J563" s="3"/>
    </row>
    <row r="564" ht="15.75" customHeight="1">
      <c r="D564" s="157"/>
      <c r="E564" s="158"/>
      <c r="J564" s="3"/>
    </row>
    <row r="565" ht="15.75" customHeight="1">
      <c r="D565" s="157"/>
      <c r="E565" s="158"/>
      <c r="J565" s="3"/>
    </row>
    <row r="566" ht="15.75" customHeight="1">
      <c r="D566" s="157"/>
      <c r="E566" s="158"/>
      <c r="J566" s="3"/>
    </row>
    <row r="567" ht="15.75" customHeight="1">
      <c r="D567" s="157"/>
      <c r="E567" s="158"/>
      <c r="J567" s="3"/>
    </row>
    <row r="568" ht="15.75" customHeight="1">
      <c r="D568" s="157"/>
      <c r="E568" s="158"/>
      <c r="J568" s="3"/>
    </row>
    <row r="569" ht="15.75" customHeight="1">
      <c r="D569" s="157"/>
      <c r="E569" s="158"/>
      <c r="J569" s="3"/>
    </row>
    <row r="570" ht="15.75" customHeight="1">
      <c r="D570" s="157"/>
      <c r="E570" s="158"/>
      <c r="J570" s="3"/>
    </row>
    <row r="571" ht="15.75" customHeight="1">
      <c r="D571" s="157"/>
      <c r="E571" s="158"/>
      <c r="J571" s="3"/>
    </row>
    <row r="572" ht="15.75" customHeight="1">
      <c r="D572" s="157"/>
      <c r="E572" s="158"/>
      <c r="J572" s="3"/>
    </row>
    <row r="573" ht="15.75" customHeight="1">
      <c r="D573" s="157"/>
      <c r="E573" s="158"/>
      <c r="J573" s="3"/>
    </row>
    <row r="574" ht="15.75" customHeight="1">
      <c r="D574" s="157"/>
      <c r="E574" s="158"/>
      <c r="J574" s="3"/>
    </row>
    <row r="575" ht="15.75" customHeight="1">
      <c r="D575" s="157"/>
      <c r="E575" s="158"/>
      <c r="J575" s="3"/>
    </row>
    <row r="576" ht="15.75" customHeight="1">
      <c r="D576" s="157"/>
      <c r="E576" s="158"/>
      <c r="J576" s="3"/>
    </row>
    <row r="577" ht="15.75" customHeight="1">
      <c r="D577" s="157"/>
      <c r="E577" s="158"/>
      <c r="J577" s="3"/>
    </row>
    <row r="578" ht="15.75" customHeight="1">
      <c r="D578" s="157"/>
      <c r="E578" s="158"/>
      <c r="J578" s="3"/>
    </row>
    <row r="579" ht="15.75" customHeight="1">
      <c r="D579" s="157"/>
      <c r="E579" s="158"/>
      <c r="J579" s="3"/>
    </row>
    <row r="580" ht="15.75" customHeight="1">
      <c r="D580" s="157"/>
      <c r="E580" s="158"/>
      <c r="J580" s="3"/>
    </row>
    <row r="581" ht="15.75" customHeight="1">
      <c r="D581" s="157"/>
      <c r="E581" s="158"/>
      <c r="J581" s="3"/>
    </row>
    <row r="582" ht="15.75" customHeight="1">
      <c r="D582" s="157"/>
      <c r="E582" s="158"/>
      <c r="J582" s="3"/>
    </row>
    <row r="583" ht="15.75" customHeight="1">
      <c r="D583" s="157"/>
      <c r="E583" s="158"/>
      <c r="J583" s="3"/>
    </row>
    <row r="584" ht="15.75" customHeight="1">
      <c r="D584" s="157"/>
      <c r="E584" s="158"/>
      <c r="J584" s="3"/>
    </row>
    <row r="585" ht="15.75" customHeight="1">
      <c r="D585" s="157"/>
      <c r="E585" s="158"/>
      <c r="J585" s="3"/>
    </row>
    <row r="586" ht="15.75" customHeight="1">
      <c r="D586" s="157"/>
      <c r="E586" s="158"/>
      <c r="J586" s="3"/>
    </row>
    <row r="587" ht="15.75" customHeight="1">
      <c r="D587" s="157"/>
      <c r="E587" s="158"/>
      <c r="J587" s="3"/>
    </row>
    <row r="588" ht="15.75" customHeight="1">
      <c r="D588" s="157"/>
      <c r="E588" s="158"/>
      <c r="J588" s="3"/>
    </row>
    <row r="589" ht="15.75" customHeight="1">
      <c r="D589" s="157"/>
      <c r="E589" s="158"/>
      <c r="J589" s="3"/>
    </row>
    <row r="590" ht="15.75" customHeight="1">
      <c r="D590" s="157"/>
      <c r="E590" s="158"/>
      <c r="J590" s="3"/>
    </row>
    <row r="591" ht="15.75" customHeight="1">
      <c r="D591" s="157"/>
      <c r="E591" s="158"/>
      <c r="J591" s="3"/>
    </row>
    <row r="592" ht="15.75" customHeight="1">
      <c r="D592" s="157"/>
      <c r="E592" s="158"/>
      <c r="J592" s="3"/>
    </row>
    <row r="593" ht="15.75" customHeight="1">
      <c r="D593" s="157"/>
      <c r="E593" s="158"/>
      <c r="J593" s="3"/>
    </row>
    <row r="594" ht="15.75" customHeight="1">
      <c r="D594" s="157"/>
      <c r="E594" s="158"/>
      <c r="J594" s="3"/>
    </row>
    <row r="595" ht="15.75" customHeight="1">
      <c r="D595" s="157"/>
      <c r="E595" s="158"/>
      <c r="J595" s="3"/>
    </row>
    <row r="596" ht="15.75" customHeight="1">
      <c r="D596" s="157"/>
      <c r="E596" s="158"/>
      <c r="J596" s="3"/>
    </row>
    <row r="597" ht="15.75" customHeight="1">
      <c r="D597" s="157"/>
      <c r="E597" s="158"/>
      <c r="J597" s="3"/>
    </row>
    <row r="598" ht="15.75" customHeight="1">
      <c r="D598" s="157"/>
      <c r="E598" s="158"/>
      <c r="J598" s="3"/>
    </row>
    <row r="599" ht="15.75" customHeight="1">
      <c r="D599" s="157"/>
      <c r="E599" s="158"/>
      <c r="J599" s="3"/>
    </row>
    <row r="600" ht="15.75" customHeight="1">
      <c r="D600" s="157"/>
      <c r="E600" s="158"/>
      <c r="J600" s="3"/>
    </row>
    <row r="601" ht="15.75" customHeight="1">
      <c r="D601" s="157"/>
      <c r="E601" s="158"/>
      <c r="J601" s="3"/>
    </row>
    <row r="602" ht="15.75" customHeight="1">
      <c r="D602" s="157"/>
      <c r="E602" s="158"/>
      <c r="J602" s="3"/>
    </row>
    <row r="603" ht="15.75" customHeight="1">
      <c r="D603" s="157"/>
      <c r="E603" s="158"/>
      <c r="J603" s="3"/>
    </row>
    <row r="604" ht="15.75" customHeight="1">
      <c r="D604" s="157"/>
      <c r="E604" s="158"/>
      <c r="J604" s="3"/>
    </row>
    <row r="605" ht="15.75" customHeight="1">
      <c r="D605" s="157"/>
      <c r="E605" s="158"/>
      <c r="J605" s="3"/>
    </row>
    <row r="606" ht="15.75" customHeight="1">
      <c r="D606" s="157"/>
      <c r="E606" s="158"/>
      <c r="J606" s="3"/>
    </row>
    <row r="607" ht="15.75" customHeight="1">
      <c r="D607" s="157"/>
      <c r="E607" s="158"/>
      <c r="J607" s="3"/>
    </row>
    <row r="608" ht="15.75" customHeight="1">
      <c r="D608" s="157"/>
      <c r="E608" s="158"/>
      <c r="J608" s="3"/>
    </row>
    <row r="609" ht="15.75" customHeight="1">
      <c r="D609" s="157"/>
      <c r="E609" s="158"/>
      <c r="J609" s="3"/>
    </row>
    <row r="610" ht="15.75" customHeight="1">
      <c r="D610" s="157"/>
      <c r="E610" s="158"/>
      <c r="J610" s="3"/>
    </row>
    <row r="611" ht="15.75" customHeight="1">
      <c r="D611" s="157"/>
      <c r="E611" s="158"/>
      <c r="J611" s="3"/>
    </row>
    <row r="612" ht="15.75" customHeight="1">
      <c r="D612" s="157"/>
      <c r="E612" s="158"/>
      <c r="J612" s="3"/>
    </row>
    <row r="613" ht="15.75" customHeight="1">
      <c r="D613" s="157"/>
      <c r="E613" s="158"/>
      <c r="J613" s="3"/>
    </row>
    <row r="614" ht="15.75" customHeight="1">
      <c r="D614" s="157"/>
      <c r="E614" s="158"/>
      <c r="J614" s="3"/>
    </row>
    <row r="615" ht="15.75" customHeight="1">
      <c r="D615" s="157"/>
      <c r="E615" s="158"/>
      <c r="J615" s="3"/>
    </row>
    <row r="616" ht="15.75" customHeight="1">
      <c r="D616" s="157"/>
      <c r="E616" s="158"/>
      <c r="J616" s="3"/>
    </row>
    <row r="617" ht="15.75" customHeight="1">
      <c r="D617" s="157"/>
      <c r="E617" s="158"/>
      <c r="J617" s="3"/>
    </row>
    <row r="618" ht="15.75" customHeight="1">
      <c r="D618" s="157"/>
      <c r="E618" s="158"/>
      <c r="J618" s="3"/>
    </row>
    <row r="619" ht="15.75" customHeight="1">
      <c r="D619" s="157"/>
      <c r="E619" s="158"/>
      <c r="J619" s="3"/>
    </row>
    <row r="620" ht="15.75" customHeight="1">
      <c r="D620" s="157"/>
      <c r="E620" s="158"/>
      <c r="J620" s="3"/>
    </row>
    <row r="621" ht="15.75" customHeight="1">
      <c r="D621" s="157"/>
      <c r="E621" s="158"/>
      <c r="J621" s="3"/>
    </row>
    <row r="622" ht="15.75" customHeight="1">
      <c r="D622" s="157"/>
      <c r="E622" s="158"/>
      <c r="J622" s="3"/>
    </row>
    <row r="623" ht="15.75" customHeight="1">
      <c r="D623" s="157"/>
      <c r="E623" s="158"/>
      <c r="J623" s="3"/>
    </row>
    <row r="624" ht="15.75" customHeight="1">
      <c r="D624" s="157"/>
      <c r="E624" s="158"/>
      <c r="J624" s="3"/>
    </row>
    <row r="625" ht="15.75" customHeight="1">
      <c r="D625" s="157"/>
      <c r="E625" s="158"/>
      <c r="J625" s="3"/>
    </row>
    <row r="626" ht="15.75" customHeight="1">
      <c r="D626" s="157"/>
      <c r="E626" s="158"/>
      <c r="J626" s="3"/>
    </row>
    <row r="627" ht="15.75" customHeight="1">
      <c r="D627" s="157"/>
      <c r="E627" s="158"/>
      <c r="J627" s="3"/>
    </row>
    <row r="628" ht="15.75" customHeight="1">
      <c r="D628" s="157"/>
      <c r="E628" s="158"/>
      <c r="J628" s="3"/>
    </row>
    <row r="629" ht="15.75" customHeight="1">
      <c r="D629" s="157"/>
      <c r="E629" s="158"/>
      <c r="J629" s="3"/>
    </row>
    <row r="630" ht="15.75" customHeight="1">
      <c r="D630" s="157"/>
      <c r="E630" s="158"/>
      <c r="J630" s="3"/>
    </row>
    <row r="631" ht="15.75" customHeight="1">
      <c r="D631" s="157"/>
      <c r="E631" s="158"/>
      <c r="J631" s="3"/>
    </row>
    <row r="632" ht="15.75" customHeight="1">
      <c r="D632" s="157"/>
      <c r="E632" s="158"/>
      <c r="J632" s="3"/>
    </row>
    <row r="633" ht="15.75" customHeight="1">
      <c r="D633" s="157"/>
      <c r="E633" s="158"/>
      <c r="J633" s="3"/>
    </row>
    <row r="634" ht="15.75" customHeight="1">
      <c r="D634" s="157"/>
      <c r="E634" s="158"/>
      <c r="J634" s="3"/>
    </row>
    <row r="635" ht="15.75" customHeight="1">
      <c r="D635" s="157"/>
      <c r="E635" s="158"/>
      <c r="J635" s="3"/>
    </row>
    <row r="636" ht="15.75" customHeight="1">
      <c r="D636" s="157"/>
      <c r="E636" s="158"/>
      <c r="J636" s="3"/>
    </row>
    <row r="637" ht="15.75" customHeight="1">
      <c r="D637" s="157"/>
      <c r="E637" s="158"/>
      <c r="J637" s="3"/>
    </row>
    <row r="638" ht="15.75" customHeight="1">
      <c r="D638" s="157"/>
      <c r="E638" s="158"/>
      <c r="J638" s="3"/>
    </row>
    <row r="639" ht="15.75" customHeight="1">
      <c r="D639" s="157"/>
      <c r="E639" s="158"/>
      <c r="J639" s="3"/>
    </row>
    <row r="640" ht="15.75" customHeight="1">
      <c r="D640" s="157"/>
      <c r="E640" s="158"/>
      <c r="J640" s="3"/>
    </row>
    <row r="641" ht="15.75" customHeight="1">
      <c r="D641" s="157"/>
      <c r="E641" s="158"/>
      <c r="J641" s="3"/>
    </row>
    <row r="642" ht="15.75" customHeight="1">
      <c r="D642" s="157"/>
      <c r="E642" s="158"/>
      <c r="J642" s="3"/>
    </row>
    <row r="643" ht="15.75" customHeight="1">
      <c r="D643" s="157"/>
      <c r="E643" s="158"/>
      <c r="J643" s="3"/>
    </row>
    <row r="644" ht="15.75" customHeight="1">
      <c r="D644" s="157"/>
      <c r="E644" s="158"/>
      <c r="J644" s="3"/>
    </row>
    <row r="645" ht="15.75" customHeight="1">
      <c r="D645" s="157"/>
      <c r="E645" s="158"/>
      <c r="J645" s="3"/>
    </row>
    <row r="646" ht="15.75" customHeight="1">
      <c r="D646" s="157"/>
      <c r="E646" s="158"/>
      <c r="J646" s="3"/>
    </row>
    <row r="647" ht="15.75" customHeight="1">
      <c r="D647" s="157"/>
      <c r="E647" s="158"/>
      <c r="J647" s="3"/>
    </row>
    <row r="648" ht="15.75" customHeight="1">
      <c r="D648" s="157"/>
      <c r="E648" s="158"/>
      <c r="J648" s="3"/>
    </row>
    <row r="649" ht="15.75" customHeight="1">
      <c r="D649" s="157"/>
      <c r="E649" s="158"/>
      <c r="J649" s="3"/>
    </row>
    <row r="650" ht="15.75" customHeight="1">
      <c r="D650" s="157"/>
      <c r="E650" s="158"/>
      <c r="J650" s="3"/>
    </row>
    <row r="651" ht="15.75" customHeight="1">
      <c r="D651" s="157"/>
      <c r="E651" s="158"/>
      <c r="J651" s="3"/>
    </row>
    <row r="652" ht="15.75" customHeight="1">
      <c r="D652" s="157"/>
      <c r="E652" s="158"/>
      <c r="J652" s="3"/>
    </row>
    <row r="653" ht="15.75" customHeight="1">
      <c r="D653" s="157"/>
      <c r="E653" s="158"/>
      <c r="J653" s="3"/>
    </row>
    <row r="654" ht="15.75" customHeight="1">
      <c r="D654" s="157"/>
      <c r="E654" s="158"/>
      <c r="J654" s="3"/>
    </row>
    <row r="655" ht="15.75" customHeight="1">
      <c r="D655" s="157"/>
      <c r="E655" s="158"/>
      <c r="J655" s="3"/>
    </row>
    <row r="656" ht="15.75" customHeight="1">
      <c r="D656" s="157"/>
      <c r="E656" s="158"/>
      <c r="J656" s="3"/>
    </row>
    <row r="657" ht="15.75" customHeight="1">
      <c r="D657" s="157"/>
      <c r="E657" s="158"/>
      <c r="J657" s="3"/>
    </row>
    <row r="658" ht="15.75" customHeight="1">
      <c r="D658" s="157"/>
      <c r="E658" s="158"/>
      <c r="J658" s="3"/>
    </row>
    <row r="659" ht="15.75" customHeight="1">
      <c r="D659" s="157"/>
      <c r="E659" s="158"/>
      <c r="J659" s="3"/>
    </row>
    <row r="660" ht="15.75" customHeight="1">
      <c r="D660" s="157"/>
      <c r="E660" s="158"/>
      <c r="J660" s="3"/>
    </row>
    <row r="661" ht="15.75" customHeight="1">
      <c r="D661" s="157"/>
      <c r="E661" s="158"/>
      <c r="J661" s="3"/>
    </row>
    <row r="662" ht="15.75" customHeight="1">
      <c r="D662" s="157"/>
      <c r="E662" s="158"/>
      <c r="J662" s="3"/>
    </row>
    <row r="663" ht="15.75" customHeight="1">
      <c r="D663" s="157"/>
      <c r="E663" s="158"/>
      <c r="J663" s="3"/>
    </row>
    <row r="664" ht="15.75" customHeight="1">
      <c r="D664" s="157"/>
      <c r="E664" s="158"/>
      <c r="J664" s="3"/>
    </row>
    <row r="665" ht="15.75" customHeight="1">
      <c r="D665" s="157"/>
      <c r="E665" s="158"/>
      <c r="J665" s="3"/>
    </row>
    <row r="666" ht="15.75" customHeight="1">
      <c r="D666" s="157"/>
      <c r="E666" s="158"/>
      <c r="J666" s="3"/>
    </row>
    <row r="667" ht="15.75" customHeight="1">
      <c r="D667" s="157"/>
      <c r="E667" s="158"/>
      <c r="J667" s="3"/>
    </row>
    <row r="668" ht="15.75" customHeight="1">
      <c r="D668" s="157"/>
      <c r="E668" s="158"/>
      <c r="J668" s="3"/>
    </row>
    <row r="669" ht="15.75" customHeight="1">
      <c r="D669" s="157"/>
      <c r="E669" s="158"/>
      <c r="J669" s="3"/>
    </row>
    <row r="670" ht="15.75" customHeight="1">
      <c r="D670" s="157"/>
      <c r="E670" s="158"/>
      <c r="J670" s="3"/>
    </row>
    <row r="671" ht="15.75" customHeight="1">
      <c r="D671" s="157"/>
      <c r="E671" s="158"/>
      <c r="J671" s="3"/>
    </row>
    <row r="672" ht="15.75" customHeight="1">
      <c r="D672" s="157"/>
      <c r="E672" s="158"/>
      <c r="J672" s="3"/>
    </row>
    <row r="673" ht="15.75" customHeight="1">
      <c r="D673" s="157"/>
      <c r="E673" s="158"/>
      <c r="J673" s="3"/>
    </row>
    <row r="674" ht="15.75" customHeight="1">
      <c r="D674" s="157"/>
      <c r="E674" s="158"/>
      <c r="J674" s="3"/>
    </row>
    <row r="675" ht="15.75" customHeight="1">
      <c r="D675" s="157"/>
      <c r="E675" s="158"/>
      <c r="J675" s="3"/>
    </row>
    <row r="676" ht="15.75" customHeight="1">
      <c r="D676" s="157"/>
      <c r="E676" s="158"/>
      <c r="J676" s="3"/>
    </row>
    <row r="677" ht="15.75" customHeight="1">
      <c r="D677" s="157"/>
      <c r="E677" s="158"/>
      <c r="J677" s="3"/>
    </row>
    <row r="678" ht="15.75" customHeight="1">
      <c r="D678" s="157"/>
      <c r="E678" s="158"/>
      <c r="J678" s="3"/>
    </row>
    <row r="679" ht="15.75" customHeight="1">
      <c r="D679" s="157"/>
      <c r="E679" s="158"/>
      <c r="J679" s="3"/>
    </row>
    <row r="680" ht="15.75" customHeight="1">
      <c r="D680" s="157"/>
      <c r="E680" s="158"/>
      <c r="J680" s="3"/>
    </row>
    <row r="681" ht="15.75" customHeight="1">
      <c r="D681" s="157"/>
      <c r="E681" s="158"/>
      <c r="J681" s="3"/>
    </row>
    <row r="682" ht="15.75" customHeight="1">
      <c r="D682" s="157"/>
      <c r="E682" s="158"/>
      <c r="J682" s="3"/>
    </row>
    <row r="683" ht="15.75" customHeight="1">
      <c r="D683" s="157"/>
      <c r="E683" s="158"/>
      <c r="J683" s="3"/>
    </row>
    <row r="684" ht="15.75" customHeight="1">
      <c r="D684" s="157"/>
      <c r="E684" s="158"/>
      <c r="J684" s="3"/>
    </row>
    <row r="685" ht="15.75" customHeight="1">
      <c r="D685" s="157"/>
      <c r="E685" s="158"/>
      <c r="J685" s="3"/>
    </row>
    <row r="686" ht="15.75" customHeight="1">
      <c r="D686" s="157"/>
      <c r="E686" s="158"/>
      <c r="J686" s="3"/>
    </row>
    <row r="687" ht="15.75" customHeight="1">
      <c r="D687" s="157"/>
      <c r="E687" s="158"/>
      <c r="J687" s="3"/>
    </row>
    <row r="688" ht="15.75" customHeight="1">
      <c r="D688" s="157"/>
      <c r="E688" s="158"/>
      <c r="J688" s="3"/>
    </row>
    <row r="689" ht="15.75" customHeight="1">
      <c r="D689" s="157"/>
      <c r="E689" s="158"/>
      <c r="J689" s="3"/>
    </row>
    <row r="690" ht="15.75" customHeight="1">
      <c r="D690" s="157"/>
      <c r="E690" s="158"/>
      <c r="J690" s="3"/>
    </row>
    <row r="691" ht="15.75" customHeight="1">
      <c r="D691" s="157"/>
      <c r="E691" s="158"/>
      <c r="J691" s="3"/>
    </row>
    <row r="692" ht="15.75" customHeight="1">
      <c r="D692" s="157"/>
      <c r="E692" s="158"/>
      <c r="J692" s="3"/>
    </row>
    <row r="693" ht="15.75" customHeight="1">
      <c r="D693" s="157"/>
      <c r="E693" s="158"/>
      <c r="J693" s="3"/>
    </row>
    <row r="694" ht="15.75" customHeight="1">
      <c r="D694" s="157"/>
      <c r="E694" s="158"/>
      <c r="J694" s="3"/>
    </row>
    <row r="695" ht="15.75" customHeight="1">
      <c r="D695" s="157"/>
      <c r="E695" s="158"/>
      <c r="J695" s="3"/>
    </row>
    <row r="696" ht="15.75" customHeight="1">
      <c r="D696" s="157"/>
      <c r="E696" s="158"/>
      <c r="J696" s="3"/>
    </row>
    <row r="697" ht="15.75" customHeight="1">
      <c r="D697" s="157"/>
      <c r="E697" s="158"/>
      <c r="J697" s="3"/>
    </row>
    <row r="698" ht="15.75" customHeight="1">
      <c r="D698" s="157"/>
      <c r="E698" s="158"/>
      <c r="J698" s="3"/>
    </row>
    <row r="699" ht="15.75" customHeight="1">
      <c r="D699" s="157"/>
      <c r="E699" s="158"/>
      <c r="J699" s="3"/>
    </row>
    <row r="700" ht="15.75" customHeight="1">
      <c r="D700" s="157"/>
      <c r="E700" s="158"/>
      <c r="J700" s="3"/>
    </row>
    <row r="701" ht="15.75" customHeight="1">
      <c r="D701" s="157"/>
      <c r="E701" s="158"/>
      <c r="J701" s="3"/>
    </row>
    <row r="702" ht="15.75" customHeight="1">
      <c r="D702" s="157"/>
      <c r="E702" s="158"/>
      <c r="J702" s="3"/>
    </row>
    <row r="703" ht="15.75" customHeight="1">
      <c r="D703" s="157"/>
      <c r="E703" s="158"/>
      <c r="J703" s="3"/>
    </row>
    <row r="704" ht="15.75" customHeight="1">
      <c r="D704" s="157"/>
      <c r="E704" s="158"/>
      <c r="J704" s="3"/>
    </row>
    <row r="705" ht="15.75" customHeight="1">
      <c r="D705" s="157"/>
      <c r="E705" s="158"/>
      <c r="J705" s="3"/>
    </row>
    <row r="706" ht="15.75" customHeight="1">
      <c r="D706" s="157"/>
      <c r="E706" s="158"/>
      <c r="J706" s="3"/>
    </row>
    <row r="707" ht="15.75" customHeight="1">
      <c r="D707" s="157"/>
      <c r="E707" s="158"/>
      <c r="J707" s="3"/>
    </row>
    <row r="708" ht="15.75" customHeight="1">
      <c r="D708" s="157"/>
      <c r="E708" s="158"/>
      <c r="J708" s="3"/>
    </row>
    <row r="709" ht="15.75" customHeight="1">
      <c r="D709" s="157"/>
      <c r="E709" s="158"/>
      <c r="J709" s="3"/>
    </row>
    <row r="710" ht="15.75" customHeight="1">
      <c r="D710" s="157"/>
      <c r="E710" s="158"/>
      <c r="J710" s="3"/>
    </row>
    <row r="711" ht="15.75" customHeight="1">
      <c r="D711" s="157"/>
      <c r="E711" s="158"/>
      <c r="J711" s="3"/>
    </row>
    <row r="712" ht="15.75" customHeight="1">
      <c r="D712" s="157"/>
      <c r="E712" s="158"/>
      <c r="J712" s="3"/>
    </row>
    <row r="713" ht="15.75" customHeight="1">
      <c r="D713" s="157"/>
      <c r="E713" s="158"/>
      <c r="J713" s="3"/>
    </row>
    <row r="714" ht="15.75" customHeight="1">
      <c r="D714" s="157"/>
      <c r="E714" s="158"/>
      <c r="J714" s="3"/>
    </row>
    <row r="715" ht="15.75" customHeight="1">
      <c r="D715" s="157"/>
      <c r="E715" s="158"/>
      <c r="J715" s="3"/>
    </row>
    <row r="716" ht="15.75" customHeight="1">
      <c r="D716" s="157"/>
      <c r="E716" s="158"/>
      <c r="J716" s="3"/>
    </row>
    <row r="717" ht="15.75" customHeight="1">
      <c r="D717" s="157"/>
      <c r="E717" s="158"/>
      <c r="J717" s="3"/>
    </row>
    <row r="718" ht="15.75" customHeight="1">
      <c r="D718" s="157"/>
      <c r="E718" s="158"/>
      <c r="J718" s="3"/>
    </row>
    <row r="719" ht="15.75" customHeight="1">
      <c r="D719" s="157"/>
      <c r="E719" s="158"/>
      <c r="J719" s="3"/>
    </row>
    <row r="720" ht="15.75" customHeight="1">
      <c r="D720" s="157"/>
      <c r="E720" s="158"/>
      <c r="J720" s="3"/>
    </row>
    <row r="721" ht="15.75" customHeight="1">
      <c r="D721" s="157"/>
      <c r="E721" s="158"/>
      <c r="J721" s="3"/>
    </row>
    <row r="722" ht="15.75" customHeight="1">
      <c r="D722" s="157"/>
      <c r="E722" s="158"/>
      <c r="J722" s="3"/>
    </row>
    <row r="723" ht="15.75" customHeight="1">
      <c r="D723" s="157"/>
      <c r="E723" s="158"/>
      <c r="J723" s="3"/>
    </row>
    <row r="724" ht="15.75" customHeight="1">
      <c r="D724" s="157"/>
      <c r="E724" s="158"/>
      <c r="J724" s="3"/>
    </row>
    <row r="725" ht="15.75" customHeight="1">
      <c r="D725" s="157"/>
      <c r="E725" s="158"/>
      <c r="J725" s="3"/>
    </row>
    <row r="726" ht="15.75" customHeight="1">
      <c r="D726" s="157"/>
      <c r="E726" s="158"/>
      <c r="J726" s="3"/>
    </row>
    <row r="727" ht="15.75" customHeight="1">
      <c r="D727" s="157"/>
      <c r="E727" s="158"/>
      <c r="J727" s="3"/>
    </row>
    <row r="728" ht="15.75" customHeight="1">
      <c r="D728" s="157"/>
      <c r="E728" s="158"/>
      <c r="J728" s="3"/>
    </row>
    <row r="729" ht="15.75" customHeight="1">
      <c r="D729" s="157"/>
      <c r="E729" s="158"/>
      <c r="J729" s="3"/>
    </row>
    <row r="730" ht="15.75" customHeight="1">
      <c r="D730" s="157"/>
      <c r="E730" s="158"/>
      <c r="J730" s="3"/>
    </row>
    <row r="731" ht="15.75" customHeight="1">
      <c r="D731" s="157"/>
      <c r="E731" s="158"/>
      <c r="J731" s="3"/>
    </row>
    <row r="732" ht="15.75" customHeight="1">
      <c r="D732" s="157"/>
      <c r="E732" s="158"/>
      <c r="J732" s="3"/>
    </row>
    <row r="733" ht="15.75" customHeight="1">
      <c r="D733" s="157"/>
      <c r="E733" s="158"/>
      <c r="J733" s="3"/>
    </row>
    <row r="734" ht="15.75" customHeight="1">
      <c r="D734" s="157"/>
      <c r="E734" s="158"/>
      <c r="J734" s="3"/>
    </row>
    <row r="735" ht="15.75" customHeight="1">
      <c r="D735" s="157"/>
      <c r="E735" s="158"/>
      <c r="J735" s="3"/>
    </row>
    <row r="736" ht="15.75" customHeight="1">
      <c r="D736" s="157"/>
      <c r="E736" s="158"/>
      <c r="J736" s="3"/>
    </row>
    <row r="737" ht="15.75" customHeight="1">
      <c r="D737" s="157"/>
      <c r="E737" s="158"/>
      <c r="J737" s="3"/>
    </row>
    <row r="738" ht="15.75" customHeight="1">
      <c r="D738" s="157"/>
      <c r="E738" s="158"/>
      <c r="J738" s="3"/>
    </row>
    <row r="739" ht="15.75" customHeight="1">
      <c r="D739" s="157"/>
      <c r="E739" s="158"/>
      <c r="J739" s="3"/>
    </row>
    <row r="740" ht="15.75" customHeight="1">
      <c r="D740" s="157"/>
      <c r="E740" s="158"/>
      <c r="J740" s="3"/>
    </row>
    <row r="741" ht="15.75" customHeight="1">
      <c r="D741" s="157"/>
      <c r="E741" s="158"/>
      <c r="J741" s="3"/>
    </row>
    <row r="742" ht="15.75" customHeight="1">
      <c r="D742" s="157"/>
      <c r="E742" s="158"/>
      <c r="J742" s="3"/>
    </row>
    <row r="743" ht="15.75" customHeight="1">
      <c r="D743" s="157"/>
      <c r="E743" s="158"/>
      <c r="J743" s="3"/>
    </row>
    <row r="744" ht="15.75" customHeight="1">
      <c r="D744" s="157"/>
      <c r="E744" s="158"/>
      <c r="J744" s="3"/>
    </row>
    <row r="745" ht="15.75" customHeight="1">
      <c r="D745" s="157"/>
      <c r="E745" s="158"/>
      <c r="J745" s="3"/>
    </row>
    <row r="746" ht="15.75" customHeight="1">
      <c r="D746" s="157"/>
      <c r="E746" s="158"/>
      <c r="J746" s="3"/>
    </row>
    <row r="747" ht="15.75" customHeight="1">
      <c r="D747" s="157"/>
      <c r="E747" s="158"/>
      <c r="J747" s="3"/>
    </row>
    <row r="748" ht="15.75" customHeight="1">
      <c r="D748" s="157"/>
      <c r="E748" s="158"/>
      <c r="J748" s="3"/>
    </row>
    <row r="749" ht="15.75" customHeight="1">
      <c r="D749" s="157"/>
      <c r="E749" s="158"/>
      <c r="J749" s="3"/>
    </row>
    <row r="750" ht="15.75" customHeight="1">
      <c r="D750" s="157"/>
      <c r="E750" s="158"/>
      <c r="J750" s="3"/>
    </row>
    <row r="751" ht="15.75" customHeight="1">
      <c r="D751" s="157"/>
      <c r="E751" s="158"/>
      <c r="J751" s="3"/>
    </row>
    <row r="752" ht="15.75" customHeight="1">
      <c r="D752" s="157"/>
      <c r="E752" s="158"/>
      <c r="J752" s="3"/>
    </row>
    <row r="753" ht="15.75" customHeight="1">
      <c r="D753" s="157"/>
      <c r="E753" s="158"/>
      <c r="J753" s="3"/>
    </row>
    <row r="754" ht="15.75" customHeight="1">
      <c r="D754" s="157"/>
      <c r="E754" s="158"/>
      <c r="J754" s="3"/>
    </row>
    <row r="755" ht="15.75" customHeight="1">
      <c r="D755" s="157"/>
      <c r="E755" s="158"/>
      <c r="J755" s="3"/>
    </row>
    <row r="756" ht="15.75" customHeight="1">
      <c r="D756" s="157"/>
      <c r="E756" s="158"/>
      <c r="J756" s="3"/>
    </row>
    <row r="757" ht="15.75" customHeight="1">
      <c r="D757" s="157"/>
      <c r="E757" s="158"/>
      <c r="J757" s="3"/>
    </row>
    <row r="758" ht="15.75" customHeight="1">
      <c r="D758" s="157"/>
      <c r="E758" s="158"/>
      <c r="J758" s="3"/>
    </row>
    <row r="759" ht="15.75" customHeight="1">
      <c r="D759" s="157"/>
      <c r="E759" s="158"/>
      <c r="J759" s="3"/>
    </row>
    <row r="760" ht="15.75" customHeight="1">
      <c r="D760" s="157"/>
      <c r="E760" s="158"/>
      <c r="J760" s="3"/>
    </row>
    <row r="761" ht="15.75" customHeight="1">
      <c r="D761" s="157"/>
      <c r="E761" s="158"/>
      <c r="J761" s="3"/>
    </row>
    <row r="762" ht="15.75" customHeight="1">
      <c r="D762" s="157"/>
      <c r="E762" s="158"/>
      <c r="J762" s="3"/>
    </row>
    <row r="763" ht="15.75" customHeight="1">
      <c r="D763" s="157"/>
      <c r="E763" s="158"/>
      <c r="J763" s="3"/>
    </row>
    <row r="764" ht="15.75" customHeight="1">
      <c r="D764" s="157"/>
      <c r="E764" s="158"/>
      <c r="J764" s="3"/>
    </row>
    <row r="765" ht="15.75" customHeight="1">
      <c r="D765" s="157"/>
      <c r="E765" s="158"/>
      <c r="J765" s="3"/>
    </row>
    <row r="766" ht="15.75" customHeight="1">
      <c r="D766" s="157"/>
      <c r="E766" s="158"/>
      <c r="J766" s="3"/>
    </row>
    <row r="767" ht="15.75" customHeight="1">
      <c r="D767" s="157"/>
      <c r="E767" s="158"/>
      <c r="J767" s="3"/>
    </row>
    <row r="768" ht="15.75" customHeight="1">
      <c r="D768" s="157"/>
      <c r="E768" s="158"/>
      <c r="J768" s="3"/>
    </row>
    <row r="769" ht="15.75" customHeight="1">
      <c r="D769" s="157"/>
      <c r="E769" s="158"/>
      <c r="J769" s="3"/>
    </row>
    <row r="770" ht="15.75" customHeight="1">
      <c r="D770" s="157"/>
      <c r="E770" s="158"/>
      <c r="J770" s="3"/>
    </row>
    <row r="771" ht="15.75" customHeight="1">
      <c r="D771" s="157"/>
      <c r="E771" s="158"/>
      <c r="J771" s="3"/>
    </row>
    <row r="772" ht="15.75" customHeight="1">
      <c r="D772" s="157"/>
      <c r="E772" s="158"/>
      <c r="J772" s="3"/>
    </row>
    <row r="773" ht="15.75" customHeight="1">
      <c r="D773" s="157"/>
      <c r="E773" s="158"/>
      <c r="J773" s="3"/>
    </row>
    <row r="774" ht="15.75" customHeight="1">
      <c r="D774" s="157"/>
      <c r="E774" s="158"/>
      <c r="J774" s="3"/>
    </row>
    <row r="775" ht="15.75" customHeight="1">
      <c r="D775" s="157"/>
      <c r="E775" s="158"/>
      <c r="J775" s="3"/>
    </row>
    <row r="776" ht="15.75" customHeight="1">
      <c r="D776" s="157"/>
      <c r="E776" s="158"/>
      <c r="J776" s="3"/>
    </row>
    <row r="777" ht="15.75" customHeight="1">
      <c r="D777" s="157"/>
      <c r="E777" s="158"/>
      <c r="J777" s="3"/>
    </row>
    <row r="778" ht="15.75" customHeight="1">
      <c r="D778" s="157"/>
      <c r="E778" s="158"/>
      <c r="J778" s="3"/>
    </row>
    <row r="779" ht="15.75" customHeight="1">
      <c r="D779" s="157"/>
      <c r="E779" s="158"/>
      <c r="J779" s="3"/>
    </row>
    <row r="780" ht="15.75" customHeight="1">
      <c r="D780" s="157"/>
      <c r="E780" s="158"/>
      <c r="J780" s="3"/>
    </row>
    <row r="781" ht="15.75" customHeight="1">
      <c r="D781" s="157"/>
      <c r="E781" s="158"/>
      <c r="J781" s="3"/>
    </row>
    <row r="782" ht="15.75" customHeight="1">
      <c r="D782" s="157"/>
      <c r="E782" s="158"/>
      <c r="J782" s="3"/>
    </row>
    <row r="783" ht="15.75" customHeight="1">
      <c r="D783" s="157"/>
      <c r="E783" s="158"/>
      <c r="J783" s="3"/>
    </row>
    <row r="784" ht="15.75" customHeight="1">
      <c r="D784" s="157"/>
      <c r="E784" s="158"/>
      <c r="J784" s="3"/>
    </row>
    <row r="785" ht="15.75" customHeight="1">
      <c r="D785" s="157"/>
      <c r="E785" s="158"/>
      <c r="J785" s="3"/>
    </row>
    <row r="786" ht="15.75" customHeight="1">
      <c r="D786" s="157"/>
      <c r="E786" s="158"/>
      <c r="J786" s="3"/>
    </row>
    <row r="787" ht="15.75" customHeight="1">
      <c r="D787" s="157"/>
      <c r="E787" s="158"/>
      <c r="J787" s="3"/>
    </row>
    <row r="788" ht="15.75" customHeight="1">
      <c r="D788" s="157"/>
      <c r="E788" s="158"/>
      <c r="J788" s="3"/>
    </row>
    <row r="789" ht="15.75" customHeight="1">
      <c r="D789" s="157"/>
      <c r="E789" s="158"/>
      <c r="J789" s="3"/>
    </row>
    <row r="790" ht="15.75" customHeight="1">
      <c r="D790" s="157"/>
      <c r="E790" s="158"/>
      <c r="J790" s="3"/>
    </row>
    <row r="791" ht="15.75" customHeight="1">
      <c r="D791" s="157"/>
      <c r="E791" s="158"/>
      <c r="J791" s="3"/>
    </row>
    <row r="792" ht="15.75" customHeight="1">
      <c r="D792" s="157"/>
      <c r="E792" s="158"/>
      <c r="J792" s="3"/>
    </row>
    <row r="793" ht="15.75" customHeight="1">
      <c r="D793" s="157"/>
      <c r="E793" s="158"/>
      <c r="J793" s="3"/>
    </row>
    <row r="794" ht="15.75" customHeight="1">
      <c r="D794" s="157"/>
      <c r="E794" s="158"/>
      <c r="J794" s="3"/>
    </row>
    <row r="795" ht="15.75" customHeight="1">
      <c r="D795" s="157"/>
      <c r="E795" s="158"/>
      <c r="J795" s="3"/>
    </row>
    <row r="796" ht="15.75" customHeight="1">
      <c r="D796" s="157"/>
      <c r="E796" s="158"/>
      <c r="J796" s="3"/>
    </row>
    <row r="797" ht="15.75" customHeight="1">
      <c r="D797" s="157"/>
      <c r="E797" s="158"/>
      <c r="J797" s="3"/>
    </row>
    <row r="798" ht="15.75" customHeight="1">
      <c r="D798" s="157"/>
      <c r="E798" s="158"/>
      <c r="J798" s="3"/>
    </row>
    <row r="799" ht="15.75" customHeight="1">
      <c r="D799" s="157"/>
      <c r="E799" s="158"/>
      <c r="J799" s="3"/>
    </row>
    <row r="800" ht="15.75" customHeight="1">
      <c r="D800" s="157"/>
      <c r="E800" s="158"/>
      <c r="J800" s="3"/>
    </row>
    <row r="801" ht="15.75" customHeight="1">
      <c r="D801" s="157"/>
      <c r="E801" s="158"/>
      <c r="J801" s="3"/>
    </row>
    <row r="802" ht="15.75" customHeight="1">
      <c r="D802" s="157"/>
      <c r="E802" s="158"/>
      <c r="J802" s="3"/>
    </row>
    <row r="803" ht="15.75" customHeight="1">
      <c r="D803" s="157"/>
      <c r="E803" s="158"/>
      <c r="J803" s="3"/>
    </row>
    <row r="804" ht="15.75" customHeight="1">
      <c r="D804" s="157"/>
      <c r="E804" s="158"/>
      <c r="J804" s="3"/>
    </row>
    <row r="805" ht="15.75" customHeight="1">
      <c r="D805" s="157"/>
      <c r="E805" s="158"/>
      <c r="J805" s="3"/>
    </row>
    <row r="806" ht="15.75" customHeight="1">
      <c r="D806" s="157"/>
      <c r="E806" s="158"/>
      <c r="J806" s="3"/>
    </row>
    <row r="807" ht="15.75" customHeight="1">
      <c r="D807" s="157"/>
      <c r="E807" s="158"/>
      <c r="J807" s="3"/>
    </row>
    <row r="808" ht="15.75" customHeight="1">
      <c r="D808" s="157"/>
      <c r="E808" s="158"/>
      <c r="J808" s="3"/>
    </row>
    <row r="809" ht="15.75" customHeight="1">
      <c r="D809" s="157"/>
      <c r="E809" s="158"/>
      <c r="J809" s="3"/>
    </row>
    <row r="810" ht="15.75" customHeight="1">
      <c r="D810" s="157"/>
      <c r="E810" s="158"/>
      <c r="J810" s="3"/>
    </row>
    <row r="811" ht="15.75" customHeight="1">
      <c r="D811" s="157"/>
      <c r="E811" s="158"/>
      <c r="J811" s="3"/>
    </row>
    <row r="812" ht="15.75" customHeight="1">
      <c r="D812" s="157"/>
      <c r="E812" s="158"/>
      <c r="J812" s="3"/>
    </row>
    <row r="813" ht="15.75" customHeight="1">
      <c r="D813" s="157"/>
      <c r="E813" s="158"/>
      <c r="J813" s="3"/>
    </row>
    <row r="814" ht="15.75" customHeight="1">
      <c r="D814" s="157"/>
      <c r="E814" s="158"/>
      <c r="J814" s="3"/>
    </row>
    <row r="815" ht="15.75" customHeight="1">
      <c r="D815" s="157"/>
      <c r="E815" s="158"/>
      <c r="J815" s="3"/>
    </row>
    <row r="816" ht="15.75" customHeight="1">
      <c r="D816" s="157"/>
      <c r="E816" s="158"/>
      <c r="J816" s="3"/>
    </row>
    <row r="817" ht="15.75" customHeight="1">
      <c r="D817" s="157"/>
      <c r="E817" s="158"/>
      <c r="J817" s="3"/>
    </row>
    <row r="818" ht="15.75" customHeight="1">
      <c r="D818" s="157"/>
      <c r="E818" s="158"/>
      <c r="J818" s="3"/>
    </row>
    <row r="819" ht="15.75" customHeight="1">
      <c r="D819" s="157"/>
      <c r="E819" s="158"/>
      <c r="J819" s="3"/>
    </row>
    <row r="820" ht="15.75" customHeight="1">
      <c r="D820" s="157"/>
      <c r="E820" s="158"/>
      <c r="J820" s="3"/>
    </row>
    <row r="821" ht="15.75" customHeight="1">
      <c r="D821" s="157"/>
      <c r="E821" s="158"/>
      <c r="J821" s="3"/>
    </row>
    <row r="822" ht="15.75" customHeight="1">
      <c r="D822" s="157"/>
      <c r="E822" s="158"/>
      <c r="J822" s="3"/>
    </row>
    <row r="823" ht="15.75" customHeight="1">
      <c r="D823" s="157"/>
      <c r="E823" s="158"/>
      <c r="J823" s="3"/>
    </row>
    <row r="824" ht="15.75" customHeight="1">
      <c r="D824" s="157"/>
      <c r="E824" s="158"/>
      <c r="J824" s="3"/>
    </row>
    <row r="825" ht="15.75" customHeight="1">
      <c r="D825" s="157"/>
      <c r="E825" s="158"/>
      <c r="J825" s="3"/>
    </row>
    <row r="826" ht="15.75" customHeight="1">
      <c r="D826" s="157"/>
      <c r="E826" s="158"/>
      <c r="J826" s="3"/>
    </row>
    <row r="827" ht="15.75" customHeight="1">
      <c r="D827" s="157"/>
      <c r="E827" s="158"/>
      <c r="J827" s="3"/>
    </row>
    <row r="828" ht="15.75" customHeight="1">
      <c r="D828" s="157"/>
      <c r="E828" s="158"/>
      <c r="J828" s="3"/>
    </row>
    <row r="829" ht="15.75" customHeight="1">
      <c r="D829" s="157"/>
      <c r="E829" s="158"/>
      <c r="J829" s="3"/>
    </row>
    <row r="830" ht="15.75" customHeight="1">
      <c r="D830" s="157"/>
      <c r="E830" s="158"/>
      <c r="J830" s="3"/>
    </row>
    <row r="831" ht="15.75" customHeight="1">
      <c r="D831" s="157"/>
      <c r="E831" s="158"/>
      <c r="J831" s="3"/>
    </row>
    <row r="832" ht="15.75" customHeight="1">
      <c r="D832" s="157"/>
      <c r="E832" s="158"/>
      <c r="J832" s="3"/>
    </row>
    <row r="833" ht="15.75" customHeight="1">
      <c r="D833" s="157"/>
      <c r="E833" s="158"/>
      <c r="J833" s="3"/>
    </row>
    <row r="834" ht="15.75" customHeight="1">
      <c r="D834" s="157"/>
      <c r="E834" s="158"/>
      <c r="J834" s="3"/>
    </row>
    <row r="835" ht="15.75" customHeight="1">
      <c r="D835" s="157"/>
      <c r="E835" s="158"/>
      <c r="J835" s="3"/>
    </row>
    <row r="836" ht="15.75" customHeight="1">
      <c r="D836" s="157"/>
      <c r="E836" s="158"/>
      <c r="J836" s="3"/>
    </row>
    <row r="837" ht="15.75" customHeight="1">
      <c r="D837" s="157"/>
      <c r="E837" s="158"/>
      <c r="J837" s="3"/>
    </row>
    <row r="838" ht="15.75" customHeight="1">
      <c r="D838" s="157"/>
      <c r="E838" s="158"/>
      <c r="J838" s="3"/>
    </row>
    <row r="839" ht="15.75" customHeight="1">
      <c r="D839" s="157"/>
      <c r="E839" s="158"/>
      <c r="J839" s="3"/>
    </row>
    <row r="840" ht="15.75" customHeight="1">
      <c r="D840" s="157"/>
      <c r="E840" s="158"/>
      <c r="J840" s="3"/>
    </row>
    <row r="841" ht="15.75" customHeight="1">
      <c r="D841" s="157"/>
      <c r="E841" s="158"/>
      <c r="J841" s="3"/>
    </row>
    <row r="842" ht="15.75" customHeight="1">
      <c r="D842" s="157"/>
      <c r="E842" s="158"/>
      <c r="J842" s="3"/>
    </row>
    <row r="843" ht="15.75" customHeight="1">
      <c r="D843" s="157"/>
      <c r="E843" s="158"/>
      <c r="J843" s="3"/>
    </row>
    <row r="844" ht="15.75" customHeight="1">
      <c r="D844" s="157"/>
      <c r="E844" s="158"/>
      <c r="J844" s="3"/>
    </row>
    <row r="845" ht="15.75" customHeight="1">
      <c r="D845" s="157"/>
      <c r="E845" s="158"/>
      <c r="J845" s="3"/>
    </row>
    <row r="846" ht="15.75" customHeight="1">
      <c r="D846" s="157"/>
      <c r="E846" s="158"/>
      <c r="J846" s="3"/>
    </row>
    <row r="847" ht="15.75" customHeight="1">
      <c r="D847" s="157"/>
      <c r="E847" s="158"/>
      <c r="J847" s="3"/>
    </row>
    <row r="848" ht="15.75" customHeight="1">
      <c r="D848" s="157"/>
      <c r="E848" s="158"/>
      <c r="J848" s="3"/>
    </row>
    <row r="849" ht="15.75" customHeight="1">
      <c r="D849" s="157"/>
      <c r="E849" s="158"/>
      <c r="J849" s="3"/>
    </row>
    <row r="850" ht="15.75" customHeight="1">
      <c r="D850" s="157"/>
      <c r="E850" s="158"/>
      <c r="J850" s="3"/>
    </row>
    <row r="851" ht="15.75" customHeight="1">
      <c r="D851" s="157"/>
      <c r="E851" s="158"/>
      <c r="J851" s="3"/>
    </row>
    <row r="852" ht="15.75" customHeight="1">
      <c r="D852" s="157"/>
      <c r="E852" s="158"/>
      <c r="J852" s="3"/>
    </row>
    <row r="853" ht="15.75" customHeight="1">
      <c r="D853" s="157"/>
      <c r="E853" s="158"/>
      <c r="J853" s="3"/>
    </row>
    <row r="854" ht="15.75" customHeight="1">
      <c r="D854" s="157"/>
      <c r="E854" s="158"/>
      <c r="J854" s="3"/>
    </row>
    <row r="855" ht="15.75" customHeight="1">
      <c r="D855" s="157"/>
      <c r="E855" s="158"/>
      <c r="J855" s="3"/>
    </row>
    <row r="856" ht="15.75" customHeight="1">
      <c r="D856" s="157"/>
      <c r="E856" s="158"/>
      <c r="J856" s="3"/>
    </row>
    <row r="857" ht="15.75" customHeight="1">
      <c r="D857" s="157"/>
      <c r="E857" s="158"/>
      <c r="J857" s="3"/>
    </row>
    <row r="858" ht="15.75" customHeight="1">
      <c r="D858" s="157"/>
      <c r="E858" s="158"/>
      <c r="J858" s="3"/>
    </row>
    <row r="859" ht="15.75" customHeight="1">
      <c r="D859" s="157"/>
      <c r="E859" s="158"/>
      <c r="J859" s="3"/>
    </row>
    <row r="860" ht="15.75" customHeight="1">
      <c r="D860" s="157"/>
      <c r="E860" s="158"/>
      <c r="J860" s="3"/>
    </row>
    <row r="861" ht="15.75" customHeight="1">
      <c r="D861" s="157"/>
      <c r="E861" s="158"/>
      <c r="J861" s="3"/>
    </row>
    <row r="862" ht="15.75" customHeight="1">
      <c r="D862" s="157"/>
      <c r="E862" s="158"/>
      <c r="J862" s="3"/>
    </row>
    <row r="863" ht="15.75" customHeight="1">
      <c r="D863" s="157"/>
      <c r="E863" s="158"/>
      <c r="J863" s="3"/>
    </row>
    <row r="864" ht="15.75" customHeight="1">
      <c r="D864" s="157"/>
      <c r="E864" s="158"/>
      <c r="J864" s="3"/>
    </row>
    <row r="865" ht="15.75" customHeight="1">
      <c r="D865" s="157"/>
      <c r="E865" s="158"/>
      <c r="J865" s="3"/>
    </row>
    <row r="866" ht="15.75" customHeight="1">
      <c r="D866" s="157"/>
      <c r="E866" s="158"/>
      <c r="J866" s="3"/>
    </row>
    <row r="867" ht="15.75" customHeight="1">
      <c r="D867" s="157"/>
      <c r="E867" s="158"/>
      <c r="J867" s="3"/>
    </row>
    <row r="868" ht="15.75" customHeight="1">
      <c r="D868" s="157"/>
      <c r="E868" s="158"/>
      <c r="J868" s="3"/>
    </row>
    <row r="869" ht="15.75" customHeight="1">
      <c r="D869" s="157"/>
      <c r="E869" s="158"/>
      <c r="J869" s="3"/>
    </row>
    <row r="870" ht="15.75" customHeight="1">
      <c r="D870" s="157"/>
      <c r="E870" s="158"/>
      <c r="J870" s="3"/>
    </row>
    <row r="871" ht="15.75" customHeight="1">
      <c r="D871" s="157"/>
      <c r="E871" s="158"/>
      <c r="J871" s="3"/>
    </row>
    <row r="872" ht="15.75" customHeight="1">
      <c r="D872" s="157"/>
      <c r="E872" s="158"/>
      <c r="J872" s="3"/>
    </row>
    <row r="873" ht="15.75" customHeight="1">
      <c r="D873" s="157"/>
      <c r="E873" s="158"/>
      <c r="J873" s="3"/>
    </row>
    <row r="874" ht="15.75" customHeight="1">
      <c r="D874" s="157"/>
      <c r="E874" s="158"/>
      <c r="J874" s="3"/>
    </row>
    <row r="875" ht="15.75" customHeight="1">
      <c r="D875" s="157"/>
      <c r="E875" s="158"/>
      <c r="J875" s="3"/>
    </row>
    <row r="876" ht="15.75" customHeight="1">
      <c r="D876" s="157"/>
      <c r="E876" s="158"/>
      <c r="J876" s="3"/>
    </row>
    <row r="877" ht="15.75" customHeight="1">
      <c r="D877" s="157"/>
      <c r="E877" s="158"/>
      <c r="J877" s="3"/>
    </row>
    <row r="878" ht="15.75" customHeight="1">
      <c r="D878" s="157"/>
      <c r="E878" s="158"/>
      <c r="J878" s="3"/>
    </row>
    <row r="879" ht="15.75" customHeight="1">
      <c r="D879" s="157"/>
      <c r="E879" s="158"/>
      <c r="J879" s="3"/>
    </row>
    <row r="880" ht="15.75" customHeight="1">
      <c r="D880" s="157"/>
      <c r="E880" s="158"/>
      <c r="J880" s="3"/>
    </row>
    <row r="881" ht="15.75" customHeight="1">
      <c r="D881" s="157"/>
      <c r="E881" s="158"/>
      <c r="J881" s="3"/>
    </row>
    <row r="882" ht="15.75" customHeight="1">
      <c r="D882" s="157"/>
      <c r="E882" s="158"/>
      <c r="J882" s="3"/>
    </row>
    <row r="883" ht="15.75" customHeight="1">
      <c r="D883" s="157"/>
      <c r="E883" s="158"/>
      <c r="J883" s="3"/>
    </row>
    <row r="884" ht="15.75" customHeight="1">
      <c r="D884" s="157"/>
      <c r="E884" s="158"/>
      <c r="J884" s="3"/>
    </row>
    <row r="885" ht="15.75" customHeight="1">
      <c r="D885" s="157"/>
      <c r="E885" s="158"/>
      <c r="J885" s="3"/>
    </row>
    <row r="886" ht="15.75" customHeight="1">
      <c r="D886" s="157"/>
      <c r="E886" s="158"/>
      <c r="J886" s="3"/>
    </row>
    <row r="887" ht="15.75" customHeight="1">
      <c r="D887" s="157"/>
      <c r="E887" s="158"/>
      <c r="J887" s="3"/>
    </row>
    <row r="888" ht="15.75" customHeight="1">
      <c r="D888" s="157"/>
      <c r="E888" s="158"/>
      <c r="J888" s="3"/>
    </row>
    <row r="889" ht="15.75" customHeight="1">
      <c r="D889" s="157"/>
      <c r="E889" s="158"/>
      <c r="J889" s="3"/>
    </row>
    <row r="890" ht="15.75" customHeight="1">
      <c r="D890" s="157"/>
      <c r="E890" s="158"/>
      <c r="J890" s="3"/>
    </row>
    <row r="891" ht="15.75" customHeight="1">
      <c r="D891" s="157"/>
      <c r="E891" s="158"/>
      <c r="J891" s="3"/>
    </row>
    <row r="892" ht="15.75" customHeight="1">
      <c r="D892" s="157"/>
      <c r="E892" s="158"/>
      <c r="J892" s="3"/>
    </row>
    <row r="893" ht="15.75" customHeight="1">
      <c r="D893" s="157"/>
      <c r="E893" s="158"/>
      <c r="J893" s="3"/>
    </row>
    <row r="894" ht="15.75" customHeight="1">
      <c r="D894" s="157"/>
      <c r="E894" s="158"/>
      <c r="J894" s="3"/>
    </row>
    <row r="895" ht="15.75" customHeight="1">
      <c r="D895" s="157"/>
      <c r="E895" s="158"/>
      <c r="J895" s="3"/>
    </row>
    <row r="896" ht="15.75" customHeight="1">
      <c r="D896" s="157"/>
      <c r="E896" s="158"/>
      <c r="J896" s="3"/>
    </row>
    <row r="897" ht="15.75" customHeight="1">
      <c r="D897" s="157"/>
      <c r="E897" s="158"/>
      <c r="J897" s="3"/>
    </row>
    <row r="898" ht="15.75" customHeight="1">
      <c r="D898" s="157"/>
      <c r="E898" s="158"/>
      <c r="J898" s="3"/>
    </row>
    <row r="899" ht="15.75" customHeight="1">
      <c r="D899" s="157"/>
      <c r="E899" s="158"/>
      <c r="J899" s="3"/>
    </row>
    <row r="900" ht="15.75" customHeight="1">
      <c r="D900" s="157"/>
      <c r="E900" s="158"/>
      <c r="J900" s="3"/>
    </row>
    <row r="901" ht="15.75" customHeight="1">
      <c r="D901" s="157"/>
      <c r="E901" s="158"/>
      <c r="J901" s="3"/>
    </row>
    <row r="902" ht="15.75" customHeight="1">
      <c r="D902" s="157"/>
      <c r="E902" s="158"/>
      <c r="J902" s="3"/>
    </row>
    <row r="903" ht="15.75" customHeight="1">
      <c r="D903" s="157"/>
      <c r="E903" s="158"/>
      <c r="J903" s="3"/>
    </row>
    <row r="904" ht="15.75" customHeight="1">
      <c r="D904" s="157"/>
      <c r="E904" s="158"/>
      <c r="J904" s="3"/>
    </row>
    <row r="905" ht="15.75" customHeight="1">
      <c r="D905" s="157"/>
      <c r="E905" s="158"/>
      <c r="J905" s="3"/>
    </row>
    <row r="906" ht="15.75" customHeight="1">
      <c r="D906" s="157"/>
      <c r="E906" s="158"/>
      <c r="J906" s="3"/>
    </row>
    <row r="907" ht="15.75" customHeight="1">
      <c r="D907" s="157"/>
      <c r="E907" s="158"/>
      <c r="J907" s="3"/>
    </row>
    <row r="908" ht="15.75" customHeight="1">
      <c r="D908" s="157"/>
      <c r="E908" s="158"/>
      <c r="J908" s="3"/>
    </row>
    <row r="909" ht="15.75" customHeight="1">
      <c r="D909" s="157"/>
      <c r="E909" s="158"/>
      <c r="J909" s="3"/>
    </row>
    <row r="910" ht="15.75" customHeight="1">
      <c r="D910" s="157"/>
      <c r="E910" s="158"/>
      <c r="J910" s="3"/>
    </row>
    <row r="911" ht="15.75" customHeight="1">
      <c r="D911" s="157"/>
      <c r="E911" s="158"/>
      <c r="J911" s="3"/>
    </row>
    <row r="912" ht="15.75" customHeight="1">
      <c r="D912" s="157"/>
      <c r="E912" s="158"/>
      <c r="J912" s="3"/>
    </row>
    <row r="913" ht="15.75" customHeight="1">
      <c r="D913" s="157"/>
      <c r="E913" s="158"/>
      <c r="J913" s="3"/>
    </row>
    <row r="914" ht="15.75" customHeight="1">
      <c r="D914" s="157"/>
      <c r="E914" s="158"/>
      <c r="J914" s="3"/>
    </row>
    <row r="915" ht="15.75" customHeight="1">
      <c r="D915" s="157"/>
      <c r="E915" s="158"/>
      <c r="J915" s="3"/>
    </row>
    <row r="916" ht="15.75" customHeight="1">
      <c r="D916" s="157"/>
      <c r="E916" s="158"/>
      <c r="J916" s="3"/>
    </row>
    <row r="917" ht="15.75" customHeight="1">
      <c r="D917" s="157"/>
      <c r="E917" s="158"/>
      <c r="J917" s="3"/>
    </row>
    <row r="918" ht="15.75" customHeight="1">
      <c r="D918" s="157"/>
      <c r="E918" s="158"/>
      <c r="J918" s="3"/>
    </row>
    <row r="919" ht="15.75" customHeight="1">
      <c r="D919" s="157"/>
      <c r="E919" s="158"/>
      <c r="J919" s="3"/>
    </row>
    <row r="920" ht="15.75" customHeight="1">
      <c r="D920" s="157"/>
      <c r="E920" s="158"/>
      <c r="J920" s="3"/>
    </row>
    <row r="921" ht="15.75" customHeight="1">
      <c r="D921" s="157"/>
      <c r="E921" s="158"/>
      <c r="J921" s="3"/>
    </row>
    <row r="922" ht="15.75" customHeight="1">
      <c r="D922" s="157"/>
      <c r="E922" s="158"/>
      <c r="J922" s="3"/>
    </row>
    <row r="923" ht="15.75" customHeight="1">
      <c r="D923" s="157"/>
      <c r="E923" s="158"/>
      <c r="J923" s="3"/>
    </row>
    <row r="924" ht="15.75" customHeight="1">
      <c r="D924" s="157"/>
      <c r="E924" s="158"/>
      <c r="J924" s="3"/>
    </row>
    <row r="925" ht="15.75" customHeight="1">
      <c r="D925" s="157"/>
      <c r="E925" s="158"/>
      <c r="J925" s="3"/>
    </row>
    <row r="926" ht="15.75" customHeight="1">
      <c r="D926" s="157"/>
      <c r="E926" s="158"/>
      <c r="J926" s="3"/>
    </row>
    <row r="927" ht="15.75" customHeight="1">
      <c r="D927" s="157"/>
      <c r="E927" s="158"/>
      <c r="J927" s="3"/>
    </row>
    <row r="928" ht="15.75" customHeight="1">
      <c r="D928" s="157"/>
      <c r="E928" s="158"/>
      <c r="J928" s="3"/>
    </row>
    <row r="929" ht="15.75" customHeight="1">
      <c r="D929" s="157"/>
      <c r="E929" s="158"/>
      <c r="J929" s="3"/>
    </row>
    <row r="930" ht="15.75" customHeight="1">
      <c r="D930" s="157"/>
      <c r="E930" s="158"/>
      <c r="J930" s="3"/>
    </row>
    <row r="931" ht="15.75" customHeight="1">
      <c r="D931" s="157"/>
      <c r="E931" s="158"/>
      <c r="J931" s="3"/>
    </row>
    <row r="932" ht="15.75" customHeight="1">
      <c r="D932" s="157"/>
      <c r="E932" s="158"/>
      <c r="J932" s="3"/>
    </row>
    <row r="933" ht="15.75" customHeight="1">
      <c r="D933" s="157"/>
      <c r="E933" s="158"/>
      <c r="J933" s="3"/>
    </row>
    <row r="934" ht="15.75" customHeight="1">
      <c r="D934" s="157"/>
      <c r="E934" s="158"/>
      <c r="J934" s="3"/>
    </row>
    <row r="935" ht="15.75" customHeight="1">
      <c r="D935" s="157"/>
      <c r="E935" s="158"/>
      <c r="J935" s="3"/>
    </row>
    <row r="936" ht="15.75" customHeight="1">
      <c r="D936" s="157"/>
      <c r="E936" s="158"/>
      <c r="J936" s="3"/>
    </row>
    <row r="937" ht="15.75" customHeight="1">
      <c r="D937" s="157"/>
      <c r="E937" s="158"/>
      <c r="J937" s="3"/>
    </row>
    <row r="938" ht="15.75" customHeight="1">
      <c r="D938" s="157"/>
      <c r="E938" s="158"/>
      <c r="J938" s="3"/>
    </row>
    <row r="939" ht="15.75" customHeight="1">
      <c r="D939" s="157"/>
      <c r="E939" s="158"/>
      <c r="J939" s="3"/>
    </row>
    <row r="940" ht="15.75" customHeight="1">
      <c r="D940" s="157"/>
      <c r="E940" s="158"/>
      <c r="J940" s="3"/>
    </row>
    <row r="941" ht="15.75" customHeight="1">
      <c r="D941" s="157"/>
      <c r="E941" s="158"/>
      <c r="J941" s="3"/>
    </row>
    <row r="942" ht="15.75" customHeight="1">
      <c r="D942" s="157"/>
      <c r="E942" s="158"/>
      <c r="J942" s="3"/>
    </row>
    <row r="943" ht="15.75" customHeight="1">
      <c r="D943" s="157"/>
      <c r="E943" s="158"/>
      <c r="J943" s="3"/>
    </row>
    <row r="944" ht="15.75" customHeight="1">
      <c r="D944" s="157"/>
      <c r="E944" s="158"/>
      <c r="J944" s="3"/>
    </row>
    <row r="945" ht="15.75" customHeight="1">
      <c r="D945" s="157"/>
      <c r="E945" s="158"/>
      <c r="J945" s="3"/>
    </row>
    <row r="946" ht="15.75" customHeight="1">
      <c r="D946" s="157"/>
      <c r="E946" s="158"/>
      <c r="J946" s="3"/>
    </row>
    <row r="947" ht="15.75" customHeight="1">
      <c r="D947" s="157"/>
      <c r="E947" s="158"/>
      <c r="J947" s="3"/>
    </row>
    <row r="948" ht="15.75" customHeight="1">
      <c r="D948" s="157"/>
      <c r="E948" s="158"/>
      <c r="J948" s="3"/>
    </row>
    <row r="949" ht="15.75" customHeight="1">
      <c r="D949" s="157"/>
      <c r="E949" s="158"/>
      <c r="J949" s="3"/>
    </row>
    <row r="950" ht="15.75" customHeight="1">
      <c r="D950" s="157"/>
      <c r="E950" s="158"/>
      <c r="J950" s="3"/>
    </row>
    <row r="951" ht="15.75" customHeight="1">
      <c r="D951" s="157"/>
      <c r="E951" s="158"/>
      <c r="J951" s="3"/>
    </row>
    <row r="952" ht="15.75" customHeight="1">
      <c r="D952" s="157"/>
      <c r="E952" s="158"/>
      <c r="J952" s="3"/>
    </row>
    <row r="953" ht="15.75" customHeight="1">
      <c r="D953" s="157"/>
      <c r="E953" s="158"/>
      <c r="J953" s="3"/>
    </row>
    <row r="954" ht="15.75" customHeight="1">
      <c r="D954" s="157"/>
      <c r="E954" s="158"/>
      <c r="J954" s="3"/>
    </row>
    <row r="955" ht="15.75" customHeight="1">
      <c r="D955" s="157"/>
      <c r="E955" s="158"/>
      <c r="J955" s="3"/>
    </row>
    <row r="956" ht="15.75" customHeight="1">
      <c r="D956" s="157"/>
      <c r="E956" s="158"/>
      <c r="J956" s="3"/>
    </row>
    <row r="957" ht="15.75" customHeight="1">
      <c r="D957" s="157"/>
      <c r="E957" s="158"/>
      <c r="J957" s="3"/>
    </row>
    <row r="958" ht="15.75" customHeight="1">
      <c r="D958" s="157"/>
      <c r="E958" s="158"/>
      <c r="J958" s="3"/>
    </row>
    <row r="959" ht="15.75" customHeight="1">
      <c r="D959" s="157"/>
      <c r="E959" s="158"/>
      <c r="J959" s="3"/>
    </row>
    <row r="960" ht="15.75" customHeight="1">
      <c r="D960" s="157"/>
      <c r="E960" s="158"/>
      <c r="J960" s="3"/>
    </row>
    <row r="961" ht="15.75" customHeight="1">
      <c r="D961" s="157"/>
      <c r="E961" s="158"/>
      <c r="J961" s="3"/>
    </row>
    <row r="962" ht="15.75" customHeight="1">
      <c r="D962" s="157"/>
      <c r="E962" s="158"/>
      <c r="J962" s="3"/>
    </row>
    <row r="963" ht="15.75" customHeight="1">
      <c r="D963" s="157"/>
      <c r="E963" s="158"/>
      <c r="J963" s="3"/>
    </row>
    <row r="964" ht="15.75" customHeight="1">
      <c r="D964" s="157"/>
      <c r="E964" s="158"/>
      <c r="J964" s="3"/>
    </row>
    <row r="965" ht="15.75" customHeight="1">
      <c r="D965" s="157"/>
      <c r="E965" s="158"/>
      <c r="J965" s="3"/>
    </row>
    <row r="966" ht="15.75" customHeight="1">
      <c r="D966" s="157"/>
      <c r="E966" s="158"/>
      <c r="J966" s="3"/>
    </row>
    <row r="967" ht="15.75" customHeight="1">
      <c r="D967" s="157"/>
      <c r="E967" s="158"/>
      <c r="J967" s="3"/>
    </row>
    <row r="968" ht="15.75" customHeight="1">
      <c r="D968" s="157"/>
      <c r="E968" s="158"/>
      <c r="J968" s="3"/>
    </row>
    <row r="969" ht="15.75" customHeight="1">
      <c r="D969" s="157"/>
      <c r="E969" s="158"/>
      <c r="J969" s="3"/>
    </row>
    <row r="970" ht="15.75" customHeight="1">
      <c r="D970" s="157"/>
      <c r="E970" s="158"/>
      <c r="J970" s="3"/>
    </row>
    <row r="971" ht="15.75" customHeight="1">
      <c r="D971" s="157"/>
      <c r="E971" s="158"/>
      <c r="J971" s="3"/>
    </row>
    <row r="972" ht="15.75" customHeight="1">
      <c r="D972" s="157"/>
      <c r="E972" s="158"/>
      <c r="J972" s="3"/>
    </row>
    <row r="973" ht="15.75" customHeight="1">
      <c r="D973" s="157"/>
      <c r="E973" s="158"/>
      <c r="J973" s="3"/>
    </row>
    <row r="974" ht="15.75" customHeight="1">
      <c r="D974" s="157"/>
      <c r="E974" s="158"/>
      <c r="J974" s="3"/>
    </row>
    <row r="975" ht="15.75" customHeight="1">
      <c r="D975" s="157"/>
      <c r="E975" s="158"/>
      <c r="J975" s="3"/>
    </row>
    <row r="976" ht="15.75" customHeight="1">
      <c r="D976" s="157"/>
      <c r="E976" s="158"/>
      <c r="J976" s="3"/>
    </row>
    <row r="977" ht="15.75" customHeight="1">
      <c r="D977" s="157"/>
      <c r="E977" s="158"/>
      <c r="J977" s="3"/>
    </row>
    <row r="978" ht="15.75" customHeight="1">
      <c r="D978" s="157"/>
      <c r="E978" s="158"/>
      <c r="J978" s="3"/>
    </row>
    <row r="979" ht="15.75" customHeight="1">
      <c r="D979" s="157"/>
      <c r="E979" s="158"/>
      <c r="J979" s="3"/>
    </row>
    <row r="980" ht="15.75" customHeight="1">
      <c r="D980" s="157"/>
      <c r="E980" s="158"/>
      <c r="J980" s="3"/>
    </row>
    <row r="981" ht="15.75" customHeight="1">
      <c r="D981" s="157"/>
      <c r="E981" s="158"/>
      <c r="J981" s="3"/>
    </row>
    <row r="982" ht="15.75" customHeight="1">
      <c r="D982" s="157"/>
      <c r="E982" s="158"/>
      <c r="J982" s="3"/>
    </row>
    <row r="983" ht="15.75" customHeight="1">
      <c r="D983" s="157"/>
      <c r="E983" s="158"/>
      <c r="J983" s="3"/>
    </row>
    <row r="984" ht="15.75" customHeight="1">
      <c r="D984" s="157"/>
      <c r="E984" s="158"/>
      <c r="J984" s="3"/>
    </row>
    <row r="985" ht="15.75" customHeight="1">
      <c r="D985" s="157"/>
      <c r="E985" s="158"/>
      <c r="J985" s="3"/>
    </row>
    <row r="986" ht="15.75" customHeight="1">
      <c r="D986" s="157"/>
      <c r="E986" s="158"/>
      <c r="J986" s="3"/>
    </row>
    <row r="987" ht="15.75" customHeight="1">
      <c r="D987" s="157"/>
      <c r="E987" s="158"/>
      <c r="J987" s="3"/>
    </row>
    <row r="988" ht="15.75" customHeight="1">
      <c r="D988" s="157"/>
      <c r="E988" s="158"/>
      <c r="J988" s="3"/>
    </row>
    <row r="989" ht="15.75" customHeight="1">
      <c r="D989" s="157"/>
      <c r="E989" s="158"/>
      <c r="J989" s="3"/>
    </row>
    <row r="990" ht="15.75" customHeight="1">
      <c r="D990" s="157"/>
      <c r="E990" s="158"/>
      <c r="J990" s="3"/>
    </row>
    <row r="991" ht="15.75" customHeight="1">
      <c r="D991" s="157"/>
      <c r="E991" s="158"/>
      <c r="J991" s="3"/>
    </row>
    <row r="992" ht="15.75" customHeight="1">
      <c r="D992" s="157"/>
      <c r="E992" s="158"/>
      <c r="J992" s="3"/>
    </row>
    <row r="993" ht="15.75" customHeight="1">
      <c r="D993" s="157"/>
      <c r="E993" s="158"/>
      <c r="J993" s="3"/>
    </row>
    <row r="994" ht="15.75" customHeight="1">
      <c r="D994" s="157"/>
      <c r="E994" s="158"/>
      <c r="J994" s="3"/>
    </row>
    <row r="995" ht="15.75" customHeight="1">
      <c r="D995" s="157"/>
      <c r="E995" s="158"/>
      <c r="J995" s="3"/>
    </row>
    <row r="996" ht="15.75" customHeight="1">
      <c r="D996" s="157"/>
      <c r="E996" s="158"/>
      <c r="J996" s="3"/>
    </row>
    <row r="997" ht="15.75" customHeight="1">
      <c r="D997" s="157"/>
      <c r="E997" s="158"/>
      <c r="J997" s="3"/>
    </row>
    <row r="998" ht="15.75" customHeight="1">
      <c r="D998" s="157"/>
      <c r="E998" s="158"/>
      <c r="J998" s="3"/>
    </row>
    <row r="999" ht="15.75" customHeight="1">
      <c r="D999" s="157"/>
      <c r="E999" s="158"/>
      <c r="J999" s="3"/>
    </row>
    <row r="1000" ht="15.75" customHeight="1">
      <c r="D1000" s="157"/>
      <c r="E1000" s="158"/>
      <c r="J1000" s="3"/>
    </row>
    <row r="1001" ht="15.75" customHeight="1">
      <c r="D1001" s="157"/>
      <c r="E1001" s="158"/>
      <c r="J1001" s="3"/>
    </row>
    <row r="1002" ht="15.75" customHeight="1">
      <c r="D1002" s="157"/>
      <c r="E1002" s="158"/>
      <c r="J1002" s="3"/>
    </row>
    <row r="1003" ht="15.75" customHeight="1">
      <c r="D1003" s="157"/>
      <c r="E1003" s="158"/>
      <c r="J1003" s="3"/>
    </row>
    <row r="1004" ht="15.75" customHeight="1">
      <c r="D1004" s="157"/>
      <c r="E1004" s="158"/>
      <c r="J1004" s="3"/>
    </row>
    <row r="1005" ht="15.75" customHeight="1">
      <c r="D1005" s="157"/>
      <c r="E1005" s="158"/>
      <c r="J1005" s="3"/>
    </row>
  </sheetData>
  <mergeCells count="37"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C89:G89"/>
    <mergeCell ref="C93:G93"/>
    <mergeCell ref="A96:B96"/>
    <mergeCell ref="C96:H96"/>
    <mergeCell ref="A97:B97"/>
    <mergeCell ref="C97:H97"/>
    <mergeCell ref="G8:G9"/>
    <mergeCell ref="H8:H9"/>
    <mergeCell ref="B84:K84"/>
    <mergeCell ref="C86:G86"/>
    <mergeCell ref="C87:G87"/>
    <mergeCell ref="J87:K87"/>
    <mergeCell ref="C88:G88"/>
    <mergeCell ref="K96:P96"/>
    <mergeCell ref="S96:V96"/>
    <mergeCell ref="X96:Z96"/>
    <mergeCell ref="K97:P97"/>
    <mergeCell ref="S97:V97"/>
    <mergeCell ref="J100:V100"/>
    <mergeCell ref="J103:V103"/>
    <mergeCell ref="J104:V104"/>
    <mergeCell ref="L87:V87"/>
    <mergeCell ref="L88:V88"/>
    <mergeCell ref="L89:V89"/>
    <mergeCell ref="L90:V90"/>
    <mergeCell ref="K93:P93"/>
    <mergeCell ref="S93:V93"/>
    <mergeCell ref="X93:Y93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2.13"/>
    <col customWidth="1" hidden="1" min="3" max="3" width="11.63"/>
    <col customWidth="1" min="4" max="6" width="10.13"/>
    <col customWidth="1" min="7" max="7" width="11.25"/>
    <col customWidth="1" min="8" max="8" width="23.25"/>
    <col customWidth="1" min="9" max="9" width="10.38"/>
    <col customWidth="1" min="10" max="14" width="7.63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1" t="s">
        <v>0</v>
      </c>
      <c r="Y1" s="2"/>
      <c r="Z1" s="2"/>
    </row>
    <row r="2">
      <c r="A2" s="3" t="s">
        <v>1</v>
      </c>
      <c r="Y2" s="2"/>
      <c r="Z2" s="2"/>
    </row>
    <row r="3">
      <c r="A3" s="4"/>
      <c r="Y3" s="2"/>
      <c r="Z3" s="2"/>
    </row>
    <row r="4">
      <c r="A4" s="5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"/>
      <c r="Y4" s="2"/>
      <c r="Z4" s="2"/>
    </row>
    <row r="5">
      <c r="A5" s="11"/>
      <c r="B5" s="6"/>
      <c r="C5" s="2"/>
      <c r="D5" s="12"/>
      <c r="E5" s="13"/>
      <c r="F5" s="14"/>
      <c r="G5" s="15"/>
      <c r="H5" s="16"/>
      <c r="I5" s="16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</v>
      </c>
      <c r="B6" s="6"/>
      <c r="C6" s="2"/>
      <c r="D6" s="12"/>
      <c r="E6" s="13"/>
      <c r="F6" s="14"/>
      <c r="G6" s="15"/>
      <c r="H6" s="16"/>
      <c r="I6" s="16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4</v>
      </c>
      <c r="B7" s="6"/>
      <c r="C7" s="2"/>
      <c r="D7" s="12"/>
      <c r="E7" s="13"/>
      <c r="F7" s="14"/>
      <c r="G7" s="15"/>
      <c r="H7" s="16"/>
      <c r="I7" s="16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7" t="s">
        <v>5</v>
      </c>
      <c r="B8" s="18" t="s">
        <v>6</v>
      </c>
      <c r="C8" s="19" t="s">
        <v>7</v>
      </c>
      <c r="D8" s="19" t="s">
        <v>7</v>
      </c>
      <c r="E8" s="21" t="s">
        <v>8</v>
      </c>
      <c r="F8" s="22" t="s">
        <v>9</v>
      </c>
      <c r="G8" s="23" t="s">
        <v>10</v>
      </c>
      <c r="H8" s="24" t="s">
        <v>11</v>
      </c>
      <c r="I8" s="18" t="s">
        <v>12</v>
      </c>
      <c r="J8" s="25" t="s">
        <v>13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7"/>
      <c r="Y8" s="28"/>
      <c r="Z8" s="28"/>
    </row>
    <row r="9">
      <c r="A9" s="29"/>
      <c r="B9" s="30"/>
      <c r="C9" s="31" t="s">
        <v>14</v>
      </c>
      <c r="D9" s="31" t="s">
        <v>14</v>
      </c>
      <c r="E9" s="30"/>
      <c r="F9" s="30"/>
      <c r="G9" s="30"/>
      <c r="H9" s="30"/>
      <c r="I9" s="30"/>
      <c r="J9" s="33" t="s">
        <v>15</v>
      </c>
      <c r="K9" s="33" t="s">
        <v>16</v>
      </c>
      <c r="L9" s="33" t="s">
        <v>17</v>
      </c>
      <c r="M9" s="33" t="s">
        <v>18</v>
      </c>
      <c r="N9" s="33" t="s">
        <v>19</v>
      </c>
      <c r="O9" s="33" t="s">
        <v>20</v>
      </c>
      <c r="P9" s="33" t="s">
        <v>21</v>
      </c>
      <c r="Q9" s="33" t="s">
        <v>22</v>
      </c>
      <c r="R9" s="33" t="s">
        <v>23</v>
      </c>
      <c r="S9" s="33" t="s">
        <v>24</v>
      </c>
      <c r="T9" s="33" t="s">
        <v>25</v>
      </c>
      <c r="U9" s="33" t="s">
        <v>26</v>
      </c>
      <c r="V9" s="33" t="s">
        <v>27</v>
      </c>
      <c r="W9" s="34" t="str">
        <f>$X$9</f>
        <v>REMARKS</v>
      </c>
      <c r="X9" s="34" t="s">
        <v>28</v>
      </c>
      <c r="Y9" s="35"/>
      <c r="Z9" s="28"/>
    </row>
    <row r="10" ht="15.75" customHeight="1">
      <c r="A10" s="36"/>
      <c r="B10" s="37" t="s">
        <v>29</v>
      </c>
      <c r="C10" s="38"/>
      <c r="D10" s="39"/>
      <c r="E10" s="40"/>
      <c r="F10" s="41"/>
      <c r="G10" s="38"/>
      <c r="H10" s="38"/>
      <c r="I10" s="38"/>
      <c r="J10" s="42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43"/>
      <c r="X10" s="44"/>
      <c r="Y10" s="28"/>
      <c r="Z10" s="28"/>
    </row>
    <row r="11" ht="15.75" customHeight="1">
      <c r="A11" s="36"/>
      <c r="B11" s="45" t="s">
        <v>30</v>
      </c>
      <c r="C11" s="46" t="s">
        <v>31</v>
      </c>
      <c r="D11" s="47">
        <v>40.0</v>
      </c>
      <c r="E11" s="48" t="str">
        <f>IFERROR(__xludf.DUMMYFUNCTION("REGEXEXTRACT(C11,""[A-Za-z]+"")"),"pcs")</f>
        <v>pcs</v>
      </c>
      <c r="F11" s="49">
        <v>800.0</v>
      </c>
      <c r="G11" s="50">
        <f t="shared" ref="G11:G24" si="1">F11*D11</f>
        <v>32000</v>
      </c>
      <c r="H11" s="51" t="s">
        <v>32</v>
      </c>
      <c r="I11" s="52"/>
      <c r="J11" s="159">
        <v>40.0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28"/>
      <c r="Z11" s="28"/>
    </row>
    <row r="12" ht="15.75" customHeight="1">
      <c r="A12" s="36"/>
      <c r="B12" s="53" t="s">
        <v>33</v>
      </c>
      <c r="C12" s="54" t="s">
        <v>34</v>
      </c>
      <c r="D12" s="47">
        <v>1.0</v>
      </c>
      <c r="E12" s="48" t="str">
        <f>IFERROR(__xludf.DUMMYFUNCTION("REGEXEXTRACT(C12,""[A-Za-z]+"")"),"lot")</f>
        <v>lot</v>
      </c>
      <c r="F12" s="49">
        <v>33000.0</v>
      </c>
      <c r="G12" s="50">
        <f t="shared" si="1"/>
        <v>33000</v>
      </c>
      <c r="H12" s="51" t="s">
        <v>32</v>
      </c>
      <c r="I12" s="52"/>
      <c r="J12" s="160">
        <v>1.0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28"/>
      <c r="Z12" s="28"/>
    </row>
    <row r="13" ht="15.75" customHeight="1">
      <c r="A13" s="36"/>
      <c r="B13" s="56" t="s">
        <v>35</v>
      </c>
      <c r="C13" s="57" t="s">
        <v>36</v>
      </c>
      <c r="D13" s="47">
        <v>10.0</v>
      </c>
      <c r="E13" s="48" t="str">
        <f>IFERROR(__xludf.DUMMYFUNCTION("REGEXEXTRACT(C13,""[A-Za-z]+"")"),"lots")</f>
        <v>lots</v>
      </c>
      <c r="F13" s="58">
        <v>3000.0</v>
      </c>
      <c r="G13" s="50">
        <f t="shared" si="1"/>
        <v>30000</v>
      </c>
      <c r="H13" s="51" t="s">
        <v>32</v>
      </c>
      <c r="I13" s="52"/>
      <c r="J13" s="161">
        <v>10.0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28"/>
      <c r="Z13" s="28"/>
    </row>
    <row r="14" ht="15.75" customHeight="1">
      <c r="A14" s="36"/>
      <c r="B14" s="56" t="s">
        <v>37</v>
      </c>
      <c r="C14" s="57" t="s">
        <v>38</v>
      </c>
      <c r="D14" s="47">
        <v>200.0</v>
      </c>
      <c r="E14" s="48" t="str">
        <f>IFERROR(__xludf.DUMMYFUNCTION("REGEXEXTRACT(C14,""[A-Za-z]+"")"),"lots")</f>
        <v>lots</v>
      </c>
      <c r="F14" s="58">
        <v>150.0</v>
      </c>
      <c r="G14" s="50">
        <f t="shared" si="1"/>
        <v>30000</v>
      </c>
      <c r="H14" s="51" t="s">
        <v>32</v>
      </c>
      <c r="I14" s="52"/>
      <c r="J14" s="162">
        <v>200.0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28"/>
      <c r="Z14" s="28"/>
    </row>
    <row r="15" ht="15.75" customHeight="1">
      <c r="A15" s="36"/>
      <c r="B15" s="53" t="s">
        <v>39</v>
      </c>
      <c r="C15" s="60" t="s">
        <v>40</v>
      </c>
      <c r="D15" s="47">
        <v>3.0</v>
      </c>
      <c r="E15" s="61" t="str">
        <f>IFERROR(__xludf.DUMMYFUNCTION("REGEXEXTRACT(C15,""[A-Za-z]+"")"),"samples")</f>
        <v>samples</v>
      </c>
      <c r="F15" s="49">
        <v>800.0</v>
      </c>
      <c r="G15" s="50">
        <f t="shared" si="1"/>
        <v>2400</v>
      </c>
      <c r="H15" s="51" t="s">
        <v>41</v>
      </c>
      <c r="I15" s="52"/>
      <c r="J15" s="163">
        <v>3.0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28"/>
      <c r="Z15" s="28"/>
    </row>
    <row r="16" ht="15.75" customHeight="1">
      <c r="A16" s="36"/>
      <c r="B16" s="53" t="s">
        <v>42</v>
      </c>
      <c r="C16" s="60" t="s">
        <v>40</v>
      </c>
      <c r="D16" s="47">
        <v>3.0</v>
      </c>
      <c r="E16" s="61" t="str">
        <f>IFERROR(__xludf.DUMMYFUNCTION("REGEXEXTRACT(C16,""[A-Za-z]+"")"),"samples")</f>
        <v>samples</v>
      </c>
      <c r="F16" s="49">
        <v>700.0</v>
      </c>
      <c r="G16" s="50">
        <f t="shared" si="1"/>
        <v>2100</v>
      </c>
      <c r="H16" s="51" t="s">
        <v>41</v>
      </c>
      <c r="I16" s="52"/>
      <c r="J16" s="163">
        <v>3.0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28"/>
      <c r="Z16" s="28"/>
    </row>
    <row r="17" ht="15.75" customHeight="1">
      <c r="A17" s="36"/>
      <c r="B17" s="53" t="s">
        <v>43</v>
      </c>
      <c r="C17" s="60" t="s">
        <v>40</v>
      </c>
      <c r="D17" s="47">
        <v>3.0</v>
      </c>
      <c r="E17" s="61" t="str">
        <f>IFERROR(__xludf.DUMMYFUNCTION("REGEXEXTRACT(C17,""[A-Za-z]+"")"),"samples")</f>
        <v>samples</v>
      </c>
      <c r="F17" s="49">
        <v>1100.0</v>
      </c>
      <c r="G17" s="50">
        <f t="shared" si="1"/>
        <v>3300</v>
      </c>
      <c r="H17" s="51" t="s">
        <v>41</v>
      </c>
      <c r="I17" s="52"/>
      <c r="J17" s="163">
        <v>3.0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28"/>
      <c r="Z17" s="28"/>
    </row>
    <row r="18" ht="15.75" customHeight="1">
      <c r="A18" s="36"/>
      <c r="B18" s="53" t="s">
        <v>44</v>
      </c>
      <c r="C18" s="60" t="s">
        <v>40</v>
      </c>
      <c r="D18" s="47">
        <v>3.0</v>
      </c>
      <c r="E18" s="61" t="str">
        <f>IFERROR(__xludf.DUMMYFUNCTION("REGEXEXTRACT(C18,""[A-Za-z]+"")"),"samples")</f>
        <v>samples</v>
      </c>
      <c r="F18" s="49">
        <v>1100.0</v>
      </c>
      <c r="G18" s="50">
        <f t="shared" si="1"/>
        <v>3300</v>
      </c>
      <c r="H18" s="51" t="s">
        <v>41</v>
      </c>
      <c r="I18" s="52"/>
      <c r="J18" s="163">
        <v>3.0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28"/>
      <c r="Z18" s="28"/>
    </row>
    <row r="19" ht="15.75" customHeight="1">
      <c r="A19" s="36"/>
      <c r="B19" s="53" t="s">
        <v>45</v>
      </c>
      <c r="C19" s="60" t="s">
        <v>40</v>
      </c>
      <c r="D19" s="47">
        <v>3.0</v>
      </c>
      <c r="E19" s="61" t="str">
        <f>IFERROR(__xludf.DUMMYFUNCTION("REGEXEXTRACT(C19,""[A-Za-z]+"")"),"samples")</f>
        <v>samples</v>
      </c>
      <c r="F19" s="49">
        <v>700.0</v>
      </c>
      <c r="G19" s="50">
        <f t="shared" si="1"/>
        <v>2100</v>
      </c>
      <c r="H19" s="51" t="s">
        <v>41</v>
      </c>
      <c r="I19" s="52"/>
      <c r="J19" s="163">
        <v>3.0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28"/>
      <c r="Z19" s="28"/>
    </row>
    <row r="20" ht="15.75" customHeight="1">
      <c r="A20" s="36"/>
      <c r="B20" s="53" t="s">
        <v>46</v>
      </c>
      <c r="C20" s="60" t="s">
        <v>40</v>
      </c>
      <c r="D20" s="47">
        <v>3.0</v>
      </c>
      <c r="E20" s="61" t="str">
        <f>IFERROR(__xludf.DUMMYFUNCTION("REGEXEXTRACT(C20,""[A-Za-z]+"")"),"samples")</f>
        <v>samples</v>
      </c>
      <c r="F20" s="49">
        <v>400.0</v>
      </c>
      <c r="G20" s="50">
        <f t="shared" si="1"/>
        <v>1200</v>
      </c>
      <c r="H20" s="51" t="s">
        <v>41</v>
      </c>
      <c r="I20" s="52"/>
      <c r="J20" s="163">
        <v>3.0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28"/>
      <c r="Z20" s="28"/>
    </row>
    <row r="21" ht="15.75" customHeight="1">
      <c r="A21" s="36"/>
      <c r="B21" s="53" t="s">
        <v>47</v>
      </c>
      <c r="C21" s="60" t="s">
        <v>40</v>
      </c>
      <c r="D21" s="47">
        <v>3.0</v>
      </c>
      <c r="E21" s="61" t="str">
        <f>IFERROR(__xludf.DUMMYFUNCTION("REGEXEXTRACT(C21,""[A-Za-z]+"")"),"samples")</f>
        <v>samples</v>
      </c>
      <c r="F21" s="49">
        <v>700.0</v>
      </c>
      <c r="G21" s="50">
        <f t="shared" si="1"/>
        <v>2100</v>
      </c>
      <c r="H21" s="51" t="s">
        <v>41</v>
      </c>
      <c r="I21" s="52"/>
      <c r="J21" s="163">
        <v>3.0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28"/>
      <c r="Z21" s="28"/>
    </row>
    <row r="22" ht="15.75" customHeight="1">
      <c r="A22" s="36"/>
      <c r="B22" s="53" t="s">
        <v>48</v>
      </c>
      <c r="C22" s="63" t="s">
        <v>49</v>
      </c>
      <c r="D22" s="64">
        <v>25.0</v>
      </c>
      <c r="E22" s="65" t="str">
        <f>IFERROR(__xludf.DUMMYFUNCTION("REGEXEXTRACT(C22,""[A-Za-z]+"")"),"samples")</f>
        <v>samples</v>
      </c>
      <c r="F22" s="66">
        <v>8000.0</v>
      </c>
      <c r="G22" s="50">
        <f t="shared" si="1"/>
        <v>200000</v>
      </c>
      <c r="H22" s="51" t="s">
        <v>41</v>
      </c>
      <c r="I22" s="67"/>
      <c r="J22" s="68"/>
      <c r="K22" s="164">
        <v>25.0</v>
      </c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70"/>
      <c r="X22" s="71"/>
      <c r="Y22" s="28"/>
      <c r="Z22" s="28"/>
    </row>
    <row r="23" ht="15.75" customHeight="1">
      <c r="A23" s="36"/>
      <c r="B23" s="53" t="s">
        <v>50</v>
      </c>
      <c r="C23" s="63" t="s">
        <v>49</v>
      </c>
      <c r="D23" s="64">
        <v>25.0</v>
      </c>
      <c r="E23" s="65" t="str">
        <f>IFERROR(__xludf.DUMMYFUNCTION("REGEXEXTRACT(C23,""[A-Za-z]+"")"),"samples")</f>
        <v>samples</v>
      </c>
      <c r="F23" s="66">
        <v>3500.0</v>
      </c>
      <c r="G23" s="50">
        <f t="shared" si="1"/>
        <v>87500</v>
      </c>
      <c r="H23" s="51" t="s">
        <v>41</v>
      </c>
      <c r="I23" s="67"/>
      <c r="J23" s="68"/>
      <c r="K23" s="165">
        <v>25.0</v>
      </c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70"/>
      <c r="X23" s="71"/>
      <c r="Y23" s="28"/>
      <c r="Z23" s="28"/>
    </row>
    <row r="24" ht="15.75" customHeight="1">
      <c r="A24" s="36"/>
      <c r="B24" s="53" t="s">
        <v>51</v>
      </c>
      <c r="C24" s="63" t="s">
        <v>49</v>
      </c>
      <c r="D24" s="64">
        <v>25.0</v>
      </c>
      <c r="E24" s="65" t="str">
        <f>IFERROR(__xludf.DUMMYFUNCTION("REGEXEXTRACT(C24,""[A-Za-z]+"")"),"samples")</f>
        <v>samples</v>
      </c>
      <c r="F24" s="66">
        <v>3000.0</v>
      </c>
      <c r="G24" s="50">
        <f t="shared" si="1"/>
        <v>75000</v>
      </c>
      <c r="H24" s="51" t="s">
        <v>41</v>
      </c>
      <c r="I24" s="67"/>
      <c r="J24" s="68"/>
      <c r="K24" s="166">
        <v>25.0</v>
      </c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70"/>
      <c r="X24" s="71"/>
      <c r="Y24" s="28"/>
      <c r="Z24" s="28"/>
    </row>
    <row r="25" ht="15.75" customHeight="1">
      <c r="A25" s="36"/>
      <c r="B25" s="72" t="s">
        <v>52</v>
      </c>
      <c r="C25" s="38"/>
      <c r="D25" s="40"/>
      <c r="E25" s="40"/>
      <c r="F25" s="41"/>
      <c r="G25" s="38"/>
      <c r="H25" s="38"/>
      <c r="I25" s="38"/>
      <c r="J25" s="42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43"/>
      <c r="X25" s="44"/>
      <c r="Y25" s="28"/>
      <c r="Z25" s="28"/>
    </row>
    <row r="26" ht="15.75" customHeight="1">
      <c r="A26" s="36"/>
      <c r="B26" s="73" t="s">
        <v>53</v>
      </c>
      <c r="C26" s="57" t="s">
        <v>54</v>
      </c>
      <c r="D26" s="47">
        <v>15.0</v>
      </c>
      <c r="E26" s="59" t="str">
        <f>IFERROR(__xludf.DUMMYFUNCTION("REGEXEXTRACT(C26,""[A-Za-z]+"")")," btls ")</f>
        <v>btls</v>
      </c>
      <c r="F26" s="59">
        <v>3000.0</v>
      </c>
      <c r="G26" s="59">
        <f t="shared" ref="G26:G39" si="2">F26*D26</f>
        <v>45000</v>
      </c>
      <c r="H26" s="57" t="s">
        <v>55</v>
      </c>
      <c r="I26" s="74"/>
      <c r="J26" s="51"/>
      <c r="K26" s="161">
        <v>15.0</v>
      </c>
      <c r="L26" s="51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28"/>
      <c r="Z26" s="28"/>
    </row>
    <row r="27" ht="15.75" customHeight="1">
      <c r="A27" s="36"/>
      <c r="B27" s="73" t="s">
        <v>56</v>
      </c>
      <c r="C27" s="57" t="s">
        <v>54</v>
      </c>
      <c r="D27" s="47">
        <v>15.0</v>
      </c>
      <c r="E27" s="59" t="str">
        <f>IFERROR(__xludf.DUMMYFUNCTION("REGEXEXTRACT(C27,""[A-Za-z]+"")")," btls ")</f>
        <v>btls</v>
      </c>
      <c r="F27" s="59">
        <v>2000.0</v>
      </c>
      <c r="G27" s="59">
        <f t="shared" si="2"/>
        <v>30000</v>
      </c>
      <c r="H27" s="57" t="s">
        <v>55</v>
      </c>
      <c r="I27" s="74"/>
      <c r="J27" s="51"/>
      <c r="K27" s="161">
        <v>15.0</v>
      </c>
      <c r="L27" s="51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28"/>
      <c r="Z27" s="28"/>
    </row>
    <row r="28" ht="15.75" customHeight="1">
      <c r="A28" s="36"/>
      <c r="B28" s="73" t="s">
        <v>57</v>
      </c>
      <c r="C28" s="57" t="s">
        <v>58</v>
      </c>
      <c r="D28" s="47">
        <v>10.0</v>
      </c>
      <c r="E28" s="59" t="str">
        <f>IFERROR(__xludf.DUMMYFUNCTION("REGEXEXTRACT(C28,""[A-Za-z]+"")")," btls ")</f>
        <v>btls</v>
      </c>
      <c r="F28" s="59">
        <v>4999.0</v>
      </c>
      <c r="G28" s="59">
        <f t="shared" si="2"/>
        <v>49990</v>
      </c>
      <c r="H28" s="57" t="s">
        <v>55</v>
      </c>
      <c r="I28" s="74"/>
      <c r="J28" s="51"/>
      <c r="K28" s="161">
        <v>10.0</v>
      </c>
      <c r="L28" s="51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28"/>
      <c r="Z28" s="28"/>
    </row>
    <row r="29" ht="15.75" customHeight="1">
      <c r="A29" s="36"/>
      <c r="B29" s="73" t="s">
        <v>78</v>
      </c>
      <c r="C29" s="57" t="s">
        <v>79</v>
      </c>
      <c r="D29" s="47">
        <v>10.0</v>
      </c>
      <c r="E29" s="48" t="str">
        <f>IFERROR(__xludf.DUMMYFUNCTION("REGEXEXTRACT(C29,""[A-Za-z]+"")"),"boxes")</f>
        <v>boxes</v>
      </c>
      <c r="F29" s="58">
        <v>300.0</v>
      </c>
      <c r="G29" s="59">
        <f t="shared" si="2"/>
        <v>3000</v>
      </c>
      <c r="H29" s="46" t="s">
        <v>55</v>
      </c>
      <c r="I29" s="52"/>
      <c r="J29" s="51"/>
      <c r="K29" s="167">
        <v>10.0</v>
      </c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28"/>
      <c r="Z29" s="28"/>
    </row>
    <row r="30" ht="15.75" customHeight="1">
      <c r="A30" s="36"/>
      <c r="B30" s="73" t="s">
        <v>80</v>
      </c>
      <c r="C30" s="57" t="s">
        <v>79</v>
      </c>
      <c r="D30" s="47">
        <v>10.0</v>
      </c>
      <c r="E30" s="48" t="str">
        <f>IFERROR(__xludf.DUMMYFUNCTION("REGEXEXTRACT(C30,""[A-Za-z]+"")"),"boxes")</f>
        <v>boxes</v>
      </c>
      <c r="F30" s="58">
        <v>300.0</v>
      </c>
      <c r="G30" s="59">
        <f t="shared" si="2"/>
        <v>3000</v>
      </c>
      <c r="H30" s="46" t="s">
        <v>55</v>
      </c>
      <c r="I30" s="52"/>
      <c r="J30" s="51"/>
      <c r="K30" s="167">
        <v>10.0</v>
      </c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28"/>
      <c r="Z30" s="28"/>
    </row>
    <row r="31" ht="15.75" customHeight="1">
      <c r="A31" s="36"/>
      <c r="B31" s="73" t="s">
        <v>81</v>
      </c>
      <c r="C31" s="54" t="s">
        <v>82</v>
      </c>
      <c r="D31" s="47">
        <v>6.0</v>
      </c>
      <c r="E31" s="48" t="str">
        <f>IFERROR(__xludf.DUMMYFUNCTION("REGEXEXTRACT(C31,""[A-Za-z]+"")"),"pcs")</f>
        <v>pcs</v>
      </c>
      <c r="F31" s="58">
        <v>500.0</v>
      </c>
      <c r="G31" s="59">
        <f t="shared" si="2"/>
        <v>3000</v>
      </c>
      <c r="H31" s="46" t="s">
        <v>55</v>
      </c>
      <c r="I31" s="52"/>
      <c r="J31" s="51"/>
      <c r="K31" s="167">
        <v>2.0</v>
      </c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28"/>
      <c r="Z31" s="28"/>
    </row>
    <row r="32" ht="15.75" customHeight="1">
      <c r="A32" s="36"/>
      <c r="B32" s="73" t="s">
        <v>83</v>
      </c>
      <c r="C32" s="54" t="s">
        <v>82</v>
      </c>
      <c r="D32" s="47">
        <v>6.0</v>
      </c>
      <c r="E32" s="48" t="str">
        <f>IFERROR(__xludf.DUMMYFUNCTION("REGEXEXTRACT(C32,""[A-Za-z]+"")"),"pcs")</f>
        <v>pcs</v>
      </c>
      <c r="F32" s="58">
        <v>500.0</v>
      </c>
      <c r="G32" s="59">
        <f t="shared" si="2"/>
        <v>3000</v>
      </c>
      <c r="H32" s="46" t="s">
        <v>55</v>
      </c>
      <c r="I32" s="52"/>
      <c r="J32" s="51"/>
      <c r="K32" s="167">
        <v>2.0</v>
      </c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28"/>
      <c r="Z32" s="28"/>
    </row>
    <row r="33" ht="15.75" customHeight="1">
      <c r="A33" s="85"/>
      <c r="B33" s="73" t="s">
        <v>105</v>
      </c>
      <c r="C33" s="84" t="s">
        <v>61</v>
      </c>
      <c r="D33" s="64">
        <v>20.0</v>
      </c>
      <c r="E33" s="65" t="str">
        <f>IFERROR(__xludf.DUMMYFUNCTION("REGEXEXTRACT(C33,""[A-Za-z]+"")"),"pcs")</f>
        <v>pcs</v>
      </c>
      <c r="F33" s="66">
        <v>1300.0</v>
      </c>
      <c r="G33" s="59">
        <f t="shared" si="2"/>
        <v>26000</v>
      </c>
      <c r="H33" s="57" t="s">
        <v>55</v>
      </c>
      <c r="I33" s="89"/>
      <c r="J33" s="51"/>
      <c r="K33" s="168">
        <v>20.0</v>
      </c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28"/>
      <c r="Z33" s="28"/>
    </row>
    <row r="34" ht="15.75" customHeight="1">
      <c r="A34" s="85"/>
      <c r="B34" s="73" t="s">
        <v>106</v>
      </c>
      <c r="C34" s="84" t="s">
        <v>107</v>
      </c>
      <c r="D34" s="64">
        <v>15.0</v>
      </c>
      <c r="E34" s="65" t="str">
        <f>IFERROR(__xludf.DUMMYFUNCTION("REGEXEXTRACT(C34,""[A-Za-z]+"")"),"pcs")</f>
        <v>pcs</v>
      </c>
      <c r="F34" s="66">
        <v>800.0</v>
      </c>
      <c r="G34" s="59">
        <f t="shared" si="2"/>
        <v>12000</v>
      </c>
      <c r="H34" s="57" t="s">
        <v>55</v>
      </c>
      <c r="I34" s="89"/>
      <c r="J34" s="51"/>
      <c r="K34" s="168">
        <v>15.0</v>
      </c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28"/>
      <c r="Z34" s="28"/>
    </row>
    <row r="35" ht="15.75" customHeight="1">
      <c r="A35" s="85"/>
      <c r="B35" s="73" t="s">
        <v>108</v>
      </c>
      <c r="C35" s="84" t="s">
        <v>107</v>
      </c>
      <c r="D35" s="64">
        <v>15.0</v>
      </c>
      <c r="E35" s="65" t="str">
        <f>IFERROR(__xludf.DUMMYFUNCTION("REGEXEXTRACT(C35,""[A-Za-z]+"")"),"pcs")</f>
        <v>pcs</v>
      </c>
      <c r="F35" s="66">
        <v>250.0</v>
      </c>
      <c r="G35" s="59">
        <f t="shared" si="2"/>
        <v>3750</v>
      </c>
      <c r="H35" s="57" t="s">
        <v>55</v>
      </c>
      <c r="I35" s="89"/>
      <c r="J35" s="51"/>
      <c r="K35" s="168">
        <v>15.0</v>
      </c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28"/>
      <c r="Z35" s="28"/>
    </row>
    <row r="36" ht="15.75" customHeight="1">
      <c r="A36" s="85"/>
      <c r="B36" s="73" t="s">
        <v>133</v>
      </c>
      <c r="C36" s="84"/>
      <c r="D36" s="47">
        <v>10.0</v>
      </c>
      <c r="E36" s="59" t="s">
        <v>110</v>
      </c>
      <c r="F36" s="66">
        <v>2400.0</v>
      </c>
      <c r="G36" s="59">
        <f t="shared" si="2"/>
        <v>24000</v>
      </c>
      <c r="H36" s="57" t="s">
        <v>55</v>
      </c>
      <c r="I36" s="89"/>
      <c r="J36" s="51"/>
      <c r="K36" s="168">
        <v>10.0</v>
      </c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28"/>
      <c r="Z36" s="28"/>
    </row>
    <row r="37" ht="15.75" customHeight="1">
      <c r="A37" s="92"/>
      <c r="B37" s="73" t="s">
        <v>134</v>
      </c>
      <c r="C37" s="63"/>
      <c r="D37" s="47">
        <v>10.0</v>
      </c>
      <c r="E37" s="59" t="s">
        <v>110</v>
      </c>
      <c r="F37" s="66">
        <v>2000.0</v>
      </c>
      <c r="G37" s="59">
        <f t="shared" si="2"/>
        <v>20000</v>
      </c>
      <c r="H37" s="57" t="s">
        <v>55</v>
      </c>
      <c r="I37" s="96"/>
      <c r="J37" s="51"/>
      <c r="K37" s="168">
        <v>10.0</v>
      </c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9"/>
      <c r="Z37" s="99"/>
      <c r="AA37" s="100"/>
      <c r="AB37" s="100"/>
    </row>
    <row r="38" ht="15.75" customHeight="1">
      <c r="A38" s="92"/>
      <c r="B38" s="73" t="s">
        <v>135</v>
      </c>
      <c r="C38" s="63"/>
      <c r="D38" s="47">
        <v>10.0</v>
      </c>
      <c r="E38" s="59" t="s">
        <v>110</v>
      </c>
      <c r="F38" s="66">
        <v>1000.0</v>
      </c>
      <c r="G38" s="59">
        <f t="shared" si="2"/>
        <v>10000</v>
      </c>
      <c r="H38" s="57" t="s">
        <v>55</v>
      </c>
      <c r="I38" s="96"/>
      <c r="J38" s="51"/>
      <c r="K38" s="168">
        <v>10.0</v>
      </c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9"/>
      <c r="Z38" s="99"/>
      <c r="AA38" s="100"/>
      <c r="AB38" s="100"/>
    </row>
    <row r="39" ht="15.75" customHeight="1">
      <c r="A39" s="85"/>
      <c r="B39" s="86" t="s">
        <v>103</v>
      </c>
      <c r="C39" s="84" t="s">
        <v>104</v>
      </c>
      <c r="D39" s="47">
        <v>24.0</v>
      </c>
      <c r="E39" s="59" t="str">
        <f>IFERROR(__xludf.DUMMYFUNCTION("REGEXEXTRACT(C39,""[A-Za-z]+"")")," pcs ")</f>
        <v>pcs</v>
      </c>
      <c r="F39" s="82">
        <v>2500.0</v>
      </c>
      <c r="G39" s="59">
        <f t="shared" si="2"/>
        <v>60000</v>
      </c>
      <c r="H39" s="57" t="s">
        <v>55</v>
      </c>
      <c r="I39" s="87"/>
      <c r="J39" s="51"/>
      <c r="K39" s="168">
        <v>24.0</v>
      </c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2"/>
      <c r="Z39" s="2"/>
      <c r="AA39" s="88"/>
      <c r="AB39" s="88"/>
    </row>
    <row r="40" ht="15.75" customHeight="1">
      <c r="A40" s="36"/>
      <c r="B40" s="37" t="s">
        <v>59</v>
      </c>
      <c r="C40" s="38"/>
      <c r="D40" s="40"/>
      <c r="E40" s="40"/>
      <c r="F40" s="41"/>
      <c r="G40" s="38"/>
      <c r="H40" s="38"/>
      <c r="I40" s="38"/>
      <c r="J40" s="42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43"/>
      <c r="X40" s="44"/>
      <c r="Y40" s="28"/>
      <c r="Z40" s="28"/>
    </row>
    <row r="41" ht="15.75" customHeight="1">
      <c r="A41" s="36"/>
      <c r="B41" s="73" t="s">
        <v>136</v>
      </c>
      <c r="C41" s="57"/>
      <c r="D41" s="47">
        <v>2.0</v>
      </c>
      <c r="E41" s="59" t="s">
        <v>137</v>
      </c>
      <c r="F41" s="59">
        <v>20000.0</v>
      </c>
      <c r="G41" s="59">
        <f t="shared" ref="G41:G86" si="3">F41*D41</f>
        <v>40000</v>
      </c>
      <c r="H41" s="57" t="s">
        <v>55</v>
      </c>
      <c r="I41" s="102"/>
      <c r="J41" s="169">
        <v>2.0</v>
      </c>
      <c r="K41" s="75"/>
      <c r="L41" s="75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70"/>
      <c r="X41" s="71"/>
      <c r="Y41" s="28"/>
      <c r="Z41" s="28"/>
    </row>
    <row r="42" ht="15.75" customHeight="1">
      <c r="A42" s="36"/>
      <c r="B42" s="73" t="s">
        <v>60</v>
      </c>
      <c r="C42" s="57" t="s">
        <v>61</v>
      </c>
      <c r="D42" s="64">
        <v>20.0</v>
      </c>
      <c r="E42" s="65" t="str">
        <f>IFERROR(__xludf.DUMMYFUNCTION("REGEXEXTRACT(C42,""[A-Za-z]+"")"),"pcs")</f>
        <v>pcs</v>
      </c>
      <c r="F42" s="66">
        <v>500.0</v>
      </c>
      <c r="G42" s="59">
        <f t="shared" si="3"/>
        <v>10000</v>
      </c>
      <c r="H42" s="46" t="s">
        <v>55</v>
      </c>
      <c r="I42" s="67"/>
      <c r="J42" s="170">
        <v>20.0</v>
      </c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70"/>
      <c r="X42" s="71"/>
      <c r="Y42" s="28"/>
      <c r="Z42" s="28"/>
    </row>
    <row r="43" ht="15.75" customHeight="1">
      <c r="A43" s="36"/>
      <c r="B43" s="73" t="s">
        <v>62</v>
      </c>
      <c r="C43" s="57" t="s">
        <v>61</v>
      </c>
      <c r="D43" s="64">
        <v>20.0</v>
      </c>
      <c r="E43" s="65" t="str">
        <f>IFERROR(__xludf.DUMMYFUNCTION("REGEXEXTRACT(C43,""[A-Za-z]+"")"),"pcs")</f>
        <v>pcs</v>
      </c>
      <c r="F43" s="66">
        <v>300.0</v>
      </c>
      <c r="G43" s="59">
        <f t="shared" si="3"/>
        <v>6000</v>
      </c>
      <c r="H43" s="46" t="s">
        <v>55</v>
      </c>
      <c r="I43" s="67"/>
      <c r="J43" s="170">
        <v>20.0</v>
      </c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70"/>
      <c r="X43" s="71"/>
      <c r="Y43" s="28"/>
      <c r="Z43" s="28"/>
    </row>
    <row r="44" ht="15.75" customHeight="1">
      <c r="A44" s="36"/>
      <c r="B44" s="73" t="s">
        <v>63</v>
      </c>
      <c r="C44" s="57" t="s">
        <v>61</v>
      </c>
      <c r="D44" s="64">
        <v>20.0</v>
      </c>
      <c r="E44" s="65" t="str">
        <f>IFERROR(__xludf.DUMMYFUNCTION("REGEXEXTRACT(C44,""[A-Za-z]+"")"),"pcs")</f>
        <v>pcs</v>
      </c>
      <c r="F44" s="66">
        <v>200.0</v>
      </c>
      <c r="G44" s="59">
        <f t="shared" si="3"/>
        <v>4000</v>
      </c>
      <c r="H44" s="46" t="s">
        <v>55</v>
      </c>
      <c r="I44" s="67"/>
      <c r="J44" s="170">
        <v>20.0</v>
      </c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70"/>
      <c r="X44" s="71"/>
      <c r="Y44" s="28"/>
      <c r="Z44" s="28"/>
    </row>
    <row r="45" ht="15.75" customHeight="1">
      <c r="A45" s="36"/>
      <c r="B45" s="73" t="s">
        <v>64</v>
      </c>
      <c r="C45" s="57" t="s">
        <v>65</v>
      </c>
      <c r="D45" s="64">
        <v>10.0</v>
      </c>
      <c r="E45" s="65" t="str">
        <f>IFERROR(__xludf.DUMMYFUNCTION("REGEXEXTRACT(C45,""[A-Za-z]+"")"),"pcs")</f>
        <v>pcs</v>
      </c>
      <c r="F45" s="66">
        <v>500.0</v>
      </c>
      <c r="G45" s="59">
        <f t="shared" si="3"/>
        <v>5000</v>
      </c>
      <c r="H45" s="46" t="s">
        <v>55</v>
      </c>
      <c r="I45" s="67"/>
      <c r="J45" s="170">
        <v>10.0</v>
      </c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70"/>
      <c r="X45" s="71"/>
      <c r="Y45" s="28"/>
      <c r="Z45" s="28"/>
    </row>
    <row r="46" ht="15.75" customHeight="1">
      <c r="A46" s="36"/>
      <c r="B46" s="73" t="s">
        <v>66</v>
      </c>
      <c r="C46" s="57" t="s">
        <v>65</v>
      </c>
      <c r="D46" s="64">
        <v>10.0</v>
      </c>
      <c r="E46" s="65" t="str">
        <f>IFERROR(__xludf.DUMMYFUNCTION("REGEXEXTRACT(C46,""[A-Za-z]+"")"),"pcs")</f>
        <v>pcs</v>
      </c>
      <c r="F46" s="66">
        <v>450.0</v>
      </c>
      <c r="G46" s="59">
        <f t="shared" si="3"/>
        <v>4500</v>
      </c>
      <c r="H46" s="46" t="s">
        <v>55</v>
      </c>
      <c r="I46" s="67"/>
      <c r="J46" s="170">
        <v>10.0</v>
      </c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70"/>
      <c r="X46" s="71"/>
      <c r="Y46" s="28"/>
      <c r="Z46" s="28"/>
    </row>
    <row r="47" ht="15.75" customHeight="1">
      <c r="A47" s="36"/>
      <c r="B47" s="73" t="s">
        <v>67</v>
      </c>
      <c r="C47" s="57" t="s">
        <v>61</v>
      </c>
      <c r="D47" s="64">
        <v>20.0</v>
      </c>
      <c r="E47" s="65" t="str">
        <f>IFERROR(__xludf.DUMMYFUNCTION("REGEXEXTRACT(C47,""[A-Za-z]+"")"),"pcs")</f>
        <v>pcs</v>
      </c>
      <c r="F47" s="66">
        <v>430.0</v>
      </c>
      <c r="G47" s="59">
        <f t="shared" si="3"/>
        <v>8600</v>
      </c>
      <c r="H47" s="46" t="s">
        <v>55</v>
      </c>
      <c r="I47" s="67"/>
      <c r="J47" s="170">
        <v>20.0</v>
      </c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70"/>
      <c r="X47" s="71"/>
      <c r="Y47" s="28"/>
      <c r="Z47" s="28"/>
    </row>
    <row r="48" ht="15.75" customHeight="1">
      <c r="A48" s="36"/>
      <c r="B48" s="76" t="s">
        <v>68</v>
      </c>
      <c r="C48" s="57" t="s">
        <v>65</v>
      </c>
      <c r="D48" s="64">
        <v>10.0</v>
      </c>
      <c r="E48" s="65" t="str">
        <f>IFERROR(__xludf.DUMMYFUNCTION("REGEXEXTRACT(C48,""[A-Za-z]+"")"),"pcs")</f>
        <v>pcs</v>
      </c>
      <c r="F48" s="66">
        <v>65.0</v>
      </c>
      <c r="G48" s="59">
        <f t="shared" si="3"/>
        <v>650</v>
      </c>
      <c r="H48" s="46" t="s">
        <v>55</v>
      </c>
      <c r="I48" s="67"/>
      <c r="J48" s="170">
        <v>10.0</v>
      </c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70"/>
      <c r="X48" s="71"/>
      <c r="Y48" s="28"/>
      <c r="Z48" s="28"/>
    </row>
    <row r="49" ht="15.75" customHeight="1">
      <c r="A49" s="36"/>
      <c r="B49" s="76" t="s">
        <v>69</v>
      </c>
      <c r="C49" s="57" t="s">
        <v>70</v>
      </c>
      <c r="D49" s="64">
        <v>30.0</v>
      </c>
      <c r="E49" s="65" t="str">
        <f>IFERROR(__xludf.DUMMYFUNCTION("REGEXEXTRACT(C49,""[A-Za-z]+"")"),"pcs")</f>
        <v>pcs</v>
      </c>
      <c r="F49" s="66">
        <v>150.0</v>
      </c>
      <c r="G49" s="59">
        <f t="shared" si="3"/>
        <v>4500</v>
      </c>
      <c r="H49" s="46" t="s">
        <v>55</v>
      </c>
      <c r="I49" s="67"/>
      <c r="J49" s="170">
        <v>30.0</v>
      </c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70"/>
      <c r="X49" s="71"/>
      <c r="Y49" s="28"/>
      <c r="Z49" s="28"/>
    </row>
    <row r="50" ht="15.75" customHeight="1">
      <c r="A50" s="36"/>
      <c r="B50" s="76" t="s">
        <v>71</v>
      </c>
      <c r="C50" s="57" t="s">
        <v>72</v>
      </c>
      <c r="D50" s="47">
        <v>40.0</v>
      </c>
      <c r="E50" s="61" t="str">
        <f>IFERROR(__xludf.DUMMYFUNCTION("REGEXEXTRACT(C50,""[A-Za-z]+"")"),"pcs")</f>
        <v>pcs</v>
      </c>
      <c r="F50" s="49">
        <v>199.0</v>
      </c>
      <c r="G50" s="59">
        <f t="shared" si="3"/>
        <v>7960</v>
      </c>
      <c r="H50" s="46" t="s">
        <v>55</v>
      </c>
      <c r="I50" s="52"/>
      <c r="J50" s="171">
        <v>40.0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28"/>
      <c r="Z50" s="28"/>
    </row>
    <row r="51" ht="15.75" customHeight="1">
      <c r="A51" s="36"/>
      <c r="B51" s="76" t="s">
        <v>73</v>
      </c>
      <c r="C51" s="57" t="s">
        <v>72</v>
      </c>
      <c r="D51" s="47">
        <v>40.0</v>
      </c>
      <c r="E51" s="61" t="str">
        <f>IFERROR(__xludf.DUMMYFUNCTION("REGEXEXTRACT(C51,""[A-Za-z]+"")"),"pcs")</f>
        <v>pcs</v>
      </c>
      <c r="F51" s="49">
        <v>199.0</v>
      </c>
      <c r="G51" s="59">
        <f t="shared" si="3"/>
        <v>7960</v>
      </c>
      <c r="H51" s="46" t="s">
        <v>55</v>
      </c>
      <c r="I51" s="52"/>
      <c r="J51" s="171">
        <v>40.0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28"/>
      <c r="Z51" s="28"/>
    </row>
    <row r="52" ht="15.75" customHeight="1">
      <c r="A52" s="36"/>
      <c r="B52" s="76" t="s">
        <v>74</v>
      </c>
      <c r="C52" s="54" t="s">
        <v>75</v>
      </c>
      <c r="D52" s="47">
        <v>10.0</v>
      </c>
      <c r="E52" s="61" t="str">
        <f>IFERROR(__xludf.DUMMYFUNCTION("REGEXEXTRACT(C52,""[A-Za-z]+"")"),"packs")</f>
        <v>packs</v>
      </c>
      <c r="F52" s="49">
        <v>2000.0</v>
      </c>
      <c r="G52" s="59">
        <f t="shared" si="3"/>
        <v>20000</v>
      </c>
      <c r="H52" s="46" t="s">
        <v>55</v>
      </c>
      <c r="I52" s="52"/>
      <c r="J52" s="160">
        <v>2.0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28"/>
      <c r="Z52" s="28"/>
    </row>
    <row r="53" ht="15.75" customHeight="1">
      <c r="A53" s="36"/>
      <c r="B53" s="76" t="s">
        <v>76</v>
      </c>
      <c r="C53" s="54" t="s">
        <v>75</v>
      </c>
      <c r="D53" s="47">
        <v>10.0</v>
      </c>
      <c r="E53" s="61" t="str">
        <f>IFERROR(__xludf.DUMMYFUNCTION("REGEXEXTRACT(C53,""[A-Za-z]+"")"),"packs")</f>
        <v>packs</v>
      </c>
      <c r="F53" s="49">
        <v>2500.0</v>
      </c>
      <c r="G53" s="59">
        <f t="shared" si="3"/>
        <v>25000</v>
      </c>
      <c r="H53" s="46" t="s">
        <v>55</v>
      </c>
      <c r="I53" s="52"/>
      <c r="J53" s="160">
        <v>2.0</v>
      </c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28"/>
      <c r="Z53" s="28"/>
    </row>
    <row r="54">
      <c r="A54" s="36"/>
      <c r="B54" s="76" t="s">
        <v>77</v>
      </c>
      <c r="C54" s="54" t="s">
        <v>75</v>
      </c>
      <c r="D54" s="47">
        <v>10.0</v>
      </c>
      <c r="E54" s="61" t="str">
        <f>IFERROR(__xludf.DUMMYFUNCTION("REGEXEXTRACT(C54,""[A-Za-z]+"")"),"packs")</f>
        <v>packs</v>
      </c>
      <c r="F54" s="49">
        <v>3000.0</v>
      </c>
      <c r="G54" s="59">
        <f t="shared" si="3"/>
        <v>30000</v>
      </c>
      <c r="H54" s="46" t="s">
        <v>55</v>
      </c>
      <c r="I54" s="52"/>
      <c r="J54" s="160">
        <v>2.0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28"/>
      <c r="Z54" s="28"/>
    </row>
    <row r="55" ht="15.75" customHeight="1">
      <c r="A55" s="36"/>
      <c r="B55" s="73" t="s">
        <v>84</v>
      </c>
      <c r="C55" s="57" t="s">
        <v>79</v>
      </c>
      <c r="D55" s="47">
        <v>10.0</v>
      </c>
      <c r="E55" s="48" t="str">
        <f>IFERROR(__xludf.DUMMYFUNCTION("REGEXEXTRACT(C55,""[A-Za-z]+"")"),"boxes")</f>
        <v>boxes</v>
      </c>
      <c r="F55" s="58">
        <v>200.0</v>
      </c>
      <c r="G55" s="59">
        <f t="shared" si="3"/>
        <v>2000</v>
      </c>
      <c r="H55" s="46" t="s">
        <v>55</v>
      </c>
      <c r="I55" s="52"/>
      <c r="J55" s="172">
        <v>10.0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28"/>
      <c r="Z55" s="28"/>
    </row>
    <row r="56" ht="15.75" customHeight="1">
      <c r="A56" s="36"/>
      <c r="B56" s="73" t="s">
        <v>85</v>
      </c>
      <c r="C56" s="57" t="s">
        <v>75</v>
      </c>
      <c r="D56" s="47">
        <v>10.0</v>
      </c>
      <c r="E56" s="48" t="str">
        <f>IFERROR(__xludf.DUMMYFUNCTION("REGEXEXTRACT(C56,""[A-Za-z]+"")"),"packs")</f>
        <v>packs</v>
      </c>
      <c r="F56" s="58">
        <v>200.0</v>
      </c>
      <c r="G56" s="59">
        <f t="shared" si="3"/>
        <v>2000</v>
      </c>
      <c r="H56" s="46" t="s">
        <v>55</v>
      </c>
      <c r="I56" s="52"/>
      <c r="J56" s="172">
        <v>10.0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28"/>
      <c r="Z56" s="28"/>
    </row>
    <row r="57" ht="15.75" customHeight="1">
      <c r="A57" s="36"/>
      <c r="B57" s="73" t="s">
        <v>86</v>
      </c>
      <c r="C57" s="57" t="s">
        <v>75</v>
      </c>
      <c r="D57" s="47">
        <v>10.0</v>
      </c>
      <c r="E57" s="48" t="str">
        <f>IFERROR(__xludf.DUMMYFUNCTION("REGEXEXTRACT(C57,""[A-Za-z]+"")"),"packs")</f>
        <v>packs</v>
      </c>
      <c r="F57" s="58">
        <v>200.0</v>
      </c>
      <c r="G57" s="59">
        <f t="shared" si="3"/>
        <v>2000</v>
      </c>
      <c r="H57" s="46" t="s">
        <v>55</v>
      </c>
      <c r="I57" s="52"/>
      <c r="J57" s="172">
        <v>10.0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28"/>
      <c r="Z57" s="28"/>
    </row>
    <row r="58" ht="15.75" customHeight="1">
      <c r="A58" s="36"/>
      <c r="B58" s="73" t="s">
        <v>89</v>
      </c>
      <c r="C58" s="57" t="s">
        <v>75</v>
      </c>
      <c r="D58" s="47">
        <v>10.0</v>
      </c>
      <c r="E58" s="48" t="str">
        <f>IFERROR(__xludf.DUMMYFUNCTION("REGEXEXTRACT(C58,""[A-Za-z]+"")"),"packs")</f>
        <v>packs</v>
      </c>
      <c r="F58" s="58">
        <v>200.0</v>
      </c>
      <c r="G58" s="59">
        <f t="shared" si="3"/>
        <v>2000</v>
      </c>
      <c r="H58" s="46" t="s">
        <v>55</v>
      </c>
      <c r="I58" s="52"/>
      <c r="J58" s="172">
        <v>10.0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28"/>
      <c r="Z58" s="28"/>
    </row>
    <row r="59" ht="15.75" customHeight="1">
      <c r="A59" s="36"/>
      <c r="B59" s="73" t="s">
        <v>90</v>
      </c>
      <c r="C59" s="57" t="s">
        <v>75</v>
      </c>
      <c r="D59" s="47">
        <v>10.0</v>
      </c>
      <c r="E59" s="48" t="str">
        <f>IFERROR(__xludf.DUMMYFUNCTION("REGEXEXTRACT(C59,""[A-Za-z]+"")"),"packs")</f>
        <v>packs</v>
      </c>
      <c r="F59" s="58">
        <v>250.0</v>
      </c>
      <c r="G59" s="59">
        <f t="shared" si="3"/>
        <v>2500</v>
      </c>
      <c r="H59" s="46" t="s">
        <v>55</v>
      </c>
      <c r="I59" s="52"/>
      <c r="J59" s="172">
        <v>10.0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28"/>
      <c r="Z59" s="28"/>
    </row>
    <row r="60" ht="15.75" customHeight="1">
      <c r="A60" s="36"/>
      <c r="B60" s="73" t="s">
        <v>91</v>
      </c>
      <c r="C60" s="57" t="s">
        <v>75</v>
      </c>
      <c r="D60" s="47">
        <v>10.0</v>
      </c>
      <c r="E60" s="59" t="str">
        <f>IFERROR(__xludf.DUMMYFUNCTION("REGEXEXTRACT(C60,""[A-Za-z]+"")")," packs ")</f>
        <v>packs</v>
      </c>
      <c r="F60" s="59">
        <v>350.0</v>
      </c>
      <c r="G60" s="59">
        <f t="shared" si="3"/>
        <v>3500</v>
      </c>
      <c r="H60" s="57" t="s">
        <v>55</v>
      </c>
      <c r="I60" s="52"/>
      <c r="J60" s="172">
        <v>10.0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28"/>
      <c r="Z60" s="28"/>
    </row>
    <row r="61" ht="15.75" customHeight="1">
      <c r="A61" s="36"/>
      <c r="B61" s="73" t="s">
        <v>92</v>
      </c>
      <c r="C61" s="57" t="s">
        <v>75</v>
      </c>
      <c r="D61" s="47">
        <v>10.0</v>
      </c>
      <c r="E61" s="59" t="str">
        <f>IFERROR(__xludf.DUMMYFUNCTION("REGEXEXTRACT(C61,""[A-Za-z]+"")")," packs ")</f>
        <v>packs</v>
      </c>
      <c r="F61" s="59">
        <v>400.0</v>
      </c>
      <c r="G61" s="59">
        <f t="shared" si="3"/>
        <v>4000</v>
      </c>
      <c r="H61" s="57" t="s">
        <v>55</v>
      </c>
      <c r="I61" s="52"/>
      <c r="J61" s="172">
        <v>10.0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28"/>
      <c r="Z61" s="28"/>
    </row>
    <row r="62" ht="15.75" hidden="1" customHeight="1">
      <c r="A62" s="36"/>
      <c r="B62" s="45"/>
      <c r="C62" s="57"/>
      <c r="D62" s="47"/>
      <c r="E62" s="59" t="str">
        <f>IFERROR(__xludf.DUMMYFUNCTION("REGEXEXTRACT(C62,""[A-Za-z]+"")"),"#N/A")</f>
        <v>#N/A</v>
      </c>
      <c r="F62" s="59"/>
      <c r="G62" s="59">
        <f t="shared" si="3"/>
        <v>0</v>
      </c>
      <c r="H62" s="57"/>
      <c r="I62" s="52"/>
      <c r="J62" s="46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28"/>
      <c r="Z62" s="28"/>
    </row>
    <row r="63" ht="15.75" hidden="1" customHeight="1">
      <c r="A63" s="36"/>
      <c r="B63" s="45"/>
      <c r="C63" s="57"/>
      <c r="D63" s="47"/>
      <c r="E63" s="59" t="str">
        <f>IFERROR(__xludf.DUMMYFUNCTION("REGEXEXTRACT(C63,""[A-Za-z]+"")"),"#N/A")</f>
        <v>#N/A</v>
      </c>
      <c r="F63" s="59"/>
      <c r="G63" s="59">
        <f t="shared" si="3"/>
        <v>0</v>
      </c>
      <c r="H63" s="57"/>
      <c r="I63" s="52"/>
      <c r="J63" s="46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28"/>
      <c r="Z63" s="28"/>
    </row>
    <row r="64" ht="15.75" hidden="1" customHeight="1">
      <c r="A64" s="36"/>
      <c r="B64" s="45"/>
      <c r="C64" s="57"/>
      <c r="D64" s="47"/>
      <c r="E64" s="59" t="str">
        <f>IFERROR(__xludf.DUMMYFUNCTION("REGEXEXTRACT(C64,""[A-Za-z]+"")"),"#N/A")</f>
        <v>#N/A</v>
      </c>
      <c r="F64" s="59"/>
      <c r="G64" s="59">
        <f t="shared" si="3"/>
        <v>0</v>
      </c>
      <c r="H64" s="57"/>
      <c r="I64" s="52"/>
      <c r="J64" s="46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28"/>
      <c r="Z64" s="28"/>
    </row>
    <row r="65" ht="15.75" hidden="1" customHeight="1">
      <c r="A65" s="36"/>
      <c r="B65" s="45"/>
      <c r="C65" s="57"/>
      <c r="D65" s="47"/>
      <c r="E65" s="59" t="str">
        <f>IFERROR(__xludf.DUMMYFUNCTION("REGEXEXTRACT(C65,""[A-Za-z]+"")"),"#N/A")</f>
        <v>#N/A</v>
      </c>
      <c r="F65" s="59"/>
      <c r="G65" s="59">
        <f t="shared" si="3"/>
        <v>0</v>
      </c>
      <c r="H65" s="57"/>
      <c r="I65" s="52"/>
      <c r="J65" s="46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28"/>
      <c r="Z65" s="28"/>
    </row>
    <row r="66" ht="15.75" hidden="1" customHeight="1">
      <c r="A66" s="36"/>
      <c r="B66" s="45"/>
      <c r="C66" s="57"/>
      <c r="D66" s="47"/>
      <c r="E66" s="59" t="str">
        <f>IFERROR(__xludf.DUMMYFUNCTION("REGEXEXTRACT(C66,""[A-Za-z]+"")"),"#N/A")</f>
        <v>#N/A</v>
      </c>
      <c r="F66" s="59"/>
      <c r="G66" s="59">
        <f t="shared" si="3"/>
        <v>0</v>
      </c>
      <c r="H66" s="57"/>
      <c r="I66" s="52"/>
      <c r="J66" s="46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28"/>
      <c r="Z66" s="28"/>
    </row>
    <row r="67" ht="15.75" hidden="1" customHeight="1">
      <c r="A67" s="36"/>
      <c r="B67" s="45"/>
      <c r="C67" s="57"/>
      <c r="D67" s="47"/>
      <c r="E67" s="59" t="str">
        <f>IFERROR(__xludf.DUMMYFUNCTION("REGEXEXTRACT(C67,""[A-Za-z]+"")"),"#N/A")</f>
        <v>#N/A</v>
      </c>
      <c r="F67" s="59"/>
      <c r="G67" s="59">
        <f t="shared" si="3"/>
        <v>0</v>
      </c>
      <c r="H67" s="57"/>
      <c r="I67" s="52"/>
      <c r="J67" s="46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28"/>
      <c r="Z67" s="28"/>
    </row>
    <row r="68" ht="15.75" hidden="1" customHeight="1">
      <c r="A68" s="77"/>
      <c r="B68" s="78"/>
      <c r="C68" s="57"/>
      <c r="D68" s="47"/>
      <c r="E68" s="59" t="str">
        <f>IFERROR(__xludf.DUMMYFUNCTION("REGEXEXTRACT(C68,""[A-Za-z]+"")"),"#N/A")</f>
        <v>#N/A</v>
      </c>
      <c r="F68" s="59"/>
      <c r="G68" s="59">
        <f t="shared" si="3"/>
        <v>0</v>
      </c>
      <c r="H68" s="57"/>
      <c r="I68" s="52"/>
      <c r="J68" s="46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28"/>
      <c r="Z68" s="28"/>
    </row>
    <row r="69" ht="15.75" hidden="1" customHeight="1">
      <c r="A69" s="36"/>
      <c r="B69" s="79" t="s">
        <v>93</v>
      </c>
      <c r="C69" s="57"/>
      <c r="D69" s="47"/>
      <c r="E69" s="59" t="str">
        <f>IFERROR(__xludf.DUMMYFUNCTION("REGEXEXTRACT(C69,""[A-Za-z]+"")"),"#N/A")</f>
        <v>#N/A</v>
      </c>
      <c r="F69" s="59"/>
      <c r="G69" s="59">
        <f t="shared" si="3"/>
        <v>0</v>
      </c>
      <c r="H69" s="57"/>
      <c r="I69" s="80"/>
      <c r="J69" s="81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28"/>
      <c r="Z69" s="28"/>
    </row>
    <row r="70" ht="15.75" hidden="1" customHeight="1">
      <c r="A70" s="36"/>
      <c r="B70" s="45"/>
      <c r="C70" s="57"/>
      <c r="D70" s="47"/>
      <c r="E70" s="59" t="str">
        <f>IFERROR(__xludf.DUMMYFUNCTION("REGEXEXTRACT(C70,""[A-Za-z]+"")"),"#N/A")</f>
        <v>#N/A</v>
      </c>
      <c r="F70" s="59"/>
      <c r="G70" s="59">
        <f t="shared" si="3"/>
        <v>0</v>
      </c>
      <c r="H70" s="57"/>
      <c r="I70" s="52"/>
      <c r="J70" s="46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28"/>
      <c r="Z70" s="28"/>
    </row>
    <row r="71" ht="15.75" hidden="1" customHeight="1">
      <c r="A71" s="36"/>
      <c r="B71" s="45"/>
      <c r="C71" s="57"/>
      <c r="D71" s="47"/>
      <c r="E71" s="59" t="str">
        <f>IFERROR(__xludf.DUMMYFUNCTION("REGEXEXTRACT(C71,""[A-Za-z]+"")"),"#N/A")</f>
        <v>#N/A</v>
      </c>
      <c r="F71" s="59"/>
      <c r="G71" s="59">
        <f t="shared" si="3"/>
        <v>0</v>
      </c>
      <c r="H71" s="57"/>
      <c r="I71" s="52"/>
      <c r="J71" s="46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28"/>
      <c r="Z71" s="28"/>
    </row>
    <row r="72" ht="15.75" hidden="1" customHeight="1">
      <c r="A72" s="36"/>
      <c r="B72" s="45"/>
      <c r="C72" s="57"/>
      <c r="D72" s="47"/>
      <c r="E72" s="59" t="str">
        <f>IFERROR(__xludf.DUMMYFUNCTION("REGEXEXTRACT(C72,""[A-Za-z]+"")"),"#N/A")</f>
        <v>#N/A</v>
      </c>
      <c r="F72" s="59"/>
      <c r="G72" s="59">
        <f t="shared" si="3"/>
        <v>0</v>
      </c>
      <c r="H72" s="57"/>
      <c r="I72" s="52"/>
      <c r="J72" s="46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28"/>
      <c r="Z72" s="28"/>
    </row>
    <row r="73" ht="15.75" hidden="1" customHeight="1">
      <c r="A73" s="36"/>
      <c r="B73" s="45"/>
      <c r="C73" s="57"/>
      <c r="D73" s="47"/>
      <c r="E73" s="59" t="str">
        <f>IFERROR(__xludf.DUMMYFUNCTION("REGEXEXTRACT(C73,""[A-Za-z]+"")"),"#N/A")</f>
        <v>#N/A</v>
      </c>
      <c r="F73" s="59"/>
      <c r="G73" s="59">
        <f t="shared" si="3"/>
        <v>0</v>
      </c>
      <c r="H73" s="57"/>
      <c r="I73" s="52"/>
      <c r="J73" s="46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28"/>
      <c r="Z73" s="28"/>
    </row>
    <row r="74" ht="15.75" hidden="1" customHeight="1">
      <c r="A74" s="36"/>
      <c r="B74" s="79" t="s">
        <v>94</v>
      </c>
      <c r="C74" s="57"/>
      <c r="D74" s="47"/>
      <c r="E74" s="59" t="str">
        <f>IFERROR(__xludf.DUMMYFUNCTION("REGEXEXTRACT(C74,""[A-Za-z]+"")"),"#N/A")</f>
        <v>#N/A</v>
      </c>
      <c r="F74" s="59"/>
      <c r="G74" s="59">
        <f t="shared" si="3"/>
        <v>0</v>
      </c>
      <c r="H74" s="57"/>
      <c r="I74" s="80"/>
      <c r="J74" s="81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28"/>
      <c r="Z74" s="28"/>
    </row>
    <row r="75" ht="15.75" hidden="1" customHeight="1">
      <c r="A75" s="36"/>
      <c r="B75" s="45"/>
      <c r="C75" s="57"/>
      <c r="D75" s="47"/>
      <c r="E75" s="59" t="str">
        <f>IFERROR(__xludf.DUMMYFUNCTION("REGEXEXTRACT(C75,""[A-Za-z]+"")"),"#N/A")</f>
        <v>#N/A</v>
      </c>
      <c r="F75" s="59"/>
      <c r="G75" s="59">
        <f t="shared" si="3"/>
        <v>0</v>
      </c>
      <c r="H75" s="57"/>
      <c r="I75" s="52"/>
      <c r="J75" s="46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28"/>
      <c r="Z75" s="28"/>
    </row>
    <row r="76" ht="15.75" hidden="1" customHeight="1">
      <c r="A76" s="36"/>
      <c r="B76" s="45"/>
      <c r="C76" s="57"/>
      <c r="D76" s="47"/>
      <c r="E76" s="59" t="str">
        <f>IFERROR(__xludf.DUMMYFUNCTION("REGEXEXTRACT(C76,""[A-Za-z]+"")"),"#N/A")</f>
        <v>#N/A</v>
      </c>
      <c r="F76" s="59"/>
      <c r="G76" s="59">
        <f t="shared" si="3"/>
        <v>0</v>
      </c>
      <c r="H76" s="57"/>
      <c r="I76" s="52"/>
      <c r="J76" s="46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28"/>
      <c r="Z76" s="28"/>
    </row>
    <row r="77" ht="15.75" hidden="1" customHeight="1">
      <c r="A77" s="36"/>
      <c r="B77" s="45"/>
      <c r="C77" s="57"/>
      <c r="D77" s="47"/>
      <c r="E77" s="59" t="str">
        <f>IFERROR(__xludf.DUMMYFUNCTION("REGEXEXTRACT(C77,""[A-Za-z]+"")"),"#N/A")</f>
        <v>#N/A</v>
      </c>
      <c r="F77" s="59"/>
      <c r="G77" s="59">
        <f t="shared" si="3"/>
        <v>0</v>
      </c>
      <c r="H77" s="57"/>
      <c r="I77" s="52"/>
      <c r="J77" s="46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28"/>
      <c r="Z77" s="28"/>
    </row>
    <row r="78" ht="15.75" customHeight="1">
      <c r="A78" s="36"/>
      <c r="B78" s="73" t="s">
        <v>98</v>
      </c>
      <c r="C78" s="57" t="s">
        <v>99</v>
      </c>
      <c r="D78" s="47">
        <v>2.0</v>
      </c>
      <c r="E78" s="59" t="str">
        <f>IFERROR(__xludf.DUMMYFUNCTION("REGEXEXTRACT(C78,""[A-Za-z]+"")")," units ")</f>
        <v>units</v>
      </c>
      <c r="F78" s="82">
        <v>7200.0</v>
      </c>
      <c r="G78" s="59">
        <f t="shared" si="3"/>
        <v>14400</v>
      </c>
      <c r="H78" s="57" t="s">
        <v>55</v>
      </c>
      <c r="I78" s="74"/>
      <c r="J78" s="173"/>
      <c r="K78" s="161">
        <v>2.0</v>
      </c>
      <c r="L78" s="51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28"/>
      <c r="Z78" s="28"/>
    </row>
    <row r="79" ht="15.75" customHeight="1">
      <c r="A79" s="36"/>
      <c r="B79" s="83" t="s">
        <v>100</v>
      </c>
      <c r="C79" s="84" t="s">
        <v>101</v>
      </c>
      <c r="D79" s="47">
        <v>6.0</v>
      </c>
      <c r="E79" s="59" t="str">
        <f>IFERROR(__xludf.DUMMYFUNCTION("REGEXEXTRACT(C79,""[A-Za-z]+"")")," units ")</f>
        <v>units</v>
      </c>
      <c r="F79" s="82">
        <v>500.0</v>
      </c>
      <c r="G79" s="59">
        <f t="shared" si="3"/>
        <v>3000</v>
      </c>
      <c r="H79" s="57" t="s">
        <v>55</v>
      </c>
      <c r="I79" s="74"/>
      <c r="J79" s="173"/>
      <c r="K79" s="161">
        <v>6.0</v>
      </c>
      <c r="L79" s="51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28"/>
      <c r="Z79" s="28"/>
    </row>
    <row r="80" ht="15.75" customHeight="1">
      <c r="A80" s="36"/>
      <c r="B80" s="73" t="s">
        <v>102</v>
      </c>
      <c r="C80" s="57" t="s">
        <v>99</v>
      </c>
      <c r="D80" s="47">
        <v>2.0</v>
      </c>
      <c r="E80" s="59" t="str">
        <f>IFERROR(__xludf.DUMMYFUNCTION("REGEXEXTRACT(C80,""[A-Za-z]+"")")," units ")</f>
        <v>units</v>
      </c>
      <c r="F80" s="82">
        <v>10000.0</v>
      </c>
      <c r="G80" s="59">
        <f t="shared" si="3"/>
        <v>20000</v>
      </c>
      <c r="H80" s="57" t="s">
        <v>55</v>
      </c>
      <c r="I80" s="74"/>
      <c r="J80" s="173"/>
      <c r="K80" s="161">
        <v>1.0</v>
      </c>
      <c r="L80" s="51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28"/>
      <c r="Z80" s="28"/>
    </row>
    <row r="81" ht="15.75" customHeight="1">
      <c r="A81" s="36"/>
      <c r="B81" s="83" t="s">
        <v>113</v>
      </c>
      <c r="C81" s="102"/>
      <c r="D81" s="93">
        <v>600.0</v>
      </c>
      <c r="E81" s="93" t="s">
        <v>110</v>
      </c>
      <c r="F81" s="66">
        <v>80.0</v>
      </c>
      <c r="G81" s="59">
        <f t="shared" si="3"/>
        <v>48000</v>
      </c>
      <c r="H81" s="57" t="s">
        <v>55</v>
      </c>
      <c r="I81" s="74"/>
      <c r="J81" s="51"/>
      <c r="K81" s="174">
        <v>600.0</v>
      </c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28"/>
      <c r="Z81" s="28"/>
    </row>
    <row r="82" ht="15.75" customHeight="1">
      <c r="A82" s="92"/>
      <c r="B82" s="73" t="s">
        <v>111</v>
      </c>
      <c r="C82" s="63" t="s">
        <v>112</v>
      </c>
      <c r="D82" s="93">
        <v>3.0</v>
      </c>
      <c r="E82" s="59" t="str">
        <f>IFERROR(__xludf.DUMMYFUNCTION("REGEXEXTRACT(C82,""[A-Za-z]+"")")," pcs ")</f>
        <v>pcs</v>
      </c>
      <c r="F82" s="95">
        <v>10000.0</v>
      </c>
      <c r="G82" s="59">
        <f t="shared" si="3"/>
        <v>30000</v>
      </c>
      <c r="H82" s="63" t="s">
        <v>55</v>
      </c>
      <c r="I82" s="96"/>
      <c r="J82" s="51"/>
      <c r="K82" s="175">
        <v>3.0</v>
      </c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9"/>
      <c r="Z82" s="99"/>
      <c r="AA82" s="100"/>
      <c r="AB82" s="100"/>
    </row>
    <row r="83" ht="15.75" customHeight="1">
      <c r="A83" s="36"/>
      <c r="B83" s="73" t="s">
        <v>138</v>
      </c>
      <c r="C83" s="57"/>
      <c r="D83" s="47">
        <v>1.0</v>
      </c>
      <c r="E83" s="59" t="s">
        <v>139</v>
      </c>
      <c r="F83" s="59">
        <v>49000.0</v>
      </c>
      <c r="G83" s="59">
        <f t="shared" si="3"/>
        <v>49000</v>
      </c>
      <c r="H83" s="63" t="s">
        <v>55</v>
      </c>
      <c r="I83" s="74"/>
      <c r="J83" s="51"/>
      <c r="K83" s="174">
        <v>1.0</v>
      </c>
      <c r="L83" s="51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28"/>
      <c r="Z83" s="28"/>
    </row>
    <row r="84" ht="15.75" customHeight="1">
      <c r="A84" s="36"/>
      <c r="B84" s="73" t="s">
        <v>96</v>
      </c>
      <c r="C84" s="57" t="s">
        <v>97</v>
      </c>
      <c r="D84" s="47">
        <v>5.0</v>
      </c>
      <c r="E84" s="59" t="str">
        <f>IFERROR(__xludf.DUMMYFUNCTION("REGEXEXTRACT(C84,""[A-Za-z]+"")")," packs ")</f>
        <v>packs</v>
      </c>
      <c r="F84" s="59">
        <v>9999.0</v>
      </c>
      <c r="G84" s="59">
        <f t="shared" si="3"/>
        <v>49995</v>
      </c>
      <c r="H84" s="57" t="s">
        <v>55</v>
      </c>
      <c r="I84" s="74"/>
      <c r="J84" s="51"/>
      <c r="K84" s="174">
        <v>10.0</v>
      </c>
      <c r="L84" s="51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28"/>
      <c r="Z84" s="28"/>
    </row>
    <row r="85" ht="15.75" customHeight="1">
      <c r="A85" s="36"/>
      <c r="B85" s="73" t="s">
        <v>87</v>
      </c>
      <c r="C85" s="57" t="s">
        <v>88</v>
      </c>
      <c r="D85" s="47">
        <v>10.0</v>
      </c>
      <c r="E85" s="48" t="str">
        <f>IFERROR(__xludf.DUMMYFUNCTION("REGEXEXTRACT(C85,""[A-Za-z]+"")"),"rolls")</f>
        <v>rolls</v>
      </c>
      <c r="F85" s="58">
        <v>4000.0</v>
      </c>
      <c r="G85" s="59">
        <f t="shared" si="3"/>
        <v>40000</v>
      </c>
      <c r="H85" s="46" t="s">
        <v>55</v>
      </c>
      <c r="I85" s="52"/>
      <c r="J85" s="51"/>
      <c r="K85" s="176">
        <v>10.0</v>
      </c>
      <c r="L85" s="51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28"/>
      <c r="Z85" s="28"/>
    </row>
    <row r="86" ht="15.75" customHeight="1">
      <c r="A86" s="36"/>
      <c r="B86" s="73" t="s">
        <v>95</v>
      </c>
      <c r="C86" s="57" t="s">
        <v>82</v>
      </c>
      <c r="D86" s="47">
        <v>6.0</v>
      </c>
      <c r="E86" s="59" t="str">
        <f>IFERROR(__xludf.DUMMYFUNCTION("REGEXEXTRACT(C86,""[A-Za-z]+"")")," pcs ")</f>
        <v>pcs</v>
      </c>
      <c r="F86" s="59">
        <v>7000.0</v>
      </c>
      <c r="G86" s="59">
        <f t="shared" si="3"/>
        <v>42000</v>
      </c>
      <c r="H86" s="57" t="s">
        <v>55</v>
      </c>
      <c r="I86" s="74"/>
      <c r="J86" s="51"/>
      <c r="K86" s="177">
        <v>6.0</v>
      </c>
      <c r="L86" s="51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28"/>
      <c r="Z86" s="28"/>
    </row>
    <row r="87" ht="15.75" customHeight="1">
      <c r="A87" s="77"/>
      <c r="B87" s="109"/>
      <c r="C87" s="110"/>
      <c r="D87" s="110"/>
      <c r="E87" s="110"/>
      <c r="F87" s="110"/>
      <c r="G87" s="110"/>
      <c r="H87" s="110"/>
      <c r="I87" s="110"/>
      <c r="J87" s="110"/>
      <c r="K87" s="111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28"/>
      <c r="Z87" s="28"/>
    </row>
    <row r="88" ht="15.75" customHeight="1">
      <c r="A88" s="112"/>
      <c r="B88" s="113"/>
      <c r="C88" s="2"/>
      <c r="D88" s="12"/>
      <c r="E88" s="13"/>
      <c r="F88" s="14"/>
      <c r="G88" s="114"/>
      <c r="H88" s="16"/>
      <c r="I88" s="16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15" t="s">
        <v>115</v>
      </c>
      <c r="B89" s="6"/>
      <c r="C89" s="116">
        <f>SUM(G11:G86)</f>
        <v>1285305</v>
      </c>
      <c r="H89" s="16"/>
      <c r="I89" s="16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hidden="1" customHeight="1">
      <c r="A90" s="117" t="s">
        <v>116</v>
      </c>
      <c r="B90" s="118"/>
      <c r="C90" s="119">
        <f>PRODUCT(C89,0.1)</f>
        <v>128530.5</v>
      </c>
      <c r="D90" s="120"/>
      <c r="E90" s="120"/>
      <c r="F90" s="120"/>
      <c r="G90" s="121"/>
      <c r="H90" s="16"/>
      <c r="I90" s="16"/>
      <c r="J90" s="122"/>
      <c r="L90" s="122"/>
      <c r="W90" s="122"/>
      <c r="X90" s="2"/>
      <c r="Y90" s="2"/>
      <c r="Z90" s="2"/>
    </row>
    <row r="91" ht="15.75" hidden="1" customHeight="1">
      <c r="A91" s="123" t="s">
        <v>117</v>
      </c>
      <c r="B91" s="124"/>
      <c r="C91" s="125">
        <f>PRODUCT(C89,0.1)</f>
        <v>128530.5</v>
      </c>
      <c r="D91" s="110"/>
      <c r="E91" s="110"/>
      <c r="F91" s="110"/>
      <c r="G91" s="111"/>
      <c r="H91" s="16"/>
      <c r="I91" s="16"/>
      <c r="J91" s="126"/>
      <c r="K91" s="127"/>
      <c r="L91" s="128"/>
      <c r="W91" s="128"/>
      <c r="X91" s="2"/>
      <c r="Y91" s="2"/>
      <c r="Z91" s="2"/>
    </row>
    <row r="92" ht="15.75" hidden="1" customHeight="1">
      <c r="A92" s="123" t="s">
        <v>118</v>
      </c>
      <c r="B92" s="124"/>
      <c r="C92" s="125">
        <f>SUM(C89:G91)</f>
        <v>1542366</v>
      </c>
      <c r="D92" s="110"/>
      <c r="E92" s="110"/>
      <c r="F92" s="110"/>
      <c r="G92" s="111"/>
      <c r="H92" s="16"/>
      <c r="I92" s="16"/>
      <c r="J92" s="126"/>
      <c r="K92" s="127"/>
      <c r="L92" s="128"/>
      <c r="W92" s="128"/>
      <c r="X92" s="2"/>
      <c r="Y92" s="2"/>
      <c r="Z92" s="2"/>
    </row>
    <row r="93" ht="15.75" customHeight="1">
      <c r="A93" s="129"/>
      <c r="B93" s="6"/>
      <c r="C93" s="2"/>
      <c r="D93" s="12"/>
      <c r="E93" s="13"/>
      <c r="F93" s="14"/>
      <c r="G93" s="15"/>
      <c r="H93" s="16"/>
      <c r="I93" s="16"/>
      <c r="J93" s="126"/>
      <c r="K93" s="127"/>
      <c r="L93" s="128"/>
      <c r="W93" s="128"/>
      <c r="X93" s="2"/>
      <c r="Y93" s="2"/>
      <c r="Z93" s="2"/>
    </row>
    <row r="94" ht="15.75" customHeight="1">
      <c r="A94" s="130" t="s">
        <v>119</v>
      </c>
      <c r="B94" s="6"/>
      <c r="C94" s="2"/>
      <c r="D94" s="12"/>
      <c r="E94" s="13"/>
      <c r="F94" s="14"/>
      <c r="G94" s="15"/>
      <c r="H94" s="16"/>
      <c r="I94" s="16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31"/>
      <c r="B95" s="6"/>
      <c r="C95" s="2"/>
      <c r="D95" s="12"/>
      <c r="E95" s="13"/>
      <c r="F95" s="14"/>
      <c r="G95" s="15"/>
      <c r="H95" s="16"/>
      <c r="I95" s="16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32" t="s">
        <v>120</v>
      </c>
      <c r="B96" s="113"/>
      <c r="D96" s="133" t="s">
        <v>121</v>
      </c>
      <c r="H96" s="133"/>
      <c r="I96" s="127"/>
      <c r="J96" s="3"/>
      <c r="K96" s="133" t="s">
        <v>122</v>
      </c>
      <c r="Q96" s="2"/>
      <c r="R96" s="2"/>
      <c r="S96" s="133" t="s">
        <v>123</v>
      </c>
      <c r="W96" s="2"/>
      <c r="X96" s="2"/>
      <c r="Z96" s="127"/>
    </row>
    <row r="97" ht="15.75" customHeight="1">
      <c r="A97" s="132"/>
      <c r="B97" s="113"/>
      <c r="D97" s="133"/>
      <c r="E97" s="134"/>
      <c r="F97" s="135"/>
      <c r="G97" s="136"/>
      <c r="H97" s="133"/>
      <c r="I97" s="127"/>
      <c r="J97" s="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27"/>
      <c r="Z97" s="127"/>
    </row>
    <row r="98" ht="15.75" customHeight="1">
      <c r="A98" s="113"/>
      <c r="B98" s="113"/>
      <c r="D98" s="127"/>
      <c r="E98" s="137"/>
      <c r="F98" s="138"/>
      <c r="G98" s="139"/>
      <c r="H98" s="140"/>
      <c r="I98" s="127"/>
      <c r="J98" s="3"/>
      <c r="K98" s="127"/>
      <c r="L98" s="140"/>
      <c r="M98" s="140"/>
      <c r="N98" s="140"/>
      <c r="O98" s="140"/>
      <c r="P98" s="140"/>
      <c r="Q98" s="140"/>
      <c r="R98" s="140"/>
      <c r="S98" s="127"/>
      <c r="T98" s="140"/>
      <c r="U98" s="127"/>
      <c r="V98" s="127"/>
      <c r="W98" s="127"/>
      <c r="X98" s="127"/>
      <c r="Y98" s="127"/>
      <c r="Z98" s="127"/>
    </row>
    <row r="99" ht="15.75" customHeight="1">
      <c r="A99" s="141" t="s">
        <v>124</v>
      </c>
      <c r="D99" s="142" t="s">
        <v>125</v>
      </c>
      <c r="H99" s="142"/>
      <c r="I99" s="142"/>
      <c r="J99" s="3"/>
      <c r="K99" s="142" t="s">
        <v>126</v>
      </c>
      <c r="Q99" s="2"/>
      <c r="R99" s="2"/>
      <c r="S99" s="142" t="s">
        <v>127</v>
      </c>
      <c r="W99" s="2"/>
      <c r="X99" s="2"/>
    </row>
    <row r="100" ht="15.0" customHeight="1">
      <c r="A100" s="143" t="s">
        <v>128</v>
      </c>
      <c r="D100" s="144" t="s">
        <v>129</v>
      </c>
      <c r="J100" s="3"/>
      <c r="K100" s="146" t="s">
        <v>130</v>
      </c>
      <c r="Q100" s="2"/>
      <c r="R100" s="2"/>
      <c r="S100" s="144" t="s">
        <v>131</v>
      </c>
      <c r="W100" s="2"/>
      <c r="X100" s="2"/>
      <c r="Y100" s="127"/>
      <c r="Z100" s="127"/>
    </row>
    <row r="101" ht="15.75" customHeight="1">
      <c r="A101" s="2"/>
      <c r="B101" s="2"/>
      <c r="D101" s="2"/>
      <c r="E101" s="12"/>
      <c r="F101" s="13"/>
      <c r="G101" s="14"/>
      <c r="H101" s="2"/>
      <c r="I101" s="2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132</v>
      </c>
      <c r="B102" s="2"/>
      <c r="D102" s="2" t="s">
        <v>132</v>
      </c>
      <c r="E102" s="12"/>
      <c r="F102" s="13"/>
      <c r="G102" s="14"/>
      <c r="H102" s="2"/>
      <c r="I102" s="2"/>
      <c r="J102" s="3"/>
      <c r="K102" s="2" t="s">
        <v>132</v>
      </c>
      <c r="L102" s="2"/>
      <c r="M102" s="2"/>
      <c r="N102" s="2"/>
      <c r="O102" s="2"/>
      <c r="P102" s="2"/>
      <c r="Q102" s="2"/>
      <c r="R102" s="2"/>
      <c r="S102" s="2" t="s">
        <v>132</v>
      </c>
      <c r="T102" s="2"/>
      <c r="U102" s="2"/>
      <c r="V102" s="2"/>
      <c r="W102" s="2"/>
      <c r="X102" s="2"/>
      <c r="Y102" s="2"/>
      <c r="Z102" s="2"/>
    </row>
    <row r="103" ht="15.75" customHeight="1">
      <c r="D103" s="147"/>
      <c r="E103" s="148"/>
      <c r="F103" s="149"/>
      <c r="J103" s="150"/>
    </row>
    <row r="104" ht="15.75" customHeight="1">
      <c r="D104" s="147"/>
      <c r="E104" s="148"/>
      <c r="F104" s="149"/>
      <c r="J104" s="151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</row>
    <row r="105" ht="15.75" customHeight="1">
      <c r="D105" s="147"/>
      <c r="E105" s="148"/>
      <c r="F105" s="149"/>
      <c r="J105" s="152"/>
      <c r="K105" s="153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</row>
    <row r="106" ht="15.75" customHeight="1">
      <c r="D106" s="147"/>
      <c r="E106" s="148"/>
      <c r="F106" s="149"/>
      <c r="J106" s="155"/>
    </row>
    <row r="107" ht="15.75" customHeight="1">
      <c r="D107" s="147"/>
      <c r="E107" s="148"/>
      <c r="F107" s="149"/>
      <c r="J107" s="156"/>
    </row>
    <row r="108" ht="15.75" customHeight="1">
      <c r="D108" s="147"/>
      <c r="E108" s="148"/>
      <c r="F108" s="149"/>
      <c r="J108" s="3"/>
    </row>
    <row r="109" ht="15.75" customHeight="1">
      <c r="D109" s="147"/>
      <c r="E109" s="148"/>
      <c r="F109" s="149"/>
      <c r="J109" s="3"/>
    </row>
    <row r="110" ht="15.75" customHeight="1">
      <c r="D110" s="147"/>
      <c r="E110" s="148"/>
      <c r="F110" s="149"/>
      <c r="J110" s="3"/>
    </row>
    <row r="111" ht="15.75" customHeight="1">
      <c r="D111" s="147"/>
      <c r="E111" s="148"/>
      <c r="F111" s="149"/>
      <c r="J111" s="3"/>
    </row>
    <row r="112" ht="15.75" customHeight="1">
      <c r="D112" s="147"/>
      <c r="E112" s="148"/>
      <c r="F112" s="149"/>
      <c r="J112" s="3"/>
    </row>
    <row r="113" ht="15.75" customHeight="1">
      <c r="D113" s="147"/>
      <c r="E113" s="148"/>
      <c r="F113" s="149"/>
      <c r="J113" s="3"/>
    </row>
    <row r="114" ht="15.75" customHeight="1">
      <c r="D114" s="147"/>
      <c r="E114" s="148"/>
      <c r="F114" s="149"/>
      <c r="J114" s="3"/>
    </row>
    <row r="115" ht="15.75" customHeight="1">
      <c r="D115" s="147"/>
      <c r="E115" s="148"/>
      <c r="F115" s="149"/>
      <c r="J115" s="3"/>
    </row>
    <row r="116" ht="15.75" customHeight="1">
      <c r="D116" s="147"/>
      <c r="E116" s="148"/>
      <c r="F116" s="149"/>
      <c r="J116" s="3"/>
    </row>
    <row r="117" ht="15.75" customHeight="1">
      <c r="D117" s="147"/>
      <c r="E117" s="148"/>
      <c r="F117" s="149"/>
      <c r="J117" s="3"/>
    </row>
    <row r="118" ht="15.75" customHeight="1">
      <c r="D118" s="147"/>
      <c r="E118" s="148"/>
      <c r="F118" s="149"/>
      <c r="J118" s="3"/>
    </row>
    <row r="119" ht="15.75" customHeight="1">
      <c r="D119" s="147"/>
      <c r="E119" s="148"/>
      <c r="F119" s="149"/>
      <c r="J119" s="3"/>
    </row>
    <row r="120" ht="15.75" customHeight="1">
      <c r="D120" s="147"/>
      <c r="E120" s="148"/>
      <c r="F120" s="149"/>
      <c r="J120" s="3"/>
    </row>
    <row r="121" ht="15.75" customHeight="1">
      <c r="D121" s="147"/>
      <c r="E121" s="148"/>
      <c r="F121" s="149"/>
      <c r="J121" s="3"/>
    </row>
    <row r="122" ht="15.75" customHeight="1">
      <c r="D122" s="147"/>
      <c r="E122" s="148"/>
      <c r="F122" s="149"/>
      <c r="J122" s="3"/>
    </row>
    <row r="123" ht="15.75" customHeight="1">
      <c r="D123" s="147"/>
      <c r="E123" s="148"/>
      <c r="F123" s="149"/>
      <c r="J123" s="3"/>
    </row>
    <row r="124" ht="15.75" customHeight="1">
      <c r="D124" s="147"/>
      <c r="E124" s="148"/>
      <c r="F124" s="149"/>
      <c r="J124" s="3"/>
    </row>
    <row r="125" ht="15.75" customHeight="1">
      <c r="D125" s="147"/>
      <c r="E125" s="148"/>
      <c r="F125" s="149"/>
      <c r="J125" s="3"/>
    </row>
    <row r="126" ht="15.75" customHeight="1">
      <c r="D126" s="147"/>
      <c r="E126" s="148"/>
      <c r="F126" s="149"/>
      <c r="J126" s="3"/>
    </row>
    <row r="127" ht="15.75" customHeight="1">
      <c r="D127" s="147"/>
      <c r="E127" s="148"/>
      <c r="F127" s="149"/>
      <c r="J127" s="3"/>
    </row>
    <row r="128" ht="15.75" customHeight="1">
      <c r="D128" s="147"/>
      <c r="E128" s="148"/>
      <c r="F128" s="149"/>
      <c r="J128" s="3"/>
    </row>
    <row r="129" ht="15.75" customHeight="1">
      <c r="D129" s="147"/>
      <c r="E129" s="148"/>
      <c r="F129" s="149"/>
      <c r="J129" s="3"/>
    </row>
    <row r="130" ht="15.75" customHeight="1">
      <c r="D130" s="147"/>
      <c r="E130" s="148"/>
      <c r="F130" s="149"/>
      <c r="J130" s="3"/>
    </row>
    <row r="131" ht="15.75" customHeight="1">
      <c r="D131" s="147"/>
      <c r="E131" s="148"/>
      <c r="F131" s="149"/>
      <c r="J131" s="3"/>
    </row>
    <row r="132" ht="15.75" customHeight="1">
      <c r="D132" s="147"/>
      <c r="E132" s="148"/>
      <c r="F132" s="149"/>
      <c r="J132" s="3"/>
    </row>
    <row r="133" ht="15.75" customHeight="1">
      <c r="D133" s="147"/>
      <c r="E133" s="148"/>
      <c r="F133" s="149"/>
      <c r="J133" s="3"/>
    </row>
    <row r="134" ht="15.75" customHeight="1">
      <c r="D134" s="147"/>
      <c r="E134" s="148"/>
      <c r="F134" s="149"/>
      <c r="J134" s="3"/>
    </row>
    <row r="135" ht="15.75" customHeight="1">
      <c r="D135" s="147"/>
      <c r="E135" s="148"/>
      <c r="F135" s="149"/>
      <c r="J135" s="3"/>
    </row>
    <row r="136" ht="15.75" customHeight="1">
      <c r="D136" s="147"/>
      <c r="E136" s="148"/>
      <c r="F136" s="149"/>
      <c r="J136" s="3"/>
    </row>
    <row r="137" ht="15.75" customHeight="1">
      <c r="D137" s="147"/>
      <c r="E137" s="148"/>
      <c r="F137" s="149"/>
      <c r="J137" s="3"/>
    </row>
    <row r="138" ht="15.75" customHeight="1">
      <c r="D138" s="147"/>
      <c r="E138" s="148"/>
      <c r="F138" s="149"/>
      <c r="J138" s="3"/>
    </row>
    <row r="139" ht="15.75" customHeight="1">
      <c r="D139" s="147"/>
      <c r="E139" s="148"/>
      <c r="F139" s="149"/>
      <c r="J139" s="3"/>
    </row>
    <row r="140" ht="15.75" customHeight="1">
      <c r="D140" s="147"/>
      <c r="E140" s="148"/>
      <c r="F140" s="149"/>
      <c r="J140" s="3"/>
    </row>
    <row r="141" ht="15.75" customHeight="1">
      <c r="D141" s="147"/>
      <c r="E141" s="148"/>
      <c r="F141" s="149"/>
      <c r="J141" s="3"/>
    </row>
    <row r="142" ht="15.75" customHeight="1">
      <c r="D142" s="147"/>
      <c r="E142" s="148"/>
      <c r="F142" s="149"/>
      <c r="J142" s="3"/>
    </row>
    <row r="143" ht="15.75" customHeight="1">
      <c r="D143" s="147"/>
      <c r="E143" s="148"/>
      <c r="F143" s="149"/>
      <c r="J143" s="3"/>
    </row>
    <row r="144" ht="15.75" customHeight="1">
      <c r="D144" s="147"/>
      <c r="E144" s="148"/>
      <c r="F144" s="149"/>
      <c r="J144" s="3"/>
    </row>
    <row r="145" ht="15.75" customHeight="1">
      <c r="D145" s="147"/>
      <c r="E145" s="148"/>
      <c r="F145" s="149"/>
      <c r="J145" s="3"/>
    </row>
    <row r="146" ht="15.75" customHeight="1">
      <c r="D146" s="147"/>
      <c r="E146" s="148"/>
      <c r="F146" s="149"/>
      <c r="J146" s="3"/>
    </row>
    <row r="147" ht="15.75" customHeight="1">
      <c r="D147" s="147"/>
      <c r="E147" s="148"/>
      <c r="F147" s="149"/>
      <c r="J147" s="3"/>
    </row>
    <row r="148" ht="15.75" customHeight="1">
      <c r="D148" s="147"/>
      <c r="E148" s="148"/>
      <c r="F148" s="149"/>
      <c r="J148" s="3"/>
    </row>
    <row r="149" ht="15.75" customHeight="1">
      <c r="D149" s="147"/>
      <c r="E149" s="148"/>
      <c r="F149" s="149"/>
      <c r="J149" s="3"/>
    </row>
    <row r="150" ht="15.75" customHeight="1">
      <c r="D150" s="147"/>
      <c r="E150" s="148"/>
      <c r="F150" s="149"/>
      <c r="J150" s="3"/>
    </row>
    <row r="151" ht="15.75" customHeight="1">
      <c r="D151" s="147"/>
      <c r="E151" s="148"/>
      <c r="F151" s="149"/>
      <c r="J151" s="3"/>
    </row>
    <row r="152" ht="15.75" customHeight="1">
      <c r="D152" s="147"/>
      <c r="E152" s="148"/>
      <c r="F152" s="149"/>
      <c r="J152" s="3"/>
    </row>
    <row r="153" ht="15.75" customHeight="1">
      <c r="D153" s="147"/>
      <c r="E153" s="148"/>
      <c r="F153" s="149"/>
      <c r="J153" s="3"/>
    </row>
    <row r="154" ht="15.75" customHeight="1">
      <c r="D154" s="147"/>
      <c r="E154" s="148"/>
      <c r="F154" s="149"/>
      <c r="J154" s="3"/>
    </row>
    <row r="155" ht="15.75" customHeight="1">
      <c r="D155" s="147"/>
      <c r="E155" s="148"/>
      <c r="F155" s="149"/>
      <c r="J155" s="3"/>
    </row>
    <row r="156" ht="15.75" customHeight="1">
      <c r="D156" s="147"/>
      <c r="E156" s="148"/>
      <c r="F156" s="149"/>
      <c r="J156" s="3"/>
    </row>
    <row r="157" ht="15.75" customHeight="1">
      <c r="D157" s="147"/>
      <c r="E157" s="148"/>
      <c r="F157" s="149"/>
      <c r="J157" s="3"/>
    </row>
    <row r="158" ht="15.75" customHeight="1">
      <c r="D158" s="147"/>
      <c r="E158" s="148"/>
      <c r="F158" s="149"/>
      <c r="J158" s="3"/>
    </row>
    <row r="159" ht="15.75" customHeight="1">
      <c r="D159" s="147"/>
      <c r="E159" s="148"/>
      <c r="F159" s="149"/>
      <c r="J159" s="3"/>
    </row>
    <row r="160" ht="15.75" customHeight="1">
      <c r="D160" s="147"/>
      <c r="E160" s="148"/>
      <c r="F160" s="149"/>
      <c r="J160" s="3"/>
    </row>
    <row r="161" ht="15.75" customHeight="1">
      <c r="D161" s="147"/>
      <c r="E161" s="148"/>
      <c r="F161" s="149"/>
      <c r="J161" s="3"/>
    </row>
    <row r="162" ht="15.75" customHeight="1">
      <c r="D162" s="147"/>
      <c r="E162" s="148"/>
      <c r="F162" s="149"/>
      <c r="J162" s="3"/>
    </row>
    <row r="163" ht="15.75" customHeight="1">
      <c r="D163" s="147"/>
      <c r="E163" s="148"/>
      <c r="F163" s="149"/>
      <c r="J163" s="3"/>
    </row>
    <row r="164" ht="15.75" customHeight="1">
      <c r="D164" s="147"/>
      <c r="E164" s="148"/>
      <c r="F164" s="149"/>
      <c r="J164" s="3"/>
    </row>
    <row r="165" ht="15.75" customHeight="1">
      <c r="D165" s="147"/>
      <c r="E165" s="148"/>
      <c r="F165" s="149"/>
      <c r="J165" s="3"/>
    </row>
    <row r="166" ht="15.75" customHeight="1">
      <c r="D166" s="147"/>
      <c r="E166" s="148"/>
      <c r="F166" s="149"/>
      <c r="J166" s="3"/>
    </row>
    <row r="167" ht="15.75" customHeight="1">
      <c r="D167" s="147"/>
      <c r="E167" s="148"/>
      <c r="F167" s="149"/>
      <c r="J167" s="3"/>
    </row>
    <row r="168" ht="15.75" customHeight="1">
      <c r="D168" s="147"/>
      <c r="E168" s="148"/>
      <c r="F168" s="149"/>
      <c r="J168" s="3"/>
    </row>
    <row r="169" ht="15.75" customHeight="1">
      <c r="D169" s="147"/>
      <c r="E169" s="148"/>
      <c r="F169" s="149"/>
      <c r="J169" s="3"/>
    </row>
    <row r="170" ht="15.75" customHeight="1">
      <c r="D170" s="147"/>
      <c r="E170" s="148"/>
      <c r="F170" s="149"/>
      <c r="J170" s="3"/>
    </row>
    <row r="171" ht="15.75" customHeight="1">
      <c r="D171" s="147"/>
      <c r="E171" s="148"/>
      <c r="F171" s="149"/>
      <c r="J171" s="3"/>
    </row>
    <row r="172" ht="15.75" customHeight="1">
      <c r="D172" s="147"/>
      <c r="E172" s="148"/>
      <c r="F172" s="149"/>
      <c r="J172" s="3"/>
    </row>
    <row r="173" ht="15.75" customHeight="1">
      <c r="D173" s="147"/>
      <c r="E173" s="148"/>
      <c r="F173" s="149"/>
      <c r="J173" s="3"/>
    </row>
    <row r="174" ht="15.75" customHeight="1">
      <c r="D174" s="147"/>
      <c r="E174" s="148"/>
      <c r="F174" s="149"/>
      <c r="J174" s="3"/>
    </row>
    <row r="175" ht="15.75" customHeight="1">
      <c r="D175" s="147"/>
      <c r="E175" s="148"/>
      <c r="F175" s="149"/>
      <c r="J175" s="3"/>
    </row>
    <row r="176" ht="15.75" customHeight="1">
      <c r="D176" s="147"/>
      <c r="E176" s="148"/>
      <c r="F176" s="149"/>
      <c r="J176" s="3"/>
    </row>
    <row r="177" ht="15.75" customHeight="1">
      <c r="D177" s="147"/>
      <c r="E177" s="148"/>
      <c r="F177" s="149"/>
      <c r="J177" s="3"/>
    </row>
    <row r="178" ht="15.75" customHeight="1">
      <c r="D178" s="147"/>
      <c r="E178" s="148"/>
      <c r="F178" s="149"/>
      <c r="J178" s="3"/>
    </row>
    <row r="179" ht="15.75" customHeight="1">
      <c r="D179" s="147"/>
      <c r="E179" s="148"/>
      <c r="F179" s="149"/>
      <c r="J179" s="3"/>
    </row>
    <row r="180" ht="15.75" customHeight="1">
      <c r="D180" s="147"/>
      <c r="E180" s="148"/>
      <c r="F180" s="149"/>
      <c r="J180" s="3"/>
    </row>
    <row r="181" ht="15.75" customHeight="1">
      <c r="D181" s="147"/>
      <c r="E181" s="148"/>
      <c r="F181" s="149"/>
      <c r="J181" s="3"/>
    </row>
    <row r="182" ht="15.75" customHeight="1">
      <c r="D182" s="147"/>
      <c r="E182" s="148"/>
      <c r="F182" s="149"/>
      <c r="J182" s="3"/>
    </row>
    <row r="183" ht="15.75" customHeight="1">
      <c r="D183" s="147"/>
      <c r="E183" s="148"/>
      <c r="F183" s="149"/>
      <c r="J183" s="3"/>
    </row>
    <row r="184" ht="15.75" customHeight="1">
      <c r="D184" s="147"/>
      <c r="E184" s="148"/>
      <c r="F184" s="149"/>
      <c r="J184" s="3"/>
    </row>
    <row r="185" ht="15.75" customHeight="1">
      <c r="D185" s="147"/>
      <c r="E185" s="148"/>
      <c r="F185" s="149"/>
      <c r="J185" s="3"/>
    </row>
    <row r="186" ht="15.75" customHeight="1">
      <c r="D186" s="147"/>
      <c r="E186" s="148"/>
      <c r="F186" s="149"/>
      <c r="J186" s="3"/>
    </row>
    <row r="187" ht="15.75" customHeight="1">
      <c r="D187" s="147"/>
      <c r="E187" s="148"/>
      <c r="F187" s="149"/>
      <c r="J187" s="3"/>
    </row>
    <row r="188" ht="15.75" customHeight="1">
      <c r="D188" s="147"/>
      <c r="E188" s="148"/>
      <c r="F188" s="149"/>
      <c r="J188" s="3"/>
    </row>
    <row r="189" ht="15.75" customHeight="1">
      <c r="D189" s="147"/>
      <c r="E189" s="148"/>
      <c r="F189" s="149"/>
      <c r="J189" s="3"/>
    </row>
    <row r="190" ht="15.75" customHeight="1">
      <c r="D190" s="147"/>
      <c r="E190" s="148"/>
      <c r="F190" s="149"/>
      <c r="J190" s="3"/>
    </row>
    <row r="191" ht="15.75" customHeight="1">
      <c r="D191" s="147"/>
      <c r="E191" s="148"/>
      <c r="F191" s="149"/>
      <c r="J191" s="3"/>
    </row>
    <row r="192" ht="15.75" customHeight="1">
      <c r="D192" s="147"/>
      <c r="E192" s="148"/>
      <c r="F192" s="149"/>
      <c r="J192" s="3"/>
    </row>
    <row r="193" ht="15.75" customHeight="1">
      <c r="D193" s="147"/>
      <c r="E193" s="148"/>
      <c r="F193" s="149"/>
      <c r="J193" s="3"/>
    </row>
    <row r="194" ht="15.75" customHeight="1">
      <c r="D194" s="147"/>
      <c r="E194" s="148"/>
      <c r="F194" s="149"/>
      <c r="J194" s="3"/>
    </row>
    <row r="195" ht="15.75" customHeight="1">
      <c r="D195" s="147"/>
      <c r="E195" s="148"/>
      <c r="F195" s="149"/>
      <c r="J195" s="3"/>
    </row>
    <row r="196" ht="15.75" customHeight="1">
      <c r="D196" s="147"/>
      <c r="E196" s="148"/>
      <c r="F196" s="149"/>
      <c r="J196" s="3"/>
    </row>
    <row r="197" ht="15.75" customHeight="1">
      <c r="D197" s="147"/>
      <c r="E197" s="148"/>
      <c r="F197" s="149"/>
      <c r="J197" s="3"/>
    </row>
    <row r="198" ht="15.75" customHeight="1">
      <c r="D198" s="147"/>
      <c r="E198" s="148"/>
      <c r="F198" s="149"/>
      <c r="J198" s="3"/>
    </row>
    <row r="199" ht="15.75" customHeight="1">
      <c r="D199" s="147"/>
      <c r="E199" s="148"/>
      <c r="F199" s="149"/>
      <c r="J199" s="3"/>
    </row>
    <row r="200" ht="15.75" customHeight="1">
      <c r="D200" s="147"/>
      <c r="E200" s="148"/>
      <c r="F200" s="149"/>
      <c r="J200" s="3"/>
    </row>
    <row r="201" ht="15.75" customHeight="1">
      <c r="D201" s="147"/>
      <c r="E201" s="148"/>
      <c r="F201" s="149"/>
      <c r="J201" s="3"/>
    </row>
    <row r="202" ht="15.75" customHeight="1">
      <c r="D202" s="147"/>
      <c r="E202" s="148"/>
      <c r="F202" s="149"/>
      <c r="J202" s="3"/>
    </row>
    <row r="203" ht="15.75" customHeight="1">
      <c r="D203" s="147"/>
      <c r="E203" s="148"/>
      <c r="F203" s="149"/>
      <c r="J203" s="3"/>
    </row>
    <row r="204" ht="15.75" customHeight="1">
      <c r="D204" s="147"/>
      <c r="E204" s="148"/>
      <c r="F204" s="149"/>
      <c r="J204" s="3"/>
    </row>
    <row r="205" ht="15.75" customHeight="1">
      <c r="D205" s="147"/>
      <c r="E205" s="148"/>
      <c r="F205" s="149"/>
      <c r="J205" s="3"/>
    </row>
    <row r="206" ht="15.75" customHeight="1">
      <c r="D206" s="147"/>
      <c r="E206" s="148"/>
      <c r="F206" s="149"/>
      <c r="J206" s="3"/>
    </row>
    <row r="207" ht="15.75" customHeight="1">
      <c r="D207" s="147"/>
      <c r="E207" s="148"/>
      <c r="F207" s="149"/>
      <c r="J207" s="3"/>
    </row>
    <row r="208" ht="15.75" customHeight="1">
      <c r="D208" s="147"/>
      <c r="E208" s="148"/>
      <c r="F208" s="149"/>
      <c r="J208" s="3"/>
    </row>
    <row r="209" ht="15.75" customHeight="1">
      <c r="D209" s="147"/>
      <c r="E209" s="148"/>
      <c r="F209" s="149"/>
      <c r="J209" s="3"/>
    </row>
    <row r="210" ht="15.75" customHeight="1">
      <c r="D210" s="147"/>
      <c r="E210" s="148"/>
      <c r="F210" s="149"/>
      <c r="J210" s="3"/>
    </row>
    <row r="211" ht="15.75" customHeight="1">
      <c r="D211" s="147"/>
      <c r="E211" s="148"/>
      <c r="F211" s="149"/>
      <c r="J211" s="3"/>
    </row>
    <row r="212" ht="15.75" customHeight="1">
      <c r="D212" s="147"/>
      <c r="E212" s="148"/>
      <c r="F212" s="149"/>
      <c r="J212" s="3"/>
    </row>
    <row r="213" ht="15.75" customHeight="1">
      <c r="D213" s="147"/>
      <c r="E213" s="148"/>
      <c r="F213" s="149"/>
      <c r="J213" s="3"/>
    </row>
    <row r="214" ht="15.75" customHeight="1">
      <c r="D214" s="147"/>
      <c r="E214" s="148"/>
      <c r="F214" s="149"/>
      <c r="J214" s="3"/>
    </row>
    <row r="215" ht="15.75" customHeight="1">
      <c r="D215" s="147"/>
      <c r="E215" s="148"/>
      <c r="F215" s="149"/>
      <c r="J215" s="3"/>
    </row>
    <row r="216" ht="15.75" customHeight="1">
      <c r="D216" s="147"/>
      <c r="E216" s="148"/>
      <c r="F216" s="149"/>
      <c r="J216" s="3"/>
    </row>
    <row r="217" ht="15.75" customHeight="1">
      <c r="D217" s="147"/>
      <c r="E217" s="148"/>
      <c r="F217" s="149"/>
      <c r="J217" s="3"/>
    </row>
    <row r="218" ht="15.75" customHeight="1">
      <c r="D218" s="147"/>
      <c r="E218" s="148"/>
      <c r="F218" s="149"/>
      <c r="J218" s="3"/>
    </row>
    <row r="219" ht="15.75" customHeight="1">
      <c r="D219" s="147"/>
      <c r="E219" s="148"/>
      <c r="F219" s="149"/>
      <c r="J219" s="3"/>
    </row>
    <row r="220" ht="15.75" customHeight="1">
      <c r="D220" s="147"/>
      <c r="E220" s="148"/>
      <c r="F220" s="149"/>
      <c r="J220" s="3"/>
    </row>
    <row r="221" ht="15.75" customHeight="1">
      <c r="D221" s="147"/>
      <c r="E221" s="148"/>
      <c r="F221" s="149"/>
      <c r="J221" s="3"/>
    </row>
    <row r="222" ht="15.75" customHeight="1">
      <c r="D222" s="147"/>
      <c r="E222" s="148"/>
      <c r="F222" s="149"/>
      <c r="J222" s="3"/>
    </row>
    <row r="223" ht="15.75" customHeight="1">
      <c r="D223" s="147"/>
      <c r="E223" s="148"/>
      <c r="F223" s="149"/>
      <c r="J223" s="3"/>
    </row>
    <row r="224" ht="15.75" customHeight="1">
      <c r="D224" s="147"/>
      <c r="E224" s="148"/>
      <c r="F224" s="149"/>
      <c r="J224" s="3"/>
    </row>
    <row r="225" ht="15.75" customHeight="1">
      <c r="D225" s="147"/>
      <c r="E225" s="148"/>
      <c r="F225" s="149"/>
      <c r="J225" s="3"/>
    </row>
    <row r="226" ht="15.75" customHeight="1">
      <c r="D226" s="147"/>
      <c r="E226" s="148"/>
      <c r="F226" s="149"/>
      <c r="J226" s="3"/>
    </row>
    <row r="227" ht="15.75" customHeight="1">
      <c r="D227" s="147"/>
      <c r="E227" s="148"/>
      <c r="F227" s="149"/>
      <c r="J227" s="3"/>
    </row>
    <row r="228" ht="15.75" customHeight="1">
      <c r="D228" s="147"/>
      <c r="E228" s="148"/>
      <c r="F228" s="149"/>
      <c r="J228" s="3"/>
    </row>
    <row r="229" ht="15.75" customHeight="1">
      <c r="D229" s="147"/>
      <c r="E229" s="148"/>
      <c r="F229" s="149"/>
      <c r="J229" s="3"/>
    </row>
    <row r="230" ht="15.75" customHeight="1">
      <c r="D230" s="147"/>
      <c r="E230" s="148"/>
      <c r="F230" s="149"/>
      <c r="J230" s="3"/>
    </row>
    <row r="231" ht="15.75" customHeight="1">
      <c r="D231" s="147"/>
      <c r="E231" s="148"/>
      <c r="F231" s="149"/>
      <c r="J231" s="3"/>
    </row>
    <row r="232" ht="15.75" customHeight="1">
      <c r="D232" s="147"/>
      <c r="E232" s="148"/>
      <c r="F232" s="149"/>
      <c r="J232" s="3"/>
    </row>
    <row r="233" ht="15.75" customHeight="1">
      <c r="D233" s="147"/>
      <c r="E233" s="148"/>
      <c r="F233" s="149"/>
      <c r="J233" s="3"/>
    </row>
    <row r="234" ht="15.75" customHeight="1">
      <c r="D234" s="147"/>
      <c r="E234" s="148"/>
      <c r="F234" s="149"/>
      <c r="J234" s="3"/>
    </row>
    <row r="235" ht="15.75" customHeight="1">
      <c r="D235" s="147"/>
      <c r="E235" s="148"/>
      <c r="F235" s="149"/>
      <c r="J235" s="3"/>
    </row>
    <row r="236" ht="15.75" customHeight="1">
      <c r="D236" s="147"/>
      <c r="E236" s="148"/>
      <c r="F236" s="149"/>
      <c r="J236" s="3"/>
    </row>
    <row r="237" ht="15.75" customHeight="1">
      <c r="D237" s="147"/>
      <c r="E237" s="148"/>
      <c r="F237" s="149"/>
      <c r="J237" s="3"/>
    </row>
    <row r="238" ht="15.75" customHeight="1">
      <c r="D238" s="147"/>
      <c r="E238" s="148"/>
      <c r="F238" s="149"/>
      <c r="J238" s="3"/>
    </row>
    <row r="239" ht="15.75" customHeight="1">
      <c r="D239" s="147"/>
      <c r="E239" s="148"/>
      <c r="F239" s="149"/>
      <c r="J239" s="3"/>
    </row>
    <row r="240" ht="15.75" customHeight="1">
      <c r="D240" s="147"/>
      <c r="E240" s="148"/>
      <c r="F240" s="149"/>
      <c r="J240" s="3"/>
    </row>
    <row r="241" ht="15.75" customHeight="1">
      <c r="D241" s="147"/>
      <c r="E241" s="148"/>
      <c r="F241" s="149"/>
      <c r="J241" s="3"/>
    </row>
    <row r="242" ht="15.75" customHeight="1">
      <c r="D242" s="147"/>
      <c r="E242" s="148"/>
      <c r="F242" s="149"/>
      <c r="J242" s="3"/>
    </row>
    <row r="243" ht="15.75" customHeight="1">
      <c r="D243" s="147"/>
      <c r="E243" s="148"/>
      <c r="F243" s="149"/>
      <c r="J243" s="3"/>
    </row>
    <row r="244" ht="15.75" customHeight="1">
      <c r="D244" s="147"/>
      <c r="E244" s="148"/>
      <c r="F244" s="149"/>
      <c r="J244" s="3"/>
    </row>
    <row r="245" ht="15.75" customHeight="1">
      <c r="D245" s="147"/>
      <c r="E245" s="148"/>
      <c r="F245" s="149"/>
      <c r="J245" s="3"/>
    </row>
    <row r="246" ht="15.75" customHeight="1">
      <c r="D246" s="147"/>
      <c r="E246" s="148"/>
      <c r="F246" s="149"/>
      <c r="J246" s="3"/>
    </row>
    <row r="247" ht="15.75" customHeight="1">
      <c r="D247" s="147"/>
      <c r="E247" s="148"/>
      <c r="F247" s="149"/>
      <c r="J247" s="3"/>
    </row>
    <row r="248" ht="15.75" customHeight="1">
      <c r="D248" s="147"/>
      <c r="E248" s="148"/>
      <c r="F248" s="149"/>
      <c r="J248" s="3"/>
    </row>
    <row r="249" ht="15.75" customHeight="1">
      <c r="D249" s="147"/>
      <c r="E249" s="148"/>
      <c r="F249" s="149"/>
      <c r="J249" s="3"/>
    </row>
    <row r="250" ht="15.75" customHeight="1">
      <c r="D250" s="147"/>
      <c r="E250" s="148"/>
      <c r="F250" s="149"/>
      <c r="J250" s="3"/>
    </row>
    <row r="251" ht="15.75" customHeight="1">
      <c r="D251" s="147"/>
      <c r="E251" s="148"/>
      <c r="F251" s="149"/>
      <c r="J251" s="3"/>
    </row>
    <row r="252" ht="15.75" customHeight="1">
      <c r="D252" s="147"/>
      <c r="E252" s="148"/>
      <c r="F252" s="149"/>
      <c r="J252" s="3"/>
    </row>
    <row r="253" ht="15.75" customHeight="1">
      <c r="D253" s="147"/>
      <c r="E253" s="148"/>
      <c r="F253" s="149"/>
      <c r="J253" s="3"/>
    </row>
    <row r="254" ht="15.75" customHeight="1">
      <c r="D254" s="147"/>
      <c r="E254" s="148"/>
      <c r="F254" s="149"/>
      <c r="J254" s="3"/>
    </row>
    <row r="255" ht="15.75" customHeight="1">
      <c r="D255" s="147"/>
      <c r="E255" s="148"/>
      <c r="F255" s="149"/>
      <c r="J255" s="3"/>
    </row>
    <row r="256" ht="15.75" customHeight="1">
      <c r="D256" s="147"/>
      <c r="E256" s="148"/>
      <c r="F256" s="149"/>
      <c r="J256" s="3"/>
    </row>
    <row r="257" ht="15.75" customHeight="1">
      <c r="D257" s="147"/>
      <c r="E257" s="148"/>
      <c r="F257" s="149"/>
      <c r="J257" s="3"/>
    </row>
    <row r="258" ht="15.75" customHeight="1">
      <c r="D258" s="147"/>
      <c r="E258" s="148"/>
      <c r="F258" s="149"/>
      <c r="J258" s="3"/>
    </row>
    <row r="259" ht="15.75" customHeight="1">
      <c r="D259" s="147"/>
      <c r="E259" s="148"/>
      <c r="F259" s="149"/>
      <c r="J259" s="3"/>
    </row>
    <row r="260" ht="15.75" customHeight="1">
      <c r="D260" s="147"/>
      <c r="E260" s="148"/>
      <c r="F260" s="149"/>
      <c r="J260" s="3"/>
    </row>
    <row r="261" ht="15.75" customHeight="1">
      <c r="D261" s="147"/>
      <c r="E261" s="148"/>
      <c r="F261" s="149"/>
      <c r="J261" s="3"/>
    </row>
    <row r="262" ht="15.75" customHeight="1">
      <c r="D262" s="147"/>
      <c r="E262" s="148"/>
      <c r="F262" s="149"/>
      <c r="J262" s="3"/>
    </row>
    <row r="263" ht="15.75" customHeight="1">
      <c r="D263" s="147"/>
      <c r="E263" s="148"/>
      <c r="F263" s="149"/>
      <c r="J263" s="3"/>
    </row>
    <row r="264" ht="15.75" customHeight="1">
      <c r="D264" s="147"/>
      <c r="E264" s="148"/>
      <c r="F264" s="149"/>
      <c r="J264" s="3"/>
    </row>
    <row r="265" ht="15.75" customHeight="1">
      <c r="D265" s="147"/>
      <c r="E265" s="148"/>
      <c r="F265" s="149"/>
      <c r="J265" s="3"/>
    </row>
    <row r="266" ht="15.75" customHeight="1">
      <c r="D266" s="147"/>
      <c r="E266" s="148"/>
      <c r="F266" s="149"/>
      <c r="J266" s="3"/>
    </row>
    <row r="267" ht="15.75" customHeight="1">
      <c r="D267" s="147"/>
      <c r="E267" s="148"/>
      <c r="F267" s="149"/>
      <c r="J267" s="3"/>
    </row>
    <row r="268" ht="15.75" customHeight="1">
      <c r="D268" s="147"/>
      <c r="E268" s="148"/>
      <c r="F268" s="149"/>
      <c r="J268" s="3"/>
    </row>
    <row r="269" ht="15.75" customHeight="1">
      <c r="D269" s="147"/>
      <c r="E269" s="148"/>
      <c r="F269" s="149"/>
      <c r="J269" s="3"/>
    </row>
    <row r="270" ht="15.75" customHeight="1">
      <c r="D270" s="147"/>
      <c r="E270" s="148"/>
      <c r="F270" s="149"/>
      <c r="J270" s="3"/>
    </row>
    <row r="271" ht="15.75" customHeight="1">
      <c r="D271" s="147"/>
      <c r="E271" s="148"/>
      <c r="F271" s="149"/>
      <c r="J271" s="3"/>
    </row>
    <row r="272" ht="15.75" customHeight="1">
      <c r="D272" s="147"/>
      <c r="E272" s="148"/>
      <c r="F272" s="149"/>
      <c r="J272" s="3"/>
    </row>
    <row r="273" ht="15.75" customHeight="1">
      <c r="D273" s="147"/>
      <c r="E273" s="148"/>
      <c r="F273" s="149"/>
      <c r="J273" s="3"/>
    </row>
    <row r="274" ht="15.75" customHeight="1">
      <c r="D274" s="147"/>
      <c r="E274" s="148"/>
      <c r="F274" s="149"/>
      <c r="J274" s="3"/>
    </row>
    <row r="275" ht="15.75" customHeight="1">
      <c r="D275" s="147"/>
      <c r="E275" s="148"/>
      <c r="F275" s="149"/>
      <c r="J275" s="3"/>
    </row>
    <row r="276" ht="15.75" customHeight="1">
      <c r="D276" s="147"/>
      <c r="E276" s="148"/>
      <c r="F276" s="149"/>
      <c r="J276" s="3"/>
    </row>
    <row r="277" ht="15.75" customHeight="1">
      <c r="D277" s="147"/>
      <c r="E277" s="148"/>
      <c r="F277" s="149"/>
      <c r="J277" s="3"/>
    </row>
    <row r="278" ht="15.75" customHeight="1">
      <c r="D278" s="147"/>
      <c r="E278" s="148"/>
      <c r="F278" s="149"/>
      <c r="J278" s="3"/>
    </row>
    <row r="279" ht="15.75" customHeight="1">
      <c r="D279" s="147"/>
      <c r="E279" s="148"/>
      <c r="F279" s="149"/>
      <c r="J279" s="3"/>
    </row>
    <row r="280" ht="15.75" customHeight="1">
      <c r="D280" s="147"/>
      <c r="E280" s="148"/>
      <c r="F280" s="149"/>
      <c r="J280" s="3"/>
    </row>
    <row r="281" ht="15.75" customHeight="1">
      <c r="D281" s="147"/>
      <c r="E281" s="148"/>
      <c r="F281" s="149"/>
      <c r="J281" s="3"/>
    </row>
    <row r="282" ht="15.75" customHeight="1">
      <c r="D282" s="147"/>
      <c r="E282" s="148"/>
      <c r="F282" s="149"/>
      <c r="J282" s="3"/>
    </row>
    <row r="283" ht="15.75" customHeight="1">
      <c r="D283" s="147"/>
      <c r="E283" s="148"/>
      <c r="F283" s="149"/>
      <c r="J283" s="3"/>
    </row>
    <row r="284" ht="15.75" customHeight="1">
      <c r="D284" s="147"/>
      <c r="E284" s="148"/>
      <c r="F284" s="149"/>
      <c r="J284" s="3"/>
    </row>
    <row r="285" ht="15.75" customHeight="1">
      <c r="D285" s="147"/>
      <c r="E285" s="148"/>
      <c r="F285" s="149"/>
      <c r="J285" s="3"/>
    </row>
    <row r="286" ht="15.75" customHeight="1">
      <c r="D286" s="147"/>
      <c r="E286" s="148"/>
      <c r="F286" s="149"/>
      <c r="J286" s="3"/>
    </row>
    <row r="287" ht="15.75" customHeight="1">
      <c r="D287" s="147"/>
      <c r="E287" s="148"/>
      <c r="F287" s="149"/>
      <c r="J287" s="3"/>
    </row>
    <row r="288" ht="15.75" customHeight="1">
      <c r="D288" s="147"/>
      <c r="E288" s="148"/>
      <c r="F288" s="149"/>
      <c r="J288" s="3"/>
    </row>
    <row r="289" ht="15.75" customHeight="1">
      <c r="D289" s="147"/>
      <c r="E289" s="148"/>
      <c r="F289" s="149"/>
      <c r="J289" s="3"/>
    </row>
    <row r="290" ht="15.75" customHeight="1">
      <c r="D290" s="147"/>
      <c r="E290" s="148"/>
      <c r="F290" s="149"/>
      <c r="J290" s="3"/>
    </row>
    <row r="291" ht="15.75" customHeight="1">
      <c r="D291" s="147"/>
      <c r="E291" s="148"/>
      <c r="F291" s="149"/>
      <c r="J291" s="3"/>
    </row>
    <row r="292" ht="15.75" customHeight="1">
      <c r="D292" s="147"/>
      <c r="E292" s="148"/>
      <c r="F292" s="149"/>
      <c r="J292" s="3"/>
    </row>
    <row r="293" ht="15.75" customHeight="1">
      <c r="D293" s="147"/>
      <c r="E293" s="148"/>
      <c r="F293" s="149"/>
      <c r="J293" s="3"/>
    </row>
    <row r="294" ht="15.75" customHeight="1">
      <c r="D294" s="147"/>
      <c r="E294" s="148"/>
      <c r="F294" s="149"/>
      <c r="J294" s="3"/>
    </row>
    <row r="295" ht="15.75" customHeight="1">
      <c r="D295" s="147"/>
      <c r="E295" s="148"/>
      <c r="F295" s="149"/>
      <c r="J295" s="3"/>
    </row>
    <row r="296" ht="15.75" customHeight="1">
      <c r="D296" s="147"/>
      <c r="E296" s="148"/>
      <c r="F296" s="149"/>
      <c r="J296" s="3"/>
    </row>
    <row r="297" ht="15.75" customHeight="1">
      <c r="D297" s="147"/>
      <c r="E297" s="148"/>
      <c r="F297" s="149"/>
      <c r="J297" s="3"/>
    </row>
    <row r="298" ht="15.75" customHeight="1">
      <c r="D298" s="147"/>
      <c r="E298" s="148"/>
      <c r="F298" s="149"/>
      <c r="J298" s="3"/>
    </row>
    <row r="299" ht="15.75" customHeight="1">
      <c r="D299" s="147"/>
      <c r="E299" s="148"/>
      <c r="F299" s="149"/>
      <c r="J299" s="3"/>
    </row>
    <row r="300" ht="15.75" customHeight="1">
      <c r="D300" s="147"/>
      <c r="E300" s="148"/>
      <c r="F300" s="149"/>
      <c r="J300" s="3"/>
    </row>
    <row r="301" ht="15.75" customHeight="1">
      <c r="D301" s="147"/>
      <c r="E301" s="148"/>
      <c r="F301" s="149"/>
      <c r="J301" s="3"/>
    </row>
    <row r="302" ht="15.75" customHeight="1">
      <c r="D302" s="147"/>
      <c r="E302" s="148"/>
      <c r="F302" s="149"/>
      <c r="J302" s="3"/>
    </row>
    <row r="303" ht="15.75" customHeight="1">
      <c r="D303" s="157"/>
      <c r="E303" s="158"/>
      <c r="J303" s="3"/>
    </row>
    <row r="304" ht="15.75" customHeight="1">
      <c r="D304" s="157"/>
      <c r="E304" s="158"/>
      <c r="J304" s="3"/>
    </row>
    <row r="305" ht="15.75" customHeight="1">
      <c r="D305" s="157"/>
      <c r="E305" s="158"/>
      <c r="J305" s="3"/>
    </row>
    <row r="306" ht="15.75" customHeight="1">
      <c r="D306" s="157"/>
      <c r="E306" s="158"/>
      <c r="J306" s="3"/>
    </row>
    <row r="307" ht="15.75" customHeight="1">
      <c r="D307" s="157"/>
      <c r="E307" s="158"/>
      <c r="J307" s="3"/>
    </row>
    <row r="308" ht="15.75" customHeight="1">
      <c r="D308" s="157"/>
      <c r="E308" s="158"/>
      <c r="J308" s="3"/>
    </row>
    <row r="309" ht="15.75" customHeight="1">
      <c r="D309" s="157"/>
      <c r="E309" s="158"/>
      <c r="J309" s="3"/>
    </row>
    <row r="310" ht="15.75" customHeight="1">
      <c r="D310" s="157"/>
      <c r="E310" s="158"/>
      <c r="J310" s="3"/>
    </row>
    <row r="311" ht="15.75" customHeight="1">
      <c r="D311" s="157"/>
      <c r="E311" s="158"/>
      <c r="J311" s="3"/>
    </row>
    <row r="312" ht="15.75" customHeight="1">
      <c r="D312" s="157"/>
      <c r="E312" s="158"/>
      <c r="J312" s="3"/>
    </row>
    <row r="313" ht="15.75" customHeight="1">
      <c r="D313" s="157"/>
      <c r="E313" s="158"/>
      <c r="J313" s="3"/>
    </row>
    <row r="314" ht="15.75" customHeight="1">
      <c r="D314" s="157"/>
      <c r="E314" s="158"/>
      <c r="J314" s="3"/>
    </row>
    <row r="315" ht="15.75" customHeight="1">
      <c r="D315" s="157"/>
      <c r="E315" s="158"/>
      <c r="J315" s="3"/>
    </row>
    <row r="316" ht="15.75" customHeight="1">
      <c r="D316" s="157"/>
      <c r="E316" s="158"/>
      <c r="J316" s="3"/>
    </row>
    <row r="317" ht="15.75" customHeight="1">
      <c r="D317" s="157"/>
      <c r="E317" s="158"/>
      <c r="J317" s="3"/>
    </row>
    <row r="318" ht="15.75" customHeight="1">
      <c r="D318" s="157"/>
      <c r="E318" s="158"/>
      <c r="J318" s="3"/>
    </row>
    <row r="319" ht="15.75" customHeight="1">
      <c r="D319" s="157"/>
      <c r="E319" s="158"/>
      <c r="J319" s="3"/>
    </row>
    <row r="320" ht="15.75" customHeight="1">
      <c r="D320" s="157"/>
      <c r="E320" s="158"/>
      <c r="J320" s="3"/>
    </row>
    <row r="321" ht="15.75" customHeight="1">
      <c r="D321" s="157"/>
      <c r="E321" s="158"/>
      <c r="J321" s="3"/>
    </row>
    <row r="322" ht="15.75" customHeight="1">
      <c r="D322" s="157"/>
      <c r="E322" s="158"/>
      <c r="J322" s="3"/>
    </row>
    <row r="323" ht="15.75" customHeight="1">
      <c r="D323" s="157"/>
      <c r="E323" s="158"/>
      <c r="J323" s="3"/>
    </row>
    <row r="324" ht="15.75" customHeight="1">
      <c r="D324" s="157"/>
      <c r="E324" s="158"/>
      <c r="J324" s="3"/>
    </row>
    <row r="325" ht="15.75" customHeight="1">
      <c r="D325" s="157"/>
      <c r="E325" s="158"/>
      <c r="J325" s="3"/>
    </row>
    <row r="326" ht="15.75" customHeight="1">
      <c r="D326" s="157"/>
      <c r="E326" s="158"/>
      <c r="J326" s="3"/>
    </row>
    <row r="327" ht="15.75" customHeight="1">
      <c r="D327" s="157"/>
      <c r="E327" s="158"/>
      <c r="J327" s="3"/>
    </row>
    <row r="328" ht="15.75" customHeight="1">
      <c r="D328" s="157"/>
      <c r="E328" s="158"/>
      <c r="J328" s="3"/>
    </row>
    <row r="329" ht="15.75" customHeight="1">
      <c r="D329" s="157"/>
      <c r="E329" s="158"/>
      <c r="J329" s="3"/>
    </row>
    <row r="330" ht="15.75" customHeight="1">
      <c r="D330" s="157"/>
      <c r="E330" s="158"/>
      <c r="J330" s="3"/>
    </row>
    <row r="331" ht="15.75" customHeight="1">
      <c r="D331" s="157"/>
      <c r="E331" s="158"/>
      <c r="J331" s="3"/>
    </row>
    <row r="332" ht="15.75" customHeight="1">
      <c r="D332" s="157"/>
      <c r="E332" s="158"/>
      <c r="J332" s="3"/>
    </row>
    <row r="333" ht="15.75" customHeight="1">
      <c r="D333" s="157"/>
      <c r="E333" s="158"/>
      <c r="J333" s="3"/>
    </row>
    <row r="334" ht="15.75" customHeight="1">
      <c r="D334" s="157"/>
      <c r="E334" s="158"/>
      <c r="J334" s="3"/>
    </row>
    <row r="335" ht="15.75" customHeight="1">
      <c r="D335" s="157"/>
      <c r="E335" s="158"/>
      <c r="J335" s="3"/>
    </row>
    <row r="336" ht="15.75" customHeight="1">
      <c r="D336" s="157"/>
      <c r="E336" s="158"/>
      <c r="J336" s="3"/>
    </row>
    <row r="337" ht="15.75" customHeight="1">
      <c r="D337" s="157"/>
      <c r="E337" s="158"/>
      <c r="J337" s="3"/>
    </row>
    <row r="338" ht="15.75" customHeight="1">
      <c r="D338" s="157"/>
      <c r="E338" s="158"/>
      <c r="J338" s="3"/>
    </row>
    <row r="339" ht="15.75" customHeight="1">
      <c r="D339" s="157"/>
      <c r="E339" s="158"/>
      <c r="J339" s="3"/>
    </row>
    <row r="340" ht="15.75" customHeight="1">
      <c r="D340" s="157"/>
      <c r="E340" s="158"/>
      <c r="J340" s="3"/>
    </row>
    <row r="341" ht="15.75" customHeight="1">
      <c r="D341" s="157"/>
      <c r="E341" s="158"/>
      <c r="J341" s="3"/>
    </row>
    <row r="342" ht="15.75" customHeight="1">
      <c r="D342" s="157"/>
      <c r="E342" s="158"/>
      <c r="J342" s="3"/>
    </row>
    <row r="343" ht="15.75" customHeight="1">
      <c r="D343" s="157"/>
      <c r="E343" s="158"/>
      <c r="J343" s="3"/>
    </row>
    <row r="344" ht="15.75" customHeight="1">
      <c r="D344" s="157"/>
      <c r="E344" s="158"/>
      <c r="J344" s="3"/>
    </row>
    <row r="345" ht="15.75" customHeight="1">
      <c r="D345" s="157"/>
      <c r="E345" s="158"/>
      <c r="J345" s="3"/>
    </row>
    <row r="346" ht="15.75" customHeight="1">
      <c r="D346" s="157"/>
      <c r="E346" s="158"/>
      <c r="J346" s="3"/>
    </row>
    <row r="347" ht="15.75" customHeight="1">
      <c r="D347" s="157"/>
      <c r="E347" s="158"/>
      <c r="J347" s="3"/>
    </row>
    <row r="348" ht="15.75" customHeight="1">
      <c r="D348" s="157"/>
      <c r="E348" s="158"/>
      <c r="J348" s="3"/>
    </row>
    <row r="349" ht="15.75" customHeight="1">
      <c r="D349" s="157"/>
      <c r="E349" s="158"/>
      <c r="J349" s="3"/>
    </row>
    <row r="350" ht="15.75" customHeight="1">
      <c r="D350" s="157"/>
      <c r="E350" s="158"/>
      <c r="J350" s="3"/>
    </row>
    <row r="351" ht="15.75" customHeight="1">
      <c r="D351" s="157"/>
      <c r="E351" s="158"/>
      <c r="J351" s="3"/>
    </row>
    <row r="352" ht="15.75" customHeight="1">
      <c r="D352" s="157"/>
      <c r="E352" s="158"/>
      <c r="J352" s="3"/>
    </row>
    <row r="353" ht="15.75" customHeight="1">
      <c r="D353" s="157"/>
      <c r="E353" s="158"/>
      <c r="J353" s="3"/>
    </row>
    <row r="354" ht="15.75" customHeight="1">
      <c r="D354" s="157"/>
      <c r="E354" s="158"/>
      <c r="J354" s="3"/>
    </row>
    <row r="355" ht="15.75" customHeight="1">
      <c r="D355" s="157"/>
      <c r="E355" s="158"/>
      <c r="J355" s="3"/>
    </row>
    <row r="356" ht="15.75" customHeight="1">
      <c r="D356" s="157"/>
      <c r="E356" s="158"/>
      <c r="J356" s="3"/>
    </row>
    <row r="357" ht="15.75" customHeight="1">
      <c r="D357" s="157"/>
      <c r="E357" s="158"/>
      <c r="J357" s="3"/>
    </row>
    <row r="358" ht="15.75" customHeight="1">
      <c r="D358" s="157"/>
      <c r="E358" s="158"/>
      <c r="J358" s="3"/>
    </row>
    <row r="359" ht="15.75" customHeight="1">
      <c r="D359" s="157"/>
      <c r="E359" s="158"/>
      <c r="J359" s="3"/>
    </row>
    <row r="360" ht="15.75" customHeight="1">
      <c r="D360" s="157"/>
      <c r="E360" s="158"/>
      <c r="J360" s="3"/>
    </row>
    <row r="361" ht="15.75" customHeight="1">
      <c r="D361" s="157"/>
      <c r="E361" s="158"/>
      <c r="J361" s="3"/>
    </row>
    <row r="362" ht="15.75" customHeight="1">
      <c r="D362" s="157"/>
      <c r="E362" s="158"/>
      <c r="J362" s="3"/>
    </row>
    <row r="363" ht="15.75" customHeight="1">
      <c r="D363" s="157"/>
      <c r="E363" s="158"/>
      <c r="J363" s="3"/>
    </row>
    <row r="364" ht="15.75" customHeight="1">
      <c r="D364" s="157"/>
      <c r="E364" s="158"/>
      <c r="J364" s="3"/>
    </row>
    <row r="365" ht="15.75" customHeight="1">
      <c r="D365" s="157"/>
      <c r="E365" s="158"/>
      <c r="J365" s="3"/>
    </row>
    <row r="366" ht="15.75" customHeight="1">
      <c r="D366" s="157"/>
      <c r="E366" s="158"/>
      <c r="J366" s="3"/>
    </row>
    <row r="367" ht="15.75" customHeight="1">
      <c r="D367" s="157"/>
      <c r="E367" s="158"/>
      <c r="J367" s="3"/>
    </row>
    <row r="368" ht="15.75" customHeight="1">
      <c r="D368" s="157"/>
      <c r="E368" s="158"/>
      <c r="J368" s="3"/>
    </row>
    <row r="369" ht="15.75" customHeight="1">
      <c r="D369" s="157"/>
      <c r="E369" s="158"/>
      <c r="J369" s="3"/>
    </row>
    <row r="370" ht="15.75" customHeight="1">
      <c r="D370" s="157"/>
      <c r="E370" s="158"/>
      <c r="J370" s="3"/>
    </row>
    <row r="371" ht="15.75" customHeight="1">
      <c r="D371" s="157"/>
      <c r="E371" s="158"/>
      <c r="J371" s="3"/>
    </row>
    <row r="372" ht="15.75" customHeight="1">
      <c r="D372" s="157"/>
      <c r="E372" s="158"/>
      <c r="J372" s="3"/>
    </row>
    <row r="373" ht="15.75" customHeight="1">
      <c r="D373" s="157"/>
      <c r="E373" s="158"/>
      <c r="J373" s="3"/>
    </row>
    <row r="374" ht="15.75" customHeight="1">
      <c r="D374" s="157"/>
      <c r="E374" s="158"/>
      <c r="J374" s="3"/>
    </row>
    <row r="375" ht="15.75" customHeight="1">
      <c r="D375" s="157"/>
      <c r="E375" s="158"/>
      <c r="J375" s="3"/>
    </row>
    <row r="376" ht="15.75" customHeight="1">
      <c r="D376" s="157"/>
      <c r="E376" s="158"/>
      <c r="J376" s="3"/>
    </row>
    <row r="377" ht="15.75" customHeight="1">
      <c r="D377" s="157"/>
      <c r="E377" s="158"/>
      <c r="J377" s="3"/>
    </row>
    <row r="378" ht="15.75" customHeight="1">
      <c r="D378" s="157"/>
      <c r="E378" s="158"/>
      <c r="J378" s="3"/>
    </row>
    <row r="379" ht="15.75" customHeight="1">
      <c r="D379" s="157"/>
      <c r="E379" s="158"/>
      <c r="J379" s="3"/>
    </row>
    <row r="380" ht="15.75" customHeight="1">
      <c r="D380" s="157"/>
      <c r="E380" s="158"/>
      <c r="J380" s="3"/>
    </row>
    <row r="381" ht="15.75" customHeight="1">
      <c r="D381" s="157"/>
      <c r="E381" s="158"/>
      <c r="J381" s="3"/>
    </row>
    <row r="382" ht="15.75" customHeight="1">
      <c r="D382" s="157"/>
      <c r="E382" s="158"/>
      <c r="J382" s="3"/>
    </row>
    <row r="383" ht="15.75" customHeight="1">
      <c r="D383" s="157"/>
      <c r="E383" s="158"/>
      <c r="J383" s="3"/>
    </row>
    <row r="384" ht="15.75" customHeight="1">
      <c r="D384" s="157"/>
      <c r="E384" s="158"/>
      <c r="J384" s="3"/>
    </row>
    <row r="385" ht="15.75" customHeight="1">
      <c r="D385" s="157"/>
      <c r="E385" s="158"/>
      <c r="J385" s="3"/>
    </row>
    <row r="386" ht="15.75" customHeight="1">
      <c r="D386" s="157"/>
      <c r="E386" s="158"/>
      <c r="J386" s="3"/>
    </row>
    <row r="387" ht="15.75" customHeight="1">
      <c r="D387" s="157"/>
      <c r="E387" s="158"/>
      <c r="J387" s="3"/>
    </row>
    <row r="388" ht="15.75" customHeight="1">
      <c r="D388" s="157"/>
      <c r="E388" s="158"/>
      <c r="J388" s="3"/>
    </row>
    <row r="389" ht="15.75" customHeight="1">
      <c r="D389" s="157"/>
      <c r="E389" s="158"/>
      <c r="J389" s="3"/>
    </row>
    <row r="390" ht="15.75" customHeight="1">
      <c r="D390" s="157"/>
      <c r="E390" s="158"/>
      <c r="J390" s="3"/>
    </row>
    <row r="391" ht="15.75" customHeight="1">
      <c r="D391" s="157"/>
      <c r="E391" s="158"/>
      <c r="J391" s="3"/>
    </row>
    <row r="392" ht="15.75" customHeight="1">
      <c r="D392" s="157"/>
      <c r="E392" s="158"/>
      <c r="J392" s="3"/>
    </row>
    <row r="393" ht="15.75" customHeight="1">
      <c r="D393" s="157"/>
      <c r="E393" s="158"/>
      <c r="J393" s="3"/>
    </row>
    <row r="394" ht="15.75" customHeight="1">
      <c r="D394" s="157"/>
      <c r="E394" s="158"/>
      <c r="J394" s="3"/>
    </row>
    <row r="395" ht="15.75" customHeight="1">
      <c r="D395" s="157"/>
      <c r="E395" s="158"/>
      <c r="J395" s="3"/>
    </row>
    <row r="396" ht="15.75" customHeight="1">
      <c r="D396" s="157"/>
      <c r="E396" s="158"/>
      <c r="J396" s="3"/>
    </row>
    <row r="397" ht="15.75" customHeight="1">
      <c r="D397" s="157"/>
      <c r="E397" s="158"/>
      <c r="J397" s="3"/>
    </row>
    <row r="398" ht="15.75" customHeight="1">
      <c r="D398" s="157"/>
      <c r="E398" s="158"/>
      <c r="J398" s="3"/>
    </row>
    <row r="399" ht="15.75" customHeight="1">
      <c r="D399" s="157"/>
      <c r="E399" s="158"/>
      <c r="J399" s="3"/>
    </row>
    <row r="400" ht="15.75" customHeight="1">
      <c r="D400" s="157"/>
      <c r="E400" s="158"/>
      <c r="J400" s="3"/>
    </row>
    <row r="401" ht="15.75" customHeight="1">
      <c r="D401" s="157"/>
      <c r="E401" s="158"/>
      <c r="J401" s="3"/>
    </row>
    <row r="402" ht="15.75" customHeight="1">
      <c r="D402" s="157"/>
      <c r="E402" s="158"/>
      <c r="J402" s="3"/>
    </row>
    <row r="403" ht="15.75" customHeight="1">
      <c r="D403" s="157"/>
      <c r="E403" s="158"/>
      <c r="J403" s="3"/>
    </row>
    <row r="404" ht="15.75" customHeight="1">
      <c r="D404" s="157"/>
      <c r="E404" s="158"/>
      <c r="J404" s="3"/>
    </row>
    <row r="405" ht="15.75" customHeight="1">
      <c r="D405" s="157"/>
      <c r="E405" s="158"/>
      <c r="J405" s="3"/>
    </row>
    <row r="406" ht="15.75" customHeight="1">
      <c r="D406" s="157"/>
      <c r="E406" s="158"/>
      <c r="J406" s="3"/>
    </row>
    <row r="407" ht="15.75" customHeight="1">
      <c r="D407" s="157"/>
      <c r="E407" s="158"/>
      <c r="J407" s="3"/>
    </row>
    <row r="408" ht="15.75" customHeight="1">
      <c r="D408" s="157"/>
      <c r="E408" s="158"/>
      <c r="J408" s="3"/>
    </row>
    <row r="409" ht="15.75" customHeight="1">
      <c r="D409" s="157"/>
      <c r="E409" s="158"/>
      <c r="J409" s="3"/>
    </row>
    <row r="410" ht="15.75" customHeight="1">
      <c r="D410" s="157"/>
      <c r="E410" s="158"/>
      <c r="J410" s="3"/>
    </row>
    <row r="411" ht="15.75" customHeight="1">
      <c r="D411" s="157"/>
      <c r="E411" s="158"/>
      <c r="J411" s="3"/>
    </row>
    <row r="412" ht="15.75" customHeight="1">
      <c r="D412" s="157"/>
      <c r="E412" s="158"/>
      <c r="J412" s="3"/>
    </row>
    <row r="413" ht="15.75" customHeight="1">
      <c r="D413" s="157"/>
      <c r="E413" s="158"/>
      <c r="J413" s="3"/>
    </row>
    <row r="414" ht="15.75" customHeight="1">
      <c r="D414" s="157"/>
      <c r="E414" s="158"/>
      <c r="J414" s="3"/>
    </row>
    <row r="415" ht="15.75" customHeight="1">
      <c r="D415" s="157"/>
      <c r="E415" s="158"/>
      <c r="J415" s="3"/>
    </row>
    <row r="416" ht="15.75" customHeight="1">
      <c r="D416" s="157"/>
      <c r="E416" s="158"/>
      <c r="J416" s="3"/>
    </row>
    <row r="417" ht="15.75" customHeight="1">
      <c r="D417" s="157"/>
      <c r="E417" s="158"/>
      <c r="J417" s="3"/>
    </row>
    <row r="418" ht="15.75" customHeight="1">
      <c r="D418" s="157"/>
      <c r="E418" s="158"/>
      <c r="J418" s="3"/>
    </row>
    <row r="419" ht="15.75" customHeight="1">
      <c r="D419" s="157"/>
      <c r="E419" s="158"/>
      <c r="J419" s="3"/>
    </row>
    <row r="420" ht="15.75" customHeight="1">
      <c r="D420" s="157"/>
      <c r="E420" s="158"/>
      <c r="J420" s="3"/>
    </row>
    <row r="421" ht="15.75" customHeight="1">
      <c r="D421" s="157"/>
      <c r="E421" s="158"/>
      <c r="J421" s="3"/>
    </row>
    <row r="422" ht="15.75" customHeight="1">
      <c r="D422" s="157"/>
      <c r="E422" s="158"/>
      <c r="J422" s="3"/>
    </row>
    <row r="423" ht="15.75" customHeight="1">
      <c r="D423" s="157"/>
      <c r="E423" s="158"/>
      <c r="J423" s="3"/>
    </row>
    <row r="424" ht="15.75" customHeight="1">
      <c r="D424" s="157"/>
      <c r="E424" s="158"/>
      <c r="J424" s="3"/>
    </row>
    <row r="425" ht="15.75" customHeight="1">
      <c r="D425" s="157"/>
      <c r="E425" s="158"/>
      <c r="J425" s="3"/>
    </row>
    <row r="426" ht="15.75" customHeight="1">
      <c r="D426" s="157"/>
      <c r="E426" s="158"/>
      <c r="J426" s="3"/>
    </row>
    <row r="427" ht="15.75" customHeight="1">
      <c r="D427" s="157"/>
      <c r="E427" s="158"/>
      <c r="J427" s="3"/>
    </row>
    <row r="428" ht="15.75" customHeight="1">
      <c r="D428" s="157"/>
      <c r="E428" s="158"/>
      <c r="J428" s="3"/>
    </row>
    <row r="429" ht="15.75" customHeight="1">
      <c r="D429" s="157"/>
      <c r="E429" s="158"/>
      <c r="J429" s="3"/>
    </row>
    <row r="430" ht="15.75" customHeight="1">
      <c r="D430" s="157"/>
      <c r="E430" s="158"/>
      <c r="J430" s="3"/>
    </row>
    <row r="431" ht="15.75" customHeight="1">
      <c r="D431" s="157"/>
      <c r="E431" s="158"/>
      <c r="J431" s="3"/>
    </row>
    <row r="432" ht="15.75" customHeight="1">
      <c r="D432" s="157"/>
      <c r="E432" s="158"/>
      <c r="J432" s="3"/>
    </row>
    <row r="433" ht="15.75" customHeight="1">
      <c r="D433" s="157"/>
      <c r="E433" s="158"/>
      <c r="J433" s="3"/>
    </row>
    <row r="434" ht="15.75" customHeight="1">
      <c r="D434" s="157"/>
      <c r="E434" s="158"/>
      <c r="J434" s="3"/>
    </row>
    <row r="435" ht="15.75" customHeight="1">
      <c r="D435" s="157"/>
      <c r="E435" s="158"/>
      <c r="J435" s="3"/>
    </row>
    <row r="436" ht="15.75" customHeight="1">
      <c r="D436" s="157"/>
      <c r="E436" s="158"/>
      <c r="J436" s="3"/>
    </row>
    <row r="437" ht="15.75" customHeight="1">
      <c r="D437" s="157"/>
      <c r="E437" s="158"/>
      <c r="J437" s="3"/>
    </row>
    <row r="438" ht="15.75" customHeight="1">
      <c r="D438" s="157"/>
      <c r="E438" s="158"/>
      <c r="J438" s="3"/>
    </row>
    <row r="439" ht="15.75" customHeight="1">
      <c r="D439" s="157"/>
      <c r="E439" s="158"/>
      <c r="J439" s="3"/>
    </row>
    <row r="440" ht="15.75" customHeight="1">
      <c r="D440" s="157"/>
      <c r="E440" s="158"/>
      <c r="J440" s="3"/>
    </row>
    <row r="441" ht="15.75" customHeight="1">
      <c r="D441" s="157"/>
      <c r="E441" s="158"/>
      <c r="J441" s="3"/>
    </row>
    <row r="442" ht="15.75" customHeight="1">
      <c r="D442" s="157"/>
      <c r="E442" s="158"/>
      <c r="J442" s="3"/>
    </row>
    <row r="443" ht="15.75" customHeight="1">
      <c r="D443" s="157"/>
      <c r="E443" s="158"/>
      <c r="J443" s="3"/>
    </row>
    <row r="444" ht="15.75" customHeight="1">
      <c r="D444" s="157"/>
      <c r="E444" s="158"/>
      <c r="J444" s="3"/>
    </row>
    <row r="445" ht="15.75" customHeight="1">
      <c r="D445" s="157"/>
      <c r="E445" s="158"/>
      <c r="J445" s="3"/>
    </row>
    <row r="446" ht="15.75" customHeight="1">
      <c r="D446" s="157"/>
      <c r="E446" s="158"/>
      <c r="J446" s="3"/>
    </row>
    <row r="447" ht="15.75" customHeight="1">
      <c r="D447" s="157"/>
      <c r="E447" s="158"/>
      <c r="J447" s="3"/>
    </row>
    <row r="448" ht="15.75" customHeight="1">
      <c r="D448" s="157"/>
      <c r="E448" s="158"/>
      <c r="J448" s="3"/>
    </row>
    <row r="449" ht="15.75" customHeight="1">
      <c r="D449" s="157"/>
      <c r="E449" s="158"/>
      <c r="J449" s="3"/>
    </row>
    <row r="450" ht="15.75" customHeight="1">
      <c r="D450" s="157"/>
      <c r="E450" s="158"/>
      <c r="J450" s="3"/>
    </row>
    <row r="451" ht="15.75" customHeight="1">
      <c r="D451" s="157"/>
      <c r="E451" s="158"/>
      <c r="J451" s="3"/>
    </row>
    <row r="452" ht="15.75" customHeight="1">
      <c r="D452" s="157"/>
      <c r="E452" s="158"/>
      <c r="J452" s="3"/>
    </row>
    <row r="453" ht="15.75" customHeight="1">
      <c r="D453" s="157"/>
      <c r="E453" s="158"/>
      <c r="J453" s="3"/>
    </row>
    <row r="454" ht="15.75" customHeight="1">
      <c r="D454" s="157"/>
      <c r="E454" s="158"/>
      <c r="J454" s="3"/>
    </row>
    <row r="455" ht="15.75" customHeight="1">
      <c r="D455" s="157"/>
      <c r="E455" s="158"/>
      <c r="J455" s="3"/>
    </row>
    <row r="456" ht="15.75" customHeight="1">
      <c r="D456" s="157"/>
      <c r="E456" s="158"/>
      <c r="J456" s="3"/>
    </row>
    <row r="457" ht="15.75" customHeight="1">
      <c r="D457" s="157"/>
      <c r="E457" s="158"/>
      <c r="J457" s="3"/>
    </row>
    <row r="458" ht="15.75" customHeight="1">
      <c r="D458" s="157"/>
      <c r="E458" s="158"/>
      <c r="J458" s="3"/>
    </row>
    <row r="459" ht="15.75" customHeight="1">
      <c r="D459" s="157"/>
      <c r="E459" s="158"/>
      <c r="J459" s="3"/>
    </row>
    <row r="460" ht="15.75" customHeight="1">
      <c r="D460" s="157"/>
      <c r="E460" s="158"/>
      <c r="J460" s="3"/>
    </row>
    <row r="461" ht="15.75" customHeight="1">
      <c r="D461" s="157"/>
      <c r="E461" s="158"/>
      <c r="J461" s="3"/>
    </row>
    <row r="462" ht="15.75" customHeight="1">
      <c r="D462" s="157"/>
      <c r="E462" s="158"/>
      <c r="J462" s="3"/>
    </row>
    <row r="463" ht="15.75" customHeight="1">
      <c r="D463" s="157"/>
      <c r="E463" s="158"/>
      <c r="J463" s="3"/>
    </row>
    <row r="464" ht="15.75" customHeight="1">
      <c r="D464" s="157"/>
      <c r="E464" s="158"/>
      <c r="J464" s="3"/>
    </row>
    <row r="465" ht="15.75" customHeight="1">
      <c r="D465" s="157"/>
      <c r="E465" s="158"/>
      <c r="J465" s="3"/>
    </row>
    <row r="466" ht="15.75" customHeight="1">
      <c r="D466" s="157"/>
      <c r="E466" s="158"/>
      <c r="J466" s="3"/>
    </row>
    <row r="467" ht="15.75" customHeight="1">
      <c r="D467" s="157"/>
      <c r="E467" s="158"/>
      <c r="J467" s="3"/>
    </row>
    <row r="468" ht="15.75" customHeight="1">
      <c r="D468" s="157"/>
      <c r="E468" s="158"/>
      <c r="J468" s="3"/>
    </row>
    <row r="469" ht="15.75" customHeight="1">
      <c r="D469" s="157"/>
      <c r="E469" s="158"/>
      <c r="J469" s="3"/>
    </row>
    <row r="470" ht="15.75" customHeight="1">
      <c r="D470" s="157"/>
      <c r="E470" s="158"/>
      <c r="J470" s="3"/>
    </row>
    <row r="471" ht="15.75" customHeight="1">
      <c r="D471" s="157"/>
      <c r="E471" s="158"/>
      <c r="J471" s="3"/>
    </row>
    <row r="472" ht="15.75" customHeight="1">
      <c r="D472" s="157"/>
      <c r="E472" s="158"/>
      <c r="J472" s="3"/>
    </row>
    <row r="473" ht="15.75" customHeight="1">
      <c r="D473" s="157"/>
      <c r="E473" s="158"/>
      <c r="J473" s="3"/>
    </row>
    <row r="474" ht="15.75" customHeight="1">
      <c r="D474" s="157"/>
      <c r="E474" s="158"/>
      <c r="J474" s="3"/>
    </row>
    <row r="475" ht="15.75" customHeight="1">
      <c r="D475" s="157"/>
      <c r="E475" s="158"/>
      <c r="J475" s="3"/>
    </row>
    <row r="476" ht="15.75" customHeight="1">
      <c r="D476" s="157"/>
      <c r="E476" s="158"/>
      <c r="J476" s="3"/>
    </row>
    <row r="477" ht="15.75" customHeight="1">
      <c r="D477" s="157"/>
      <c r="E477" s="158"/>
      <c r="J477" s="3"/>
    </row>
    <row r="478" ht="15.75" customHeight="1">
      <c r="D478" s="157"/>
      <c r="E478" s="158"/>
      <c r="J478" s="3"/>
    </row>
    <row r="479" ht="15.75" customHeight="1">
      <c r="D479" s="157"/>
      <c r="E479" s="158"/>
      <c r="J479" s="3"/>
    </row>
    <row r="480" ht="15.75" customHeight="1">
      <c r="D480" s="157"/>
      <c r="E480" s="158"/>
      <c r="J480" s="3"/>
    </row>
    <row r="481" ht="15.75" customHeight="1">
      <c r="D481" s="157"/>
      <c r="E481" s="158"/>
      <c r="J481" s="3"/>
    </row>
    <row r="482" ht="15.75" customHeight="1">
      <c r="D482" s="157"/>
      <c r="E482" s="158"/>
      <c r="J482" s="3"/>
    </row>
    <row r="483" ht="15.75" customHeight="1">
      <c r="D483" s="157"/>
      <c r="E483" s="158"/>
      <c r="J483" s="3"/>
    </row>
    <row r="484" ht="15.75" customHeight="1">
      <c r="D484" s="157"/>
      <c r="E484" s="158"/>
      <c r="J484" s="3"/>
    </row>
    <row r="485" ht="15.75" customHeight="1">
      <c r="D485" s="157"/>
      <c r="E485" s="158"/>
      <c r="J485" s="3"/>
    </row>
    <row r="486" ht="15.75" customHeight="1">
      <c r="D486" s="157"/>
      <c r="E486" s="158"/>
      <c r="J486" s="3"/>
    </row>
    <row r="487" ht="15.75" customHeight="1">
      <c r="D487" s="157"/>
      <c r="E487" s="158"/>
      <c r="J487" s="3"/>
    </row>
    <row r="488" ht="15.75" customHeight="1">
      <c r="D488" s="157"/>
      <c r="E488" s="158"/>
      <c r="J488" s="3"/>
    </row>
    <row r="489" ht="15.75" customHeight="1">
      <c r="D489" s="157"/>
      <c r="E489" s="158"/>
      <c r="J489" s="3"/>
    </row>
    <row r="490" ht="15.75" customHeight="1">
      <c r="D490" s="157"/>
      <c r="E490" s="158"/>
      <c r="J490" s="3"/>
    </row>
    <row r="491" ht="15.75" customHeight="1">
      <c r="D491" s="157"/>
      <c r="E491" s="158"/>
      <c r="J491" s="3"/>
    </row>
    <row r="492" ht="15.75" customHeight="1">
      <c r="D492" s="157"/>
      <c r="E492" s="158"/>
      <c r="J492" s="3"/>
    </row>
    <row r="493" ht="15.75" customHeight="1">
      <c r="D493" s="157"/>
      <c r="E493" s="158"/>
      <c r="J493" s="3"/>
    </row>
    <row r="494" ht="15.75" customHeight="1">
      <c r="D494" s="157"/>
      <c r="E494" s="158"/>
      <c r="J494" s="3"/>
    </row>
    <row r="495" ht="15.75" customHeight="1">
      <c r="D495" s="157"/>
      <c r="E495" s="158"/>
      <c r="J495" s="3"/>
    </row>
    <row r="496" ht="15.75" customHeight="1">
      <c r="D496" s="157"/>
      <c r="E496" s="158"/>
      <c r="J496" s="3"/>
    </row>
    <row r="497" ht="15.75" customHeight="1">
      <c r="D497" s="157"/>
      <c r="E497" s="158"/>
      <c r="J497" s="3"/>
    </row>
    <row r="498" ht="15.75" customHeight="1">
      <c r="D498" s="157"/>
      <c r="E498" s="158"/>
      <c r="J498" s="3"/>
    </row>
    <row r="499" ht="15.75" customHeight="1">
      <c r="D499" s="157"/>
      <c r="E499" s="158"/>
      <c r="J499" s="3"/>
    </row>
    <row r="500" ht="15.75" customHeight="1">
      <c r="D500" s="157"/>
      <c r="E500" s="158"/>
      <c r="J500" s="3"/>
    </row>
    <row r="501" ht="15.75" customHeight="1">
      <c r="D501" s="157"/>
      <c r="E501" s="158"/>
      <c r="J501" s="3"/>
    </row>
    <row r="502" ht="15.75" customHeight="1">
      <c r="D502" s="157"/>
      <c r="E502" s="158"/>
      <c r="J502" s="3"/>
    </row>
    <row r="503" ht="15.75" customHeight="1">
      <c r="D503" s="157"/>
      <c r="E503" s="158"/>
      <c r="J503" s="3"/>
    </row>
    <row r="504" ht="15.75" customHeight="1">
      <c r="D504" s="157"/>
      <c r="E504" s="158"/>
      <c r="J504" s="3"/>
    </row>
    <row r="505" ht="15.75" customHeight="1">
      <c r="D505" s="157"/>
      <c r="E505" s="158"/>
      <c r="J505" s="3"/>
    </row>
    <row r="506" ht="15.75" customHeight="1">
      <c r="D506" s="157"/>
      <c r="E506" s="158"/>
      <c r="J506" s="3"/>
    </row>
    <row r="507" ht="15.75" customHeight="1">
      <c r="D507" s="157"/>
      <c r="E507" s="158"/>
      <c r="J507" s="3"/>
    </row>
    <row r="508" ht="15.75" customHeight="1">
      <c r="D508" s="157"/>
      <c r="E508" s="158"/>
      <c r="J508" s="3"/>
    </row>
    <row r="509" ht="15.75" customHeight="1">
      <c r="D509" s="157"/>
      <c r="E509" s="158"/>
      <c r="J509" s="3"/>
    </row>
    <row r="510" ht="15.75" customHeight="1">
      <c r="D510" s="157"/>
      <c r="E510" s="158"/>
      <c r="J510" s="3"/>
    </row>
    <row r="511" ht="15.75" customHeight="1">
      <c r="D511" s="157"/>
      <c r="E511" s="158"/>
      <c r="J511" s="3"/>
    </row>
    <row r="512" ht="15.75" customHeight="1">
      <c r="D512" s="157"/>
      <c r="E512" s="158"/>
      <c r="J512" s="3"/>
    </row>
    <row r="513" ht="15.75" customHeight="1">
      <c r="D513" s="157"/>
      <c r="E513" s="158"/>
      <c r="J513" s="3"/>
    </row>
    <row r="514" ht="15.75" customHeight="1">
      <c r="D514" s="157"/>
      <c r="E514" s="158"/>
      <c r="J514" s="3"/>
    </row>
    <row r="515" ht="15.75" customHeight="1">
      <c r="D515" s="157"/>
      <c r="E515" s="158"/>
      <c r="J515" s="3"/>
    </row>
    <row r="516" ht="15.75" customHeight="1">
      <c r="D516" s="157"/>
      <c r="E516" s="158"/>
      <c r="J516" s="3"/>
    </row>
    <row r="517" ht="15.75" customHeight="1">
      <c r="D517" s="157"/>
      <c r="E517" s="158"/>
      <c r="J517" s="3"/>
    </row>
    <row r="518" ht="15.75" customHeight="1">
      <c r="D518" s="157"/>
      <c r="E518" s="158"/>
      <c r="J518" s="3"/>
    </row>
    <row r="519" ht="15.75" customHeight="1">
      <c r="D519" s="157"/>
      <c r="E519" s="158"/>
      <c r="J519" s="3"/>
    </row>
    <row r="520" ht="15.75" customHeight="1">
      <c r="D520" s="157"/>
      <c r="E520" s="158"/>
      <c r="J520" s="3"/>
    </row>
    <row r="521" ht="15.75" customHeight="1">
      <c r="D521" s="157"/>
      <c r="E521" s="158"/>
      <c r="J521" s="3"/>
    </row>
    <row r="522" ht="15.75" customHeight="1">
      <c r="D522" s="157"/>
      <c r="E522" s="158"/>
      <c r="J522" s="3"/>
    </row>
    <row r="523" ht="15.75" customHeight="1">
      <c r="D523" s="157"/>
      <c r="E523" s="158"/>
      <c r="J523" s="3"/>
    </row>
    <row r="524" ht="15.75" customHeight="1">
      <c r="D524" s="157"/>
      <c r="E524" s="158"/>
      <c r="J524" s="3"/>
    </row>
    <row r="525" ht="15.75" customHeight="1">
      <c r="D525" s="157"/>
      <c r="E525" s="158"/>
      <c r="J525" s="3"/>
    </row>
    <row r="526" ht="15.75" customHeight="1">
      <c r="D526" s="157"/>
      <c r="E526" s="158"/>
      <c r="J526" s="3"/>
    </row>
    <row r="527" ht="15.75" customHeight="1">
      <c r="D527" s="157"/>
      <c r="E527" s="158"/>
      <c r="J527" s="3"/>
    </row>
    <row r="528" ht="15.75" customHeight="1">
      <c r="D528" s="157"/>
      <c r="E528" s="158"/>
      <c r="J528" s="3"/>
    </row>
    <row r="529" ht="15.75" customHeight="1">
      <c r="D529" s="157"/>
      <c r="E529" s="158"/>
      <c r="J529" s="3"/>
    </row>
    <row r="530" ht="15.75" customHeight="1">
      <c r="D530" s="157"/>
      <c r="E530" s="158"/>
      <c r="J530" s="3"/>
    </row>
    <row r="531" ht="15.75" customHeight="1">
      <c r="D531" s="157"/>
      <c r="E531" s="158"/>
      <c r="J531" s="3"/>
    </row>
    <row r="532" ht="15.75" customHeight="1">
      <c r="D532" s="157"/>
      <c r="E532" s="158"/>
      <c r="J532" s="3"/>
    </row>
    <row r="533" ht="15.75" customHeight="1">
      <c r="D533" s="157"/>
      <c r="E533" s="158"/>
      <c r="J533" s="3"/>
    </row>
    <row r="534" ht="15.75" customHeight="1">
      <c r="D534" s="157"/>
      <c r="E534" s="158"/>
      <c r="J534" s="3"/>
    </row>
    <row r="535" ht="15.75" customHeight="1">
      <c r="D535" s="157"/>
      <c r="E535" s="158"/>
      <c r="J535" s="3"/>
    </row>
    <row r="536" ht="15.75" customHeight="1">
      <c r="D536" s="157"/>
      <c r="E536" s="158"/>
      <c r="J536" s="3"/>
    </row>
    <row r="537" ht="15.75" customHeight="1">
      <c r="D537" s="157"/>
      <c r="E537" s="158"/>
      <c r="J537" s="3"/>
    </row>
    <row r="538" ht="15.75" customHeight="1">
      <c r="D538" s="157"/>
      <c r="E538" s="158"/>
      <c r="J538" s="3"/>
    </row>
    <row r="539" ht="15.75" customHeight="1">
      <c r="D539" s="157"/>
      <c r="E539" s="158"/>
      <c r="J539" s="3"/>
    </row>
    <row r="540" ht="15.75" customHeight="1">
      <c r="D540" s="157"/>
      <c r="E540" s="158"/>
      <c r="J540" s="3"/>
    </row>
    <row r="541" ht="15.75" customHeight="1">
      <c r="D541" s="157"/>
      <c r="E541" s="158"/>
      <c r="J541" s="3"/>
    </row>
    <row r="542" ht="15.75" customHeight="1">
      <c r="D542" s="157"/>
      <c r="E542" s="158"/>
      <c r="J542" s="3"/>
    </row>
    <row r="543" ht="15.75" customHeight="1">
      <c r="D543" s="157"/>
      <c r="E543" s="158"/>
      <c r="J543" s="3"/>
    </row>
    <row r="544" ht="15.75" customHeight="1">
      <c r="D544" s="157"/>
      <c r="E544" s="158"/>
      <c r="J544" s="3"/>
    </row>
    <row r="545" ht="15.75" customHeight="1">
      <c r="D545" s="157"/>
      <c r="E545" s="158"/>
      <c r="J545" s="3"/>
    </row>
    <row r="546" ht="15.75" customHeight="1">
      <c r="D546" s="157"/>
      <c r="E546" s="158"/>
      <c r="J546" s="3"/>
    </row>
    <row r="547" ht="15.75" customHeight="1">
      <c r="D547" s="157"/>
      <c r="E547" s="158"/>
      <c r="J547" s="3"/>
    </row>
    <row r="548" ht="15.75" customHeight="1">
      <c r="D548" s="157"/>
      <c r="E548" s="158"/>
      <c r="J548" s="3"/>
    </row>
    <row r="549" ht="15.75" customHeight="1">
      <c r="D549" s="157"/>
      <c r="E549" s="158"/>
      <c r="J549" s="3"/>
    </row>
    <row r="550" ht="15.75" customHeight="1">
      <c r="D550" s="157"/>
      <c r="E550" s="158"/>
      <c r="J550" s="3"/>
    </row>
    <row r="551" ht="15.75" customHeight="1">
      <c r="D551" s="157"/>
      <c r="E551" s="158"/>
      <c r="J551" s="3"/>
    </row>
    <row r="552" ht="15.75" customHeight="1">
      <c r="D552" s="157"/>
      <c r="E552" s="158"/>
      <c r="J552" s="3"/>
    </row>
    <row r="553" ht="15.75" customHeight="1">
      <c r="D553" s="157"/>
      <c r="E553" s="158"/>
      <c r="J553" s="3"/>
    </row>
    <row r="554" ht="15.75" customHeight="1">
      <c r="D554" s="157"/>
      <c r="E554" s="158"/>
      <c r="J554" s="3"/>
    </row>
    <row r="555" ht="15.75" customHeight="1">
      <c r="D555" s="157"/>
      <c r="E555" s="158"/>
      <c r="J555" s="3"/>
    </row>
    <row r="556" ht="15.75" customHeight="1">
      <c r="D556" s="157"/>
      <c r="E556" s="158"/>
      <c r="J556" s="3"/>
    </row>
    <row r="557" ht="15.75" customHeight="1">
      <c r="D557" s="157"/>
      <c r="E557" s="158"/>
      <c r="J557" s="3"/>
    </row>
    <row r="558" ht="15.75" customHeight="1">
      <c r="D558" s="157"/>
      <c r="E558" s="158"/>
      <c r="J558" s="3"/>
    </row>
    <row r="559" ht="15.75" customHeight="1">
      <c r="D559" s="157"/>
      <c r="E559" s="158"/>
      <c r="J559" s="3"/>
    </row>
    <row r="560" ht="15.75" customHeight="1">
      <c r="D560" s="157"/>
      <c r="E560" s="158"/>
      <c r="J560" s="3"/>
    </row>
    <row r="561" ht="15.75" customHeight="1">
      <c r="D561" s="157"/>
      <c r="E561" s="158"/>
      <c r="J561" s="3"/>
    </row>
    <row r="562" ht="15.75" customHeight="1">
      <c r="D562" s="157"/>
      <c r="E562" s="158"/>
      <c r="J562" s="3"/>
    </row>
    <row r="563" ht="15.75" customHeight="1">
      <c r="D563" s="157"/>
      <c r="E563" s="158"/>
      <c r="J563" s="3"/>
    </row>
    <row r="564" ht="15.75" customHeight="1">
      <c r="D564" s="157"/>
      <c r="E564" s="158"/>
      <c r="J564" s="3"/>
    </row>
    <row r="565" ht="15.75" customHeight="1">
      <c r="D565" s="157"/>
      <c r="E565" s="158"/>
      <c r="J565" s="3"/>
    </row>
    <row r="566" ht="15.75" customHeight="1">
      <c r="D566" s="157"/>
      <c r="E566" s="158"/>
      <c r="J566" s="3"/>
    </row>
    <row r="567" ht="15.75" customHeight="1">
      <c r="D567" s="157"/>
      <c r="E567" s="158"/>
      <c r="J567" s="3"/>
    </row>
    <row r="568" ht="15.75" customHeight="1">
      <c r="D568" s="157"/>
      <c r="E568" s="158"/>
      <c r="J568" s="3"/>
    </row>
    <row r="569" ht="15.75" customHeight="1">
      <c r="D569" s="157"/>
      <c r="E569" s="158"/>
      <c r="J569" s="3"/>
    </row>
    <row r="570" ht="15.75" customHeight="1">
      <c r="D570" s="157"/>
      <c r="E570" s="158"/>
      <c r="J570" s="3"/>
    </row>
    <row r="571" ht="15.75" customHeight="1">
      <c r="D571" s="157"/>
      <c r="E571" s="158"/>
      <c r="J571" s="3"/>
    </row>
    <row r="572" ht="15.75" customHeight="1">
      <c r="D572" s="157"/>
      <c r="E572" s="158"/>
      <c r="J572" s="3"/>
    </row>
    <row r="573" ht="15.75" customHeight="1">
      <c r="D573" s="157"/>
      <c r="E573" s="158"/>
      <c r="J573" s="3"/>
    </row>
    <row r="574" ht="15.75" customHeight="1">
      <c r="D574" s="157"/>
      <c r="E574" s="158"/>
      <c r="J574" s="3"/>
    </row>
    <row r="575" ht="15.75" customHeight="1">
      <c r="D575" s="157"/>
      <c r="E575" s="158"/>
      <c r="J575" s="3"/>
    </row>
    <row r="576" ht="15.75" customHeight="1">
      <c r="D576" s="157"/>
      <c r="E576" s="158"/>
      <c r="J576" s="3"/>
    </row>
    <row r="577" ht="15.75" customHeight="1">
      <c r="D577" s="157"/>
      <c r="E577" s="158"/>
      <c r="J577" s="3"/>
    </row>
    <row r="578" ht="15.75" customHeight="1">
      <c r="D578" s="157"/>
      <c r="E578" s="158"/>
      <c r="J578" s="3"/>
    </row>
    <row r="579" ht="15.75" customHeight="1">
      <c r="D579" s="157"/>
      <c r="E579" s="158"/>
      <c r="J579" s="3"/>
    </row>
    <row r="580" ht="15.75" customHeight="1">
      <c r="D580" s="157"/>
      <c r="E580" s="158"/>
      <c r="J580" s="3"/>
    </row>
    <row r="581" ht="15.75" customHeight="1">
      <c r="D581" s="157"/>
      <c r="E581" s="158"/>
      <c r="J581" s="3"/>
    </row>
    <row r="582" ht="15.75" customHeight="1">
      <c r="D582" s="157"/>
      <c r="E582" s="158"/>
      <c r="J582" s="3"/>
    </row>
    <row r="583" ht="15.75" customHeight="1">
      <c r="D583" s="157"/>
      <c r="E583" s="158"/>
      <c r="J583" s="3"/>
    </row>
    <row r="584" ht="15.75" customHeight="1">
      <c r="D584" s="157"/>
      <c r="E584" s="158"/>
      <c r="J584" s="3"/>
    </row>
    <row r="585" ht="15.75" customHeight="1">
      <c r="D585" s="157"/>
      <c r="E585" s="158"/>
      <c r="J585" s="3"/>
    </row>
    <row r="586" ht="15.75" customHeight="1">
      <c r="D586" s="157"/>
      <c r="E586" s="158"/>
      <c r="J586" s="3"/>
    </row>
    <row r="587" ht="15.75" customHeight="1">
      <c r="D587" s="157"/>
      <c r="E587" s="158"/>
      <c r="J587" s="3"/>
    </row>
    <row r="588" ht="15.75" customHeight="1">
      <c r="D588" s="157"/>
      <c r="E588" s="158"/>
      <c r="J588" s="3"/>
    </row>
    <row r="589" ht="15.75" customHeight="1">
      <c r="D589" s="157"/>
      <c r="E589" s="158"/>
      <c r="J589" s="3"/>
    </row>
    <row r="590" ht="15.75" customHeight="1">
      <c r="D590" s="157"/>
      <c r="E590" s="158"/>
      <c r="J590" s="3"/>
    </row>
    <row r="591" ht="15.75" customHeight="1">
      <c r="D591" s="157"/>
      <c r="E591" s="158"/>
      <c r="J591" s="3"/>
    </row>
    <row r="592" ht="15.75" customHeight="1">
      <c r="D592" s="157"/>
      <c r="E592" s="158"/>
      <c r="J592" s="3"/>
    </row>
    <row r="593" ht="15.75" customHeight="1">
      <c r="D593" s="157"/>
      <c r="E593" s="158"/>
      <c r="J593" s="3"/>
    </row>
    <row r="594" ht="15.75" customHeight="1">
      <c r="D594" s="157"/>
      <c r="E594" s="158"/>
      <c r="J594" s="3"/>
    </row>
    <row r="595" ht="15.75" customHeight="1">
      <c r="D595" s="157"/>
      <c r="E595" s="158"/>
      <c r="J595" s="3"/>
    </row>
    <row r="596" ht="15.75" customHeight="1">
      <c r="D596" s="157"/>
      <c r="E596" s="158"/>
      <c r="J596" s="3"/>
    </row>
    <row r="597" ht="15.75" customHeight="1">
      <c r="D597" s="157"/>
      <c r="E597" s="158"/>
      <c r="J597" s="3"/>
    </row>
    <row r="598" ht="15.75" customHeight="1">
      <c r="D598" s="157"/>
      <c r="E598" s="158"/>
      <c r="J598" s="3"/>
    </row>
    <row r="599" ht="15.75" customHeight="1">
      <c r="D599" s="157"/>
      <c r="E599" s="158"/>
      <c r="J599" s="3"/>
    </row>
    <row r="600" ht="15.75" customHeight="1">
      <c r="D600" s="157"/>
      <c r="E600" s="158"/>
      <c r="J600" s="3"/>
    </row>
    <row r="601" ht="15.75" customHeight="1">
      <c r="D601" s="157"/>
      <c r="E601" s="158"/>
      <c r="J601" s="3"/>
    </row>
    <row r="602" ht="15.75" customHeight="1">
      <c r="D602" s="157"/>
      <c r="E602" s="158"/>
      <c r="J602" s="3"/>
    </row>
    <row r="603" ht="15.75" customHeight="1">
      <c r="D603" s="157"/>
      <c r="E603" s="158"/>
      <c r="J603" s="3"/>
    </row>
    <row r="604" ht="15.75" customHeight="1">
      <c r="D604" s="157"/>
      <c r="E604" s="158"/>
      <c r="J604" s="3"/>
    </row>
    <row r="605" ht="15.75" customHeight="1">
      <c r="D605" s="157"/>
      <c r="E605" s="158"/>
      <c r="J605" s="3"/>
    </row>
    <row r="606" ht="15.75" customHeight="1">
      <c r="D606" s="157"/>
      <c r="E606" s="158"/>
      <c r="J606" s="3"/>
    </row>
    <row r="607" ht="15.75" customHeight="1">
      <c r="D607" s="157"/>
      <c r="E607" s="158"/>
      <c r="J607" s="3"/>
    </row>
    <row r="608" ht="15.75" customHeight="1">
      <c r="D608" s="157"/>
      <c r="E608" s="158"/>
      <c r="J608" s="3"/>
    </row>
    <row r="609" ht="15.75" customHeight="1">
      <c r="D609" s="157"/>
      <c r="E609" s="158"/>
      <c r="J609" s="3"/>
    </row>
    <row r="610" ht="15.75" customHeight="1">
      <c r="D610" s="157"/>
      <c r="E610" s="158"/>
      <c r="J610" s="3"/>
    </row>
    <row r="611" ht="15.75" customHeight="1">
      <c r="D611" s="157"/>
      <c r="E611" s="158"/>
      <c r="J611" s="3"/>
    </row>
    <row r="612" ht="15.75" customHeight="1">
      <c r="D612" s="157"/>
      <c r="E612" s="158"/>
      <c r="J612" s="3"/>
    </row>
    <row r="613" ht="15.75" customHeight="1">
      <c r="D613" s="157"/>
      <c r="E613" s="158"/>
      <c r="J613" s="3"/>
    </row>
    <row r="614" ht="15.75" customHeight="1">
      <c r="D614" s="157"/>
      <c r="E614" s="158"/>
      <c r="J614" s="3"/>
    </row>
    <row r="615" ht="15.75" customHeight="1">
      <c r="D615" s="157"/>
      <c r="E615" s="158"/>
      <c r="J615" s="3"/>
    </row>
    <row r="616" ht="15.75" customHeight="1">
      <c r="D616" s="157"/>
      <c r="E616" s="158"/>
      <c r="J616" s="3"/>
    </row>
    <row r="617" ht="15.75" customHeight="1">
      <c r="D617" s="157"/>
      <c r="E617" s="158"/>
      <c r="J617" s="3"/>
    </row>
    <row r="618" ht="15.75" customHeight="1">
      <c r="D618" s="157"/>
      <c r="E618" s="158"/>
      <c r="J618" s="3"/>
    </row>
    <row r="619" ht="15.75" customHeight="1">
      <c r="D619" s="157"/>
      <c r="E619" s="158"/>
      <c r="J619" s="3"/>
    </row>
    <row r="620" ht="15.75" customHeight="1">
      <c r="D620" s="157"/>
      <c r="E620" s="158"/>
      <c r="J620" s="3"/>
    </row>
    <row r="621" ht="15.75" customHeight="1">
      <c r="D621" s="157"/>
      <c r="E621" s="158"/>
      <c r="J621" s="3"/>
    </row>
    <row r="622" ht="15.75" customHeight="1">
      <c r="D622" s="157"/>
      <c r="E622" s="158"/>
      <c r="J622" s="3"/>
    </row>
    <row r="623" ht="15.75" customHeight="1">
      <c r="D623" s="157"/>
      <c r="E623" s="158"/>
      <c r="J623" s="3"/>
    </row>
    <row r="624" ht="15.75" customHeight="1">
      <c r="D624" s="157"/>
      <c r="E624" s="158"/>
      <c r="J624" s="3"/>
    </row>
    <row r="625" ht="15.75" customHeight="1">
      <c r="D625" s="157"/>
      <c r="E625" s="158"/>
      <c r="J625" s="3"/>
    </row>
    <row r="626" ht="15.75" customHeight="1">
      <c r="D626" s="157"/>
      <c r="E626" s="158"/>
      <c r="J626" s="3"/>
    </row>
    <row r="627" ht="15.75" customHeight="1">
      <c r="D627" s="157"/>
      <c r="E627" s="158"/>
      <c r="J627" s="3"/>
    </row>
    <row r="628" ht="15.75" customHeight="1">
      <c r="D628" s="157"/>
      <c r="E628" s="158"/>
      <c r="J628" s="3"/>
    </row>
    <row r="629" ht="15.75" customHeight="1">
      <c r="D629" s="157"/>
      <c r="E629" s="158"/>
      <c r="J629" s="3"/>
    </row>
    <row r="630" ht="15.75" customHeight="1">
      <c r="D630" s="157"/>
      <c r="E630" s="158"/>
      <c r="J630" s="3"/>
    </row>
    <row r="631" ht="15.75" customHeight="1">
      <c r="D631" s="157"/>
      <c r="E631" s="158"/>
      <c r="J631" s="3"/>
    </row>
    <row r="632" ht="15.75" customHeight="1">
      <c r="D632" s="157"/>
      <c r="E632" s="158"/>
      <c r="J632" s="3"/>
    </row>
    <row r="633" ht="15.75" customHeight="1">
      <c r="D633" s="157"/>
      <c r="E633" s="158"/>
      <c r="J633" s="3"/>
    </row>
    <row r="634" ht="15.75" customHeight="1">
      <c r="D634" s="157"/>
      <c r="E634" s="158"/>
      <c r="J634" s="3"/>
    </row>
    <row r="635" ht="15.75" customHeight="1">
      <c r="D635" s="157"/>
      <c r="E635" s="158"/>
      <c r="J635" s="3"/>
    </row>
    <row r="636" ht="15.75" customHeight="1">
      <c r="D636" s="157"/>
      <c r="E636" s="158"/>
      <c r="J636" s="3"/>
    </row>
    <row r="637" ht="15.75" customHeight="1">
      <c r="D637" s="157"/>
      <c r="E637" s="158"/>
      <c r="J637" s="3"/>
    </row>
    <row r="638" ht="15.75" customHeight="1">
      <c r="D638" s="157"/>
      <c r="E638" s="158"/>
      <c r="J638" s="3"/>
    </row>
    <row r="639" ht="15.75" customHeight="1">
      <c r="D639" s="157"/>
      <c r="E639" s="158"/>
      <c r="J639" s="3"/>
    </row>
    <row r="640" ht="15.75" customHeight="1">
      <c r="D640" s="157"/>
      <c r="E640" s="158"/>
      <c r="J640" s="3"/>
    </row>
    <row r="641" ht="15.75" customHeight="1">
      <c r="D641" s="157"/>
      <c r="E641" s="158"/>
      <c r="J641" s="3"/>
    </row>
    <row r="642" ht="15.75" customHeight="1">
      <c r="D642" s="157"/>
      <c r="E642" s="158"/>
      <c r="J642" s="3"/>
    </row>
    <row r="643" ht="15.75" customHeight="1">
      <c r="D643" s="157"/>
      <c r="E643" s="158"/>
      <c r="J643" s="3"/>
    </row>
    <row r="644" ht="15.75" customHeight="1">
      <c r="D644" s="157"/>
      <c r="E644" s="158"/>
      <c r="J644" s="3"/>
    </row>
    <row r="645" ht="15.75" customHeight="1">
      <c r="D645" s="157"/>
      <c r="E645" s="158"/>
      <c r="J645" s="3"/>
    </row>
    <row r="646" ht="15.75" customHeight="1">
      <c r="D646" s="157"/>
      <c r="E646" s="158"/>
      <c r="J646" s="3"/>
    </row>
    <row r="647" ht="15.75" customHeight="1">
      <c r="D647" s="157"/>
      <c r="E647" s="158"/>
      <c r="J647" s="3"/>
    </row>
    <row r="648" ht="15.75" customHeight="1">
      <c r="D648" s="157"/>
      <c r="E648" s="158"/>
      <c r="J648" s="3"/>
    </row>
    <row r="649" ht="15.75" customHeight="1">
      <c r="D649" s="157"/>
      <c r="E649" s="158"/>
      <c r="J649" s="3"/>
    </row>
    <row r="650" ht="15.75" customHeight="1">
      <c r="D650" s="157"/>
      <c r="E650" s="158"/>
      <c r="J650" s="3"/>
    </row>
    <row r="651" ht="15.75" customHeight="1">
      <c r="D651" s="157"/>
      <c r="E651" s="158"/>
      <c r="J651" s="3"/>
    </row>
    <row r="652" ht="15.75" customHeight="1">
      <c r="D652" s="157"/>
      <c r="E652" s="158"/>
      <c r="J652" s="3"/>
    </row>
    <row r="653" ht="15.75" customHeight="1">
      <c r="D653" s="157"/>
      <c r="E653" s="158"/>
      <c r="J653" s="3"/>
    </row>
    <row r="654" ht="15.75" customHeight="1">
      <c r="D654" s="157"/>
      <c r="E654" s="158"/>
      <c r="J654" s="3"/>
    </row>
    <row r="655" ht="15.75" customHeight="1">
      <c r="D655" s="157"/>
      <c r="E655" s="158"/>
      <c r="J655" s="3"/>
    </row>
    <row r="656" ht="15.75" customHeight="1">
      <c r="D656" s="157"/>
      <c r="E656" s="158"/>
      <c r="J656" s="3"/>
    </row>
    <row r="657" ht="15.75" customHeight="1">
      <c r="D657" s="157"/>
      <c r="E657" s="158"/>
      <c r="J657" s="3"/>
    </row>
    <row r="658" ht="15.75" customHeight="1">
      <c r="D658" s="157"/>
      <c r="E658" s="158"/>
      <c r="J658" s="3"/>
    </row>
    <row r="659" ht="15.75" customHeight="1">
      <c r="D659" s="157"/>
      <c r="E659" s="158"/>
      <c r="J659" s="3"/>
    </row>
    <row r="660" ht="15.75" customHeight="1">
      <c r="D660" s="157"/>
      <c r="E660" s="158"/>
      <c r="J660" s="3"/>
    </row>
    <row r="661" ht="15.75" customHeight="1">
      <c r="D661" s="157"/>
      <c r="E661" s="158"/>
      <c r="J661" s="3"/>
    </row>
    <row r="662" ht="15.75" customHeight="1">
      <c r="D662" s="157"/>
      <c r="E662" s="158"/>
      <c r="J662" s="3"/>
    </row>
    <row r="663" ht="15.75" customHeight="1">
      <c r="D663" s="157"/>
      <c r="E663" s="158"/>
      <c r="J663" s="3"/>
    </row>
    <row r="664" ht="15.75" customHeight="1">
      <c r="D664" s="157"/>
      <c r="E664" s="158"/>
      <c r="J664" s="3"/>
    </row>
    <row r="665" ht="15.75" customHeight="1">
      <c r="D665" s="157"/>
      <c r="E665" s="158"/>
      <c r="J665" s="3"/>
    </row>
    <row r="666" ht="15.75" customHeight="1">
      <c r="D666" s="157"/>
      <c r="E666" s="158"/>
      <c r="J666" s="3"/>
    </row>
    <row r="667" ht="15.75" customHeight="1">
      <c r="D667" s="157"/>
      <c r="E667" s="158"/>
      <c r="J667" s="3"/>
    </row>
    <row r="668" ht="15.75" customHeight="1">
      <c r="D668" s="157"/>
      <c r="E668" s="158"/>
      <c r="J668" s="3"/>
    </row>
    <row r="669" ht="15.75" customHeight="1">
      <c r="D669" s="157"/>
      <c r="E669" s="158"/>
      <c r="J669" s="3"/>
    </row>
    <row r="670" ht="15.75" customHeight="1">
      <c r="D670" s="157"/>
      <c r="E670" s="158"/>
      <c r="J670" s="3"/>
    </row>
    <row r="671" ht="15.75" customHeight="1">
      <c r="D671" s="157"/>
      <c r="E671" s="158"/>
      <c r="J671" s="3"/>
    </row>
    <row r="672" ht="15.75" customHeight="1">
      <c r="D672" s="157"/>
      <c r="E672" s="158"/>
      <c r="J672" s="3"/>
    </row>
    <row r="673" ht="15.75" customHeight="1">
      <c r="D673" s="157"/>
      <c r="E673" s="158"/>
      <c r="J673" s="3"/>
    </row>
    <row r="674" ht="15.75" customHeight="1">
      <c r="D674" s="157"/>
      <c r="E674" s="158"/>
      <c r="J674" s="3"/>
    </row>
    <row r="675" ht="15.75" customHeight="1">
      <c r="D675" s="157"/>
      <c r="E675" s="158"/>
      <c r="J675" s="3"/>
    </row>
    <row r="676" ht="15.75" customHeight="1">
      <c r="D676" s="157"/>
      <c r="E676" s="158"/>
      <c r="J676" s="3"/>
    </row>
    <row r="677" ht="15.75" customHeight="1">
      <c r="D677" s="157"/>
      <c r="E677" s="158"/>
      <c r="J677" s="3"/>
    </row>
    <row r="678" ht="15.75" customHeight="1">
      <c r="D678" s="157"/>
      <c r="E678" s="158"/>
      <c r="J678" s="3"/>
    </row>
    <row r="679" ht="15.75" customHeight="1">
      <c r="D679" s="157"/>
      <c r="E679" s="158"/>
      <c r="J679" s="3"/>
    </row>
    <row r="680" ht="15.75" customHeight="1">
      <c r="D680" s="157"/>
      <c r="E680" s="158"/>
      <c r="J680" s="3"/>
    </row>
    <row r="681" ht="15.75" customHeight="1">
      <c r="D681" s="157"/>
      <c r="E681" s="158"/>
      <c r="J681" s="3"/>
    </row>
    <row r="682" ht="15.75" customHeight="1">
      <c r="D682" s="157"/>
      <c r="E682" s="158"/>
      <c r="J682" s="3"/>
    </row>
    <row r="683" ht="15.75" customHeight="1">
      <c r="D683" s="157"/>
      <c r="E683" s="158"/>
      <c r="J683" s="3"/>
    </row>
    <row r="684" ht="15.75" customHeight="1">
      <c r="D684" s="157"/>
      <c r="E684" s="158"/>
      <c r="J684" s="3"/>
    </row>
    <row r="685" ht="15.75" customHeight="1">
      <c r="D685" s="157"/>
      <c r="E685" s="158"/>
      <c r="J685" s="3"/>
    </row>
    <row r="686" ht="15.75" customHeight="1">
      <c r="D686" s="157"/>
      <c r="E686" s="158"/>
      <c r="J686" s="3"/>
    </row>
    <row r="687" ht="15.75" customHeight="1">
      <c r="D687" s="157"/>
      <c r="E687" s="158"/>
      <c r="J687" s="3"/>
    </row>
    <row r="688" ht="15.75" customHeight="1">
      <c r="D688" s="157"/>
      <c r="E688" s="158"/>
      <c r="J688" s="3"/>
    </row>
    <row r="689" ht="15.75" customHeight="1">
      <c r="D689" s="157"/>
      <c r="E689" s="158"/>
      <c r="J689" s="3"/>
    </row>
    <row r="690" ht="15.75" customHeight="1">
      <c r="D690" s="157"/>
      <c r="E690" s="158"/>
      <c r="J690" s="3"/>
    </row>
    <row r="691" ht="15.75" customHeight="1">
      <c r="D691" s="157"/>
      <c r="E691" s="158"/>
      <c r="J691" s="3"/>
    </row>
    <row r="692" ht="15.75" customHeight="1">
      <c r="D692" s="157"/>
      <c r="E692" s="158"/>
      <c r="J692" s="3"/>
    </row>
    <row r="693" ht="15.75" customHeight="1">
      <c r="D693" s="157"/>
      <c r="E693" s="158"/>
      <c r="J693" s="3"/>
    </row>
    <row r="694" ht="15.75" customHeight="1">
      <c r="D694" s="157"/>
      <c r="E694" s="158"/>
      <c r="J694" s="3"/>
    </row>
    <row r="695" ht="15.75" customHeight="1">
      <c r="D695" s="157"/>
      <c r="E695" s="158"/>
      <c r="J695" s="3"/>
    </row>
    <row r="696" ht="15.75" customHeight="1">
      <c r="D696" s="157"/>
      <c r="E696" s="158"/>
      <c r="J696" s="3"/>
    </row>
    <row r="697" ht="15.75" customHeight="1">
      <c r="D697" s="157"/>
      <c r="E697" s="158"/>
      <c r="J697" s="3"/>
    </row>
    <row r="698" ht="15.75" customHeight="1">
      <c r="D698" s="157"/>
      <c r="E698" s="158"/>
      <c r="J698" s="3"/>
    </row>
    <row r="699" ht="15.75" customHeight="1">
      <c r="D699" s="157"/>
      <c r="E699" s="158"/>
      <c r="J699" s="3"/>
    </row>
    <row r="700" ht="15.75" customHeight="1">
      <c r="D700" s="157"/>
      <c r="E700" s="158"/>
      <c r="J700" s="3"/>
    </row>
    <row r="701" ht="15.75" customHeight="1">
      <c r="D701" s="157"/>
      <c r="E701" s="158"/>
      <c r="J701" s="3"/>
    </row>
    <row r="702" ht="15.75" customHeight="1">
      <c r="D702" s="157"/>
      <c r="E702" s="158"/>
      <c r="J702" s="3"/>
    </row>
    <row r="703" ht="15.75" customHeight="1">
      <c r="D703" s="157"/>
      <c r="E703" s="158"/>
      <c r="J703" s="3"/>
    </row>
    <row r="704" ht="15.75" customHeight="1">
      <c r="D704" s="157"/>
      <c r="E704" s="158"/>
      <c r="J704" s="3"/>
    </row>
    <row r="705" ht="15.75" customHeight="1">
      <c r="D705" s="157"/>
      <c r="E705" s="158"/>
      <c r="J705" s="3"/>
    </row>
    <row r="706" ht="15.75" customHeight="1">
      <c r="D706" s="157"/>
      <c r="E706" s="158"/>
      <c r="J706" s="3"/>
    </row>
    <row r="707" ht="15.75" customHeight="1">
      <c r="D707" s="157"/>
      <c r="E707" s="158"/>
      <c r="J707" s="3"/>
    </row>
    <row r="708" ht="15.75" customHeight="1">
      <c r="D708" s="157"/>
      <c r="E708" s="158"/>
      <c r="J708" s="3"/>
    </row>
    <row r="709" ht="15.75" customHeight="1">
      <c r="D709" s="157"/>
      <c r="E709" s="158"/>
      <c r="J709" s="3"/>
    </row>
    <row r="710" ht="15.75" customHeight="1">
      <c r="D710" s="157"/>
      <c r="E710" s="158"/>
      <c r="J710" s="3"/>
    </row>
    <row r="711" ht="15.75" customHeight="1">
      <c r="D711" s="157"/>
      <c r="E711" s="158"/>
      <c r="J711" s="3"/>
    </row>
    <row r="712" ht="15.75" customHeight="1">
      <c r="D712" s="157"/>
      <c r="E712" s="158"/>
      <c r="J712" s="3"/>
    </row>
    <row r="713" ht="15.75" customHeight="1">
      <c r="D713" s="157"/>
      <c r="E713" s="158"/>
      <c r="J713" s="3"/>
    </row>
    <row r="714" ht="15.75" customHeight="1">
      <c r="D714" s="157"/>
      <c r="E714" s="158"/>
      <c r="J714" s="3"/>
    </row>
    <row r="715" ht="15.75" customHeight="1">
      <c r="D715" s="157"/>
      <c r="E715" s="158"/>
      <c r="J715" s="3"/>
    </row>
    <row r="716" ht="15.75" customHeight="1">
      <c r="D716" s="157"/>
      <c r="E716" s="158"/>
      <c r="J716" s="3"/>
    </row>
    <row r="717" ht="15.75" customHeight="1">
      <c r="D717" s="157"/>
      <c r="E717" s="158"/>
      <c r="J717" s="3"/>
    </row>
    <row r="718" ht="15.75" customHeight="1">
      <c r="D718" s="157"/>
      <c r="E718" s="158"/>
      <c r="J718" s="3"/>
    </row>
    <row r="719" ht="15.75" customHeight="1">
      <c r="D719" s="157"/>
      <c r="E719" s="158"/>
      <c r="J719" s="3"/>
    </row>
    <row r="720" ht="15.75" customHeight="1">
      <c r="D720" s="157"/>
      <c r="E720" s="158"/>
      <c r="J720" s="3"/>
    </row>
    <row r="721" ht="15.75" customHeight="1">
      <c r="D721" s="157"/>
      <c r="E721" s="158"/>
      <c r="J721" s="3"/>
    </row>
    <row r="722" ht="15.75" customHeight="1">
      <c r="D722" s="157"/>
      <c r="E722" s="158"/>
      <c r="J722" s="3"/>
    </row>
    <row r="723" ht="15.75" customHeight="1">
      <c r="D723" s="157"/>
      <c r="E723" s="158"/>
      <c r="J723" s="3"/>
    </row>
    <row r="724" ht="15.75" customHeight="1">
      <c r="D724" s="157"/>
      <c r="E724" s="158"/>
      <c r="J724" s="3"/>
    </row>
    <row r="725" ht="15.75" customHeight="1">
      <c r="D725" s="157"/>
      <c r="E725" s="158"/>
      <c r="J725" s="3"/>
    </row>
    <row r="726" ht="15.75" customHeight="1">
      <c r="D726" s="157"/>
      <c r="E726" s="158"/>
      <c r="J726" s="3"/>
    </row>
    <row r="727" ht="15.75" customHeight="1">
      <c r="D727" s="157"/>
      <c r="E727" s="158"/>
      <c r="J727" s="3"/>
    </row>
    <row r="728" ht="15.75" customHeight="1">
      <c r="D728" s="157"/>
      <c r="E728" s="158"/>
      <c r="J728" s="3"/>
    </row>
    <row r="729" ht="15.75" customHeight="1">
      <c r="D729" s="157"/>
      <c r="E729" s="158"/>
      <c r="J729" s="3"/>
    </row>
    <row r="730" ht="15.75" customHeight="1">
      <c r="D730" s="157"/>
      <c r="E730" s="158"/>
      <c r="J730" s="3"/>
    </row>
    <row r="731" ht="15.75" customHeight="1">
      <c r="D731" s="157"/>
      <c r="E731" s="158"/>
      <c r="J731" s="3"/>
    </row>
    <row r="732" ht="15.75" customHeight="1">
      <c r="D732" s="157"/>
      <c r="E732" s="158"/>
      <c r="J732" s="3"/>
    </row>
    <row r="733" ht="15.75" customHeight="1">
      <c r="D733" s="157"/>
      <c r="E733" s="158"/>
      <c r="J733" s="3"/>
    </row>
    <row r="734" ht="15.75" customHeight="1">
      <c r="D734" s="157"/>
      <c r="E734" s="158"/>
      <c r="J734" s="3"/>
    </row>
    <row r="735" ht="15.75" customHeight="1">
      <c r="D735" s="157"/>
      <c r="E735" s="158"/>
      <c r="J735" s="3"/>
    </row>
    <row r="736" ht="15.75" customHeight="1">
      <c r="D736" s="157"/>
      <c r="E736" s="158"/>
      <c r="J736" s="3"/>
    </row>
    <row r="737" ht="15.75" customHeight="1">
      <c r="D737" s="157"/>
      <c r="E737" s="158"/>
      <c r="J737" s="3"/>
    </row>
    <row r="738" ht="15.75" customHeight="1">
      <c r="D738" s="157"/>
      <c r="E738" s="158"/>
      <c r="J738" s="3"/>
    </row>
    <row r="739" ht="15.75" customHeight="1">
      <c r="D739" s="157"/>
      <c r="E739" s="158"/>
      <c r="J739" s="3"/>
    </row>
    <row r="740" ht="15.75" customHeight="1">
      <c r="D740" s="157"/>
      <c r="E740" s="158"/>
      <c r="J740" s="3"/>
    </row>
    <row r="741" ht="15.75" customHeight="1">
      <c r="D741" s="157"/>
      <c r="E741" s="158"/>
      <c r="J741" s="3"/>
    </row>
    <row r="742" ht="15.75" customHeight="1">
      <c r="D742" s="157"/>
      <c r="E742" s="158"/>
      <c r="J742" s="3"/>
    </row>
    <row r="743" ht="15.75" customHeight="1">
      <c r="D743" s="157"/>
      <c r="E743" s="158"/>
      <c r="J743" s="3"/>
    </row>
    <row r="744" ht="15.75" customHeight="1">
      <c r="D744" s="157"/>
      <c r="E744" s="158"/>
      <c r="J744" s="3"/>
    </row>
    <row r="745" ht="15.75" customHeight="1">
      <c r="D745" s="157"/>
      <c r="E745" s="158"/>
      <c r="J745" s="3"/>
    </row>
    <row r="746" ht="15.75" customHeight="1">
      <c r="D746" s="157"/>
      <c r="E746" s="158"/>
      <c r="J746" s="3"/>
    </row>
    <row r="747" ht="15.75" customHeight="1">
      <c r="D747" s="157"/>
      <c r="E747" s="158"/>
      <c r="J747" s="3"/>
    </row>
    <row r="748" ht="15.75" customHeight="1">
      <c r="D748" s="157"/>
      <c r="E748" s="158"/>
      <c r="J748" s="3"/>
    </row>
    <row r="749" ht="15.75" customHeight="1">
      <c r="D749" s="157"/>
      <c r="E749" s="158"/>
      <c r="J749" s="3"/>
    </row>
    <row r="750" ht="15.75" customHeight="1">
      <c r="D750" s="157"/>
      <c r="E750" s="158"/>
      <c r="J750" s="3"/>
    </row>
    <row r="751" ht="15.75" customHeight="1">
      <c r="D751" s="157"/>
      <c r="E751" s="158"/>
      <c r="J751" s="3"/>
    </row>
    <row r="752" ht="15.75" customHeight="1">
      <c r="D752" s="157"/>
      <c r="E752" s="158"/>
      <c r="J752" s="3"/>
    </row>
    <row r="753" ht="15.75" customHeight="1">
      <c r="D753" s="157"/>
      <c r="E753" s="158"/>
      <c r="J753" s="3"/>
    </row>
    <row r="754" ht="15.75" customHeight="1">
      <c r="D754" s="157"/>
      <c r="E754" s="158"/>
      <c r="J754" s="3"/>
    </row>
    <row r="755" ht="15.75" customHeight="1">
      <c r="D755" s="157"/>
      <c r="E755" s="158"/>
      <c r="J755" s="3"/>
    </row>
    <row r="756" ht="15.75" customHeight="1">
      <c r="D756" s="157"/>
      <c r="E756" s="158"/>
      <c r="J756" s="3"/>
    </row>
    <row r="757" ht="15.75" customHeight="1">
      <c r="D757" s="157"/>
      <c r="E757" s="158"/>
      <c r="J757" s="3"/>
    </row>
    <row r="758" ht="15.75" customHeight="1">
      <c r="D758" s="157"/>
      <c r="E758" s="158"/>
      <c r="J758" s="3"/>
    </row>
    <row r="759" ht="15.75" customHeight="1">
      <c r="D759" s="157"/>
      <c r="E759" s="158"/>
      <c r="J759" s="3"/>
    </row>
    <row r="760" ht="15.75" customHeight="1">
      <c r="D760" s="157"/>
      <c r="E760" s="158"/>
      <c r="J760" s="3"/>
    </row>
    <row r="761" ht="15.75" customHeight="1">
      <c r="D761" s="157"/>
      <c r="E761" s="158"/>
      <c r="J761" s="3"/>
    </row>
    <row r="762" ht="15.75" customHeight="1">
      <c r="D762" s="157"/>
      <c r="E762" s="158"/>
      <c r="J762" s="3"/>
    </row>
    <row r="763" ht="15.75" customHeight="1">
      <c r="D763" s="157"/>
      <c r="E763" s="158"/>
      <c r="J763" s="3"/>
    </row>
    <row r="764" ht="15.75" customHeight="1">
      <c r="D764" s="157"/>
      <c r="E764" s="158"/>
      <c r="J764" s="3"/>
    </row>
    <row r="765" ht="15.75" customHeight="1">
      <c r="D765" s="157"/>
      <c r="E765" s="158"/>
      <c r="J765" s="3"/>
    </row>
    <row r="766" ht="15.75" customHeight="1">
      <c r="D766" s="157"/>
      <c r="E766" s="158"/>
      <c r="J766" s="3"/>
    </row>
    <row r="767" ht="15.75" customHeight="1">
      <c r="D767" s="157"/>
      <c r="E767" s="158"/>
      <c r="J767" s="3"/>
    </row>
    <row r="768" ht="15.75" customHeight="1">
      <c r="D768" s="157"/>
      <c r="E768" s="158"/>
      <c r="J768" s="3"/>
    </row>
    <row r="769" ht="15.75" customHeight="1">
      <c r="D769" s="157"/>
      <c r="E769" s="158"/>
      <c r="J769" s="3"/>
    </row>
    <row r="770" ht="15.75" customHeight="1">
      <c r="D770" s="157"/>
      <c r="E770" s="158"/>
      <c r="J770" s="3"/>
    </row>
    <row r="771" ht="15.75" customHeight="1">
      <c r="D771" s="157"/>
      <c r="E771" s="158"/>
      <c r="J771" s="3"/>
    </row>
    <row r="772" ht="15.75" customHeight="1">
      <c r="D772" s="157"/>
      <c r="E772" s="158"/>
      <c r="J772" s="3"/>
    </row>
    <row r="773" ht="15.75" customHeight="1">
      <c r="D773" s="157"/>
      <c r="E773" s="158"/>
      <c r="J773" s="3"/>
    </row>
    <row r="774" ht="15.75" customHeight="1">
      <c r="D774" s="157"/>
      <c r="E774" s="158"/>
      <c r="J774" s="3"/>
    </row>
    <row r="775" ht="15.75" customHeight="1">
      <c r="D775" s="157"/>
      <c r="E775" s="158"/>
      <c r="J775" s="3"/>
    </row>
    <row r="776" ht="15.75" customHeight="1">
      <c r="D776" s="157"/>
      <c r="E776" s="158"/>
      <c r="J776" s="3"/>
    </row>
    <row r="777" ht="15.75" customHeight="1">
      <c r="D777" s="157"/>
      <c r="E777" s="158"/>
      <c r="J777" s="3"/>
    </row>
    <row r="778" ht="15.75" customHeight="1">
      <c r="D778" s="157"/>
      <c r="E778" s="158"/>
      <c r="J778" s="3"/>
    </row>
    <row r="779" ht="15.75" customHeight="1">
      <c r="D779" s="157"/>
      <c r="E779" s="158"/>
      <c r="J779" s="3"/>
    </row>
    <row r="780" ht="15.75" customHeight="1">
      <c r="D780" s="157"/>
      <c r="E780" s="158"/>
      <c r="J780" s="3"/>
    </row>
    <row r="781" ht="15.75" customHeight="1">
      <c r="D781" s="157"/>
      <c r="E781" s="158"/>
      <c r="J781" s="3"/>
    </row>
    <row r="782" ht="15.75" customHeight="1">
      <c r="D782" s="157"/>
      <c r="E782" s="158"/>
      <c r="J782" s="3"/>
    </row>
    <row r="783" ht="15.75" customHeight="1">
      <c r="D783" s="157"/>
      <c r="E783" s="158"/>
      <c r="J783" s="3"/>
    </row>
    <row r="784" ht="15.75" customHeight="1">
      <c r="D784" s="157"/>
      <c r="E784" s="158"/>
      <c r="J784" s="3"/>
    </row>
    <row r="785" ht="15.75" customHeight="1">
      <c r="D785" s="157"/>
      <c r="E785" s="158"/>
      <c r="J785" s="3"/>
    </row>
    <row r="786" ht="15.75" customHeight="1">
      <c r="D786" s="157"/>
      <c r="E786" s="158"/>
      <c r="J786" s="3"/>
    </row>
    <row r="787" ht="15.75" customHeight="1">
      <c r="D787" s="157"/>
      <c r="E787" s="158"/>
      <c r="J787" s="3"/>
    </row>
    <row r="788" ht="15.75" customHeight="1">
      <c r="D788" s="157"/>
      <c r="E788" s="158"/>
      <c r="J788" s="3"/>
    </row>
    <row r="789" ht="15.75" customHeight="1">
      <c r="D789" s="157"/>
      <c r="E789" s="158"/>
      <c r="J789" s="3"/>
    </row>
    <row r="790" ht="15.75" customHeight="1">
      <c r="D790" s="157"/>
      <c r="E790" s="158"/>
      <c r="J790" s="3"/>
    </row>
    <row r="791" ht="15.75" customHeight="1">
      <c r="D791" s="157"/>
      <c r="E791" s="158"/>
      <c r="J791" s="3"/>
    </row>
    <row r="792" ht="15.75" customHeight="1">
      <c r="D792" s="157"/>
      <c r="E792" s="158"/>
      <c r="J792" s="3"/>
    </row>
    <row r="793" ht="15.75" customHeight="1">
      <c r="D793" s="157"/>
      <c r="E793" s="158"/>
      <c r="J793" s="3"/>
    </row>
    <row r="794" ht="15.75" customHeight="1">
      <c r="D794" s="157"/>
      <c r="E794" s="158"/>
      <c r="J794" s="3"/>
    </row>
    <row r="795" ht="15.75" customHeight="1">
      <c r="D795" s="157"/>
      <c r="E795" s="158"/>
      <c r="J795" s="3"/>
    </row>
    <row r="796" ht="15.75" customHeight="1">
      <c r="D796" s="157"/>
      <c r="E796" s="158"/>
      <c r="J796" s="3"/>
    </row>
    <row r="797" ht="15.75" customHeight="1">
      <c r="D797" s="157"/>
      <c r="E797" s="158"/>
      <c r="J797" s="3"/>
    </row>
    <row r="798" ht="15.75" customHeight="1">
      <c r="D798" s="157"/>
      <c r="E798" s="158"/>
      <c r="J798" s="3"/>
    </row>
    <row r="799" ht="15.75" customHeight="1">
      <c r="D799" s="157"/>
      <c r="E799" s="158"/>
      <c r="J799" s="3"/>
    </row>
    <row r="800" ht="15.75" customHeight="1">
      <c r="D800" s="157"/>
      <c r="E800" s="158"/>
      <c r="J800" s="3"/>
    </row>
    <row r="801" ht="15.75" customHeight="1">
      <c r="D801" s="157"/>
      <c r="E801" s="158"/>
      <c r="J801" s="3"/>
    </row>
    <row r="802" ht="15.75" customHeight="1">
      <c r="D802" s="157"/>
      <c r="E802" s="158"/>
      <c r="J802" s="3"/>
    </row>
    <row r="803" ht="15.75" customHeight="1">
      <c r="D803" s="157"/>
      <c r="E803" s="158"/>
      <c r="J803" s="3"/>
    </row>
    <row r="804" ht="15.75" customHeight="1">
      <c r="D804" s="157"/>
      <c r="E804" s="158"/>
      <c r="J804" s="3"/>
    </row>
    <row r="805" ht="15.75" customHeight="1">
      <c r="D805" s="157"/>
      <c r="E805" s="158"/>
      <c r="J805" s="3"/>
    </row>
    <row r="806" ht="15.75" customHeight="1">
      <c r="D806" s="157"/>
      <c r="E806" s="158"/>
      <c r="J806" s="3"/>
    </row>
    <row r="807" ht="15.75" customHeight="1">
      <c r="D807" s="157"/>
      <c r="E807" s="158"/>
      <c r="J807" s="3"/>
    </row>
    <row r="808" ht="15.75" customHeight="1">
      <c r="D808" s="157"/>
      <c r="E808" s="158"/>
      <c r="J808" s="3"/>
    </row>
    <row r="809" ht="15.75" customHeight="1">
      <c r="D809" s="157"/>
      <c r="E809" s="158"/>
      <c r="J809" s="3"/>
    </row>
    <row r="810" ht="15.75" customHeight="1">
      <c r="D810" s="157"/>
      <c r="E810" s="158"/>
      <c r="J810" s="3"/>
    </row>
    <row r="811" ht="15.75" customHeight="1">
      <c r="D811" s="157"/>
      <c r="E811" s="158"/>
      <c r="J811" s="3"/>
    </row>
    <row r="812" ht="15.75" customHeight="1">
      <c r="D812" s="157"/>
      <c r="E812" s="158"/>
      <c r="J812" s="3"/>
    </row>
    <row r="813" ht="15.75" customHeight="1">
      <c r="D813" s="157"/>
      <c r="E813" s="158"/>
      <c r="J813" s="3"/>
    </row>
    <row r="814" ht="15.75" customHeight="1">
      <c r="D814" s="157"/>
      <c r="E814" s="158"/>
      <c r="J814" s="3"/>
    </row>
    <row r="815" ht="15.75" customHeight="1">
      <c r="D815" s="157"/>
      <c r="E815" s="158"/>
      <c r="J815" s="3"/>
    </row>
    <row r="816" ht="15.75" customHeight="1">
      <c r="D816" s="157"/>
      <c r="E816" s="158"/>
      <c r="J816" s="3"/>
    </row>
    <row r="817" ht="15.75" customHeight="1">
      <c r="D817" s="157"/>
      <c r="E817" s="158"/>
      <c r="J817" s="3"/>
    </row>
    <row r="818" ht="15.75" customHeight="1">
      <c r="D818" s="157"/>
      <c r="E818" s="158"/>
      <c r="J818" s="3"/>
    </row>
    <row r="819" ht="15.75" customHeight="1">
      <c r="D819" s="157"/>
      <c r="E819" s="158"/>
      <c r="J819" s="3"/>
    </row>
    <row r="820" ht="15.75" customHeight="1">
      <c r="D820" s="157"/>
      <c r="E820" s="158"/>
      <c r="J820" s="3"/>
    </row>
    <row r="821" ht="15.75" customHeight="1">
      <c r="D821" s="157"/>
      <c r="E821" s="158"/>
      <c r="J821" s="3"/>
    </row>
    <row r="822" ht="15.75" customHeight="1">
      <c r="D822" s="157"/>
      <c r="E822" s="158"/>
      <c r="J822" s="3"/>
    </row>
    <row r="823" ht="15.75" customHeight="1">
      <c r="D823" s="157"/>
      <c r="E823" s="158"/>
      <c r="J823" s="3"/>
    </row>
    <row r="824" ht="15.75" customHeight="1">
      <c r="D824" s="157"/>
      <c r="E824" s="158"/>
      <c r="J824" s="3"/>
    </row>
    <row r="825" ht="15.75" customHeight="1">
      <c r="D825" s="157"/>
      <c r="E825" s="158"/>
      <c r="J825" s="3"/>
    </row>
    <row r="826" ht="15.75" customHeight="1">
      <c r="D826" s="157"/>
      <c r="E826" s="158"/>
      <c r="J826" s="3"/>
    </row>
    <row r="827" ht="15.75" customHeight="1">
      <c r="D827" s="157"/>
      <c r="E827" s="158"/>
      <c r="J827" s="3"/>
    </row>
    <row r="828" ht="15.75" customHeight="1">
      <c r="D828" s="157"/>
      <c r="E828" s="158"/>
      <c r="J828" s="3"/>
    </row>
    <row r="829" ht="15.75" customHeight="1">
      <c r="D829" s="157"/>
      <c r="E829" s="158"/>
      <c r="J829" s="3"/>
    </row>
    <row r="830" ht="15.75" customHeight="1">
      <c r="D830" s="157"/>
      <c r="E830" s="158"/>
      <c r="J830" s="3"/>
    </row>
    <row r="831" ht="15.75" customHeight="1">
      <c r="D831" s="157"/>
      <c r="E831" s="158"/>
      <c r="J831" s="3"/>
    </row>
    <row r="832" ht="15.75" customHeight="1">
      <c r="D832" s="157"/>
      <c r="E832" s="158"/>
      <c r="J832" s="3"/>
    </row>
    <row r="833" ht="15.75" customHeight="1">
      <c r="D833" s="157"/>
      <c r="E833" s="158"/>
      <c r="J833" s="3"/>
    </row>
    <row r="834" ht="15.75" customHeight="1">
      <c r="D834" s="157"/>
      <c r="E834" s="158"/>
      <c r="J834" s="3"/>
    </row>
    <row r="835" ht="15.75" customHeight="1">
      <c r="D835" s="157"/>
      <c r="E835" s="158"/>
      <c r="J835" s="3"/>
    </row>
    <row r="836" ht="15.75" customHeight="1">
      <c r="D836" s="157"/>
      <c r="E836" s="158"/>
      <c r="J836" s="3"/>
    </row>
    <row r="837" ht="15.75" customHeight="1">
      <c r="D837" s="157"/>
      <c r="E837" s="158"/>
      <c r="J837" s="3"/>
    </row>
    <row r="838" ht="15.75" customHeight="1">
      <c r="D838" s="157"/>
      <c r="E838" s="158"/>
      <c r="J838" s="3"/>
    </row>
    <row r="839" ht="15.75" customHeight="1">
      <c r="D839" s="157"/>
      <c r="E839" s="158"/>
      <c r="J839" s="3"/>
    </row>
    <row r="840" ht="15.75" customHeight="1">
      <c r="D840" s="157"/>
      <c r="E840" s="158"/>
      <c r="J840" s="3"/>
    </row>
    <row r="841" ht="15.75" customHeight="1">
      <c r="D841" s="157"/>
      <c r="E841" s="158"/>
      <c r="J841" s="3"/>
    </row>
    <row r="842" ht="15.75" customHeight="1">
      <c r="D842" s="157"/>
      <c r="E842" s="158"/>
      <c r="J842" s="3"/>
    </row>
    <row r="843" ht="15.75" customHeight="1">
      <c r="D843" s="157"/>
      <c r="E843" s="158"/>
      <c r="J843" s="3"/>
    </row>
    <row r="844" ht="15.75" customHeight="1">
      <c r="D844" s="157"/>
      <c r="E844" s="158"/>
      <c r="J844" s="3"/>
    </row>
    <row r="845" ht="15.75" customHeight="1">
      <c r="D845" s="157"/>
      <c r="E845" s="158"/>
      <c r="J845" s="3"/>
    </row>
    <row r="846" ht="15.75" customHeight="1">
      <c r="D846" s="157"/>
      <c r="E846" s="158"/>
      <c r="J846" s="3"/>
    </row>
    <row r="847" ht="15.75" customHeight="1">
      <c r="D847" s="157"/>
      <c r="E847" s="158"/>
      <c r="J847" s="3"/>
    </row>
    <row r="848" ht="15.75" customHeight="1">
      <c r="D848" s="157"/>
      <c r="E848" s="158"/>
      <c r="J848" s="3"/>
    </row>
    <row r="849" ht="15.75" customHeight="1">
      <c r="D849" s="157"/>
      <c r="E849" s="158"/>
      <c r="J849" s="3"/>
    </row>
    <row r="850" ht="15.75" customHeight="1">
      <c r="D850" s="157"/>
      <c r="E850" s="158"/>
      <c r="J850" s="3"/>
    </row>
    <row r="851" ht="15.75" customHeight="1">
      <c r="D851" s="157"/>
      <c r="E851" s="158"/>
      <c r="J851" s="3"/>
    </row>
    <row r="852" ht="15.75" customHeight="1">
      <c r="D852" s="157"/>
      <c r="E852" s="158"/>
      <c r="J852" s="3"/>
    </row>
    <row r="853" ht="15.75" customHeight="1">
      <c r="D853" s="157"/>
      <c r="E853" s="158"/>
      <c r="J853" s="3"/>
    </row>
    <row r="854" ht="15.75" customHeight="1">
      <c r="D854" s="157"/>
      <c r="E854" s="158"/>
      <c r="J854" s="3"/>
    </row>
    <row r="855" ht="15.75" customHeight="1">
      <c r="D855" s="157"/>
      <c r="E855" s="158"/>
      <c r="J855" s="3"/>
    </row>
    <row r="856" ht="15.75" customHeight="1">
      <c r="D856" s="157"/>
      <c r="E856" s="158"/>
      <c r="J856" s="3"/>
    </row>
    <row r="857" ht="15.75" customHeight="1">
      <c r="D857" s="157"/>
      <c r="E857" s="158"/>
      <c r="J857" s="3"/>
    </row>
    <row r="858" ht="15.75" customHeight="1">
      <c r="D858" s="157"/>
      <c r="E858" s="158"/>
      <c r="J858" s="3"/>
    </row>
    <row r="859" ht="15.75" customHeight="1">
      <c r="D859" s="157"/>
      <c r="E859" s="158"/>
      <c r="J859" s="3"/>
    </row>
    <row r="860" ht="15.75" customHeight="1">
      <c r="D860" s="157"/>
      <c r="E860" s="158"/>
      <c r="J860" s="3"/>
    </row>
    <row r="861" ht="15.75" customHeight="1">
      <c r="D861" s="157"/>
      <c r="E861" s="158"/>
      <c r="J861" s="3"/>
    </row>
    <row r="862" ht="15.75" customHeight="1">
      <c r="D862" s="157"/>
      <c r="E862" s="158"/>
      <c r="J862" s="3"/>
    </row>
    <row r="863" ht="15.75" customHeight="1">
      <c r="D863" s="157"/>
      <c r="E863" s="158"/>
      <c r="J863" s="3"/>
    </row>
    <row r="864" ht="15.75" customHeight="1">
      <c r="D864" s="157"/>
      <c r="E864" s="158"/>
      <c r="J864" s="3"/>
    </row>
    <row r="865" ht="15.75" customHeight="1">
      <c r="D865" s="157"/>
      <c r="E865" s="158"/>
      <c r="J865" s="3"/>
    </row>
    <row r="866" ht="15.75" customHeight="1">
      <c r="D866" s="157"/>
      <c r="E866" s="158"/>
      <c r="J866" s="3"/>
    </row>
    <row r="867" ht="15.75" customHeight="1">
      <c r="D867" s="157"/>
      <c r="E867" s="158"/>
      <c r="J867" s="3"/>
    </row>
    <row r="868" ht="15.75" customHeight="1">
      <c r="D868" s="157"/>
      <c r="E868" s="158"/>
      <c r="J868" s="3"/>
    </row>
    <row r="869" ht="15.75" customHeight="1">
      <c r="D869" s="157"/>
      <c r="E869" s="158"/>
      <c r="J869" s="3"/>
    </row>
    <row r="870" ht="15.75" customHeight="1">
      <c r="D870" s="157"/>
      <c r="E870" s="158"/>
      <c r="J870" s="3"/>
    </row>
    <row r="871" ht="15.75" customHeight="1">
      <c r="D871" s="157"/>
      <c r="E871" s="158"/>
      <c r="J871" s="3"/>
    </row>
    <row r="872" ht="15.75" customHeight="1">
      <c r="D872" s="157"/>
      <c r="E872" s="158"/>
      <c r="J872" s="3"/>
    </row>
    <row r="873" ht="15.75" customHeight="1">
      <c r="D873" s="157"/>
      <c r="E873" s="158"/>
      <c r="J873" s="3"/>
    </row>
    <row r="874" ht="15.75" customHeight="1">
      <c r="D874" s="157"/>
      <c r="E874" s="158"/>
      <c r="J874" s="3"/>
    </row>
    <row r="875" ht="15.75" customHeight="1">
      <c r="D875" s="157"/>
      <c r="E875" s="158"/>
      <c r="J875" s="3"/>
    </row>
    <row r="876" ht="15.75" customHeight="1">
      <c r="D876" s="157"/>
      <c r="E876" s="158"/>
      <c r="J876" s="3"/>
    </row>
    <row r="877" ht="15.75" customHeight="1">
      <c r="D877" s="157"/>
      <c r="E877" s="158"/>
      <c r="J877" s="3"/>
    </row>
    <row r="878" ht="15.75" customHeight="1">
      <c r="D878" s="157"/>
      <c r="E878" s="158"/>
      <c r="J878" s="3"/>
    </row>
    <row r="879" ht="15.75" customHeight="1">
      <c r="D879" s="157"/>
      <c r="E879" s="158"/>
      <c r="J879" s="3"/>
    </row>
    <row r="880" ht="15.75" customHeight="1">
      <c r="D880" s="157"/>
      <c r="E880" s="158"/>
      <c r="J880" s="3"/>
    </row>
    <row r="881" ht="15.75" customHeight="1">
      <c r="D881" s="157"/>
      <c r="E881" s="158"/>
      <c r="J881" s="3"/>
    </row>
    <row r="882" ht="15.75" customHeight="1">
      <c r="D882" s="157"/>
      <c r="E882" s="158"/>
      <c r="J882" s="3"/>
    </row>
    <row r="883" ht="15.75" customHeight="1">
      <c r="D883" s="157"/>
      <c r="E883" s="158"/>
      <c r="J883" s="3"/>
    </row>
    <row r="884" ht="15.75" customHeight="1">
      <c r="D884" s="157"/>
      <c r="E884" s="158"/>
      <c r="J884" s="3"/>
    </row>
    <row r="885" ht="15.75" customHeight="1">
      <c r="D885" s="157"/>
      <c r="E885" s="158"/>
      <c r="J885" s="3"/>
    </row>
    <row r="886" ht="15.75" customHeight="1">
      <c r="D886" s="157"/>
      <c r="E886" s="158"/>
      <c r="J886" s="3"/>
    </row>
    <row r="887" ht="15.75" customHeight="1">
      <c r="D887" s="157"/>
      <c r="E887" s="158"/>
      <c r="J887" s="3"/>
    </row>
    <row r="888" ht="15.75" customHeight="1">
      <c r="D888" s="157"/>
      <c r="E888" s="158"/>
      <c r="J888" s="3"/>
    </row>
    <row r="889" ht="15.75" customHeight="1">
      <c r="D889" s="157"/>
      <c r="E889" s="158"/>
      <c r="J889" s="3"/>
    </row>
    <row r="890" ht="15.75" customHeight="1">
      <c r="D890" s="157"/>
      <c r="E890" s="158"/>
      <c r="J890" s="3"/>
    </row>
    <row r="891" ht="15.75" customHeight="1">
      <c r="D891" s="157"/>
      <c r="E891" s="158"/>
      <c r="J891" s="3"/>
    </row>
    <row r="892" ht="15.75" customHeight="1">
      <c r="D892" s="157"/>
      <c r="E892" s="158"/>
      <c r="J892" s="3"/>
    </row>
    <row r="893" ht="15.75" customHeight="1">
      <c r="D893" s="157"/>
      <c r="E893" s="158"/>
      <c r="J893" s="3"/>
    </row>
    <row r="894" ht="15.75" customHeight="1">
      <c r="D894" s="157"/>
      <c r="E894" s="158"/>
      <c r="J894" s="3"/>
    </row>
    <row r="895" ht="15.75" customHeight="1">
      <c r="D895" s="157"/>
      <c r="E895" s="158"/>
      <c r="J895" s="3"/>
    </row>
    <row r="896" ht="15.75" customHeight="1">
      <c r="D896" s="157"/>
      <c r="E896" s="158"/>
      <c r="J896" s="3"/>
    </row>
    <row r="897" ht="15.75" customHeight="1">
      <c r="D897" s="157"/>
      <c r="E897" s="158"/>
      <c r="J897" s="3"/>
    </row>
    <row r="898" ht="15.75" customHeight="1">
      <c r="D898" s="157"/>
      <c r="E898" s="158"/>
      <c r="J898" s="3"/>
    </row>
    <row r="899" ht="15.75" customHeight="1">
      <c r="D899" s="157"/>
      <c r="E899" s="158"/>
      <c r="J899" s="3"/>
    </row>
    <row r="900" ht="15.75" customHeight="1">
      <c r="D900" s="157"/>
      <c r="E900" s="158"/>
      <c r="J900" s="3"/>
    </row>
    <row r="901" ht="15.75" customHeight="1">
      <c r="D901" s="157"/>
      <c r="E901" s="158"/>
      <c r="J901" s="3"/>
    </row>
    <row r="902" ht="15.75" customHeight="1">
      <c r="D902" s="157"/>
      <c r="E902" s="158"/>
      <c r="J902" s="3"/>
    </row>
    <row r="903" ht="15.75" customHeight="1">
      <c r="D903" s="157"/>
      <c r="E903" s="158"/>
      <c r="J903" s="3"/>
    </row>
    <row r="904" ht="15.75" customHeight="1">
      <c r="D904" s="157"/>
      <c r="E904" s="158"/>
      <c r="J904" s="3"/>
    </row>
    <row r="905" ht="15.75" customHeight="1">
      <c r="D905" s="157"/>
      <c r="E905" s="158"/>
      <c r="J905" s="3"/>
    </row>
    <row r="906" ht="15.75" customHeight="1">
      <c r="D906" s="157"/>
      <c r="E906" s="158"/>
      <c r="J906" s="3"/>
    </row>
    <row r="907" ht="15.75" customHeight="1">
      <c r="D907" s="157"/>
      <c r="E907" s="158"/>
      <c r="J907" s="3"/>
    </row>
    <row r="908" ht="15.75" customHeight="1">
      <c r="D908" s="157"/>
      <c r="E908" s="158"/>
      <c r="J908" s="3"/>
    </row>
    <row r="909" ht="15.75" customHeight="1">
      <c r="D909" s="157"/>
      <c r="E909" s="158"/>
      <c r="J909" s="3"/>
    </row>
    <row r="910" ht="15.75" customHeight="1">
      <c r="D910" s="157"/>
      <c r="E910" s="158"/>
      <c r="J910" s="3"/>
    </row>
    <row r="911" ht="15.75" customHeight="1">
      <c r="D911" s="157"/>
      <c r="E911" s="158"/>
      <c r="J911" s="3"/>
    </row>
    <row r="912" ht="15.75" customHeight="1">
      <c r="D912" s="157"/>
      <c r="E912" s="158"/>
      <c r="J912" s="3"/>
    </row>
    <row r="913" ht="15.75" customHeight="1">
      <c r="D913" s="157"/>
      <c r="E913" s="158"/>
      <c r="J913" s="3"/>
    </row>
    <row r="914" ht="15.75" customHeight="1">
      <c r="D914" s="157"/>
      <c r="E914" s="158"/>
      <c r="J914" s="3"/>
    </row>
    <row r="915" ht="15.75" customHeight="1">
      <c r="D915" s="157"/>
      <c r="E915" s="158"/>
      <c r="J915" s="3"/>
    </row>
    <row r="916" ht="15.75" customHeight="1">
      <c r="D916" s="157"/>
      <c r="E916" s="158"/>
      <c r="J916" s="3"/>
    </row>
    <row r="917" ht="15.75" customHeight="1">
      <c r="D917" s="157"/>
      <c r="E917" s="158"/>
      <c r="J917" s="3"/>
    </row>
    <row r="918" ht="15.75" customHeight="1">
      <c r="D918" s="157"/>
      <c r="E918" s="158"/>
      <c r="J918" s="3"/>
    </row>
    <row r="919" ht="15.75" customHeight="1">
      <c r="D919" s="157"/>
      <c r="E919" s="158"/>
      <c r="J919" s="3"/>
    </row>
    <row r="920" ht="15.75" customHeight="1">
      <c r="D920" s="157"/>
      <c r="E920" s="158"/>
      <c r="J920" s="3"/>
    </row>
    <row r="921" ht="15.75" customHeight="1">
      <c r="D921" s="157"/>
      <c r="E921" s="158"/>
      <c r="J921" s="3"/>
    </row>
    <row r="922" ht="15.75" customHeight="1">
      <c r="D922" s="157"/>
      <c r="E922" s="158"/>
      <c r="J922" s="3"/>
    </row>
    <row r="923" ht="15.75" customHeight="1">
      <c r="D923" s="157"/>
      <c r="E923" s="158"/>
      <c r="J923" s="3"/>
    </row>
    <row r="924" ht="15.75" customHeight="1">
      <c r="D924" s="157"/>
      <c r="E924" s="158"/>
      <c r="J924" s="3"/>
    </row>
    <row r="925" ht="15.75" customHeight="1">
      <c r="D925" s="157"/>
      <c r="E925" s="158"/>
      <c r="J925" s="3"/>
    </row>
    <row r="926" ht="15.75" customHeight="1">
      <c r="D926" s="157"/>
      <c r="E926" s="158"/>
      <c r="J926" s="3"/>
    </row>
    <row r="927" ht="15.75" customHeight="1">
      <c r="D927" s="157"/>
      <c r="E927" s="158"/>
      <c r="J927" s="3"/>
    </row>
    <row r="928" ht="15.75" customHeight="1">
      <c r="D928" s="157"/>
      <c r="E928" s="158"/>
      <c r="J928" s="3"/>
    </row>
    <row r="929" ht="15.75" customHeight="1">
      <c r="D929" s="157"/>
      <c r="E929" s="158"/>
      <c r="J929" s="3"/>
    </row>
    <row r="930" ht="15.75" customHeight="1">
      <c r="D930" s="157"/>
      <c r="E930" s="158"/>
      <c r="J930" s="3"/>
    </row>
    <row r="931" ht="15.75" customHeight="1">
      <c r="D931" s="157"/>
      <c r="E931" s="158"/>
      <c r="J931" s="3"/>
    </row>
    <row r="932" ht="15.75" customHeight="1">
      <c r="D932" s="157"/>
      <c r="E932" s="158"/>
      <c r="J932" s="3"/>
    </row>
    <row r="933" ht="15.75" customHeight="1">
      <c r="D933" s="157"/>
      <c r="E933" s="158"/>
      <c r="J933" s="3"/>
    </row>
    <row r="934" ht="15.75" customHeight="1">
      <c r="D934" s="157"/>
      <c r="E934" s="158"/>
      <c r="J934" s="3"/>
    </row>
    <row r="935" ht="15.75" customHeight="1">
      <c r="D935" s="157"/>
      <c r="E935" s="158"/>
      <c r="J935" s="3"/>
    </row>
    <row r="936" ht="15.75" customHeight="1">
      <c r="D936" s="157"/>
      <c r="E936" s="158"/>
      <c r="J936" s="3"/>
    </row>
    <row r="937" ht="15.75" customHeight="1">
      <c r="D937" s="157"/>
      <c r="E937" s="158"/>
      <c r="J937" s="3"/>
    </row>
    <row r="938" ht="15.75" customHeight="1">
      <c r="D938" s="157"/>
      <c r="E938" s="158"/>
      <c r="J938" s="3"/>
    </row>
    <row r="939" ht="15.75" customHeight="1">
      <c r="D939" s="157"/>
      <c r="E939" s="158"/>
      <c r="J939" s="3"/>
    </row>
    <row r="940" ht="15.75" customHeight="1">
      <c r="D940" s="157"/>
      <c r="E940" s="158"/>
      <c r="J940" s="3"/>
    </row>
    <row r="941" ht="15.75" customHeight="1">
      <c r="D941" s="157"/>
      <c r="E941" s="158"/>
      <c r="J941" s="3"/>
    </row>
    <row r="942" ht="15.75" customHeight="1">
      <c r="D942" s="157"/>
      <c r="E942" s="158"/>
      <c r="J942" s="3"/>
    </row>
    <row r="943" ht="15.75" customHeight="1">
      <c r="D943" s="157"/>
      <c r="E943" s="158"/>
      <c r="J943" s="3"/>
    </row>
    <row r="944" ht="15.75" customHeight="1">
      <c r="D944" s="157"/>
      <c r="E944" s="158"/>
      <c r="J944" s="3"/>
    </row>
    <row r="945" ht="15.75" customHeight="1">
      <c r="D945" s="157"/>
      <c r="E945" s="158"/>
      <c r="J945" s="3"/>
    </row>
    <row r="946" ht="15.75" customHeight="1">
      <c r="D946" s="157"/>
      <c r="E946" s="158"/>
      <c r="J946" s="3"/>
    </row>
    <row r="947" ht="15.75" customHeight="1">
      <c r="D947" s="157"/>
      <c r="E947" s="158"/>
      <c r="J947" s="3"/>
    </row>
    <row r="948" ht="15.75" customHeight="1">
      <c r="D948" s="157"/>
      <c r="E948" s="158"/>
      <c r="J948" s="3"/>
    </row>
    <row r="949" ht="15.75" customHeight="1">
      <c r="D949" s="157"/>
      <c r="E949" s="158"/>
      <c r="J949" s="3"/>
    </row>
    <row r="950" ht="15.75" customHeight="1">
      <c r="D950" s="157"/>
      <c r="E950" s="158"/>
      <c r="J950" s="3"/>
    </row>
    <row r="951" ht="15.75" customHeight="1">
      <c r="D951" s="157"/>
      <c r="E951" s="158"/>
      <c r="J951" s="3"/>
    </row>
    <row r="952" ht="15.75" customHeight="1">
      <c r="D952" s="157"/>
      <c r="E952" s="158"/>
      <c r="J952" s="3"/>
    </row>
    <row r="953" ht="15.75" customHeight="1">
      <c r="D953" s="157"/>
      <c r="E953" s="158"/>
      <c r="J953" s="3"/>
    </row>
    <row r="954" ht="15.75" customHeight="1">
      <c r="D954" s="157"/>
      <c r="E954" s="158"/>
      <c r="J954" s="3"/>
    </row>
    <row r="955" ht="15.75" customHeight="1">
      <c r="D955" s="157"/>
      <c r="E955" s="158"/>
      <c r="J955" s="3"/>
    </row>
    <row r="956" ht="15.75" customHeight="1">
      <c r="D956" s="157"/>
      <c r="E956" s="158"/>
      <c r="J956" s="3"/>
    </row>
    <row r="957" ht="15.75" customHeight="1">
      <c r="D957" s="157"/>
      <c r="E957" s="158"/>
      <c r="J957" s="3"/>
    </row>
    <row r="958" ht="15.75" customHeight="1">
      <c r="D958" s="157"/>
      <c r="E958" s="158"/>
      <c r="J958" s="3"/>
    </row>
    <row r="959" ht="15.75" customHeight="1">
      <c r="D959" s="157"/>
      <c r="E959" s="158"/>
      <c r="J959" s="3"/>
    </row>
    <row r="960" ht="15.75" customHeight="1">
      <c r="D960" s="157"/>
      <c r="E960" s="158"/>
      <c r="J960" s="3"/>
    </row>
    <row r="961" ht="15.75" customHeight="1">
      <c r="D961" s="157"/>
      <c r="E961" s="158"/>
      <c r="J961" s="3"/>
    </row>
    <row r="962" ht="15.75" customHeight="1">
      <c r="D962" s="157"/>
      <c r="E962" s="158"/>
      <c r="J962" s="3"/>
    </row>
    <row r="963" ht="15.75" customHeight="1">
      <c r="D963" s="157"/>
      <c r="E963" s="158"/>
      <c r="J963" s="3"/>
    </row>
    <row r="964" ht="15.75" customHeight="1">
      <c r="D964" s="157"/>
      <c r="E964" s="158"/>
      <c r="J964" s="3"/>
    </row>
    <row r="965" ht="15.75" customHeight="1">
      <c r="D965" s="157"/>
      <c r="E965" s="158"/>
      <c r="J965" s="3"/>
    </row>
    <row r="966" ht="15.75" customHeight="1">
      <c r="D966" s="157"/>
      <c r="E966" s="158"/>
      <c r="J966" s="3"/>
    </row>
    <row r="967" ht="15.75" customHeight="1">
      <c r="D967" s="157"/>
      <c r="E967" s="158"/>
      <c r="J967" s="3"/>
    </row>
    <row r="968" ht="15.75" customHeight="1">
      <c r="D968" s="157"/>
      <c r="E968" s="158"/>
      <c r="J968" s="3"/>
    </row>
    <row r="969" ht="15.75" customHeight="1">
      <c r="D969" s="157"/>
      <c r="E969" s="158"/>
      <c r="J969" s="3"/>
    </row>
    <row r="970" ht="15.75" customHeight="1">
      <c r="D970" s="157"/>
      <c r="E970" s="158"/>
      <c r="J970" s="3"/>
    </row>
    <row r="971" ht="15.75" customHeight="1">
      <c r="D971" s="157"/>
      <c r="E971" s="158"/>
      <c r="J971" s="3"/>
    </row>
    <row r="972" ht="15.75" customHeight="1">
      <c r="D972" s="157"/>
      <c r="E972" s="158"/>
      <c r="J972" s="3"/>
    </row>
    <row r="973" ht="15.75" customHeight="1">
      <c r="D973" s="157"/>
      <c r="E973" s="158"/>
      <c r="J973" s="3"/>
    </row>
    <row r="974" ht="15.75" customHeight="1">
      <c r="D974" s="157"/>
      <c r="E974" s="158"/>
      <c r="J974" s="3"/>
    </row>
    <row r="975" ht="15.75" customHeight="1">
      <c r="D975" s="157"/>
      <c r="E975" s="158"/>
      <c r="J975" s="3"/>
    </row>
    <row r="976" ht="15.75" customHeight="1">
      <c r="D976" s="157"/>
      <c r="E976" s="158"/>
      <c r="J976" s="3"/>
    </row>
    <row r="977" ht="15.75" customHeight="1">
      <c r="D977" s="157"/>
      <c r="E977" s="158"/>
      <c r="J977" s="3"/>
    </row>
    <row r="978" ht="15.75" customHeight="1">
      <c r="D978" s="157"/>
      <c r="E978" s="158"/>
      <c r="J978" s="3"/>
    </row>
    <row r="979" ht="15.75" customHeight="1">
      <c r="D979" s="157"/>
      <c r="E979" s="158"/>
      <c r="J979" s="3"/>
    </row>
    <row r="980" ht="15.75" customHeight="1">
      <c r="D980" s="157"/>
      <c r="E980" s="158"/>
      <c r="J980" s="3"/>
    </row>
    <row r="981" ht="15.75" customHeight="1">
      <c r="D981" s="157"/>
      <c r="E981" s="158"/>
      <c r="J981" s="3"/>
    </row>
    <row r="982" ht="15.75" customHeight="1">
      <c r="D982" s="157"/>
      <c r="E982" s="158"/>
      <c r="J982" s="3"/>
    </row>
    <row r="983" ht="15.75" customHeight="1">
      <c r="D983" s="157"/>
      <c r="E983" s="158"/>
      <c r="J983" s="3"/>
    </row>
    <row r="984" ht="15.75" customHeight="1">
      <c r="D984" s="157"/>
      <c r="E984" s="158"/>
      <c r="J984" s="3"/>
    </row>
    <row r="985" ht="15.75" customHeight="1">
      <c r="D985" s="157"/>
      <c r="E985" s="158"/>
      <c r="J985" s="3"/>
    </row>
    <row r="986" ht="15.75" customHeight="1">
      <c r="D986" s="157"/>
      <c r="E986" s="158"/>
      <c r="J986" s="3"/>
    </row>
    <row r="987" ht="15.75" customHeight="1">
      <c r="D987" s="157"/>
      <c r="E987" s="158"/>
      <c r="J987" s="3"/>
    </row>
    <row r="988" ht="15.75" customHeight="1">
      <c r="D988" s="157"/>
      <c r="E988" s="158"/>
      <c r="J988" s="3"/>
    </row>
    <row r="989" ht="15.75" customHeight="1">
      <c r="D989" s="157"/>
      <c r="E989" s="158"/>
      <c r="J989" s="3"/>
    </row>
    <row r="990" ht="15.75" customHeight="1">
      <c r="D990" s="157"/>
      <c r="E990" s="158"/>
      <c r="J990" s="3"/>
    </row>
    <row r="991" ht="15.75" customHeight="1">
      <c r="D991" s="157"/>
      <c r="E991" s="158"/>
      <c r="J991" s="3"/>
    </row>
    <row r="992" ht="15.75" customHeight="1">
      <c r="D992" s="157"/>
      <c r="E992" s="158"/>
      <c r="J992" s="3"/>
    </row>
    <row r="993" ht="15.75" customHeight="1">
      <c r="D993" s="157"/>
      <c r="E993" s="158"/>
      <c r="J993" s="3"/>
    </row>
    <row r="994" ht="15.75" customHeight="1">
      <c r="D994" s="157"/>
      <c r="E994" s="158"/>
      <c r="J994" s="3"/>
    </row>
    <row r="995" ht="15.75" customHeight="1">
      <c r="D995" s="157"/>
      <c r="E995" s="158"/>
      <c r="J995" s="3"/>
    </row>
    <row r="996" ht="15.75" customHeight="1">
      <c r="D996" s="157"/>
      <c r="E996" s="158"/>
      <c r="J996" s="3"/>
    </row>
    <row r="997" ht="15.75" customHeight="1">
      <c r="D997" s="157"/>
      <c r="E997" s="158"/>
      <c r="J997" s="3"/>
    </row>
    <row r="998" ht="15.75" customHeight="1">
      <c r="D998" s="157"/>
      <c r="E998" s="158"/>
      <c r="J998" s="3"/>
    </row>
    <row r="999" ht="15.75" customHeight="1">
      <c r="D999" s="157"/>
      <c r="E999" s="158"/>
      <c r="J999" s="3"/>
    </row>
    <row r="1000" ht="15.75" customHeight="1">
      <c r="D1000" s="157"/>
      <c r="E1000" s="158"/>
      <c r="J1000" s="3"/>
    </row>
    <row r="1001" ht="15.75" customHeight="1">
      <c r="D1001" s="157"/>
      <c r="E1001" s="158"/>
      <c r="J1001" s="3"/>
    </row>
    <row r="1002" ht="15.75" customHeight="1">
      <c r="D1002" s="157"/>
      <c r="E1002" s="158"/>
      <c r="J1002" s="3"/>
    </row>
    <row r="1003" ht="15.75" customHeight="1">
      <c r="D1003" s="157"/>
      <c r="E1003" s="158"/>
      <c r="J1003" s="3"/>
    </row>
    <row r="1004" ht="15.75" customHeight="1">
      <c r="D1004" s="157"/>
      <c r="E1004" s="158"/>
      <c r="J1004" s="3"/>
    </row>
    <row r="1005" ht="15.75" customHeight="1">
      <c r="D1005" s="157"/>
      <c r="E1005" s="158"/>
      <c r="J1005" s="3"/>
    </row>
    <row r="1006" ht="15.75" customHeight="1">
      <c r="D1006" s="157"/>
      <c r="E1006" s="158"/>
      <c r="J1006" s="3"/>
    </row>
    <row r="1007" ht="15.75" customHeight="1">
      <c r="D1007" s="157"/>
      <c r="E1007" s="158"/>
      <c r="J1007" s="3"/>
    </row>
    <row r="1008" ht="15.75" customHeight="1">
      <c r="D1008" s="157"/>
      <c r="E1008" s="158"/>
      <c r="J1008" s="3"/>
    </row>
  </sheetData>
  <mergeCells count="37"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C92:G92"/>
    <mergeCell ref="D96:G96"/>
    <mergeCell ref="A99:B99"/>
    <mergeCell ref="D99:G99"/>
    <mergeCell ref="A100:B100"/>
    <mergeCell ref="D100:I100"/>
    <mergeCell ref="G8:G9"/>
    <mergeCell ref="H8:H9"/>
    <mergeCell ref="B87:K87"/>
    <mergeCell ref="C89:G89"/>
    <mergeCell ref="C90:G90"/>
    <mergeCell ref="J90:K90"/>
    <mergeCell ref="C91:G91"/>
    <mergeCell ref="K99:P99"/>
    <mergeCell ref="S99:V99"/>
    <mergeCell ref="X99:Z99"/>
    <mergeCell ref="K100:P100"/>
    <mergeCell ref="S100:V100"/>
    <mergeCell ref="J103:V103"/>
    <mergeCell ref="J106:V106"/>
    <mergeCell ref="J107:V107"/>
    <mergeCell ref="L90:V90"/>
    <mergeCell ref="L91:V91"/>
    <mergeCell ref="L92:V92"/>
    <mergeCell ref="L93:V93"/>
    <mergeCell ref="K96:P96"/>
    <mergeCell ref="S96:V96"/>
    <mergeCell ref="X96:Y96"/>
  </mergeCells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0.38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/>
      <c r="W3" s="2"/>
      <c r="X3" s="2"/>
    </row>
    <row r="4">
      <c r="A4" s="5" t="s">
        <v>2</v>
      </c>
      <c r="B4" s="6"/>
      <c r="C4" s="6"/>
      <c r="D4" s="9"/>
      <c r="E4" s="6"/>
      <c r="F4" s="6"/>
      <c r="G4" s="6"/>
      <c r="H4" s="10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11"/>
      <c r="B5" s="6"/>
      <c r="C5" s="2"/>
      <c r="D5" s="14"/>
      <c r="E5" s="15"/>
      <c r="F5" s="16"/>
      <c r="G5" s="16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3</v>
      </c>
      <c r="B6" s="6"/>
      <c r="C6" s="2"/>
      <c r="D6" s="14"/>
      <c r="E6" s="15"/>
      <c r="F6" s="16"/>
      <c r="G6" s="16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1" t="s">
        <v>4</v>
      </c>
      <c r="B7" s="6"/>
      <c r="C7" s="2"/>
      <c r="D7" s="14"/>
      <c r="E7" s="15"/>
      <c r="F7" s="16"/>
      <c r="G7" s="16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7" t="s">
        <v>5</v>
      </c>
      <c r="B8" s="18" t="s">
        <v>6</v>
      </c>
      <c r="C8" s="19" t="s">
        <v>7</v>
      </c>
      <c r="D8" s="22" t="s">
        <v>9</v>
      </c>
      <c r="E8" s="23" t="s">
        <v>10</v>
      </c>
      <c r="F8" s="24" t="s">
        <v>11</v>
      </c>
      <c r="G8" s="18" t="s">
        <v>12</v>
      </c>
      <c r="H8" s="25" t="s">
        <v>13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7"/>
      <c r="W8" s="28"/>
      <c r="X8" s="28"/>
    </row>
    <row r="9">
      <c r="A9" s="29"/>
      <c r="B9" s="30"/>
      <c r="C9" s="31" t="s">
        <v>14</v>
      </c>
      <c r="D9" s="30"/>
      <c r="E9" s="30"/>
      <c r="F9" s="30"/>
      <c r="G9" s="30"/>
      <c r="H9" s="33" t="s">
        <v>15</v>
      </c>
      <c r="I9" s="33" t="s">
        <v>16</v>
      </c>
      <c r="J9" s="33" t="s">
        <v>17</v>
      </c>
      <c r="K9" s="33" t="s">
        <v>18</v>
      </c>
      <c r="L9" s="33" t="s">
        <v>19</v>
      </c>
      <c r="M9" s="33" t="s">
        <v>20</v>
      </c>
      <c r="N9" s="33" t="s">
        <v>21</v>
      </c>
      <c r="O9" s="33" t="s">
        <v>22</v>
      </c>
      <c r="P9" s="33" t="s">
        <v>23</v>
      </c>
      <c r="Q9" s="33" t="s">
        <v>24</v>
      </c>
      <c r="R9" s="33" t="s">
        <v>25</v>
      </c>
      <c r="S9" s="33" t="s">
        <v>26</v>
      </c>
      <c r="T9" s="33" t="s">
        <v>27</v>
      </c>
      <c r="U9" s="34" t="str">
        <f>$V$9</f>
        <v>REMARKS</v>
      </c>
      <c r="V9" s="34" t="s">
        <v>28</v>
      </c>
      <c r="W9" s="35"/>
      <c r="X9" s="28"/>
    </row>
    <row r="10" ht="15.75" customHeight="1">
      <c r="A10" s="36"/>
      <c r="B10" s="37" t="s">
        <v>29</v>
      </c>
      <c r="C10" s="38"/>
      <c r="D10" s="41"/>
      <c r="E10" s="38"/>
      <c r="F10" s="38"/>
      <c r="G10" s="38"/>
      <c r="H10" s="42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43"/>
      <c r="V10" s="44"/>
      <c r="W10" s="28"/>
      <c r="X10" s="28"/>
    </row>
    <row r="11" ht="15.75" customHeight="1">
      <c r="A11" s="36"/>
      <c r="B11" s="45" t="s">
        <v>30</v>
      </c>
      <c r="C11" s="46" t="s">
        <v>31</v>
      </c>
      <c r="D11" s="49">
        <v>800.0</v>
      </c>
      <c r="E11" s="50">
        <v>32000.0</v>
      </c>
      <c r="F11" s="51" t="s">
        <v>32</v>
      </c>
      <c r="G11" s="52"/>
      <c r="H11" s="46">
        <v>40.0</v>
      </c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28"/>
      <c r="X11" s="28"/>
    </row>
    <row r="12" ht="15.75" customHeight="1">
      <c r="A12" s="36"/>
      <c r="B12" s="53" t="s">
        <v>33</v>
      </c>
      <c r="C12" s="60" t="s">
        <v>140</v>
      </c>
      <c r="D12" s="49">
        <v>33000.0</v>
      </c>
      <c r="E12" s="49">
        <v>33000.0</v>
      </c>
      <c r="F12" s="51" t="s">
        <v>32</v>
      </c>
      <c r="G12" s="52"/>
      <c r="H12" s="46">
        <v>1.0</v>
      </c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28"/>
      <c r="X12" s="28"/>
    </row>
    <row r="13" ht="15.75" customHeight="1">
      <c r="A13" s="36"/>
      <c r="B13" s="53" t="s">
        <v>39</v>
      </c>
      <c r="C13" s="60" t="s">
        <v>40</v>
      </c>
      <c r="D13" s="49">
        <v>800.0</v>
      </c>
      <c r="E13" s="62">
        <v>2400.0</v>
      </c>
      <c r="F13" s="51" t="s">
        <v>41</v>
      </c>
      <c r="G13" s="52"/>
      <c r="H13" s="46">
        <v>3.0</v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28"/>
      <c r="X13" s="28"/>
    </row>
    <row r="14" ht="15.75" customHeight="1">
      <c r="A14" s="36"/>
      <c r="B14" s="53" t="s">
        <v>42</v>
      </c>
      <c r="C14" s="60" t="s">
        <v>40</v>
      </c>
      <c r="D14" s="49">
        <v>700.0</v>
      </c>
      <c r="E14" s="62">
        <v>2100.0</v>
      </c>
      <c r="F14" s="51" t="s">
        <v>41</v>
      </c>
      <c r="G14" s="52"/>
      <c r="H14" s="46">
        <v>3.0</v>
      </c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28"/>
      <c r="X14" s="28"/>
    </row>
    <row r="15" ht="15.75" customHeight="1">
      <c r="A15" s="36"/>
      <c r="B15" s="53" t="s">
        <v>43</v>
      </c>
      <c r="C15" s="60" t="s">
        <v>40</v>
      </c>
      <c r="D15" s="49">
        <v>1100.0</v>
      </c>
      <c r="E15" s="62">
        <v>3300.0</v>
      </c>
      <c r="F15" s="51" t="s">
        <v>41</v>
      </c>
      <c r="G15" s="52"/>
      <c r="H15" s="46">
        <v>3.0</v>
      </c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28"/>
      <c r="X15" s="28"/>
    </row>
    <row r="16" ht="15.75" customHeight="1">
      <c r="A16" s="36"/>
      <c r="B16" s="53" t="s">
        <v>44</v>
      </c>
      <c r="C16" s="60" t="s">
        <v>40</v>
      </c>
      <c r="D16" s="49">
        <v>1100.0</v>
      </c>
      <c r="E16" s="62">
        <v>3300.0</v>
      </c>
      <c r="F16" s="51" t="s">
        <v>41</v>
      </c>
      <c r="G16" s="52"/>
      <c r="H16" s="46">
        <v>3.0</v>
      </c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28"/>
      <c r="X16" s="28"/>
    </row>
    <row r="17" ht="15.75" customHeight="1">
      <c r="A17" s="36"/>
      <c r="B17" s="53" t="s">
        <v>45</v>
      </c>
      <c r="C17" s="60" t="s">
        <v>40</v>
      </c>
      <c r="D17" s="49">
        <v>700.0</v>
      </c>
      <c r="E17" s="62">
        <v>2100.0</v>
      </c>
      <c r="F17" s="51" t="s">
        <v>41</v>
      </c>
      <c r="G17" s="52"/>
      <c r="H17" s="46">
        <v>3.0</v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28"/>
      <c r="X17" s="28"/>
    </row>
    <row r="18" ht="15.75" customHeight="1">
      <c r="A18" s="36"/>
      <c r="B18" s="53" t="s">
        <v>46</v>
      </c>
      <c r="C18" s="60" t="s">
        <v>40</v>
      </c>
      <c r="D18" s="49">
        <v>400.0</v>
      </c>
      <c r="E18" s="62">
        <v>1200.0</v>
      </c>
      <c r="F18" s="51" t="s">
        <v>41</v>
      </c>
      <c r="G18" s="52"/>
      <c r="H18" s="46">
        <v>3.0</v>
      </c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28"/>
      <c r="X18" s="28"/>
    </row>
    <row r="19" ht="15.75" customHeight="1">
      <c r="A19" s="36"/>
      <c r="B19" s="53" t="s">
        <v>47</v>
      </c>
      <c r="C19" s="60" t="s">
        <v>40</v>
      </c>
      <c r="D19" s="49">
        <v>700.0</v>
      </c>
      <c r="E19" s="62">
        <v>2100.0</v>
      </c>
      <c r="F19" s="51" t="s">
        <v>41</v>
      </c>
      <c r="G19" s="52"/>
      <c r="H19" s="46">
        <v>3.0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28"/>
      <c r="X19" s="28"/>
    </row>
    <row r="20" ht="15.75" customHeight="1">
      <c r="A20" s="36"/>
      <c r="B20" s="37" t="s">
        <v>59</v>
      </c>
      <c r="C20" s="38"/>
      <c r="D20" s="41"/>
      <c r="E20" s="38"/>
      <c r="F20" s="38"/>
      <c r="G20" s="38"/>
      <c r="H20" s="42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43"/>
      <c r="V20" s="44"/>
      <c r="W20" s="28"/>
      <c r="X20" s="28"/>
    </row>
    <row r="21" ht="15.75" customHeight="1">
      <c r="A21" s="36"/>
      <c r="B21" s="178" t="s">
        <v>141</v>
      </c>
      <c r="C21" s="57" t="s">
        <v>61</v>
      </c>
      <c r="D21" s="58">
        <v>500.0</v>
      </c>
      <c r="E21" s="59">
        <v>10000.0</v>
      </c>
      <c r="F21" s="46" t="s">
        <v>55</v>
      </c>
      <c r="G21" s="67"/>
      <c r="H21" s="75">
        <v>20.0</v>
      </c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70"/>
      <c r="V21" s="71"/>
      <c r="W21" s="28"/>
      <c r="X21" s="28"/>
    </row>
    <row r="22" ht="15.75" customHeight="1">
      <c r="A22" s="36"/>
      <c r="B22" s="179" t="s">
        <v>142</v>
      </c>
      <c r="C22" s="57" t="s">
        <v>70</v>
      </c>
      <c r="D22" s="58">
        <v>300.0</v>
      </c>
      <c r="E22" s="59">
        <v>9000.0</v>
      </c>
      <c r="F22" s="46" t="s">
        <v>55</v>
      </c>
      <c r="G22" s="67"/>
      <c r="H22" s="75">
        <v>30.0</v>
      </c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70"/>
      <c r="V22" s="71"/>
      <c r="W22" s="28"/>
      <c r="X22" s="28"/>
    </row>
    <row r="23" ht="15.75" customHeight="1">
      <c r="A23" s="36"/>
      <c r="B23" s="180" t="s">
        <v>143</v>
      </c>
      <c r="C23" s="57" t="s">
        <v>61</v>
      </c>
      <c r="D23" s="58">
        <v>300.0</v>
      </c>
      <c r="E23" s="49">
        <v>6000.0</v>
      </c>
      <c r="F23" s="46" t="s">
        <v>55</v>
      </c>
      <c r="G23" s="67"/>
      <c r="H23" s="75">
        <v>20.0</v>
      </c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70"/>
      <c r="V23" s="71"/>
      <c r="W23" s="28"/>
      <c r="X23" s="28"/>
    </row>
    <row r="24" ht="15.75" customHeight="1">
      <c r="A24" s="36"/>
      <c r="B24" s="180" t="s">
        <v>144</v>
      </c>
      <c r="C24" s="57" t="s">
        <v>145</v>
      </c>
      <c r="D24" s="58">
        <v>500.0</v>
      </c>
      <c r="E24" s="49">
        <v>2500.0</v>
      </c>
      <c r="F24" s="46" t="s">
        <v>55</v>
      </c>
      <c r="G24" s="67"/>
      <c r="H24" s="75">
        <v>5.0</v>
      </c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70"/>
      <c r="V24" s="71"/>
      <c r="W24" s="28"/>
      <c r="X24" s="28"/>
    </row>
    <row r="25" ht="15.75" customHeight="1">
      <c r="A25" s="36"/>
      <c r="B25" s="180" t="s">
        <v>146</v>
      </c>
      <c r="C25" s="57" t="s">
        <v>145</v>
      </c>
      <c r="D25" s="58">
        <v>400.0</v>
      </c>
      <c r="E25" s="49">
        <v>2000.0</v>
      </c>
      <c r="F25" s="46" t="s">
        <v>55</v>
      </c>
      <c r="G25" s="67"/>
      <c r="H25" s="75">
        <v>5.0</v>
      </c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70"/>
      <c r="V25" s="71"/>
      <c r="W25" s="28"/>
      <c r="X25" s="28"/>
    </row>
    <row r="26" ht="15.75" customHeight="1">
      <c r="A26" s="36"/>
      <c r="B26" s="180" t="s">
        <v>69</v>
      </c>
      <c r="C26" s="57" t="s">
        <v>70</v>
      </c>
      <c r="D26" s="58">
        <v>150.0</v>
      </c>
      <c r="E26" s="49">
        <v>4500.0</v>
      </c>
      <c r="F26" s="46" t="s">
        <v>55</v>
      </c>
      <c r="G26" s="67"/>
      <c r="H26" s="75">
        <v>30.0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70"/>
      <c r="V26" s="71"/>
      <c r="W26" s="28"/>
      <c r="X26" s="28"/>
    </row>
    <row r="27" ht="15.75" customHeight="1">
      <c r="A27" s="36"/>
      <c r="B27" s="180" t="s">
        <v>147</v>
      </c>
      <c r="C27" s="57" t="s">
        <v>61</v>
      </c>
      <c r="D27" s="58">
        <v>300.0</v>
      </c>
      <c r="E27" s="49">
        <v>6000.0</v>
      </c>
      <c r="F27" s="46" t="s">
        <v>55</v>
      </c>
      <c r="G27" s="67"/>
      <c r="H27" s="75">
        <v>20.0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70"/>
      <c r="V27" s="71"/>
      <c r="W27" s="28"/>
      <c r="X27" s="28"/>
    </row>
    <row r="28" ht="15.75" customHeight="1">
      <c r="A28" s="36"/>
      <c r="B28" s="76" t="s">
        <v>71</v>
      </c>
      <c r="C28" s="57" t="s">
        <v>72</v>
      </c>
      <c r="D28" s="49">
        <v>199.0</v>
      </c>
      <c r="E28" s="62">
        <v>7960.0</v>
      </c>
      <c r="F28" s="46" t="s">
        <v>55</v>
      </c>
      <c r="G28" s="52"/>
      <c r="H28" s="46">
        <v>40.0</v>
      </c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28"/>
      <c r="X28" s="28"/>
    </row>
    <row r="29" ht="15.75" customHeight="1">
      <c r="A29" s="36"/>
      <c r="B29" s="76" t="s">
        <v>73</v>
      </c>
      <c r="C29" s="57" t="s">
        <v>72</v>
      </c>
      <c r="D29" s="49">
        <v>199.0</v>
      </c>
      <c r="E29" s="62">
        <v>7960.0</v>
      </c>
      <c r="F29" s="46" t="s">
        <v>55</v>
      </c>
      <c r="G29" s="52"/>
      <c r="H29" s="46">
        <v>40.0</v>
      </c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28"/>
      <c r="X29" s="28"/>
    </row>
    <row r="30" ht="15.75" customHeight="1">
      <c r="A30" s="36"/>
      <c r="B30" s="76" t="s">
        <v>74</v>
      </c>
      <c r="C30" s="60" t="s">
        <v>148</v>
      </c>
      <c r="D30" s="49">
        <v>2000.0</v>
      </c>
      <c r="E30" s="62">
        <v>4000.0</v>
      </c>
      <c r="F30" s="46" t="s">
        <v>55</v>
      </c>
      <c r="G30" s="52"/>
      <c r="H30" s="46">
        <v>2.0</v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28"/>
      <c r="X30" s="28"/>
    </row>
    <row r="31" ht="15.75" customHeight="1">
      <c r="A31" s="36"/>
      <c r="B31" s="76" t="s">
        <v>76</v>
      </c>
      <c r="C31" s="60" t="s">
        <v>148</v>
      </c>
      <c r="D31" s="49">
        <v>2500.0</v>
      </c>
      <c r="E31" s="62">
        <v>5000.0</v>
      </c>
      <c r="F31" s="46" t="s">
        <v>55</v>
      </c>
      <c r="G31" s="52"/>
      <c r="H31" s="46">
        <v>2.0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8"/>
      <c r="X31" s="28"/>
    </row>
    <row r="32">
      <c r="A32" s="36"/>
      <c r="B32" s="76" t="s">
        <v>77</v>
      </c>
      <c r="C32" s="60" t="s">
        <v>148</v>
      </c>
      <c r="D32" s="49">
        <v>3000.0</v>
      </c>
      <c r="E32" s="62">
        <v>6000.0</v>
      </c>
      <c r="F32" s="46" t="s">
        <v>55</v>
      </c>
      <c r="G32" s="52"/>
      <c r="H32" s="46">
        <v>2.0</v>
      </c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28"/>
      <c r="X32" s="28"/>
    </row>
    <row r="33" ht="15.75" customHeight="1">
      <c r="A33" s="36"/>
      <c r="B33" s="73" t="s">
        <v>78</v>
      </c>
      <c r="C33" s="57" t="s">
        <v>79</v>
      </c>
      <c r="D33" s="58">
        <v>300.0</v>
      </c>
      <c r="E33" s="59">
        <v>3000.0</v>
      </c>
      <c r="F33" s="46" t="s">
        <v>55</v>
      </c>
      <c r="G33" s="52"/>
      <c r="H33" s="51">
        <v>10.0</v>
      </c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28"/>
      <c r="X33" s="28"/>
    </row>
    <row r="34" ht="15.75" customHeight="1">
      <c r="A34" s="36"/>
      <c r="B34" s="73" t="s">
        <v>80</v>
      </c>
      <c r="C34" s="57" t="s">
        <v>79</v>
      </c>
      <c r="D34" s="58">
        <v>300.0</v>
      </c>
      <c r="E34" s="59">
        <v>3000.0</v>
      </c>
      <c r="F34" s="46" t="s">
        <v>55</v>
      </c>
      <c r="G34" s="52"/>
      <c r="H34" s="51">
        <v>10.0</v>
      </c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28"/>
      <c r="X34" s="28"/>
    </row>
    <row r="35" ht="15.75" customHeight="1">
      <c r="A35" s="36"/>
      <c r="B35" s="73" t="s">
        <v>81</v>
      </c>
      <c r="C35" s="57" t="s">
        <v>149</v>
      </c>
      <c r="D35" s="58">
        <v>500.0</v>
      </c>
      <c r="E35" s="59">
        <v>1000.0</v>
      </c>
      <c r="F35" s="46" t="s">
        <v>55</v>
      </c>
      <c r="G35" s="52"/>
      <c r="H35" s="51">
        <v>2.0</v>
      </c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28"/>
      <c r="X35" s="28"/>
    </row>
    <row r="36" ht="15.75" customHeight="1">
      <c r="A36" s="36"/>
      <c r="B36" s="73" t="s">
        <v>83</v>
      </c>
      <c r="C36" s="57" t="s">
        <v>149</v>
      </c>
      <c r="D36" s="58">
        <v>500.0</v>
      </c>
      <c r="E36" s="59">
        <v>1000.0</v>
      </c>
      <c r="F36" s="46" t="s">
        <v>55</v>
      </c>
      <c r="G36" s="52"/>
      <c r="H36" s="51">
        <v>2.0</v>
      </c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28"/>
      <c r="X36" s="28"/>
    </row>
    <row r="37" ht="15.75" customHeight="1">
      <c r="A37" s="36"/>
      <c r="B37" s="73" t="s">
        <v>84</v>
      </c>
      <c r="C37" s="57" t="s">
        <v>79</v>
      </c>
      <c r="D37" s="58">
        <v>200.0</v>
      </c>
      <c r="E37" s="59">
        <v>2000.0</v>
      </c>
      <c r="F37" s="46" t="s">
        <v>55</v>
      </c>
      <c r="G37" s="52"/>
      <c r="H37" s="51">
        <v>10.0</v>
      </c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28"/>
      <c r="X37" s="28"/>
    </row>
    <row r="38" ht="15.75" customHeight="1">
      <c r="A38" s="36"/>
      <c r="B38" s="73" t="s">
        <v>85</v>
      </c>
      <c r="C38" s="57" t="s">
        <v>75</v>
      </c>
      <c r="D38" s="58">
        <v>200.0</v>
      </c>
      <c r="E38" s="59">
        <v>2000.0</v>
      </c>
      <c r="F38" s="46" t="s">
        <v>55</v>
      </c>
      <c r="G38" s="52"/>
      <c r="H38" s="51">
        <v>10.0</v>
      </c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28"/>
      <c r="X38" s="28"/>
    </row>
    <row r="39" ht="15.75" customHeight="1">
      <c r="A39" s="36"/>
      <c r="B39" s="73" t="s">
        <v>86</v>
      </c>
      <c r="C39" s="57" t="s">
        <v>75</v>
      </c>
      <c r="D39" s="58">
        <v>200.0</v>
      </c>
      <c r="E39" s="59">
        <v>2000.0</v>
      </c>
      <c r="F39" s="46" t="s">
        <v>55</v>
      </c>
      <c r="G39" s="52"/>
      <c r="H39" s="51">
        <v>10.0</v>
      </c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28"/>
      <c r="X39" s="28"/>
    </row>
    <row r="40" ht="15.75" customHeight="1">
      <c r="A40" s="36"/>
      <c r="B40" s="73" t="s">
        <v>87</v>
      </c>
      <c r="C40" s="57" t="s">
        <v>88</v>
      </c>
      <c r="D40" s="58">
        <v>4000.0</v>
      </c>
      <c r="E40" s="59">
        <v>40000.0</v>
      </c>
      <c r="F40" s="46" t="s">
        <v>55</v>
      </c>
      <c r="G40" s="52"/>
      <c r="H40" s="51"/>
      <c r="I40" s="181">
        <v>10.0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28"/>
      <c r="X40" s="28"/>
    </row>
    <row r="41" ht="15.75" customHeight="1">
      <c r="A41" s="36"/>
      <c r="B41" s="73" t="s">
        <v>89</v>
      </c>
      <c r="C41" s="57" t="s">
        <v>75</v>
      </c>
      <c r="D41" s="58">
        <v>200.0</v>
      </c>
      <c r="E41" s="59">
        <v>2000.0</v>
      </c>
      <c r="F41" s="46" t="s">
        <v>55</v>
      </c>
      <c r="G41" s="52"/>
      <c r="H41" s="51">
        <v>10.0</v>
      </c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28"/>
      <c r="X41" s="28"/>
    </row>
    <row r="42" ht="15.75" customHeight="1">
      <c r="A42" s="36"/>
      <c r="B42" s="73" t="s">
        <v>90</v>
      </c>
      <c r="C42" s="57" t="s">
        <v>75</v>
      </c>
      <c r="D42" s="58">
        <v>250.0</v>
      </c>
      <c r="E42" s="59">
        <v>2500.0</v>
      </c>
      <c r="F42" s="46" t="s">
        <v>55</v>
      </c>
      <c r="G42" s="52"/>
      <c r="H42" s="51">
        <v>10.0</v>
      </c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28"/>
      <c r="X42" s="28"/>
    </row>
    <row r="43" ht="15.75" customHeight="1">
      <c r="A43" s="36"/>
      <c r="B43" s="73" t="s">
        <v>91</v>
      </c>
      <c r="C43" s="57" t="s">
        <v>75</v>
      </c>
      <c r="D43" s="58">
        <v>350.0</v>
      </c>
      <c r="E43" s="59">
        <v>3500.0</v>
      </c>
      <c r="F43" s="46" t="s">
        <v>55</v>
      </c>
      <c r="G43" s="52"/>
      <c r="H43" s="51">
        <v>10.0</v>
      </c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28"/>
      <c r="X43" s="28"/>
    </row>
    <row r="44" ht="15.75" customHeight="1">
      <c r="A44" s="36"/>
      <c r="B44" s="73" t="s">
        <v>92</v>
      </c>
      <c r="C44" s="57" t="s">
        <v>75</v>
      </c>
      <c r="D44" s="58">
        <v>400.0</v>
      </c>
      <c r="E44" s="59">
        <v>4000.0</v>
      </c>
      <c r="F44" s="46" t="s">
        <v>55</v>
      </c>
      <c r="G44" s="52"/>
      <c r="H44" s="51">
        <v>10.0</v>
      </c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28"/>
      <c r="X44" s="28"/>
    </row>
    <row r="45" ht="15.75" hidden="1" customHeight="1">
      <c r="A45" s="36"/>
      <c r="B45" s="45"/>
      <c r="C45" s="60"/>
      <c r="D45" s="49"/>
      <c r="E45" s="62"/>
      <c r="F45" s="52"/>
      <c r="G45" s="52"/>
      <c r="H45" s="46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28"/>
      <c r="X45" s="28"/>
    </row>
    <row r="46" ht="15.75" hidden="1" customHeight="1">
      <c r="A46" s="36"/>
      <c r="B46" s="45"/>
      <c r="C46" s="60"/>
      <c r="D46" s="49"/>
      <c r="E46" s="62"/>
      <c r="F46" s="52"/>
      <c r="G46" s="52"/>
      <c r="H46" s="46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28"/>
      <c r="X46" s="28"/>
    </row>
    <row r="47" ht="15.75" hidden="1" customHeight="1">
      <c r="A47" s="36"/>
      <c r="B47" s="45"/>
      <c r="C47" s="60"/>
      <c r="D47" s="49"/>
      <c r="E47" s="62"/>
      <c r="F47" s="52"/>
      <c r="G47" s="52"/>
      <c r="H47" s="46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28"/>
      <c r="X47" s="28"/>
    </row>
    <row r="48" ht="15.75" hidden="1" customHeight="1">
      <c r="A48" s="36"/>
      <c r="B48" s="45"/>
      <c r="C48" s="60"/>
      <c r="D48" s="49"/>
      <c r="E48" s="62"/>
      <c r="F48" s="52"/>
      <c r="G48" s="52"/>
      <c r="H48" s="46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28"/>
      <c r="X48" s="28"/>
    </row>
    <row r="49" ht="15.75" hidden="1" customHeight="1">
      <c r="A49" s="36"/>
      <c r="B49" s="45"/>
      <c r="C49" s="60"/>
      <c r="D49" s="49"/>
      <c r="E49" s="62"/>
      <c r="F49" s="52"/>
      <c r="G49" s="52"/>
      <c r="H49" s="46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28"/>
      <c r="X49" s="28"/>
    </row>
    <row r="50" ht="15.75" hidden="1" customHeight="1">
      <c r="A50" s="36"/>
      <c r="B50" s="45"/>
      <c r="C50" s="60"/>
      <c r="D50" s="49"/>
      <c r="E50" s="62"/>
      <c r="F50" s="52"/>
      <c r="G50" s="52"/>
      <c r="H50" s="46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28"/>
      <c r="X50" s="28"/>
    </row>
    <row r="51" ht="15.75" hidden="1" customHeight="1">
      <c r="A51" s="77"/>
      <c r="B51" s="78"/>
      <c r="C51" s="182"/>
      <c r="D51" s="183"/>
      <c r="E51" s="184"/>
      <c r="F51" s="52"/>
      <c r="G51" s="52"/>
      <c r="H51" s="46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28"/>
      <c r="X51" s="28"/>
    </row>
    <row r="52" ht="15.75" hidden="1" customHeight="1">
      <c r="A52" s="36"/>
      <c r="B52" s="79" t="s">
        <v>93</v>
      </c>
      <c r="C52" s="80"/>
      <c r="D52" s="185"/>
      <c r="E52" s="80"/>
      <c r="F52" s="80"/>
      <c r="G52" s="80"/>
      <c r="H52" s="81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28"/>
      <c r="X52" s="28"/>
    </row>
    <row r="53" ht="15.75" hidden="1" customHeight="1">
      <c r="A53" s="36"/>
      <c r="B53" s="45"/>
      <c r="C53" s="60"/>
      <c r="D53" s="49"/>
      <c r="E53" s="62"/>
      <c r="F53" s="52"/>
      <c r="G53" s="52"/>
      <c r="H53" s="46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28"/>
      <c r="X53" s="28"/>
    </row>
    <row r="54" ht="15.75" hidden="1" customHeight="1">
      <c r="A54" s="36"/>
      <c r="B54" s="45"/>
      <c r="C54" s="60"/>
      <c r="D54" s="49"/>
      <c r="E54" s="62"/>
      <c r="F54" s="52"/>
      <c r="G54" s="52"/>
      <c r="H54" s="46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28"/>
      <c r="X54" s="28"/>
    </row>
    <row r="55" ht="15.75" hidden="1" customHeight="1">
      <c r="A55" s="36"/>
      <c r="B55" s="45"/>
      <c r="C55" s="60"/>
      <c r="D55" s="49"/>
      <c r="E55" s="62"/>
      <c r="F55" s="52"/>
      <c r="G55" s="52"/>
      <c r="H55" s="46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28"/>
      <c r="X55" s="28"/>
    </row>
    <row r="56" ht="15.75" hidden="1" customHeight="1">
      <c r="A56" s="36"/>
      <c r="B56" s="45"/>
      <c r="C56" s="60"/>
      <c r="D56" s="49"/>
      <c r="E56" s="62"/>
      <c r="F56" s="52"/>
      <c r="G56" s="52"/>
      <c r="H56" s="46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28"/>
      <c r="X56" s="28"/>
    </row>
    <row r="57" ht="15.75" hidden="1" customHeight="1">
      <c r="A57" s="36"/>
      <c r="B57" s="79" t="s">
        <v>94</v>
      </c>
      <c r="C57" s="80"/>
      <c r="D57" s="185"/>
      <c r="E57" s="80"/>
      <c r="F57" s="80"/>
      <c r="G57" s="80"/>
      <c r="H57" s="81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28"/>
      <c r="X57" s="28"/>
    </row>
    <row r="58" ht="15.75" hidden="1" customHeight="1">
      <c r="A58" s="36"/>
      <c r="B58" s="45"/>
      <c r="C58" s="60"/>
      <c r="D58" s="49"/>
      <c r="E58" s="62"/>
      <c r="F58" s="52"/>
      <c r="G58" s="52"/>
      <c r="H58" s="46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28"/>
      <c r="X58" s="28"/>
    </row>
    <row r="59" ht="15.75" hidden="1" customHeight="1">
      <c r="A59" s="36"/>
      <c r="B59" s="45"/>
      <c r="C59" s="60"/>
      <c r="D59" s="49"/>
      <c r="E59" s="62"/>
      <c r="F59" s="52"/>
      <c r="G59" s="52"/>
      <c r="H59" s="46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28"/>
      <c r="X59" s="28"/>
    </row>
    <row r="60" ht="15.75" hidden="1" customHeight="1">
      <c r="A60" s="36"/>
      <c r="B60" s="45"/>
      <c r="C60" s="60"/>
      <c r="D60" s="49"/>
      <c r="E60" s="62"/>
      <c r="F60" s="52"/>
      <c r="G60" s="52"/>
      <c r="H60" s="46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28"/>
      <c r="X60" s="28"/>
    </row>
    <row r="61" ht="15.75" customHeight="1">
      <c r="A61" s="77"/>
      <c r="B61" s="109" t="s">
        <v>114</v>
      </c>
      <c r="C61" s="110"/>
      <c r="D61" s="110"/>
      <c r="E61" s="110"/>
      <c r="F61" s="110"/>
      <c r="G61" s="110"/>
      <c r="H61" s="110"/>
      <c r="I61" s="111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28"/>
      <c r="X61" s="28"/>
    </row>
    <row r="62" ht="15.75" customHeight="1">
      <c r="A62" s="112"/>
      <c r="B62" s="113"/>
      <c r="C62" s="2"/>
      <c r="D62" s="14"/>
      <c r="E62" s="114"/>
      <c r="F62" s="16"/>
      <c r="G62" s="16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115" t="s">
        <v>115</v>
      </c>
      <c r="B63" s="6"/>
      <c r="C63" s="116">
        <f>SUM(E11:E44)</f>
        <v>218420</v>
      </c>
      <c r="F63" s="16"/>
      <c r="G63" s="16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hidden="1" customHeight="1">
      <c r="A64" s="117" t="s">
        <v>116</v>
      </c>
      <c r="B64" s="118"/>
      <c r="C64" s="119">
        <f>PRODUCT(C63,0.1)</f>
        <v>21842</v>
      </c>
      <c r="D64" s="120"/>
      <c r="E64" s="121"/>
      <c r="F64" s="16"/>
      <c r="G64" s="16"/>
      <c r="H64" s="122"/>
      <c r="J64" s="122"/>
      <c r="U64" s="122"/>
      <c r="V64" s="2"/>
      <c r="W64" s="2"/>
      <c r="X64" s="2"/>
    </row>
    <row r="65" ht="15.75" hidden="1" customHeight="1">
      <c r="A65" s="123" t="s">
        <v>117</v>
      </c>
      <c r="B65" s="124"/>
      <c r="C65" s="125">
        <f>PRODUCT(C63,0.1)</f>
        <v>21842</v>
      </c>
      <c r="D65" s="110"/>
      <c r="E65" s="111"/>
      <c r="F65" s="16"/>
      <c r="G65" s="16"/>
      <c r="H65" s="126"/>
      <c r="I65" s="127"/>
      <c r="J65" s="128"/>
      <c r="U65" s="128"/>
      <c r="V65" s="2"/>
      <c r="W65" s="2"/>
      <c r="X65" s="2"/>
    </row>
    <row r="66" ht="15.75" hidden="1" customHeight="1">
      <c r="A66" s="123" t="s">
        <v>118</v>
      </c>
      <c r="B66" s="124"/>
      <c r="C66" s="125">
        <f>SUM(C63:E65)</f>
        <v>262104</v>
      </c>
      <c r="D66" s="110"/>
      <c r="E66" s="111"/>
      <c r="F66" s="16"/>
      <c r="G66" s="16"/>
      <c r="H66" s="126"/>
      <c r="I66" s="127"/>
      <c r="J66" s="128"/>
      <c r="U66" s="128"/>
      <c r="V66" s="2"/>
      <c r="W66" s="2"/>
      <c r="X66" s="2"/>
    </row>
    <row r="67" ht="15.75" customHeight="1">
      <c r="A67" s="129"/>
      <c r="B67" s="6"/>
      <c r="C67" s="2"/>
      <c r="D67" s="14"/>
      <c r="E67" s="15"/>
      <c r="F67" s="16"/>
      <c r="G67" s="16"/>
      <c r="H67" s="126"/>
      <c r="I67" s="127"/>
      <c r="J67" s="128"/>
      <c r="U67" s="128"/>
      <c r="V67" s="2"/>
      <c r="W67" s="2"/>
      <c r="X67" s="2"/>
    </row>
    <row r="68" ht="15.75" customHeight="1">
      <c r="A68" s="130" t="s">
        <v>119</v>
      </c>
      <c r="B68" s="6"/>
      <c r="C68" s="2"/>
      <c r="D68" s="14"/>
      <c r="E68" s="15"/>
      <c r="F68" s="16"/>
      <c r="G68" s="16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131"/>
      <c r="B69" s="6"/>
      <c r="C69" s="2"/>
      <c r="D69" s="14"/>
      <c r="E69" s="15"/>
      <c r="F69" s="16"/>
      <c r="G69" s="16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132" t="s">
        <v>120</v>
      </c>
      <c r="B70" s="113"/>
      <c r="C70" s="133" t="s">
        <v>121</v>
      </c>
      <c r="F70" s="127"/>
      <c r="G70" s="127"/>
      <c r="H70" s="3"/>
      <c r="I70" s="133" t="s">
        <v>122</v>
      </c>
      <c r="O70" s="2"/>
      <c r="P70" s="2"/>
      <c r="Q70" s="133" t="s">
        <v>123</v>
      </c>
      <c r="U70" s="2"/>
      <c r="V70" s="2"/>
      <c r="X70" s="127"/>
    </row>
    <row r="71" ht="15.75" customHeight="1">
      <c r="A71" s="132"/>
      <c r="B71" s="113"/>
      <c r="C71" s="133"/>
      <c r="D71" s="136"/>
      <c r="E71" s="133"/>
      <c r="F71" s="127"/>
      <c r="G71" s="127"/>
      <c r="H71" s="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27"/>
      <c r="X71" s="127"/>
    </row>
    <row r="72" ht="15.75" customHeight="1">
      <c r="A72" s="113"/>
      <c r="B72" s="113"/>
      <c r="C72" s="127"/>
      <c r="D72" s="139"/>
      <c r="E72" s="140"/>
      <c r="F72" s="127"/>
      <c r="G72" s="127"/>
      <c r="H72" s="3"/>
      <c r="I72" s="127"/>
      <c r="J72" s="140"/>
      <c r="K72" s="140"/>
      <c r="L72" s="140"/>
      <c r="M72" s="140"/>
      <c r="N72" s="140"/>
      <c r="O72" s="140"/>
      <c r="P72" s="140"/>
      <c r="Q72" s="127"/>
      <c r="R72" s="140"/>
      <c r="S72" s="127"/>
      <c r="T72" s="127"/>
      <c r="U72" s="127"/>
      <c r="V72" s="127"/>
      <c r="W72" s="127"/>
      <c r="X72" s="127"/>
    </row>
    <row r="73" ht="15.75" customHeight="1">
      <c r="A73" s="141" t="s">
        <v>124</v>
      </c>
      <c r="C73" s="142" t="s">
        <v>125</v>
      </c>
      <c r="G73" s="2"/>
      <c r="H73" s="3"/>
      <c r="I73" s="142" t="s">
        <v>126</v>
      </c>
      <c r="O73" s="2"/>
      <c r="P73" s="2"/>
      <c r="Q73" s="142" t="s">
        <v>127</v>
      </c>
      <c r="U73" s="2"/>
      <c r="V73" s="2"/>
    </row>
    <row r="74" ht="15.0" customHeight="1">
      <c r="A74" s="143" t="s">
        <v>128</v>
      </c>
      <c r="C74" s="144" t="s">
        <v>129</v>
      </c>
      <c r="G74" s="145"/>
      <c r="H74" s="3"/>
      <c r="I74" s="146" t="s">
        <v>130</v>
      </c>
      <c r="O74" s="2"/>
      <c r="P74" s="2"/>
      <c r="Q74" s="144" t="s">
        <v>131</v>
      </c>
      <c r="U74" s="2"/>
      <c r="V74" s="2"/>
      <c r="W74" s="127"/>
      <c r="X74" s="127"/>
    </row>
    <row r="75" ht="15.75" customHeight="1">
      <c r="A75" s="2"/>
      <c r="B75" s="2"/>
      <c r="C75" s="2"/>
      <c r="D75" s="14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 t="s">
        <v>132</v>
      </c>
      <c r="B76" s="2"/>
      <c r="C76" s="2" t="s">
        <v>132</v>
      </c>
      <c r="D76" s="14"/>
      <c r="E76" s="2"/>
      <c r="F76" s="2"/>
      <c r="G76" s="2"/>
      <c r="H76" s="3"/>
      <c r="I76" s="2" t="s">
        <v>132</v>
      </c>
      <c r="J76" s="2"/>
      <c r="K76" s="2"/>
      <c r="L76" s="2"/>
      <c r="M76" s="2"/>
      <c r="N76" s="2"/>
      <c r="O76" s="2"/>
      <c r="P76" s="2"/>
      <c r="Q76" s="2" t="s">
        <v>132</v>
      </c>
      <c r="R76" s="2"/>
      <c r="S76" s="2"/>
      <c r="T76" s="2"/>
      <c r="U76" s="2"/>
      <c r="V76" s="2"/>
      <c r="W76" s="2"/>
      <c r="X76" s="2"/>
    </row>
    <row r="77" ht="15.75" customHeight="1">
      <c r="D77" s="149"/>
      <c r="H77" s="150"/>
    </row>
    <row r="78" ht="15.75" customHeight="1">
      <c r="D78" s="149"/>
      <c r="H78" s="151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</row>
    <row r="79" ht="15.75" customHeight="1">
      <c r="D79" s="149"/>
      <c r="H79" s="152"/>
      <c r="I79" s="153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</row>
    <row r="80" ht="15.75" customHeight="1">
      <c r="D80" s="149"/>
      <c r="H80" s="155"/>
    </row>
    <row r="81" ht="15.75" customHeight="1">
      <c r="D81" s="149"/>
      <c r="H81" s="156"/>
    </row>
    <row r="82" ht="15.75" customHeight="1">
      <c r="D82" s="149"/>
      <c r="H82" s="3"/>
    </row>
    <row r="83" ht="15.75" customHeight="1">
      <c r="D83" s="149"/>
      <c r="H83" s="3"/>
    </row>
    <row r="84" ht="15.75" customHeight="1">
      <c r="D84" s="149"/>
      <c r="H84" s="3"/>
    </row>
    <row r="85" ht="15.75" customHeight="1">
      <c r="D85" s="149"/>
      <c r="H85" s="3"/>
    </row>
    <row r="86" ht="15.75" customHeight="1">
      <c r="D86" s="149"/>
      <c r="H86" s="3"/>
    </row>
    <row r="87" ht="15.75" customHeight="1">
      <c r="D87" s="149"/>
      <c r="H87" s="3"/>
    </row>
    <row r="88" ht="15.75" customHeight="1">
      <c r="D88" s="149"/>
      <c r="H88" s="3"/>
    </row>
    <row r="89" ht="15.75" customHeight="1">
      <c r="D89" s="149"/>
      <c r="H89" s="3"/>
    </row>
    <row r="90" ht="15.75" customHeight="1">
      <c r="D90" s="149"/>
      <c r="H90" s="3"/>
    </row>
    <row r="91" ht="15.75" customHeight="1">
      <c r="D91" s="149"/>
      <c r="H91" s="3"/>
    </row>
    <row r="92" ht="15.75" customHeight="1">
      <c r="D92" s="149"/>
      <c r="H92" s="3"/>
    </row>
    <row r="93" ht="15.75" customHeight="1">
      <c r="D93" s="149"/>
      <c r="H93" s="3"/>
    </row>
    <row r="94" ht="15.75" customHeight="1">
      <c r="D94" s="149"/>
      <c r="H94" s="3"/>
    </row>
    <row r="95" ht="15.75" customHeight="1">
      <c r="D95" s="149"/>
      <c r="H95" s="3"/>
    </row>
    <row r="96" ht="15.75" customHeight="1">
      <c r="D96" s="149"/>
      <c r="H96" s="3"/>
    </row>
    <row r="97" ht="15.75" customHeight="1">
      <c r="D97" s="149"/>
      <c r="H97" s="3"/>
    </row>
    <row r="98" ht="15.75" customHeight="1">
      <c r="D98" s="149"/>
      <c r="H98" s="3"/>
    </row>
    <row r="99" ht="15.75" customHeight="1">
      <c r="D99" s="149"/>
      <c r="H99" s="3"/>
    </row>
    <row r="100" ht="15.75" customHeight="1">
      <c r="D100" s="149"/>
      <c r="H100" s="3"/>
    </row>
    <row r="101" ht="15.75" customHeight="1">
      <c r="D101" s="149"/>
      <c r="H101" s="3"/>
    </row>
    <row r="102" ht="15.75" customHeight="1">
      <c r="D102" s="149"/>
      <c r="H102" s="3"/>
    </row>
    <row r="103" ht="15.75" customHeight="1">
      <c r="D103" s="149"/>
      <c r="H103" s="3"/>
    </row>
    <row r="104" ht="15.75" customHeight="1">
      <c r="D104" s="149"/>
      <c r="H104" s="3"/>
    </row>
    <row r="105" ht="15.75" customHeight="1">
      <c r="D105" s="149"/>
      <c r="H105" s="3"/>
    </row>
    <row r="106" ht="15.75" customHeight="1">
      <c r="D106" s="149"/>
      <c r="H106" s="3"/>
    </row>
    <row r="107" ht="15.75" customHeight="1">
      <c r="D107" s="149"/>
      <c r="H107" s="3"/>
    </row>
    <row r="108" ht="15.75" customHeight="1">
      <c r="D108" s="149"/>
      <c r="H108" s="3"/>
    </row>
    <row r="109" ht="15.75" customHeight="1">
      <c r="D109" s="149"/>
      <c r="H109" s="3"/>
    </row>
    <row r="110" ht="15.75" customHeight="1">
      <c r="D110" s="149"/>
      <c r="H110" s="3"/>
    </row>
    <row r="111" ht="15.75" customHeight="1">
      <c r="D111" s="149"/>
      <c r="H111" s="3"/>
    </row>
    <row r="112" ht="15.75" customHeight="1">
      <c r="D112" s="149"/>
      <c r="H112" s="3"/>
    </row>
    <row r="113" ht="15.75" customHeight="1">
      <c r="D113" s="149"/>
      <c r="H113" s="3"/>
    </row>
    <row r="114" ht="15.75" customHeight="1">
      <c r="D114" s="149"/>
      <c r="H114" s="3"/>
    </row>
    <row r="115" ht="15.75" customHeight="1">
      <c r="D115" s="149"/>
      <c r="H115" s="3"/>
    </row>
    <row r="116" ht="15.75" customHeight="1">
      <c r="D116" s="149"/>
      <c r="H116" s="3"/>
    </row>
    <row r="117" ht="15.75" customHeight="1">
      <c r="D117" s="149"/>
      <c r="H117" s="3"/>
    </row>
    <row r="118" ht="15.75" customHeight="1">
      <c r="D118" s="149"/>
      <c r="H118" s="3"/>
    </row>
    <row r="119" ht="15.75" customHeight="1">
      <c r="D119" s="149"/>
      <c r="H119" s="3"/>
    </row>
    <row r="120" ht="15.75" customHeight="1">
      <c r="D120" s="149"/>
      <c r="H120" s="3"/>
    </row>
    <row r="121" ht="15.75" customHeight="1">
      <c r="D121" s="149"/>
      <c r="H121" s="3"/>
    </row>
    <row r="122" ht="15.75" customHeight="1">
      <c r="D122" s="149"/>
      <c r="H122" s="3"/>
    </row>
    <row r="123" ht="15.75" customHeight="1">
      <c r="D123" s="149"/>
      <c r="H123" s="3"/>
    </row>
    <row r="124" ht="15.75" customHeight="1">
      <c r="D124" s="149"/>
      <c r="H124" s="3"/>
    </row>
    <row r="125" ht="15.75" customHeight="1">
      <c r="D125" s="149"/>
      <c r="H125" s="3"/>
    </row>
    <row r="126" ht="15.75" customHeight="1">
      <c r="D126" s="149"/>
      <c r="H126" s="3"/>
    </row>
    <row r="127" ht="15.75" customHeight="1">
      <c r="D127" s="149"/>
      <c r="H127" s="3"/>
    </row>
    <row r="128" ht="15.75" customHeight="1">
      <c r="D128" s="149"/>
      <c r="H128" s="3"/>
    </row>
    <row r="129" ht="15.75" customHeight="1">
      <c r="D129" s="149"/>
      <c r="H129" s="3"/>
    </row>
    <row r="130" ht="15.75" customHeight="1">
      <c r="D130" s="149"/>
      <c r="H130" s="3"/>
    </row>
    <row r="131" ht="15.75" customHeight="1">
      <c r="D131" s="149"/>
      <c r="H131" s="3"/>
    </row>
    <row r="132" ht="15.75" customHeight="1">
      <c r="D132" s="149"/>
      <c r="H132" s="3"/>
    </row>
    <row r="133" ht="15.75" customHeight="1">
      <c r="D133" s="149"/>
      <c r="H133" s="3"/>
    </row>
    <row r="134" ht="15.75" customHeight="1">
      <c r="D134" s="149"/>
      <c r="H134" s="3"/>
    </row>
    <row r="135" ht="15.75" customHeight="1">
      <c r="D135" s="149"/>
      <c r="H135" s="3"/>
    </row>
    <row r="136" ht="15.75" customHeight="1">
      <c r="D136" s="149"/>
      <c r="H136" s="3"/>
    </row>
    <row r="137" ht="15.75" customHeight="1">
      <c r="D137" s="149"/>
      <c r="H137" s="3"/>
    </row>
    <row r="138" ht="15.75" customHeight="1">
      <c r="D138" s="149"/>
      <c r="H138" s="3"/>
    </row>
    <row r="139" ht="15.75" customHeight="1">
      <c r="D139" s="149"/>
      <c r="H139" s="3"/>
    </row>
    <row r="140" ht="15.75" customHeight="1">
      <c r="D140" s="149"/>
      <c r="H140" s="3"/>
    </row>
    <row r="141" ht="15.75" customHeight="1">
      <c r="D141" s="149"/>
      <c r="H141" s="3"/>
    </row>
    <row r="142" ht="15.75" customHeight="1">
      <c r="D142" s="149"/>
      <c r="H142" s="3"/>
    </row>
    <row r="143" ht="15.75" customHeight="1">
      <c r="D143" s="149"/>
      <c r="H143" s="3"/>
    </row>
    <row r="144" ht="15.75" customHeight="1">
      <c r="D144" s="149"/>
      <c r="H144" s="3"/>
    </row>
    <row r="145" ht="15.75" customHeight="1">
      <c r="D145" s="149"/>
      <c r="H145" s="3"/>
    </row>
    <row r="146" ht="15.75" customHeight="1">
      <c r="D146" s="149"/>
      <c r="H146" s="3"/>
    </row>
    <row r="147" ht="15.75" customHeight="1">
      <c r="D147" s="149"/>
      <c r="H147" s="3"/>
    </row>
    <row r="148" ht="15.75" customHeight="1">
      <c r="D148" s="149"/>
      <c r="H148" s="3"/>
    </row>
    <row r="149" ht="15.75" customHeight="1">
      <c r="D149" s="149"/>
      <c r="H149" s="3"/>
    </row>
    <row r="150" ht="15.75" customHeight="1">
      <c r="D150" s="149"/>
      <c r="H150" s="3"/>
    </row>
    <row r="151" ht="15.75" customHeight="1">
      <c r="D151" s="149"/>
      <c r="H151" s="3"/>
    </row>
    <row r="152" ht="15.75" customHeight="1">
      <c r="D152" s="149"/>
      <c r="H152" s="3"/>
    </row>
    <row r="153" ht="15.75" customHeight="1">
      <c r="D153" s="149"/>
      <c r="H153" s="3"/>
    </row>
    <row r="154" ht="15.75" customHeight="1">
      <c r="D154" s="149"/>
      <c r="H154" s="3"/>
    </row>
    <row r="155" ht="15.75" customHeight="1">
      <c r="D155" s="149"/>
      <c r="H155" s="3"/>
    </row>
    <row r="156" ht="15.75" customHeight="1">
      <c r="D156" s="149"/>
      <c r="H156" s="3"/>
    </row>
    <row r="157" ht="15.75" customHeight="1">
      <c r="D157" s="149"/>
      <c r="H157" s="3"/>
    </row>
    <row r="158" ht="15.75" customHeight="1">
      <c r="D158" s="149"/>
      <c r="H158" s="3"/>
    </row>
    <row r="159" ht="15.75" customHeight="1">
      <c r="D159" s="149"/>
      <c r="H159" s="3"/>
    </row>
    <row r="160" ht="15.75" customHeight="1">
      <c r="D160" s="149"/>
      <c r="H160" s="3"/>
    </row>
    <row r="161" ht="15.75" customHeight="1">
      <c r="D161" s="149"/>
      <c r="H161" s="3"/>
    </row>
    <row r="162" ht="15.75" customHeight="1">
      <c r="D162" s="149"/>
      <c r="H162" s="3"/>
    </row>
    <row r="163" ht="15.75" customHeight="1">
      <c r="D163" s="149"/>
      <c r="H163" s="3"/>
    </row>
    <row r="164" ht="15.75" customHeight="1">
      <c r="D164" s="149"/>
      <c r="H164" s="3"/>
    </row>
    <row r="165" ht="15.75" customHeight="1">
      <c r="D165" s="149"/>
      <c r="H165" s="3"/>
    </row>
    <row r="166" ht="15.75" customHeight="1">
      <c r="D166" s="149"/>
      <c r="H166" s="3"/>
    </row>
    <row r="167" ht="15.75" customHeight="1">
      <c r="D167" s="149"/>
      <c r="H167" s="3"/>
    </row>
    <row r="168" ht="15.75" customHeight="1">
      <c r="D168" s="149"/>
      <c r="H168" s="3"/>
    </row>
    <row r="169" ht="15.75" customHeight="1">
      <c r="D169" s="149"/>
      <c r="H169" s="3"/>
    </row>
    <row r="170" ht="15.75" customHeight="1">
      <c r="D170" s="149"/>
      <c r="H170" s="3"/>
    </row>
    <row r="171" ht="15.75" customHeight="1">
      <c r="D171" s="149"/>
      <c r="H171" s="3"/>
    </row>
    <row r="172" ht="15.75" customHeight="1">
      <c r="D172" s="149"/>
      <c r="H172" s="3"/>
    </row>
    <row r="173" ht="15.75" customHeight="1">
      <c r="D173" s="149"/>
      <c r="H173" s="3"/>
    </row>
    <row r="174" ht="15.75" customHeight="1">
      <c r="D174" s="149"/>
      <c r="H174" s="3"/>
    </row>
    <row r="175" ht="15.75" customHeight="1">
      <c r="D175" s="149"/>
      <c r="H175" s="3"/>
    </row>
    <row r="176" ht="15.75" customHeight="1">
      <c r="D176" s="149"/>
      <c r="H176" s="3"/>
    </row>
    <row r="177" ht="15.75" customHeight="1">
      <c r="D177" s="149"/>
      <c r="H177" s="3"/>
    </row>
    <row r="178" ht="15.75" customHeight="1">
      <c r="D178" s="149"/>
      <c r="H178" s="3"/>
    </row>
    <row r="179" ht="15.75" customHeight="1">
      <c r="D179" s="149"/>
      <c r="H179" s="3"/>
    </row>
    <row r="180" ht="15.75" customHeight="1">
      <c r="D180" s="149"/>
      <c r="H180" s="3"/>
    </row>
    <row r="181" ht="15.75" customHeight="1">
      <c r="D181" s="149"/>
      <c r="H181" s="3"/>
    </row>
    <row r="182" ht="15.75" customHeight="1">
      <c r="D182" s="149"/>
      <c r="H182" s="3"/>
    </row>
    <row r="183" ht="15.75" customHeight="1">
      <c r="D183" s="149"/>
      <c r="H183" s="3"/>
    </row>
    <row r="184" ht="15.75" customHeight="1">
      <c r="D184" s="149"/>
      <c r="H184" s="3"/>
    </row>
    <row r="185" ht="15.75" customHeight="1">
      <c r="D185" s="149"/>
      <c r="H185" s="3"/>
    </row>
    <row r="186" ht="15.75" customHeight="1">
      <c r="D186" s="149"/>
      <c r="H186" s="3"/>
    </row>
    <row r="187" ht="15.75" customHeight="1">
      <c r="D187" s="149"/>
      <c r="H187" s="3"/>
    </row>
    <row r="188" ht="15.75" customHeight="1">
      <c r="D188" s="149"/>
      <c r="H188" s="3"/>
    </row>
    <row r="189" ht="15.75" customHeight="1">
      <c r="D189" s="149"/>
      <c r="H189" s="3"/>
    </row>
    <row r="190" ht="15.75" customHeight="1">
      <c r="D190" s="149"/>
      <c r="H190" s="3"/>
    </row>
    <row r="191" ht="15.75" customHeight="1">
      <c r="D191" s="149"/>
      <c r="H191" s="3"/>
    </row>
    <row r="192" ht="15.75" customHeight="1">
      <c r="D192" s="149"/>
      <c r="H192" s="3"/>
    </row>
    <row r="193" ht="15.75" customHeight="1">
      <c r="D193" s="149"/>
      <c r="H193" s="3"/>
    </row>
    <row r="194" ht="15.75" customHeight="1">
      <c r="D194" s="149"/>
      <c r="H194" s="3"/>
    </row>
    <row r="195" ht="15.75" customHeight="1">
      <c r="D195" s="149"/>
      <c r="H195" s="3"/>
    </row>
    <row r="196" ht="15.75" customHeight="1">
      <c r="D196" s="149"/>
      <c r="H196" s="3"/>
    </row>
    <row r="197" ht="15.75" customHeight="1">
      <c r="D197" s="149"/>
      <c r="H197" s="3"/>
    </row>
    <row r="198" ht="15.75" customHeight="1">
      <c r="D198" s="149"/>
      <c r="H198" s="3"/>
    </row>
    <row r="199" ht="15.75" customHeight="1">
      <c r="D199" s="149"/>
      <c r="H199" s="3"/>
    </row>
    <row r="200" ht="15.75" customHeight="1">
      <c r="D200" s="149"/>
      <c r="H200" s="3"/>
    </row>
    <row r="201" ht="15.75" customHeight="1">
      <c r="D201" s="149"/>
      <c r="H201" s="3"/>
    </row>
    <row r="202" ht="15.75" customHeight="1">
      <c r="D202" s="149"/>
      <c r="H202" s="3"/>
    </row>
    <row r="203" ht="15.75" customHeight="1">
      <c r="D203" s="149"/>
      <c r="H203" s="3"/>
    </row>
    <row r="204" ht="15.75" customHeight="1">
      <c r="D204" s="149"/>
      <c r="H204" s="3"/>
    </row>
    <row r="205" ht="15.75" customHeight="1">
      <c r="D205" s="149"/>
      <c r="H205" s="3"/>
    </row>
    <row r="206" ht="15.75" customHeight="1">
      <c r="D206" s="149"/>
      <c r="H206" s="3"/>
    </row>
    <row r="207" ht="15.75" customHeight="1">
      <c r="D207" s="149"/>
      <c r="H207" s="3"/>
    </row>
    <row r="208" ht="15.75" customHeight="1">
      <c r="D208" s="149"/>
      <c r="H208" s="3"/>
    </row>
    <row r="209" ht="15.75" customHeight="1">
      <c r="D209" s="149"/>
      <c r="H209" s="3"/>
    </row>
    <row r="210" ht="15.75" customHeight="1">
      <c r="D210" s="149"/>
      <c r="H210" s="3"/>
    </row>
    <row r="211" ht="15.75" customHeight="1">
      <c r="D211" s="149"/>
      <c r="H211" s="3"/>
    </row>
    <row r="212" ht="15.75" customHeight="1">
      <c r="D212" s="149"/>
      <c r="H212" s="3"/>
    </row>
    <row r="213" ht="15.75" customHeight="1">
      <c r="D213" s="149"/>
      <c r="H213" s="3"/>
    </row>
    <row r="214" ht="15.75" customHeight="1">
      <c r="D214" s="149"/>
      <c r="H214" s="3"/>
    </row>
    <row r="215" ht="15.75" customHeight="1">
      <c r="D215" s="149"/>
      <c r="H215" s="3"/>
    </row>
    <row r="216" ht="15.75" customHeight="1">
      <c r="D216" s="149"/>
      <c r="H216" s="3"/>
    </row>
    <row r="217" ht="15.75" customHeight="1">
      <c r="D217" s="149"/>
      <c r="H217" s="3"/>
    </row>
    <row r="218" ht="15.75" customHeight="1">
      <c r="D218" s="149"/>
      <c r="H218" s="3"/>
    </row>
    <row r="219" ht="15.75" customHeight="1">
      <c r="D219" s="149"/>
      <c r="H219" s="3"/>
    </row>
    <row r="220" ht="15.75" customHeight="1">
      <c r="D220" s="149"/>
      <c r="H220" s="3"/>
    </row>
    <row r="221" ht="15.75" customHeight="1">
      <c r="D221" s="149"/>
      <c r="H221" s="3"/>
    </row>
    <row r="222" ht="15.75" customHeight="1">
      <c r="D222" s="149"/>
      <c r="H222" s="3"/>
    </row>
    <row r="223" ht="15.75" customHeight="1">
      <c r="D223" s="149"/>
      <c r="H223" s="3"/>
    </row>
    <row r="224" ht="15.75" customHeight="1">
      <c r="D224" s="149"/>
      <c r="H224" s="3"/>
    </row>
    <row r="225" ht="15.75" customHeight="1">
      <c r="D225" s="149"/>
      <c r="H225" s="3"/>
    </row>
    <row r="226" ht="15.75" customHeight="1">
      <c r="D226" s="149"/>
      <c r="H226" s="3"/>
    </row>
    <row r="227" ht="15.75" customHeight="1">
      <c r="D227" s="149"/>
      <c r="H227" s="3"/>
    </row>
    <row r="228" ht="15.75" customHeight="1">
      <c r="D228" s="149"/>
      <c r="H228" s="3"/>
    </row>
    <row r="229" ht="15.75" customHeight="1">
      <c r="D229" s="149"/>
      <c r="H229" s="3"/>
    </row>
    <row r="230" ht="15.75" customHeight="1">
      <c r="D230" s="149"/>
      <c r="H230" s="3"/>
    </row>
    <row r="231" ht="15.75" customHeight="1">
      <c r="D231" s="149"/>
      <c r="H231" s="3"/>
    </row>
    <row r="232" ht="15.75" customHeight="1">
      <c r="D232" s="149"/>
      <c r="H232" s="3"/>
    </row>
    <row r="233" ht="15.75" customHeight="1">
      <c r="D233" s="149"/>
      <c r="H233" s="3"/>
    </row>
    <row r="234" ht="15.75" customHeight="1">
      <c r="D234" s="149"/>
      <c r="H234" s="3"/>
    </row>
    <row r="235" ht="15.75" customHeight="1">
      <c r="D235" s="149"/>
      <c r="H235" s="3"/>
    </row>
    <row r="236" ht="15.75" customHeight="1">
      <c r="D236" s="149"/>
      <c r="H236" s="3"/>
    </row>
    <row r="237" ht="15.75" customHeight="1">
      <c r="D237" s="149"/>
      <c r="H237" s="3"/>
    </row>
    <row r="238" ht="15.75" customHeight="1">
      <c r="D238" s="149"/>
      <c r="H238" s="3"/>
    </row>
    <row r="239" ht="15.75" customHeight="1">
      <c r="D239" s="149"/>
      <c r="H239" s="3"/>
    </row>
    <row r="240" ht="15.75" customHeight="1">
      <c r="D240" s="149"/>
      <c r="H240" s="3"/>
    </row>
    <row r="241" ht="15.75" customHeight="1">
      <c r="D241" s="149"/>
      <c r="H241" s="3"/>
    </row>
    <row r="242" ht="15.75" customHeight="1">
      <c r="D242" s="149"/>
      <c r="H242" s="3"/>
    </row>
    <row r="243" ht="15.75" customHeight="1">
      <c r="D243" s="149"/>
      <c r="H243" s="3"/>
    </row>
    <row r="244" ht="15.75" customHeight="1">
      <c r="D244" s="149"/>
      <c r="H244" s="3"/>
    </row>
    <row r="245" ht="15.75" customHeight="1">
      <c r="D245" s="149"/>
      <c r="H245" s="3"/>
    </row>
    <row r="246" ht="15.75" customHeight="1">
      <c r="D246" s="149"/>
      <c r="H246" s="3"/>
    </row>
    <row r="247" ht="15.75" customHeight="1">
      <c r="D247" s="149"/>
      <c r="H247" s="3"/>
    </row>
    <row r="248" ht="15.75" customHeight="1">
      <c r="D248" s="149"/>
      <c r="H248" s="3"/>
    </row>
    <row r="249" ht="15.75" customHeight="1">
      <c r="D249" s="149"/>
      <c r="H249" s="3"/>
    </row>
    <row r="250" ht="15.75" customHeight="1">
      <c r="D250" s="149"/>
      <c r="H250" s="3"/>
    </row>
    <row r="251" ht="15.75" customHeight="1">
      <c r="D251" s="149"/>
      <c r="H251" s="3"/>
    </row>
    <row r="252" ht="15.75" customHeight="1">
      <c r="D252" s="149"/>
      <c r="H252" s="3"/>
    </row>
    <row r="253" ht="15.75" customHeight="1">
      <c r="D253" s="149"/>
      <c r="H253" s="3"/>
    </row>
    <row r="254" ht="15.75" customHeight="1">
      <c r="D254" s="149"/>
      <c r="H254" s="3"/>
    </row>
    <row r="255" ht="15.75" customHeight="1">
      <c r="D255" s="149"/>
      <c r="H255" s="3"/>
    </row>
    <row r="256" ht="15.75" customHeight="1">
      <c r="D256" s="149"/>
      <c r="H256" s="3"/>
    </row>
    <row r="257" ht="15.75" customHeight="1">
      <c r="D257" s="149"/>
      <c r="H257" s="3"/>
    </row>
    <row r="258" ht="15.75" customHeight="1">
      <c r="D258" s="149"/>
      <c r="H258" s="3"/>
    </row>
    <row r="259" ht="15.75" customHeight="1">
      <c r="D259" s="149"/>
      <c r="H259" s="3"/>
    </row>
    <row r="260" ht="15.75" customHeight="1">
      <c r="D260" s="149"/>
      <c r="H260" s="3"/>
    </row>
    <row r="261" ht="15.75" customHeight="1">
      <c r="D261" s="149"/>
      <c r="H261" s="3"/>
    </row>
    <row r="262" ht="15.75" customHeight="1">
      <c r="D262" s="149"/>
      <c r="H262" s="3"/>
    </row>
    <row r="263" ht="15.75" customHeight="1">
      <c r="D263" s="149"/>
      <c r="H263" s="3"/>
    </row>
    <row r="264" ht="15.75" customHeight="1">
      <c r="D264" s="149"/>
      <c r="H264" s="3"/>
    </row>
    <row r="265" ht="15.75" customHeight="1">
      <c r="D265" s="149"/>
      <c r="H265" s="3"/>
    </row>
    <row r="266" ht="15.75" customHeight="1">
      <c r="D266" s="149"/>
      <c r="H266" s="3"/>
    </row>
    <row r="267" ht="15.75" customHeight="1">
      <c r="D267" s="149"/>
      <c r="H267" s="3"/>
    </row>
    <row r="268" ht="15.75" customHeight="1">
      <c r="D268" s="149"/>
      <c r="H268" s="3"/>
    </row>
    <row r="269" ht="15.75" customHeight="1">
      <c r="D269" s="149"/>
      <c r="H269" s="3"/>
    </row>
    <row r="270" ht="15.75" customHeight="1">
      <c r="D270" s="149"/>
      <c r="H270" s="3"/>
    </row>
    <row r="271" ht="15.75" customHeight="1">
      <c r="D271" s="149"/>
      <c r="H271" s="3"/>
    </row>
    <row r="272" ht="15.75" customHeight="1">
      <c r="D272" s="149"/>
      <c r="H272" s="3"/>
    </row>
    <row r="273" ht="15.75" customHeight="1">
      <c r="D273" s="149"/>
      <c r="H273" s="3"/>
    </row>
    <row r="274" ht="15.75" customHeight="1">
      <c r="D274" s="149"/>
      <c r="H274" s="3"/>
    </row>
    <row r="275" ht="15.75" customHeight="1">
      <c r="D275" s="149"/>
      <c r="H275" s="3"/>
    </row>
    <row r="276" ht="15.75" customHeight="1">
      <c r="D276" s="149"/>
      <c r="H276" s="3"/>
    </row>
    <row r="277" ht="15.75" customHeight="1">
      <c r="H277" s="3"/>
    </row>
    <row r="278" ht="15.75" customHeight="1">
      <c r="H278" s="3"/>
    </row>
    <row r="279" ht="15.75" customHeight="1">
      <c r="H279" s="3"/>
    </row>
    <row r="280" ht="15.75" customHeight="1">
      <c r="H280" s="3"/>
    </row>
    <row r="281" ht="15.75" customHeight="1">
      <c r="H281" s="3"/>
    </row>
    <row r="282" ht="15.75" customHeight="1">
      <c r="H282" s="3"/>
    </row>
    <row r="283" ht="15.75" customHeight="1">
      <c r="H283" s="3"/>
    </row>
    <row r="284" ht="15.75" customHeight="1">
      <c r="H284" s="3"/>
    </row>
    <row r="285" ht="15.75" customHeight="1">
      <c r="H285" s="3"/>
    </row>
    <row r="286" ht="15.75" customHeight="1">
      <c r="H286" s="3"/>
    </row>
    <row r="287" ht="15.75" customHeight="1">
      <c r="H287" s="3"/>
    </row>
    <row r="288" ht="15.75" customHeight="1">
      <c r="H288" s="3"/>
    </row>
    <row r="289" ht="15.75" customHeight="1">
      <c r="H289" s="3"/>
    </row>
    <row r="290" ht="15.75" customHeight="1">
      <c r="H290" s="3"/>
    </row>
    <row r="291" ht="15.75" customHeight="1">
      <c r="H291" s="3"/>
    </row>
    <row r="292" ht="15.75" customHeight="1">
      <c r="H292" s="3"/>
    </row>
    <row r="293" ht="15.75" customHeight="1">
      <c r="H293" s="3"/>
    </row>
    <row r="294" ht="15.75" customHeight="1">
      <c r="H294" s="3"/>
    </row>
    <row r="295" ht="15.75" customHeight="1">
      <c r="H295" s="3"/>
    </row>
    <row r="296" ht="15.75" customHeight="1">
      <c r="H296" s="3"/>
    </row>
    <row r="297" ht="15.75" customHeight="1">
      <c r="H297" s="3"/>
    </row>
    <row r="298" ht="15.75" customHeight="1">
      <c r="H298" s="3"/>
    </row>
    <row r="299" ht="15.75" customHeight="1">
      <c r="H299" s="3"/>
    </row>
    <row r="300" ht="15.75" customHeight="1">
      <c r="H300" s="3"/>
    </row>
    <row r="301" ht="15.75" customHeight="1">
      <c r="H301" s="3"/>
    </row>
    <row r="302" ht="15.75" customHeight="1">
      <c r="H302" s="3"/>
    </row>
    <row r="303" ht="15.75" customHeight="1">
      <c r="H303" s="3"/>
    </row>
    <row r="304" ht="15.75" customHeight="1">
      <c r="H304" s="3"/>
    </row>
    <row r="305" ht="15.75" customHeight="1">
      <c r="H305" s="3"/>
    </row>
    <row r="306" ht="15.75" customHeight="1">
      <c r="H306" s="3"/>
    </row>
    <row r="307" ht="15.75" customHeight="1">
      <c r="H307" s="3"/>
    </row>
    <row r="308" ht="15.75" customHeight="1">
      <c r="H308" s="3"/>
    </row>
    <row r="309" ht="15.75" customHeight="1">
      <c r="H309" s="3"/>
    </row>
    <row r="310" ht="15.75" customHeight="1">
      <c r="H310" s="3"/>
    </row>
    <row r="311" ht="15.75" customHeight="1">
      <c r="H311" s="3"/>
    </row>
    <row r="312" ht="15.75" customHeight="1">
      <c r="H312" s="3"/>
    </row>
    <row r="313" ht="15.75" customHeight="1">
      <c r="H313" s="3"/>
    </row>
    <row r="314" ht="15.75" customHeight="1">
      <c r="H314" s="3"/>
    </row>
    <row r="315" ht="15.75" customHeight="1">
      <c r="H315" s="3"/>
    </row>
    <row r="316" ht="15.75" customHeight="1">
      <c r="H316" s="3"/>
    </row>
    <row r="317" ht="15.75" customHeight="1">
      <c r="H317" s="3"/>
    </row>
    <row r="318" ht="15.75" customHeight="1">
      <c r="H318" s="3"/>
    </row>
    <row r="319" ht="15.75" customHeight="1">
      <c r="H319" s="3"/>
    </row>
    <row r="320" ht="15.75" customHeight="1">
      <c r="H320" s="3"/>
    </row>
    <row r="321" ht="15.75" customHeight="1">
      <c r="H321" s="3"/>
    </row>
    <row r="322" ht="15.75" customHeight="1">
      <c r="H322" s="3"/>
    </row>
    <row r="323" ht="15.75" customHeight="1">
      <c r="H323" s="3"/>
    </row>
    <row r="324" ht="15.75" customHeight="1">
      <c r="H324" s="3"/>
    </row>
    <row r="325" ht="15.75" customHeight="1">
      <c r="H325" s="3"/>
    </row>
    <row r="326" ht="15.75" customHeight="1">
      <c r="H326" s="3"/>
    </row>
    <row r="327" ht="15.75" customHeight="1">
      <c r="H327" s="3"/>
    </row>
    <row r="328" ht="15.75" customHeight="1">
      <c r="H328" s="3"/>
    </row>
    <row r="329" ht="15.75" customHeight="1">
      <c r="H329" s="3"/>
    </row>
    <row r="330" ht="15.75" customHeight="1">
      <c r="H330" s="3"/>
    </row>
    <row r="331" ht="15.75" customHeight="1">
      <c r="H331" s="3"/>
    </row>
    <row r="332" ht="15.75" customHeight="1">
      <c r="H332" s="3"/>
    </row>
    <row r="333" ht="15.75" customHeight="1">
      <c r="H333" s="3"/>
    </row>
    <row r="334" ht="15.75" customHeight="1">
      <c r="H334" s="3"/>
    </row>
    <row r="335" ht="15.75" customHeight="1">
      <c r="H335" s="3"/>
    </row>
    <row r="336" ht="15.75" customHeight="1">
      <c r="H336" s="3"/>
    </row>
    <row r="337" ht="15.75" customHeight="1">
      <c r="H337" s="3"/>
    </row>
    <row r="338" ht="15.75" customHeight="1">
      <c r="H338" s="3"/>
    </row>
    <row r="339" ht="15.75" customHeight="1">
      <c r="H339" s="3"/>
    </row>
    <row r="340" ht="15.75" customHeight="1">
      <c r="H340" s="3"/>
    </row>
    <row r="341" ht="15.75" customHeight="1">
      <c r="H341" s="3"/>
    </row>
    <row r="342" ht="15.75" customHeight="1">
      <c r="H342" s="3"/>
    </row>
    <row r="343" ht="15.75" customHeight="1">
      <c r="H343" s="3"/>
    </row>
    <row r="344" ht="15.75" customHeight="1">
      <c r="H344" s="3"/>
    </row>
    <row r="345" ht="15.75" customHeight="1">
      <c r="H345" s="3"/>
    </row>
    <row r="346" ht="15.75" customHeight="1">
      <c r="H346" s="3"/>
    </row>
    <row r="347" ht="15.75" customHeight="1">
      <c r="H347" s="3"/>
    </row>
    <row r="348" ht="15.75" customHeight="1">
      <c r="H348" s="3"/>
    </row>
    <row r="349" ht="15.75" customHeight="1">
      <c r="H349" s="3"/>
    </row>
    <row r="350" ht="15.75" customHeight="1">
      <c r="H350" s="3"/>
    </row>
    <row r="351" ht="15.75" customHeight="1">
      <c r="H351" s="3"/>
    </row>
    <row r="352" ht="15.75" customHeight="1">
      <c r="H352" s="3"/>
    </row>
    <row r="353" ht="15.75" customHeight="1">
      <c r="H353" s="3"/>
    </row>
    <row r="354" ht="15.75" customHeight="1">
      <c r="H354" s="3"/>
    </row>
    <row r="355" ht="15.75" customHeight="1">
      <c r="H355" s="3"/>
    </row>
    <row r="356" ht="15.75" customHeight="1">
      <c r="H356" s="3"/>
    </row>
    <row r="357" ht="15.75" customHeight="1">
      <c r="H357" s="3"/>
    </row>
    <row r="358" ht="15.75" customHeight="1">
      <c r="H358" s="3"/>
    </row>
    <row r="359" ht="15.75" customHeight="1">
      <c r="H359" s="3"/>
    </row>
    <row r="360" ht="15.75" customHeight="1">
      <c r="H360" s="3"/>
    </row>
    <row r="361" ht="15.75" customHeight="1">
      <c r="H361" s="3"/>
    </row>
    <row r="362" ht="15.75" customHeight="1">
      <c r="H362" s="3"/>
    </row>
    <row r="363" ht="15.75" customHeight="1">
      <c r="H363" s="3"/>
    </row>
    <row r="364" ht="15.75" customHeight="1">
      <c r="H364" s="3"/>
    </row>
    <row r="365" ht="15.75" customHeight="1">
      <c r="H365" s="3"/>
    </row>
    <row r="366" ht="15.75" customHeight="1">
      <c r="H366" s="3"/>
    </row>
    <row r="367" ht="15.75" customHeight="1">
      <c r="H367" s="3"/>
    </row>
    <row r="368" ht="15.75" customHeight="1">
      <c r="H368" s="3"/>
    </row>
    <row r="369" ht="15.75" customHeight="1">
      <c r="H369" s="3"/>
    </row>
    <row r="370" ht="15.75" customHeight="1">
      <c r="H370" s="3"/>
    </row>
    <row r="371" ht="15.75" customHeight="1">
      <c r="H371" s="3"/>
    </row>
    <row r="372" ht="15.75" customHeight="1">
      <c r="H372" s="3"/>
    </row>
    <row r="373" ht="15.75" customHeight="1">
      <c r="H373" s="3"/>
    </row>
    <row r="374" ht="15.75" customHeight="1">
      <c r="H374" s="3"/>
    </row>
    <row r="375" ht="15.75" customHeight="1">
      <c r="H375" s="3"/>
    </row>
    <row r="376" ht="15.75" customHeight="1">
      <c r="H376" s="3"/>
    </row>
    <row r="377" ht="15.75" customHeight="1">
      <c r="H377" s="3"/>
    </row>
    <row r="378" ht="15.75" customHeight="1">
      <c r="H378" s="3"/>
    </row>
    <row r="379" ht="15.75" customHeight="1">
      <c r="H379" s="3"/>
    </row>
    <row r="380" ht="15.75" customHeight="1">
      <c r="H380" s="3"/>
    </row>
    <row r="381" ht="15.75" customHeight="1">
      <c r="H381" s="3"/>
    </row>
    <row r="382" ht="15.75" customHeight="1">
      <c r="H382" s="3"/>
    </row>
    <row r="383" ht="15.75" customHeight="1">
      <c r="H383" s="3"/>
    </row>
    <row r="384" ht="15.75" customHeight="1">
      <c r="H384" s="3"/>
    </row>
    <row r="385" ht="15.75" customHeight="1">
      <c r="H385" s="3"/>
    </row>
    <row r="386" ht="15.75" customHeight="1">
      <c r="H386" s="3"/>
    </row>
    <row r="387" ht="15.75" customHeight="1">
      <c r="H387" s="3"/>
    </row>
    <row r="388" ht="15.75" customHeight="1">
      <c r="H388" s="3"/>
    </row>
    <row r="389" ht="15.75" customHeight="1">
      <c r="H389" s="3"/>
    </row>
    <row r="390" ht="15.75" customHeight="1">
      <c r="H390" s="3"/>
    </row>
    <row r="391" ht="15.75" customHeight="1">
      <c r="H391" s="3"/>
    </row>
    <row r="392" ht="15.75" customHeight="1">
      <c r="H392" s="3"/>
    </row>
    <row r="393" ht="15.75" customHeight="1">
      <c r="H393" s="3"/>
    </row>
    <row r="394" ht="15.75" customHeight="1">
      <c r="H394" s="3"/>
    </row>
    <row r="395" ht="15.75" customHeight="1">
      <c r="H395" s="3"/>
    </row>
    <row r="396" ht="15.75" customHeight="1">
      <c r="H396" s="3"/>
    </row>
    <row r="397" ht="15.75" customHeight="1">
      <c r="H397" s="3"/>
    </row>
    <row r="398" ht="15.75" customHeight="1">
      <c r="H398" s="3"/>
    </row>
    <row r="399" ht="15.75" customHeight="1">
      <c r="H399" s="3"/>
    </row>
    <row r="400" ht="15.75" customHeight="1">
      <c r="H400" s="3"/>
    </row>
    <row r="401" ht="15.75" customHeight="1">
      <c r="H401" s="3"/>
    </row>
    <row r="402" ht="15.75" customHeight="1">
      <c r="H402" s="3"/>
    </row>
    <row r="403" ht="15.75" customHeight="1">
      <c r="H403" s="3"/>
    </row>
    <row r="404" ht="15.75" customHeight="1">
      <c r="H404" s="3"/>
    </row>
    <row r="405" ht="15.75" customHeight="1">
      <c r="H405" s="3"/>
    </row>
    <row r="406" ht="15.75" customHeight="1">
      <c r="H406" s="3"/>
    </row>
    <row r="407" ht="15.75" customHeight="1">
      <c r="H407" s="3"/>
    </row>
    <row r="408" ht="15.75" customHeight="1">
      <c r="H408" s="3"/>
    </row>
    <row r="409" ht="15.75" customHeight="1">
      <c r="H409" s="3"/>
    </row>
    <row r="410" ht="15.75" customHeight="1">
      <c r="H410" s="3"/>
    </row>
    <row r="411" ht="15.75" customHeight="1">
      <c r="H411" s="3"/>
    </row>
    <row r="412" ht="15.75" customHeight="1">
      <c r="H412" s="3"/>
    </row>
    <row r="413" ht="15.75" customHeight="1">
      <c r="H413" s="3"/>
    </row>
    <row r="414" ht="15.75" customHeight="1">
      <c r="H414" s="3"/>
    </row>
    <row r="415" ht="15.75" customHeight="1">
      <c r="H415" s="3"/>
    </row>
    <row r="416" ht="15.75" customHeight="1">
      <c r="H416" s="3"/>
    </row>
    <row r="417" ht="15.75" customHeight="1">
      <c r="H417" s="3"/>
    </row>
    <row r="418" ht="15.75" customHeight="1">
      <c r="H418" s="3"/>
    </row>
    <row r="419" ht="15.75" customHeight="1">
      <c r="H419" s="3"/>
    </row>
    <row r="420" ht="15.75" customHeight="1">
      <c r="H420" s="3"/>
    </row>
    <row r="421" ht="15.75" customHeight="1">
      <c r="H421" s="3"/>
    </row>
    <row r="422" ht="15.75" customHeight="1">
      <c r="H422" s="3"/>
    </row>
    <row r="423" ht="15.75" customHeight="1">
      <c r="H423" s="3"/>
    </row>
    <row r="424" ht="15.75" customHeight="1">
      <c r="H424" s="3"/>
    </row>
    <row r="425" ht="15.75" customHeight="1">
      <c r="H425" s="3"/>
    </row>
    <row r="426" ht="15.75" customHeight="1">
      <c r="H426" s="3"/>
    </row>
    <row r="427" ht="15.75" customHeight="1">
      <c r="H427" s="3"/>
    </row>
    <row r="428" ht="15.75" customHeight="1">
      <c r="H428" s="3"/>
    </row>
    <row r="429" ht="15.75" customHeight="1">
      <c r="H429" s="3"/>
    </row>
    <row r="430" ht="15.75" customHeight="1">
      <c r="H430" s="3"/>
    </row>
    <row r="431" ht="15.75" customHeight="1">
      <c r="H431" s="3"/>
    </row>
    <row r="432" ht="15.75" customHeight="1">
      <c r="H432" s="3"/>
    </row>
    <row r="433" ht="15.75" customHeight="1">
      <c r="H433" s="3"/>
    </row>
    <row r="434" ht="15.75" customHeight="1">
      <c r="H434" s="3"/>
    </row>
    <row r="435" ht="15.75" customHeight="1">
      <c r="H435" s="3"/>
    </row>
    <row r="436" ht="15.75" customHeight="1">
      <c r="H436" s="3"/>
    </row>
    <row r="437" ht="15.75" customHeight="1">
      <c r="H437" s="3"/>
    </row>
    <row r="438" ht="15.75" customHeight="1">
      <c r="H438" s="3"/>
    </row>
    <row r="439" ht="15.75" customHeight="1">
      <c r="H439" s="3"/>
    </row>
    <row r="440" ht="15.75" customHeight="1">
      <c r="H440" s="3"/>
    </row>
    <row r="441" ht="15.75" customHeight="1">
      <c r="H441" s="3"/>
    </row>
    <row r="442" ht="15.75" customHeight="1">
      <c r="H442" s="3"/>
    </row>
    <row r="443" ht="15.75" customHeight="1">
      <c r="H443" s="3"/>
    </row>
    <row r="444" ht="15.75" customHeight="1">
      <c r="H444" s="3"/>
    </row>
    <row r="445" ht="15.75" customHeight="1">
      <c r="H445" s="3"/>
    </row>
    <row r="446" ht="15.75" customHeight="1">
      <c r="H446" s="3"/>
    </row>
    <row r="447" ht="15.75" customHeight="1">
      <c r="H447" s="3"/>
    </row>
    <row r="448" ht="15.75" customHeight="1">
      <c r="H448" s="3"/>
    </row>
    <row r="449" ht="15.75" customHeight="1">
      <c r="H449" s="3"/>
    </row>
    <row r="450" ht="15.75" customHeight="1">
      <c r="H450" s="3"/>
    </row>
    <row r="451" ht="15.75" customHeight="1">
      <c r="H451" s="3"/>
    </row>
    <row r="452" ht="15.75" customHeight="1">
      <c r="H452" s="3"/>
    </row>
    <row r="453" ht="15.75" customHeight="1">
      <c r="H453" s="3"/>
    </row>
    <row r="454" ht="15.75" customHeight="1">
      <c r="H454" s="3"/>
    </row>
    <row r="455" ht="15.75" customHeight="1">
      <c r="H455" s="3"/>
    </row>
    <row r="456" ht="15.75" customHeight="1">
      <c r="H456" s="3"/>
    </row>
    <row r="457" ht="15.75" customHeight="1">
      <c r="H457" s="3"/>
    </row>
    <row r="458" ht="15.75" customHeight="1">
      <c r="H458" s="3"/>
    </row>
    <row r="459" ht="15.75" customHeight="1">
      <c r="H459" s="3"/>
    </row>
    <row r="460" ht="15.75" customHeight="1">
      <c r="H460" s="3"/>
    </row>
    <row r="461" ht="15.75" customHeight="1">
      <c r="H461" s="3"/>
    </row>
    <row r="462" ht="15.75" customHeight="1">
      <c r="H462" s="3"/>
    </row>
    <row r="463" ht="15.75" customHeight="1">
      <c r="H463" s="3"/>
    </row>
    <row r="464" ht="15.75" customHeight="1">
      <c r="H464" s="3"/>
    </row>
    <row r="465" ht="15.75" customHeight="1">
      <c r="H465" s="3"/>
    </row>
    <row r="466" ht="15.75" customHeight="1">
      <c r="H466" s="3"/>
    </row>
    <row r="467" ht="15.75" customHeight="1">
      <c r="H467" s="3"/>
    </row>
    <row r="468" ht="15.75" customHeight="1">
      <c r="H468" s="3"/>
    </row>
    <row r="469" ht="15.75" customHeight="1">
      <c r="H469" s="3"/>
    </row>
    <row r="470" ht="15.75" customHeight="1">
      <c r="H470" s="3"/>
    </row>
    <row r="471" ht="15.75" customHeight="1">
      <c r="H471" s="3"/>
    </row>
    <row r="472" ht="15.75" customHeight="1">
      <c r="H472" s="3"/>
    </row>
    <row r="473" ht="15.75" customHeight="1">
      <c r="H473" s="3"/>
    </row>
    <row r="474" ht="15.75" customHeight="1">
      <c r="H474" s="3"/>
    </row>
    <row r="475" ht="15.75" customHeight="1">
      <c r="H475" s="3"/>
    </row>
    <row r="476" ht="15.75" customHeight="1">
      <c r="H476" s="3"/>
    </row>
    <row r="477" ht="15.75" customHeight="1">
      <c r="H477" s="3"/>
    </row>
    <row r="478" ht="15.75" customHeight="1">
      <c r="H478" s="3"/>
    </row>
    <row r="479" ht="15.75" customHeight="1">
      <c r="H479" s="3"/>
    </row>
    <row r="480" ht="15.75" customHeight="1">
      <c r="H480" s="3"/>
    </row>
    <row r="481" ht="15.75" customHeight="1">
      <c r="H481" s="3"/>
    </row>
    <row r="482" ht="15.75" customHeight="1">
      <c r="H482" s="3"/>
    </row>
    <row r="483" ht="15.75" customHeight="1">
      <c r="H483" s="3"/>
    </row>
    <row r="484" ht="15.75" customHeight="1">
      <c r="H484" s="3"/>
    </row>
    <row r="485" ht="15.75" customHeight="1">
      <c r="H485" s="3"/>
    </row>
    <row r="486" ht="15.75" customHeight="1">
      <c r="H486" s="3"/>
    </row>
    <row r="487" ht="15.75" customHeight="1">
      <c r="H487" s="3"/>
    </row>
    <row r="488" ht="15.75" customHeight="1">
      <c r="H488" s="3"/>
    </row>
    <row r="489" ht="15.75" customHeight="1">
      <c r="H489" s="3"/>
    </row>
    <row r="490" ht="15.75" customHeight="1">
      <c r="H490" s="3"/>
    </row>
    <row r="491" ht="15.75" customHeight="1">
      <c r="H491" s="3"/>
    </row>
    <row r="492" ht="15.75" customHeight="1">
      <c r="H492" s="3"/>
    </row>
    <row r="493" ht="15.75" customHeight="1">
      <c r="H493" s="3"/>
    </row>
    <row r="494" ht="15.75" customHeight="1">
      <c r="H494" s="3"/>
    </row>
    <row r="495" ht="15.75" customHeight="1">
      <c r="H495" s="3"/>
    </row>
    <row r="496" ht="15.75" customHeight="1">
      <c r="H496" s="3"/>
    </row>
    <row r="497" ht="15.75" customHeight="1">
      <c r="H497" s="3"/>
    </row>
    <row r="498" ht="15.75" customHeight="1">
      <c r="H498" s="3"/>
    </row>
    <row r="499" ht="15.75" customHeight="1">
      <c r="H499" s="3"/>
    </row>
    <row r="500" ht="15.75" customHeight="1">
      <c r="H500" s="3"/>
    </row>
    <row r="501" ht="15.75" customHeight="1">
      <c r="H501" s="3"/>
    </row>
    <row r="502" ht="15.75" customHeight="1">
      <c r="H502" s="3"/>
    </row>
    <row r="503" ht="15.75" customHeight="1">
      <c r="H503" s="3"/>
    </row>
    <row r="504" ht="15.75" customHeight="1">
      <c r="H504" s="3"/>
    </row>
    <row r="505" ht="15.75" customHeight="1">
      <c r="H505" s="3"/>
    </row>
    <row r="506" ht="15.75" customHeight="1">
      <c r="H506" s="3"/>
    </row>
    <row r="507" ht="15.75" customHeight="1">
      <c r="H507" s="3"/>
    </row>
    <row r="508" ht="15.75" customHeight="1">
      <c r="H508" s="3"/>
    </row>
    <row r="509" ht="15.75" customHeight="1">
      <c r="H509" s="3"/>
    </row>
    <row r="510" ht="15.75" customHeight="1">
      <c r="H510" s="3"/>
    </row>
    <row r="511" ht="15.75" customHeight="1">
      <c r="H511" s="3"/>
    </row>
    <row r="512" ht="15.75" customHeight="1">
      <c r="H512" s="3"/>
    </row>
    <row r="513" ht="15.75" customHeight="1">
      <c r="H513" s="3"/>
    </row>
    <row r="514" ht="15.75" customHeight="1">
      <c r="H514" s="3"/>
    </row>
    <row r="515" ht="15.75" customHeight="1">
      <c r="H515" s="3"/>
    </row>
    <row r="516" ht="15.75" customHeight="1">
      <c r="H516" s="3"/>
    </row>
    <row r="517" ht="15.75" customHeight="1">
      <c r="H517" s="3"/>
    </row>
    <row r="518" ht="15.75" customHeight="1">
      <c r="H518" s="3"/>
    </row>
    <row r="519" ht="15.75" customHeight="1">
      <c r="H519" s="3"/>
    </row>
    <row r="520" ht="15.75" customHeight="1">
      <c r="H520" s="3"/>
    </row>
    <row r="521" ht="15.75" customHeight="1">
      <c r="H521" s="3"/>
    </row>
    <row r="522" ht="15.75" customHeight="1">
      <c r="H522" s="3"/>
    </row>
    <row r="523" ht="15.75" customHeight="1">
      <c r="H523" s="3"/>
    </row>
    <row r="524" ht="15.75" customHeight="1">
      <c r="H524" s="3"/>
    </row>
    <row r="525" ht="15.75" customHeight="1">
      <c r="H525" s="3"/>
    </row>
    <row r="526" ht="15.75" customHeight="1">
      <c r="H526" s="3"/>
    </row>
    <row r="527" ht="15.75" customHeight="1">
      <c r="H527" s="3"/>
    </row>
    <row r="528" ht="15.75" customHeight="1">
      <c r="H528" s="3"/>
    </row>
    <row r="529" ht="15.75" customHeight="1">
      <c r="H529" s="3"/>
    </row>
    <row r="530" ht="15.75" customHeight="1">
      <c r="H530" s="3"/>
    </row>
    <row r="531" ht="15.75" customHeight="1">
      <c r="H531" s="3"/>
    </row>
    <row r="532" ht="15.75" customHeight="1">
      <c r="H532" s="3"/>
    </row>
    <row r="533" ht="15.75" customHeight="1">
      <c r="H533" s="3"/>
    </row>
    <row r="534" ht="15.75" customHeight="1">
      <c r="H534" s="3"/>
    </row>
    <row r="535" ht="15.75" customHeight="1">
      <c r="H535" s="3"/>
    </row>
    <row r="536" ht="15.75" customHeight="1">
      <c r="H536" s="3"/>
    </row>
    <row r="537" ht="15.75" customHeight="1">
      <c r="H537" s="3"/>
    </row>
    <row r="538" ht="15.75" customHeight="1">
      <c r="H538" s="3"/>
    </row>
    <row r="539" ht="15.75" customHeight="1">
      <c r="H539" s="3"/>
    </row>
    <row r="540" ht="15.75" customHeight="1">
      <c r="H540" s="3"/>
    </row>
    <row r="541" ht="15.75" customHeight="1">
      <c r="H541" s="3"/>
    </row>
    <row r="542" ht="15.75" customHeight="1">
      <c r="H542" s="3"/>
    </row>
    <row r="543" ht="15.75" customHeight="1">
      <c r="H543" s="3"/>
    </row>
    <row r="544" ht="15.75" customHeight="1">
      <c r="H544" s="3"/>
    </row>
    <row r="545" ht="15.75" customHeight="1">
      <c r="H545" s="3"/>
    </row>
    <row r="546" ht="15.75" customHeight="1">
      <c r="H546" s="3"/>
    </row>
    <row r="547" ht="15.75" customHeight="1">
      <c r="H547" s="3"/>
    </row>
    <row r="548" ht="15.75" customHeight="1">
      <c r="H548" s="3"/>
    </row>
    <row r="549" ht="15.75" customHeight="1">
      <c r="H549" s="3"/>
    </row>
    <row r="550" ht="15.75" customHeight="1">
      <c r="H550" s="3"/>
    </row>
    <row r="551" ht="15.75" customHeight="1">
      <c r="H551" s="3"/>
    </row>
    <row r="552" ht="15.75" customHeight="1">
      <c r="H552" s="3"/>
    </row>
    <row r="553" ht="15.75" customHeight="1">
      <c r="H553" s="3"/>
    </row>
    <row r="554" ht="15.75" customHeight="1">
      <c r="H554" s="3"/>
    </row>
    <row r="555" ht="15.75" customHeight="1">
      <c r="H555" s="3"/>
    </row>
    <row r="556" ht="15.75" customHeight="1">
      <c r="H556" s="3"/>
    </row>
    <row r="557" ht="15.75" customHeight="1">
      <c r="H557" s="3"/>
    </row>
    <row r="558" ht="15.75" customHeight="1">
      <c r="H558" s="3"/>
    </row>
    <row r="559" ht="15.75" customHeight="1">
      <c r="H559" s="3"/>
    </row>
    <row r="560" ht="15.75" customHeight="1">
      <c r="H560" s="3"/>
    </row>
    <row r="561" ht="15.75" customHeight="1">
      <c r="H561" s="3"/>
    </row>
    <row r="562" ht="15.75" customHeight="1">
      <c r="H562" s="3"/>
    </row>
    <row r="563" ht="15.75" customHeight="1">
      <c r="H563" s="3"/>
    </row>
    <row r="564" ht="15.75" customHeight="1">
      <c r="H564" s="3"/>
    </row>
    <row r="565" ht="15.75" customHeight="1">
      <c r="H565" s="3"/>
    </row>
    <row r="566" ht="15.75" customHeight="1">
      <c r="H566" s="3"/>
    </row>
    <row r="567" ht="15.75" customHeight="1">
      <c r="H567" s="3"/>
    </row>
    <row r="568" ht="15.75" customHeight="1">
      <c r="H568" s="3"/>
    </row>
    <row r="569" ht="15.75" customHeight="1">
      <c r="H569" s="3"/>
    </row>
    <row r="570" ht="15.75" customHeight="1">
      <c r="H570" s="3"/>
    </row>
    <row r="571" ht="15.75" customHeight="1">
      <c r="H571" s="3"/>
    </row>
    <row r="572" ht="15.75" customHeight="1">
      <c r="H572" s="3"/>
    </row>
    <row r="573" ht="15.75" customHeight="1">
      <c r="H573" s="3"/>
    </row>
    <row r="574" ht="15.75" customHeight="1">
      <c r="H574" s="3"/>
    </row>
    <row r="575" ht="15.75" customHeight="1">
      <c r="H575" s="3"/>
    </row>
    <row r="576" ht="15.75" customHeight="1">
      <c r="H576" s="3"/>
    </row>
    <row r="577" ht="15.75" customHeight="1">
      <c r="H577" s="3"/>
    </row>
    <row r="578" ht="15.75" customHeight="1">
      <c r="H578" s="3"/>
    </row>
    <row r="579" ht="15.75" customHeight="1">
      <c r="H579" s="3"/>
    </row>
    <row r="580" ht="15.75" customHeight="1">
      <c r="H580" s="3"/>
    </row>
    <row r="581" ht="15.75" customHeight="1">
      <c r="H581" s="3"/>
    </row>
    <row r="582" ht="15.75" customHeight="1">
      <c r="H582" s="3"/>
    </row>
    <row r="583" ht="15.75" customHeight="1">
      <c r="H583" s="3"/>
    </row>
    <row r="584" ht="15.75" customHeight="1">
      <c r="H584" s="3"/>
    </row>
    <row r="585" ht="15.75" customHeight="1">
      <c r="H585" s="3"/>
    </row>
    <row r="586" ht="15.75" customHeight="1">
      <c r="H586" s="3"/>
    </row>
    <row r="587" ht="15.75" customHeight="1">
      <c r="H587" s="3"/>
    </row>
    <row r="588" ht="15.75" customHeight="1">
      <c r="H588" s="3"/>
    </row>
    <row r="589" ht="15.75" customHeight="1">
      <c r="H589" s="3"/>
    </row>
    <row r="590" ht="15.75" customHeight="1">
      <c r="H590" s="3"/>
    </row>
    <row r="591" ht="15.75" customHeight="1">
      <c r="H591" s="3"/>
    </row>
    <row r="592" ht="15.75" customHeight="1">
      <c r="H592" s="3"/>
    </row>
    <row r="593" ht="15.75" customHeight="1">
      <c r="H593" s="3"/>
    </row>
    <row r="594" ht="15.75" customHeight="1">
      <c r="H594" s="3"/>
    </row>
    <row r="595" ht="15.75" customHeight="1">
      <c r="H595" s="3"/>
    </row>
    <row r="596" ht="15.75" customHeight="1">
      <c r="H596" s="3"/>
    </row>
    <row r="597" ht="15.75" customHeight="1">
      <c r="H597" s="3"/>
    </row>
    <row r="598" ht="15.75" customHeight="1">
      <c r="H598" s="3"/>
    </row>
    <row r="599" ht="15.75" customHeight="1">
      <c r="H599" s="3"/>
    </row>
    <row r="600" ht="15.75" customHeight="1">
      <c r="H600" s="3"/>
    </row>
    <row r="601" ht="15.75" customHeight="1">
      <c r="H601" s="3"/>
    </row>
    <row r="602" ht="15.75" customHeight="1">
      <c r="H602" s="3"/>
    </row>
    <row r="603" ht="15.75" customHeight="1">
      <c r="H603" s="3"/>
    </row>
    <row r="604" ht="15.75" customHeight="1">
      <c r="H604" s="3"/>
    </row>
    <row r="605" ht="15.75" customHeight="1">
      <c r="H605" s="3"/>
    </row>
    <row r="606" ht="15.75" customHeight="1">
      <c r="H606" s="3"/>
    </row>
    <row r="607" ht="15.75" customHeight="1">
      <c r="H607" s="3"/>
    </row>
    <row r="608" ht="15.75" customHeight="1">
      <c r="H608" s="3"/>
    </row>
    <row r="609" ht="15.75" customHeight="1">
      <c r="H609" s="3"/>
    </row>
    <row r="610" ht="15.75" customHeight="1">
      <c r="H610" s="3"/>
    </row>
    <row r="611" ht="15.75" customHeight="1">
      <c r="H611" s="3"/>
    </row>
    <row r="612" ht="15.75" customHeight="1">
      <c r="H612" s="3"/>
    </row>
    <row r="613" ht="15.75" customHeight="1">
      <c r="H613" s="3"/>
    </row>
    <row r="614" ht="15.75" customHeight="1">
      <c r="H614" s="3"/>
    </row>
    <row r="615" ht="15.75" customHeight="1">
      <c r="H615" s="3"/>
    </row>
    <row r="616" ht="15.75" customHeight="1">
      <c r="H616" s="3"/>
    </row>
    <row r="617" ht="15.75" customHeight="1">
      <c r="H617" s="3"/>
    </row>
    <row r="618" ht="15.75" customHeight="1">
      <c r="H618" s="3"/>
    </row>
    <row r="619" ht="15.75" customHeight="1">
      <c r="H619" s="3"/>
    </row>
    <row r="620" ht="15.75" customHeight="1">
      <c r="H620" s="3"/>
    </row>
    <row r="621" ht="15.75" customHeight="1">
      <c r="H621" s="3"/>
    </row>
    <row r="622" ht="15.75" customHeight="1">
      <c r="H622" s="3"/>
    </row>
    <row r="623" ht="15.75" customHeight="1">
      <c r="H623" s="3"/>
    </row>
    <row r="624" ht="15.75" customHeight="1">
      <c r="H624" s="3"/>
    </row>
    <row r="625" ht="15.75" customHeight="1">
      <c r="H625" s="3"/>
    </row>
    <row r="626" ht="15.75" customHeight="1">
      <c r="H626" s="3"/>
    </row>
    <row r="627" ht="15.75" customHeight="1">
      <c r="H627" s="3"/>
    </row>
    <row r="628" ht="15.75" customHeight="1">
      <c r="H628" s="3"/>
    </row>
    <row r="629" ht="15.75" customHeight="1">
      <c r="H629" s="3"/>
    </row>
    <row r="630" ht="15.75" customHeight="1">
      <c r="H630" s="3"/>
    </row>
    <row r="631" ht="15.75" customHeight="1">
      <c r="H631" s="3"/>
    </row>
    <row r="632" ht="15.75" customHeight="1">
      <c r="H632" s="3"/>
    </row>
    <row r="633" ht="15.75" customHeight="1">
      <c r="H633" s="3"/>
    </row>
    <row r="634" ht="15.75" customHeight="1">
      <c r="H634" s="3"/>
    </row>
    <row r="635" ht="15.75" customHeight="1">
      <c r="H635" s="3"/>
    </row>
    <row r="636" ht="15.75" customHeight="1">
      <c r="H636" s="3"/>
    </row>
    <row r="637" ht="15.75" customHeight="1">
      <c r="H637" s="3"/>
    </row>
    <row r="638" ht="15.75" customHeight="1">
      <c r="H638" s="3"/>
    </row>
    <row r="639" ht="15.75" customHeight="1">
      <c r="H639" s="3"/>
    </row>
    <row r="640" ht="15.75" customHeight="1">
      <c r="H640" s="3"/>
    </row>
    <row r="641" ht="15.75" customHeight="1">
      <c r="H641" s="3"/>
    </row>
    <row r="642" ht="15.75" customHeight="1">
      <c r="H642" s="3"/>
    </row>
    <row r="643" ht="15.75" customHeight="1">
      <c r="H643" s="3"/>
    </row>
    <row r="644" ht="15.75" customHeight="1">
      <c r="H644" s="3"/>
    </row>
    <row r="645" ht="15.75" customHeight="1">
      <c r="H645" s="3"/>
    </row>
    <row r="646" ht="15.75" customHeight="1">
      <c r="H646" s="3"/>
    </row>
    <row r="647" ht="15.75" customHeight="1">
      <c r="H647" s="3"/>
    </row>
    <row r="648" ht="15.75" customHeight="1">
      <c r="H648" s="3"/>
    </row>
    <row r="649" ht="15.75" customHeight="1">
      <c r="H649" s="3"/>
    </row>
    <row r="650" ht="15.75" customHeight="1">
      <c r="H650" s="3"/>
    </row>
    <row r="651" ht="15.75" customHeight="1">
      <c r="H651" s="3"/>
    </row>
    <row r="652" ht="15.75" customHeight="1">
      <c r="H652" s="3"/>
    </row>
    <row r="653" ht="15.75" customHeight="1">
      <c r="H653" s="3"/>
    </row>
    <row r="654" ht="15.75" customHeight="1">
      <c r="H654" s="3"/>
    </row>
    <row r="655" ht="15.75" customHeight="1">
      <c r="H655" s="3"/>
    </row>
    <row r="656" ht="15.75" customHeight="1">
      <c r="H656" s="3"/>
    </row>
    <row r="657" ht="15.75" customHeight="1">
      <c r="H657" s="3"/>
    </row>
    <row r="658" ht="15.75" customHeight="1">
      <c r="H658" s="3"/>
    </row>
    <row r="659" ht="15.75" customHeight="1">
      <c r="H659" s="3"/>
    </row>
    <row r="660" ht="15.75" customHeight="1">
      <c r="H660" s="3"/>
    </row>
    <row r="661" ht="15.75" customHeight="1">
      <c r="H661" s="3"/>
    </row>
    <row r="662" ht="15.75" customHeight="1">
      <c r="H662" s="3"/>
    </row>
    <row r="663" ht="15.75" customHeight="1">
      <c r="H663" s="3"/>
    </row>
    <row r="664" ht="15.75" customHeight="1">
      <c r="H664" s="3"/>
    </row>
    <row r="665" ht="15.75" customHeight="1">
      <c r="H665" s="3"/>
    </row>
    <row r="666" ht="15.75" customHeight="1">
      <c r="H666" s="3"/>
    </row>
    <row r="667" ht="15.75" customHeight="1">
      <c r="H667" s="3"/>
    </row>
    <row r="668" ht="15.75" customHeight="1">
      <c r="H668" s="3"/>
    </row>
    <row r="669" ht="15.75" customHeight="1">
      <c r="H669" s="3"/>
    </row>
    <row r="670" ht="15.75" customHeight="1">
      <c r="H670" s="3"/>
    </row>
    <row r="671" ht="15.75" customHeight="1">
      <c r="H671" s="3"/>
    </row>
    <row r="672" ht="15.75" customHeight="1">
      <c r="H672" s="3"/>
    </row>
    <row r="673" ht="15.75" customHeight="1">
      <c r="H673" s="3"/>
    </row>
    <row r="674" ht="15.75" customHeight="1">
      <c r="H674" s="3"/>
    </row>
    <row r="675" ht="15.75" customHeight="1">
      <c r="H675" s="3"/>
    </row>
    <row r="676" ht="15.75" customHeight="1">
      <c r="H676" s="3"/>
    </row>
    <row r="677" ht="15.75" customHeight="1">
      <c r="H677" s="3"/>
    </row>
    <row r="678" ht="15.75" customHeight="1">
      <c r="H678" s="3"/>
    </row>
    <row r="679" ht="15.75" customHeight="1">
      <c r="H679" s="3"/>
    </row>
    <row r="680" ht="15.75" customHeight="1">
      <c r="H680" s="3"/>
    </row>
    <row r="681" ht="15.75" customHeight="1">
      <c r="H681" s="3"/>
    </row>
    <row r="682" ht="15.75" customHeight="1">
      <c r="H682" s="3"/>
    </row>
    <row r="683" ht="15.75" customHeight="1">
      <c r="H683" s="3"/>
    </row>
    <row r="684" ht="15.75" customHeight="1">
      <c r="H684" s="3"/>
    </row>
    <row r="685" ht="15.75" customHeight="1">
      <c r="H685" s="3"/>
    </row>
    <row r="686" ht="15.75" customHeight="1">
      <c r="H686" s="3"/>
    </row>
    <row r="687" ht="15.75" customHeight="1">
      <c r="H687" s="3"/>
    </row>
    <row r="688" ht="15.75" customHeight="1">
      <c r="H688" s="3"/>
    </row>
    <row r="689" ht="15.75" customHeight="1">
      <c r="H689" s="3"/>
    </row>
    <row r="690" ht="15.75" customHeight="1">
      <c r="H690" s="3"/>
    </row>
    <row r="691" ht="15.75" customHeight="1">
      <c r="H691" s="3"/>
    </row>
    <row r="692" ht="15.75" customHeight="1">
      <c r="H692" s="3"/>
    </row>
    <row r="693" ht="15.75" customHeight="1">
      <c r="H693" s="3"/>
    </row>
    <row r="694" ht="15.75" customHeight="1">
      <c r="H694" s="3"/>
    </row>
    <row r="695" ht="15.75" customHeight="1">
      <c r="H695" s="3"/>
    </row>
    <row r="696" ht="15.75" customHeight="1">
      <c r="H696" s="3"/>
    </row>
    <row r="697" ht="15.75" customHeight="1">
      <c r="H697" s="3"/>
    </row>
    <row r="698" ht="15.75" customHeight="1">
      <c r="H698" s="3"/>
    </row>
    <row r="699" ht="15.75" customHeight="1">
      <c r="H699" s="3"/>
    </row>
    <row r="700" ht="15.75" customHeight="1">
      <c r="H700" s="3"/>
    </row>
    <row r="701" ht="15.75" customHeight="1">
      <c r="H701" s="3"/>
    </row>
    <row r="702" ht="15.75" customHeight="1">
      <c r="H702" s="3"/>
    </row>
    <row r="703" ht="15.75" customHeight="1">
      <c r="H703" s="3"/>
    </row>
    <row r="704" ht="15.75" customHeight="1">
      <c r="H704" s="3"/>
    </row>
    <row r="705" ht="15.75" customHeight="1">
      <c r="H705" s="3"/>
    </row>
    <row r="706" ht="15.75" customHeight="1">
      <c r="H706" s="3"/>
    </row>
    <row r="707" ht="15.75" customHeight="1">
      <c r="H707" s="3"/>
    </row>
    <row r="708" ht="15.75" customHeight="1">
      <c r="H708" s="3"/>
    </row>
    <row r="709" ht="15.75" customHeight="1">
      <c r="H709" s="3"/>
    </row>
    <row r="710" ht="15.75" customHeight="1">
      <c r="H710" s="3"/>
    </row>
    <row r="711" ht="15.75" customHeight="1">
      <c r="H711" s="3"/>
    </row>
    <row r="712" ht="15.75" customHeight="1">
      <c r="H712" s="3"/>
    </row>
    <row r="713" ht="15.75" customHeight="1">
      <c r="H713" s="3"/>
    </row>
    <row r="714" ht="15.75" customHeight="1">
      <c r="H714" s="3"/>
    </row>
    <row r="715" ht="15.75" customHeight="1">
      <c r="H715" s="3"/>
    </row>
    <row r="716" ht="15.75" customHeight="1">
      <c r="H716" s="3"/>
    </row>
    <row r="717" ht="15.75" customHeight="1">
      <c r="H717" s="3"/>
    </row>
    <row r="718" ht="15.75" customHeight="1">
      <c r="H718" s="3"/>
    </row>
    <row r="719" ht="15.75" customHeight="1">
      <c r="H719" s="3"/>
    </row>
    <row r="720" ht="15.75" customHeight="1">
      <c r="H720" s="3"/>
    </row>
    <row r="721" ht="15.75" customHeight="1">
      <c r="H721" s="3"/>
    </row>
    <row r="722" ht="15.75" customHeight="1">
      <c r="H722" s="3"/>
    </row>
    <row r="723" ht="15.75" customHeight="1">
      <c r="H723" s="3"/>
    </row>
    <row r="724" ht="15.75" customHeight="1">
      <c r="H724" s="3"/>
    </row>
    <row r="725" ht="15.75" customHeight="1">
      <c r="H725" s="3"/>
    </row>
    <row r="726" ht="15.75" customHeight="1">
      <c r="H726" s="3"/>
    </row>
    <row r="727" ht="15.75" customHeight="1">
      <c r="H727" s="3"/>
    </row>
    <row r="728" ht="15.75" customHeight="1">
      <c r="H728" s="3"/>
    </row>
    <row r="729" ht="15.75" customHeight="1">
      <c r="H729" s="3"/>
    </row>
    <row r="730" ht="15.75" customHeight="1">
      <c r="H730" s="3"/>
    </row>
    <row r="731" ht="15.75" customHeight="1">
      <c r="H731" s="3"/>
    </row>
    <row r="732" ht="15.75" customHeight="1">
      <c r="H732" s="3"/>
    </row>
    <row r="733" ht="15.75" customHeight="1">
      <c r="H733" s="3"/>
    </row>
    <row r="734" ht="15.75" customHeight="1">
      <c r="H734" s="3"/>
    </row>
    <row r="735" ht="15.75" customHeight="1">
      <c r="H735" s="3"/>
    </row>
    <row r="736" ht="15.75" customHeight="1">
      <c r="H736" s="3"/>
    </row>
    <row r="737" ht="15.75" customHeight="1">
      <c r="H737" s="3"/>
    </row>
    <row r="738" ht="15.75" customHeight="1">
      <c r="H738" s="3"/>
    </row>
    <row r="739" ht="15.75" customHeight="1">
      <c r="H739" s="3"/>
    </row>
    <row r="740" ht="15.75" customHeight="1">
      <c r="H740" s="3"/>
    </row>
    <row r="741" ht="15.75" customHeight="1">
      <c r="H741" s="3"/>
    </row>
    <row r="742" ht="15.75" customHeight="1">
      <c r="H742" s="3"/>
    </row>
    <row r="743" ht="15.75" customHeight="1">
      <c r="H743" s="3"/>
    </row>
    <row r="744" ht="15.75" customHeight="1">
      <c r="H744" s="3"/>
    </row>
    <row r="745" ht="15.75" customHeight="1">
      <c r="H745" s="3"/>
    </row>
    <row r="746" ht="15.75" customHeight="1">
      <c r="H746" s="3"/>
    </row>
    <row r="747" ht="15.75" customHeight="1">
      <c r="H747" s="3"/>
    </row>
    <row r="748" ht="15.75" customHeight="1">
      <c r="H748" s="3"/>
    </row>
    <row r="749" ht="15.75" customHeight="1">
      <c r="H749" s="3"/>
    </row>
    <row r="750" ht="15.75" customHeight="1">
      <c r="H750" s="3"/>
    </row>
    <row r="751" ht="15.75" customHeight="1">
      <c r="H751" s="3"/>
    </row>
    <row r="752" ht="15.75" customHeight="1">
      <c r="H752" s="3"/>
    </row>
    <row r="753" ht="15.75" customHeight="1">
      <c r="H753" s="3"/>
    </row>
    <row r="754" ht="15.75" customHeight="1">
      <c r="H754" s="3"/>
    </row>
    <row r="755" ht="15.75" customHeight="1">
      <c r="H755" s="3"/>
    </row>
    <row r="756" ht="15.75" customHeight="1">
      <c r="H756" s="3"/>
    </row>
    <row r="757" ht="15.75" customHeight="1">
      <c r="H757" s="3"/>
    </row>
    <row r="758" ht="15.75" customHeight="1">
      <c r="H758" s="3"/>
    </row>
    <row r="759" ht="15.75" customHeight="1">
      <c r="H759" s="3"/>
    </row>
    <row r="760" ht="15.75" customHeight="1">
      <c r="H760" s="3"/>
    </row>
    <row r="761" ht="15.75" customHeight="1">
      <c r="H761" s="3"/>
    </row>
    <row r="762" ht="15.75" customHeight="1">
      <c r="H762" s="3"/>
    </row>
    <row r="763" ht="15.75" customHeight="1">
      <c r="H763" s="3"/>
    </row>
    <row r="764" ht="15.75" customHeight="1">
      <c r="H764" s="3"/>
    </row>
    <row r="765" ht="15.75" customHeight="1">
      <c r="H765" s="3"/>
    </row>
    <row r="766" ht="15.75" customHeight="1">
      <c r="H766" s="3"/>
    </row>
    <row r="767" ht="15.75" customHeight="1">
      <c r="H767" s="3"/>
    </row>
    <row r="768" ht="15.75" customHeight="1">
      <c r="H768" s="3"/>
    </row>
    <row r="769" ht="15.75" customHeight="1">
      <c r="H769" s="3"/>
    </row>
    <row r="770" ht="15.75" customHeight="1">
      <c r="H770" s="3"/>
    </row>
    <row r="771" ht="15.75" customHeight="1">
      <c r="H771" s="3"/>
    </row>
    <row r="772" ht="15.75" customHeight="1">
      <c r="H772" s="3"/>
    </row>
    <row r="773" ht="15.75" customHeight="1">
      <c r="H773" s="3"/>
    </row>
    <row r="774" ht="15.75" customHeight="1">
      <c r="H774" s="3"/>
    </row>
    <row r="775" ht="15.75" customHeight="1">
      <c r="H775" s="3"/>
    </row>
    <row r="776" ht="15.75" customHeight="1">
      <c r="H776" s="3"/>
    </row>
    <row r="777" ht="15.75" customHeight="1">
      <c r="H777" s="3"/>
    </row>
    <row r="778" ht="15.75" customHeight="1">
      <c r="H778" s="3"/>
    </row>
    <row r="779" ht="15.75" customHeight="1">
      <c r="H779" s="3"/>
    </row>
    <row r="780" ht="15.75" customHeight="1">
      <c r="H780" s="3"/>
    </row>
    <row r="781" ht="15.75" customHeight="1">
      <c r="H781" s="3"/>
    </row>
    <row r="782" ht="15.75" customHeight="1">
      <c r="H782" s="3"/>
    </row>
    <row r="783" ht="15.75" customHeight="1">
      <c r="H783" s="3"/>
    </row>
    <row r="784" ht="15.75" customHeight="1">
      <c r="H784" s="3"/>
    </row>
    <row r="785" ht="15.75" customHeight="1">
      <c r="H785" s="3"/>
    </row>
    <row r="786" ht="15.75" customHeight="1">
      <c r="H786" s="3"/>
    </row>
    <row r="787" ht="15.75" customHeight="1">
      <c r="H787" s="3"/>
    </row>
    <row r="788" ht="15.75" customHeight="1">
      <c r="H788" s="3"/>
    </row>
    <row r="789" ht="15.75" customHeight="1">
      <c r="H789" s="3"/>
    </row>
    <row r="790" ht="15.75" customHeight="1">
      <c r="H790" s="3"/>
    </row>
    <row r="791" ht="15.75" customHeight="1">
      <c r="H791" s="3"/>
    </row>
    <row r="792" ht="15.75" customHeight="1">
      <c r="H792" s="3"/>
    </row>
    <row r="793" ht="15.75" customHeight="1">
      <c r="H793" s="3"/>
    </row>
    <row r="794" ht="15.75" customHeight="1">
      <c r="H794" s="3"/>
    </row>
    <row r="795" ht="15.75" customHeight="1">
      <c r="H795" s="3"/>
    </row>
    <row r="796" ht="15.75" customHeight="1">
      <c r="H796" s="3"/>
    </row>
    <row r="797" ht="15.75" customHeight="1">
      <c r="H797" s="3"/>
    </row>
    <row r="798" ht="15.75" customHeight="1">
      <c r="H798" s="3"/>
    </row>
    <row r="799" ht="15.75" customHeight="1">
      <c r="H799" s="3"/>
    </row>
    <row r="800" ht="15.75" customHeight="1">
      <c r="H800" s="3"/>
    </row>
    <row r="801" ht="15.75" customHeight="1">
      <c r="H801" s="3"/>
    </row>
    <row r="802" ht="15.75" customHeight="1">
      <c r="H802" s="3"/>
    </row>
    <row r="803" ht="15.75" customHeight="1">
      <c r="H803" s="3"/>
    </row>
    <row r="804" ht="15.75" customHeight="1">
      <c r="H804" s="3"/>
    </row>
    <row r="805" ht="15.75" customHeight="1">
      <c r="H805" s="3"/>
    </row>
    <row r="806" ht="15.75" customHeight="1">
      <c r="H806" s="3"/>
    </row>
    <row r="807" ht="15.75" customHeight="1">
      <c r="H807" s="3"/>
    </row>
    <row r="808" ht="15.75" customHeight="1">
      <c r="H808" s="3"/>
    </row>
    <row r="809" ht="15.75" customHeight="1">
      <c r="H809" s="3"/>
    </row>
    <row r="810" ht="15.75" customHeight="1">
      <c r="H810" s="3"/>
    </row>
    <row r="811" ht="15.75" customHeight="1">
      <c r="H811" s="3"/>
    </row>
    <row r="812" ht="15.75" customHeight="1">
      <c r="H812" s="3"/>
    </row>
    <row r="813" ht="15.75" customHeight="1">
      <c r="H813" s="3"/>
    </row>
    <row r="814" ht="15.75" customHeight="1">
      <c r="H814" s="3"/>
    </row>
    <row r="815" ht="15.75" customHeight="1">
      <c r="H815" s="3"/>
    </row>
    <row r="816" ht="15.75" customHeight="1">
      <c r="H816" s="3"/>
    </row>
    <row r="817" ht="15.75" customHeight="1">
      <c r="H817" s="3"/>
    </row>
    <row r="818" ht="15.75" customHeight="1">
      <c r="H818" s="3"/>
    </row>
    <row r="819" ht="15.75" customHeight="1">
      <c r="H819" s="3"/>
    </row>
    <row r="820" ht="15.75" customHeight="1">
      <c r="H820" s="3"/>
    </row>
    <row r="821" ht="15.75" customHeight="1">
      <c r="H821" s="3"/>
    </row>
    <row r="822" ht="15.75" customHeight="1">
      <c r="H822" s="3"/>
    </row>
    <row r="823" ht="15.75" customHeight="1">
      <c r="H823" s="3"/>
    </row>
    <row r="824" ht="15.75" customHeight="1">
      <c r="H824" s="3"/>
    </row>
    <row r="825" ht="15.75" customHeight="1">
      <c r="H825" s="3"/>
    </row>
    <row r="826" ht="15.75" customHeight="1">
      <c r="H826" s="3"/>
    </row>
    <row r="827" ht="15.75" customHeight="1">
      <c r="H827" s="3"/>
    </row>
    <row r="828" ht="15.75" customHeight="1">
      <c r="H828" s="3"/>
    </row>
    <row r="829" ht="15.75" customHeight="1">
      <c r="H829" s="3"/>
    </row>
    <row r="830" ht="15.75" customHeight="1">
      <c r="H830" s="3"/>
    </row>
    <row r="831" ht="15.75" customHeight="1">
      <c r="H831" s="3"/>
    </row>
    <row r="832" ht="15.75" customHeight="1">
      <c r="H832" s="3"/>
    </row>
    <row r="833" ht="15.75" customHeight="1">
      <c r="H833" s="3"/>
    </row>
    <row r="834" ht="15.75" customHeight="1">
      <c r="H834" s="3"/>
    </row>
    <row r="835" ht="15.75" customHeight="1">
      <c r="H835" s="3"/>
    </row>
    <row r="836" ht="15.75" customHeight="1">
      <c r="H836" s="3"/>
    </row>
    <row r="837" ht="15.75" customHeight="1">
      <c r="H837" s="3"/>
    </row>
    <row r="838" ht="15.75" customHeight="1">
      <c r="H838" s="3"/>
    </row>
    <row r="839" ht="15.75" customHeight="1">
      <c r="H839" s="3"/>
    </row>
    <row r="840" ht="15.75" customHeight="1">
      <c r="H840" s="3"/>
    </row>
    <row r="841" ht="15.75" customHeight="1">
      <c r="H841" s="3"/>
    </row>
    <row r="842" ht="15.75" customHeight="1">
      <c r="H842" s="3"/>
    </row>
    <row r="843" ht="15.75" customHeight="1">
      <c r="H843" s="3"/>
    </row>
    <row r="844" ht="15.75" customHeight="1">
      <c r="H844" s="3"/>
    </row>
    <row r="845" ht="15.75" customHeight="1">
      <c r="H845" s="3"/>
    </row>
    <row r="846" ht="15.75" customHeight="1">
      <c r="H846" s="3"/>
    </row>
    <row r="847" ht="15.75" customHeight="1">
      <c r="H847" s="3"/>
    </row>
    <row r="848" ht="15.75" customHeight="1">
      <c r="H848" s="3"/>
    </row>
    <row r="849" ht="15.75" customHeight="1">
      <c r="H849" s="3"/>
    </row>
    <row r="850" ht="15.75" customHeight="1">
      <c r="H850" s="3"/>
    </row>
    <row r="851" ht="15.75" customHeight="1">
      <c r="H851" s="3"/>
    </row>
    <row r="852" ht="15.75" customHeight="1">
      <c r="H852" s="3"/>
    </row>
    <row r="853" ht="15.75" customHeight="1">
      <c r="H853" s="3"/>
    </row>
    <row r="854" ht="15.75" customHeight="1">
      <c r="H854" s="3"/>
    </row>
    <row r="855" ht="15.75" customHeight="1">
      <c r="H855" s="3"/>
    </row>
    <row r="856" ht="15.75" customHeight="1">
      <c r="H856" s="3"/>
    </row>
    <row r="857" ht="15.75" customHeight="1">
      <c r="H857" s="3"/>
    </row>
    <row r="858" ht="15.75" customHeight="1">
      <c r="H858" s="3"/>
    </row>
    <row r="859" ht="15.75" customHeight="1">
      <c r="H859" s="3"/>
    </row>
    <row r="860" ht="15.75" customHeight="1">
      <c r="H860" s="3"/>
    </row>
    <row r="861" ht="15.75" customHeight="1">
      <c r="H861" s="3"/>
    </row>
    <row r="862" ht="15.75" customHeight="1">
      <c r="H862" s="3"/>
    </row>
    <row r="863" ht="15.75" customHeight="1">
      <c r="H863" s="3"/>
    </row>
    <row r="864" ht="15.75" customHeight="1">
      <c r="H864" s="3"/>
    </row>
    <row r="865" ht="15.75" customHeight="1">
      <c r="H865" s="3"/>
    </row>
    <row r="866" ht="15.75" customHeight="1">
      <c r="H866" s="3"/>
    </row>
    <row r="867" ht="15.75" customHeight="1">
      <c r="H867" s="3"/>
    </row>
    <row r="868" ht="15.75" customHeight="1">
      <c r="H868" s="3"/>
    </row>
    <row r="869" ht="15.75" customHeight="1">
      <c r="H869" s="3"/>
    </row>
    <row r="870" ht="15.75" customHeight="1">
      <c r="H870" s="3"/>
    </row>
    <row r="871" ht="15.75" customHeight="1">
      <c r="H871" s="3"/>
    </row>
    <row r="872" ht="15.75" customHeight="1">
      <c r="H872" s="3"/>
    </row>
    <row r="873" ht="15.75" customHeight="1">
      <c r="H873" s="3"/>
    </row>
    <row r="874" ht="15.75" customHeight="1">
      <c r="H874" s="3"/>
    </row>
    <row r="875" ht="15.75" customHeight="1">
      <c r="H875" s="3"/>
    </row>
    <row r="876" ht="15.75" customHeight="1">
      <c r="H876" s="3"/>
    </row>
    <row r="877" ht="15.75" customHeight="1">
      <c r="H877" s="3"/>
    </row>
    <row r="878" ht="15.75" customHeight="1">
      <c r="H878" s="3"/>
    </row>
    <row r="879" ht="15.75" customHeight="1">
      <c r="H879" s="3"/>
    </row>
    <row r="880" ht="15.75" customHeight="1">
      <c r="H880" s="3"/>
    </row>
    <row r="881" ht="15.75" customHeight="1">
      <c r="H881" s="3"/>
    </row>
    <row r="882" ht="15.75" customHeight="1">
      <c r="H882" s="3"/>
    </row>
    <row r="883" ht="15.75" customHeight="1">
      <c r="H883" s="3"/>
    </row>
    <row r="884" ht="15.75" customHeight="1">
      <c r="H884" s="3"/>
    </row>
    <row r="885" ht="15.75" customHeight="1">
      <c r="H885" s="3"/>
    </row>
    <row r="886" ht="15.75" customHeight="1">
      <c r="H886" s="3"/>
    </row>
    <row r="887" ht="15.75" customHeight="1">
      <c r="H887" s="3"/>
    </row>
    <row r="888" ht="15.75" customHeight="1">
      <c r="H888" s="3"/>
    </row>
    <row r="889" ht="15.75" customHeight="1">
      <c r="H889" s="3"/>
    </row>
    <row r="890" ht="15.75" customHeight="1">
      <c r="H890" s="3"/>
    </row>
    <row r="891" ht="15.75" customHeight="1">
      <c r="H891" s="3"/>
    </row>
    <row r="892" ht="15.75" customHeight="1">
      <c r="H892" s="3"/>
    </row>
    <row r="893" ht="15.75" customHeight="1">
      <c r="H893" s="3"/>
    </row>
    <row r="894" ht="15.75" customHeight="1">
      <c r="H894" s="3"/>
    </row>
    <row r="895" ht="15.75" customHeight="1">
      <c r="H895" s="3"/>
    </row>
    <row r="896" ht="15.75" customHeight="1">
      <c r="H896" s="3"/>
    </row>
    <row r="897" ht="15.75" customHeight="1">
      <c r="H897" s="3"/>
    </row>
    <row r="898" ht="15.75" customHeight="1">
      <c r="H898" s="3"/>
    </row>
    <row r="899" ht="15.75" customHeight="1">
      <c r="H899" s="3"/>
    </row>
    <row r="900" ht="15.75" customHeight="1">
      <c r="H900" s="3"/>
    </row>
    <row r="901" ht="15.75" customHeight="1">
      <c r="H901" s="3"/>
    </row>
    <row r="902" ht="15.75" customHeight="1">
      <c r="H902" s="3"/>
    </row>
    <row r="903" ht="15.75" customHeight="1">
      <c r="H903" s="3"/>
    </row>
    <row r="904" ht="15.75" customHeight="1">
      <c r="H904" s="3"/>
    </row>
    <row r="905" ht="15.75" customHeight="1">
      <c r="H905" s="3"/>
    </row>
    <row r="906" ht="15.75" customHeight="1">
      <c r="H906" s="3"/>
    </row>
    <row r="907" ht="15.75" customHeight="1">
      <c r="H907" s="3"/>
    </row>
    <row r="908" ht="15.75" customHeight="1">
      <c r="H908" s="3"/>
    </row>
    <row r="909" ht="15.75" customHeight="1">
      <c r="H909" s="3"/>
    </row>
    <row r="910" ht="15.75" customHeight="1">
      <c r="H910" s="3"/>
    </row>
    <row r="911" ht="15.75" customHeight="1">
      <c r="H911" s="3"/>
    </row>
    <row r="912" ht="15.75" customHeight="1">
      <c r="H912" s="3"/>
    </row>
    <row r="913" ht="15.75" customHeight="1">
      <c r="H913" s="3"/>
    </row>
    <row r="914" ht="15.75" customHeight="1">
      <c r="H914" s="3"/>
    </row>
    <row r="915" ht="15.75" customHeight="1">
      <c r="H915" s="3"/>
    </row>
    <row r="916" ht="15.75" customHeight="1">
      <c r="H916" s="3"/>
    </row>
    <row r="917" ht="15.75" customHeight="1">
      <c r="H917" s="3"/>
    </row>
    <row r="918" ht="15.75" customHeight="1">
      <c r="H918" s="3"/>
    </row>
    <row r="919" ht="15.75" customHeight="1">
      <c r="H919" s="3"/>
    </row>
    <row r="920" ht="15.75" customHeight="1">
      <c r="H920" s="3"/>
    </row>
    <row r="921" ht="15.75" customHeight="1">
      <c r="H921" s="3"/>
    </row>
    <row r="922" ht="15.75" customHeight="1">
      <c r="H922" s="3"/>
    </row>
    <row r="923" ht="15.75" customHeight="1">
      <c r="H923" s="3"/>
    </row>
    <row r="924" ht="15.75" customHeight="1">
      <c r="H924" s="3"/>
    </row>
    <row r="925" ht="15.75" customHeight="1">
      <c r="H925" s="3"/>
    </row>
    <row r="926" ht="15.75" customHeight="1">
      <c r="H926" s="3"/>
    </row>
    <row r="927" ht="15.75" customHeight="1">
      <c r="H927" s="3"/>
    </row>
    <row r="928" ht="15.75" customHeight="1">
      <c r="H928" s="3"/>
    </row>
    <row r="929" ht="15.75" customHeight="1">
      <c r="H929" s="3"/>
    </row>
    <row r="930" ht="15.75" customHeight="1">
      <c r="H930" s="3"/>
    </row>
    <row r="931" ht="15.75" customHeight="1">
      <c r="H931" s="3"/>
    </row>
    <row r="932" ht="15.75" customHeight="1">
      <c r="H932" s="3"/>
    </row>
    <row r="933" ht="15.75" customHeight="1">
      <c r="H933" s="3"/>
    </row>
    <row r="934" ht="15.75" customHeight="1">
      <c r="H934" s="3"/>
    </row>
    <row r="935" ht="15.75" customHeight="1">
      <c r="H935" s="3"/>
    </row>
    <row r="936" ht="15.75" customHeight="1">
      <c r="H936" s="3"/>
    </row>
    <row r="937" ht="15.75" customHeight="1">
      <c r="H937" s="3"/>
    </row>
    <row r="938" ht="15.75" customHeight="1">
      <c r="H938" s="3"/>
    </row>
    <row r="939" ht="15.75" customHeight="1">
      <c r="H939" s="3"/>
    </row>
    <row r="940" ht="15.75" customHeight="1">
      <c r="H940" s="3"/>
    </row>
    <row r="941" ht="15.75" customHeight="1">
      <c r="H941" s="3"/>
    </row>
    <row r="942" ht="15.75" customHeight="1">
      <c r="H942" s="3"/>
    </row>
    <row r="943" ht="15.75" customHeight="1">
      <c r="H943" s="3"/>
    </row>
    <row r="944" ht="15.75" customHeight="1">
      <c r="H944" s="3"/>
    </row>
    <row r="945" ht="15.75" customHeight="1">
      <c r="H945" s="3"/>
    </row>
    <row r="946" ht="15.75" customHeight="1">
      <c r="H946" s="3"/>
    </row>
    <row r="947" ht="15.75" customHeight="1">
      <c r="H947" s="3"/>
    </row>
    <row r="948" ht="15.75" customHeight="1">
      <c r="H948" s="3"/>
    </row>
    <row r="949" ht="15.75" customHeight="1">
      <c r="H949" s="3"/>
    </row>
    <row r="950" ht="15.75" customHeight="1">
      <c r="H950" s="3"/>
    </row>
    <row r="951" ht="15.75" customHeight="1">
      <c r="H951" s="3"/>
    </row>
    <row r="952" ht="15.75" customHeight="1">
      <c r="H952" s="3"/>
    </row>
    <row r="953" ht="15.75" customHeight="1">
      <c r="H953" s="3"/>
    </row>
    <row r="954" ht="15.75" customHeight="1">
      <c r="H954" s="3"/>
    </row>
    <row r="955" ht="15.75" customHeight="1">
      <c r="H955" s="3"/>
    </row>
    <row r="956" ht="15.75" customHeight="1">
      <c r="H956" s="3"/>
    </row>
    <row r="957" ht="15.75" customHeight="1">
      <c r="H957" s="3"/>
    </row>
    <row r="958" ht="15.75" customHeight="1">
      <c r="H958" s="3"/>
    </row>
    <row r="959" ht="15.75" customHeight="1">
      <c r="H959" s="3"/>
    </row>
    <row r="960" ht="15.75" customHeight="1">
      <c r="H960" s="3"/>
    </row>
    <row r="961" ht="15.75" customHeight="1">
      <c r="H961" s="3"/>
    </row>
    <row r="962" ht="15.75" customHeight="1">
      <c r="H962" s="3"/>
    </row>
    <row r="963" ht="15.75" customHeight="1">
      <c r="H963" s="3"/>
    </row>
    <row r="964" ht="15.75" customHeight="1">
      <c r="H964" s="3"/>
    </row>
    <row r="965" ht="15.75" customHeight="1">
      <c r="H965" s="3"/>
    </row>
    <row r="966" ht="15.75" customHeight="1">
      <c r="H966" s="3"/>
    </row>
    <row r="967" ht="15.75" customHeight="1">
      <c r="H967" s="3"/>
    </row>
    <row r="968" ht="15.75" customHeight="1">
      <c r="H968" s="3"/>
    </row>
    <row r="969" ht="15.75" customHeight="1">
      <c r="H969" s="3"/>
    </row>
    <row r="970" ht="15.75" customHeight="1">
      <c r="H970" s="3"/>
    </row>
    <row r="971" ht="15.75" customHeight="1">
      <c r="H971" s="3"/>
    </row>
    <row r="972" ht="15.75" customHeight="1">
      <c r="H972" s="3"/>
    </row>
    <row r="973" ht="15.75" customHeight="1">
      <c r="H973" s="3"/>
    </row>
    <row r="974" ht="15.75" customHeight="1">
      <c r="H974" s="3"/>
    </row>
    <row r="975" ht="15.75" customHeight="1">
      <c r="H975" s="3"/>
    </row>
    <row r="976" ht="15.75" customHeight="1">
      <c r="H976" s="3"/>
    </row>
    <row r="977" ht="15.75" customHeight="1">
      <c r="H977" s="3"/>
    </row>
    <row r="978" ht="15.75" customHeight="1">
      <c r="H978" s="3"/>
    </row>
    <row r="979" ht="15.75" customHeight="1">
      <c r="H979" s="3"/>
    </row>
    <row r="980" ht="15.75" customHeight="1">
      <c r="H980" s="3"/>
    </row>
    <row r="981" ht="15.75" customHeight="1">
      <c r="H981" s="3"/>
    </row>
    <row r="982" ht="15.75" customHeight="1">
      <c r="H982" s="3"/>
    </row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66:E66"/>
    <mergeCell ref="C70:E70"/>
    <mergeCell ref="A73:B73"/>
    <mergeCell ref="C73:F73"/>
    <mergeCell ref="A74:B74"/>
    <mergeCell ref="C74:F74"/>
    <mergeCell ref="F8:F9"/>
    <mergeCell ref="G8:G9"/>
    <mergeCell ref="B61:I61"/>
    <mergeCell ref="C63:E63"/>
    <mergeCell ref="C64:E64"/>
    <mergeCell ref="H64:I64"/>
    <mergeCell ref="C65:E65"/>
    <mergeCell ref="I73:N73"/>
    <mergeCell ref="Q73:T73"/>
    <mergeCell ref="V73:X73"/>
    <mergeCell ref="I74:N74"/>
    <mergeCell ref="Q74:T74"/>
    <mergeCell ref="H77:T77"/>
    <mergeCell ref="H80:T80"/>
    <mergeCell ref="H81:T81"/>
    <mergeCell ref="J64:T64"/>
    <mergeCell ref="J65:T65"/>
    <mergeCell ref="J66:T66"/>
    <mergeCell ref="J67:T67"/>
    <mergeCell ref="I70:N70"/>
    <mergeCell ref="Q70:T70"/>
    <mergeCell ref="V70:W70"/>
  </mergeCells>
  <printOptions/>
  <pageMargins bottom="0.75" footer="0.0" header="0.0" left="0.7" right="0.7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6.13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 t="s">
        <v>150</v>
      </c>
      <c r="W3" s="2"/>
      <c r="X3" s="2"/>
    </row>
    <row r="4">
      <c r="A4" s="5" t="s">
        <v>151</v>
      </c>
      <c r="B4" s="6"/>
      <c r="C4" s="6"/>
      <c r="D4" s="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11"/>
      <c r="B5" s="6"/>
      <c r="C5" s="2"/>
      <c r="D5" s="14"/>
      <c r="E5" s="15"/>
      <c r="F5" s="16"/>
      <c r="G5" s="1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152</v>
      </c>
      <c r="B6" s="6"/>
      <c r="C6" s="2"/>
      <c r="D6" s="14"/>
      <c r="E6" s="15"/>
      <c r="F6" s="16"/>
      <c r="G6" s="1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1" t="s">
        <v>4</v>
      </c>
      <c r="B7" s="6"/>
      <c r="C7" s="2"/>
      <c r="D7" s="14"/>
      <c r="E7" s="15"/>
      <c r="F7" s="16"/>
      <c r="G7" s="1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7" t="s">
        <v>5</v>
      </c>
      <c r="B8" s="18" t="s">
        <v>6</v>
      </c>
      <c r="C8" s="19" t="s">
        <v>7</v>
      </c>
      <c r="D8" s="22" t="s">
        <v>9</v>
      </c>
      <c r="E8" s="23" t="s">
        <v>10</v>
      </c>
      <c r="F8" s="24" t="s">
        <v>11</v>
      </c>
      <c r="G8" s="18" t="s">
        <v>12</v>
      </c>
      <c r="H8" s="25" t="s">
        <v>13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7"/>
      <c r="W8" s="28"/>
      <c r="X8" s="28"/>
    </row>
    <row r="9">
      <c r="A9" s="29"/>
      <c r="B9" s="30"/>
      <c r="C9" s="31" t="s">
        <v>14</v>
      </c>
      <c r="D9" s="30"/>
      <c r="E9" s="30"/>
      <c r="F9" s="30"/>
      <c r="G9" s="30"/>
      <c r="H9" s="33" t="s">
        <v>15</v>
      </c>
      <c r="I9" s="33" t="s">
        <v>16</v>
      </c>
      <c r="J9" s="33" t="s">
        <v>17</v>
      </c>
      <c r="K9" s="33" t="s">
        <v>18</v>
      </c>
      <c r="L9" s="33" t="s">
        <v>19</v>
      </c>
      <c r="M9" s="33" t="s">
        <v>20</v>
      </c>
      <c r="N9" s="33" t="s">
        <v>21</v>
      </c>
      <c r="O9" s="33" t="s">
        <v>22</v>
      </c>
      <c r="P9" s="33" t="s">
        <v>23</v>
      </c>
      <c r="Q9" s="33" t="s">
        <v>24</v>
      </c>
      <c r="R9" s="33" t="s">
        <v>25</v>
      </c>
      <c r="S9" s="33" t="s">
        <v>26</v>
      </c>
      <c r="T9" s="33" t="s">
        <v>27</v>
      </c>
      <c r="U9" s="34" t="str">
        <f>$V$9</f>
        <v>REMARKS</v>
      </c>
      <c r="V9" s="34" t="s">
        <v>28</v>
      </c>
      <c r="W9" s="35"/>
      <c r="X9" s="28"/>
    </row>
    <row r="10">
      <c r="A10" s="186"/>
      <c r="B10" s="187" t="s">
        <v>153</v>
      </c>
      <c r="C10" s="188"/>
      <c r="D10" s="189"/>
      <c r="E10" s="190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2"/>
      <c r="V10" s="193"/>
      <c r="W10" s="28"/>
      <c r="X10" s="28"/>
    </row>
    <row r="11">
      <c r="A11" s="36"/>
      <c r="B11" s="45" t="s">
        <v>154</v>
      </c>
      <c r="C11" s="46" t="s">
        <v>155</v>
      </c>
      <c r="D11" s="50">
        <f>50000/80</f>
        <v>625</v>
      </c>
      <c r="E11" s="50">
        <v>50000.0</v>
      </c>
      <c r="F11" s="52" t="s">
        <v>55</v>
      </c>
      <c r="G11" s="52"/>
      <c r="H11" s="52">
        <v>80.0</v>
      </c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28"/>
      <c r="X11" s="28"/>
    </row>
    <row r="12">
      <c r="A12" s="36"/>
      <c r="B12" s="45" t="s">
        <v>156</v>
      </c>
      <c r="C12" s="68" t="s">
        <v>157</v>
      </c>
      <c r="D12" s="194">
        <f>3000/5</f>
        <v>600</v>
      </c>
      <c r="E12" s="194">
        <v>3000.0</v>
      </c>
      <c r="F12" s="52" t="s">
        <v>55</v>
      </c>
      <c r="G12" s="52"/>
      <c r="H12" s="52">
        <v>5.0</v>
      </c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28"/>
      <c r="X12" s="28"/>
    </row>
    <row r="13">
      <c r="A13" s="36"/>
      <c r="B13" s="53" t="s">
        <v>158</v>
      </c>
      <c r="C13" s="60" t="s">
        <v>159</v>
      </c>
      <c r="D13" s="49">
        <f>10000/10</f>
        <v>1000</v>
      </c>
      <c r="E13" s="62">
        <v>10000.0</v>
      </c>
      <c r="F13" s="52" t="s">
        <v>55</v>
      </c>
      <c r="G13" s="52"/>
      <c r="H13" s="52">
        <v>10.0</v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28"/>
      <c r="X13" s="28"/>
    </row>
    <row r="14">
      <c r="A14" s="36"/>
      <c r="B14" s="76" t="s">
        <v>160</v>
      </c>
      <c r="C14" s="60" t="s">
        <v>159</v>
      </c>
      <c r="D14" s="49">
        <f>50000/10</f>
        <v>5000</v>
      </c>
      <c r="E14" s="62">
        <v>50000.0</v>
      </c>
      <c r="F14" s="52" t="s">
        <v>55</v>
      </c>
      <c r="G14" s="52"/>
      <c r="H14" s="52">
        <v>10.0</v>
      </c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28"/>
      <c r="X14" s="28"/>
    </row>
    <row r="15">
      <c r="A15" s="36"/>
      <c r="B15" s="76" t="s">
        <v>161</v>
      </c>
      <c r="C15" s="60" t="s">
        <v>157</v>
      </c>
      <c r="D15" s="49">
        <f>2500/5</f>
        <v>500</v>
      </c>
      <c r="E15" s="62">
        <v>2500.0</v>
      </c>
      <c r="F15" s="52" t="s">
        <v>55</v>
      </c>
      <c r="G15" s="52"/>
      <c r="H15" s="52">
        <v>5.0</v>
      </c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28"/>
      <c r="X15" s="28"/>
    </row>
    <row r="16">
      <c r="A16" s="36"/>
      <c r="B16" s="53" t="s">
        <v>162</v>
      </c>
      <c r="C16" s="60" t="s">
        <v>163</v>
      </c>
      <c r="D16" s="49">
        <f>500/20</f>
        <v>25</v>
      </c>
      <c r="E16" s="62">
        <v>500.0</v>
      </c>
      <c r="F16" s="52" t="s">
        <v>164</v>
      </c>
      <c r="G16" s="52"/>
      <c r="H16" s="52">
        <v>20.0</v>
      </c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28"/>
      <c r="X16" s="28"/>
    </row>
    <row r="17">
      <c r="A17" s="36"/>
      <c r="B17" s="53" t="s">
        <v>165</v>
      </c>
      <c r="C17" s="60" t="s">
        <v>166</v>
      </c>
      <c r="D17" s="49">
        <f>300/15</f>
        <v>20</v>
      </c>
      <c r="E17" s="62">
        <v>300.0</v>
      </c>
      <c r="F17" s="52" t="s">
        <v>164</v>
      </c>
      <c r="G17" s="52"/>
      <c r="H17" s="52">
        <v>15.0</v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28"/>
      <c r="X17" s="28"/>
    </row>
    <row r="18">
      <c r="A18" s="36"/>
      <c r="B18" s="53" t="s">
        <v>167</v>
      </c>
      <c r="C18" s="60" t="s">
        <v>97</v>
      </c>
      <c r="D18" s="49">
        <f>150/5</f>
        <v>30</v>
      </c>
      <c r="E18" s="62">
        <v>150.0</v>
      </c>
      <c r="F18" s="52" t="s">
        <v>164</v>
      </c>
      <c r="G18" s="52"/>
      <c r="H18" s="52">
        <v>5.0</v>
      </c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28"/>
      <c r="X18" s="28"/>
    </row>
    <row r="19">
      <c r="A19" s="36"/>
      <c r="B19" s="76" t="s">
        <v>168</v>
      </c>
      <c r="C19" s="60" t="s">
        <v>75</v>
      </c>
      <c r="D19" s="49">
        <f>300/10</f>
        <v>30</v>
      </c>
      <c r="E19" s="62">
        <v>300.0</v>
      </c>
      <c r="F19" s="52" t="s">
        <v>164</v>
      </c>
      <c r="G19" s="52"/>
      <c r="H19" s="52">
        <v>10.0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28"/>
      <c r="X19" s="28"/>
    </row>
    <row r="20">
      <c r="A20" s="36"/>
      <c r="B20" s="53" t="s">
        <v>169</v>
      </c>
      <c r="C20" s="60" t="s">
        <v>170</v>
      </c>
      <c r="D20" s="49">
        <f>300/30</f>
        <v>10</v>
      </c>
      <c r="E20" s="62">
        <v>300.0</v>
      </c>
      <c r="F20" s="52" t="s">
        <v>164</v>
      </c>
      <c r="G20" s="52"/>
      <c r="H20" s="52">
        <v>30.0</v>
      </c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28"/>
      <c r="X20" s="28"/>
    </row>
    <row r="21" ht="15.75" customHeight="1">
      <c r="A21" s="36"/>
      <c r="B21" s="53" t="s">
        <v>171</v>
      </c>
      <c r="C21" s="60" t="s">
        <v>163</v>
      </c>
      <c r="D21" s="195">
        <f>2000/20</f>
        <v>100</v>
      </c>
      <c r="E21" s="62">
        <v>2000.0</v>
      </c>
      <c r="F21" s="52" t="s">
        <v>164</v>
      </c>
      <c r="G21" s="52"/>
      <c r="H21" s="52">
        <v>20.0</v>
      </c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28"/>
      <c r="X21" s="28"/>
    </row>
    <row r="22" ht="15.75" customHeight="1">
      <c r="A22" s="36"/>
      <c r="B22" s="76" t="s">
        <v>172</v>
      </c>
      <c r="C22" s="60" t="s">
        <v>157</v>
      </c>
      <c r="D22" s="49">
        <v>15.0</v>
      </c>
      <c r="E22" s="62">
        <v>75.0</v>
      </c>
      <c r="F22" s="52" t="s">
        <v>164</v>
      </c>
      <c r="G22" s="52"/>
      <c r="H22" s="52">
        <v>5.0</v>
      </c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28"/>
      <c r="X22" s="28"/>
    </row>
    <row r="23" ht="15.75" customHeight="1">
      <c r="A23" s="36"/>
      <c r="B23" s="76" t="s">
        <v>173</v>
      </c>
      <c r="C23" s="60" t="s">
        <v>75</v>
      </c>
      <c r="D23" s="49">
        <f>300/10</f>
        <v>30</v>
      </c>
      <c r="E23" s="62">
        <v>300.0</v>
      </c>
      <c r="F23" s="52" t="s">
        <v>164</v>
      </c>
      <c r="G23" s="52"/>
      <c r="H23" s="52">
        <v>10.0</v>
      </c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28"/>
      <c r="X23" s="28"/>
    </row>
    <row r="24" ht="15.75" customHeight="1">
      <c r="A24" s="36"/>
      <c r="B24" s="53" t="s">
        <v>174</v>
      </c>
      <c r="C24" s="60" t="s">
        <v>175</v>
      </c>
      <c r="D24" s="49">
        <f>1000/50</f>
        <v>20</v>
      </c>
      <c r="E24" s="62">
        <v>1000.0</v>
      </c>
      <c r="F24" s="52" t="s">
        <v>164</v>
      </c>
      <c r="G24" s="52"/>
      <c r="H24" s="52">
        <v>50.0</v>
      </c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28"/>
      <c r="X24" s="28"/>
    </row>
    <row r="25" ht="15.75" customHeight="1">
      <c r="A25" s="36"/>
      <c r="B25" s="53" t="s">
        <v>176</v>
      </c>
      <c r="C25" s="60" t="s">
        <v>177</v>
      </c>
      <c r="D25" s="49">
        <f>2000/15</f>
        <v>133.3333333</v>
      </c>
      <c r="E25" s="62">
        <v>2000.0</v>
      </c>
      <c r="F25" s="52" t="s">
        <v>164</v>
      </c>
      <c r="G25" s="52"/>
      <c r="H25" s="52">
        <v>15.0</v>
      </c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28"/>
      <c r="X25" s="28"/>
    </row>
    <row r="26" ht="15.75" customHeight="1">
      <c r="A26" s="36"/>
      <c r="B26" s="53" t="s">
        <v>178</v>
      </c>
      <c r="C26" s="60" t="s">
        <v>179</v>
      </c>
      <c r="D26" s="49">
        <f>1000/1</f>
        <v>1000</v>
      </c>
      <c r="E26" s="62">
        <v>1000.0</v>
      </c>
      <c r="F26" s="52" t="s">
        <v>55</v>
      </c>
      <c r="G26" s="52"/>
      <c r="H26" s="52"/>
      <c r="I26" s="52">
        <v>1.0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28"/>
      <c r="X26" s="28"/>
    </row>
    <row r="27" ht="15.75" customHeight="1">
      <c r="A27" s="36"/>
      <c r="B27" s="53" t="s">
        <v>180</v>
      </c>
      <c r="C27" s="60" t="s">
        <v>181</v>
      </c>
      <c r="D27" s="49">
        <f>30000/3</f>
        <v>10000</v>
      </c>
      <c r="E27" s="62">
        <v>30000.0</v>
      </c>
      <c r="F27" s="52" t="s">
        <v>55</v>
      </c>
      <c r="G27" s="52"/>
      <c r="H27" s="52"/>
      <c r="I27" s="52">
        <v>3.0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28"/>
      <c r="X27" s="28"/>
    </row>
    <row r="28" ht="15.75" customHeight="1">
      <c r="A28" s="36"/>
      <c r="B28" s="76" t="s">
        <v>182</v>
      </c>
      <c r="C28" s="60" t="s">
        <v>183</v>
      </c>
      <c r="D28" s="49">
        <f>1000/100</f>
        <v>10</v>
      </c>
      <c r="E28" s="62">
        <v>1000.0</v>
      </c>
      <c r="F28" s="52" t="s">
        <v>164</v>
      </c>
      <c r="G28" s="52"/>
      <c r="H28" s="52"/>
      <c r="I28" s="52">
        <v>100.0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28"/>
      <c r="X28" s="28"/>
    </row>
    <row r="29" ht="15.75" customHeight="1">
      <c r="A29" s="36"/>
      <c r="B29" s="76" t="s">
        <v>184</v>
      </c>
      <c r="C29" s="60" t="s">
        <v>183</v>
      </c>
      <c r="D29" s="49">
        <f>2000/100</f>
        <v>20</v>
      </c>
      <c r="E29" s="62">
        <v>2000.0</v>
      </c>
      <c r="F29" s="52" t="s">
        <v>164</v>
      </c>
      <c r="G29" s="52"/>
      <c r="H29" s="52"/>
      <c r="I29" s="52">
        <v>100.0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28"/>
      <c r="X29" s="28"/>
    </row>
    <row r="30" ht="15.75" customHeight="1">
      <c r="A30" s="36"/>
      <c r="B30" s="53" t="s">
        <v>185</v>
      </c>
      <c r="C30" s="60" t="s">
        <v>186</v>
      </c>
      <c r="D30" s="49">
        <f>250/50</f>
        <v>5</v>
      </c>
      <c r="E30" s="62">
        <v>250.0</v>
      </c>
      <c r="F30" s="52" t="s">
        <v>164</v>
      </c>
      <c r="G30" s="52"/>
      <c r="H30" s="52"/>
      <c r="I30" s="52">
        <v>50.0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28"/>
      <c r="X30" s="28"/>
    </row>
    <row r="31" ht="15.75" customHeight="1">
      <c r="A31" s="36"/>
      <c r="B31" s="53" t="s">
        <v>187</v>
      </c>
      <c r="C31" s="60" t="s">
        <v>181</v>
      </c>
      <c r="D31" s="49">
        <f t="shared" ref="D31:D32" si="1">400/3</f>
        <v>133.3333333</v>
      </c>
      <c r="E31" s="62">
        <v>400.0</v>
      </c>
      <c r="F31" s="52" t="s">
        <v>55</v>
      </c>
      <c r="G31" s="52"/>
      <c r="H31" s="52"/>
      <c r="I31" s="52">
        <v>3.0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8"/>
      <c r="X31" s="28"/>
    </row>
    <row r="32" ht="15.75" customHeight="1">
      <c r="A32" s="36"/>
      <c r="B32" s="53" t="s">
        <v>188</v>
      </c>
      <c r="C32" s="60" t="s">
        <v>181</v>
      </c>
      <c r="D32" s="49">
        <f t="shared" si="1"/>
        <v>133.3333333</v>
      </c>
      <c r="E32" s="62">
        <v>400.0</v>
      </c>
      <c r="F32" s="52" t="s">
        <v>55</v>
      </c>
      <c r="G32" s="52"/>
      <c r="H32" s="52"/>
      <c r="I32" s="52">
        <v>3.0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28"/>
      <c r="X32" s="28"/>
    </row>
    <row r="33" ht="15.75" customHeight="1">
      <c r="A33" s="36"/>
      <c r="B33" s="53" t="s">
        <v>189</v>
      </c>
      <c r="C33" s="60" t="s">
        <v>190</v>
      </c>
      <c r="D33" s="49">
        <f>5500/30</f>
        <v>183.3333333</v>
      </c>
      <c r="E33" s="62">
        <v>5500.0</v>
      </c>
      <c r="F33" s="52" t="s">
        <v>164</v>
      </c>
      <c r="G33" s="52"/>
      <c r="H33" s="52"/>
      <c r="I33" s="52">
        <v>30.0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28"/>
      <c r="X33" s="28"/>
    </row>
    <row r="34" ht="15.75" customHeight="1">
      <c r="A34" s="36"/>
      <c r="B34" s="53" t="s">
        <v>191</v>
      </c>
      <c r="C34" s="60" t="s">
        <v>179</v>
      </c>
      <c r="D34" s="49">
        <v>5000.0</v>
      </c>
      <c r="E34" s="62">
        <v>5000.0</v>
      </c>
      <c r="F34" s="52" t="s">
        <v>55</v>
      </c>
      <c r="G34" s="52"/>
      <c r="H34" s="52"/>
      <c r="I34" s="52">
        <v>1.0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28"/>
      <c r="X34" s="28"/>
    </row>
    <row r="35" ht="15.75" customHeight="1">
      <c r="A35" s="36"/>
      <c r="B35" s="53" t="s">
        <v>192</v>
      </c>
      <c r="C35" s="60" t="s">
        <v>193</v>
      </c>
      <c r="D35" s="49">
        <f t="shared" ref="D35:D36" si="2">3200/8</f>
        <v>400</v>
      </c>
      <c r="E35" s="62">
        <v>3200.0</v>
      </c>
      <c r="F35" s="52" t="s">
        <v>164</v>
      </c>
      <c r="G35" s="52"/>
      <c r="H35" s="52"/>
      <c r="I35" s="52">
        <v>8.0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28"/>
      <c r="X35" s="28"/>
    </row>
    <row r="36" ht="15.75" customHeight="1">
      <c r="A36" s="36"/>
      <c r="B36" s="53" t="s">
        <v>194</v>
      </c>
      <c r="C36" s="60" t="s">
        <v>193</v>
      </c>
      <c r="D36" s="49">
        <f t="shared" si="2"/>
        <v>400</v>
      </c>
      <c r="E36" s="62">
        <v>3200.0</v>
      </c>
      <c r="F36" s="52" t="s">
        <v>164</v>
      </c>
      <c r="G36" s="52"/>
      <c r="H36" s="52"/>
      <c r="I36" s="52">
        <v>8.0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28"/>
      <c r="X36" s="28"/>
    </row>
    <row r="37" ht="15.75" customHeight="1">
      <c r="A37" s="36"/>
      <c r="B37" s="53" t="s">
        <v>195</v>
      </c>
      <c r="C37" s="60" t="s">
        <v>196</v>
      </c>
      <c r="D37" s="49">
        <f>200/3</f>
        <v>66.66666667</v>
      </c>
      <c r="E37" s="62">
        <v>200.0</v>
      </c>
      <c r="F37" s="52" t="s">
        <v>164</v>
      </c>
      <c r="G37" s="52"/>
      <c r="H37" s="52"/>
      <c r="I37" s="52">
        <v>3.0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28"/>
      <c r="X37" s="28"/>
    </row>
    <row r="38" ht="15.75" customHeight="1">
      <c r="A38" s="36"/>
      <c r="B38" s="53" t="s">
        <v>197</v>
      </c>
      <c r="C38" s="60" t="s">
        <v>163</v>
      </c>
      <c r="D38" s="49">
        <f>1000/20</f>
        <v>50</v>
      </c>
      <c r="E38" s="62">
        <v>1000.0</v>
      </c>
      <c r="F38" s="52" t="s">
        <v>164</v>
      </c>
      <c r="G38" s="52"/>
      <c r="H38" s="52"/>
      <c r="I38" s="52"/>
      <c r="J38" s="52">
        <v>20.0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28"/>
      <c r="X38" s="28"/>
    </row>
    <row r="39" ht="15.75" customHeight="1">
      <c r="A39" s="36"/>
      <c r="B39" s="53" t="s">
        <v>198</v>
      </c>
      <c r="C39" s="60" t="s">
        <v>199</v>
      </c>
      <c r="D39" s="49">
        <f>600/20</f>
        <v>30</v>
      </c>
      <c r="E39" s="62">
        <v>600.0</v>
      </c>
      <c r="F39" s="52" t="s">
        <v>164</v>
      </c>
      <c r="G39" s="52"/>
      <c r="H39" s="52"/>
      <c r="I39" s="52"/>
      <c r="J39" s="52">
        <v>20.0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28"/>
      <c r="X39" s="28"/>
    </row>
    <row r="40" ht="15.75" customHeight="1">
      <c r="A40" s="36"/>
      <c r="B40" s="53" t="s">
        <v>200</v>
      </c>
      <c r="C40" s="60" t="s">
        <v>183</v>
      </c>
      <c r="D40" s="49">
        <f>1000/100</f>
        <v>10</v>
      </c>
      <c r="E40" s="62">
        <v>1000.0</v>
      </c>
      <c r="F40" s="52" t="s">
        <v>164</v>
      </c>
      <c r="G40" s="52"/>
      <c r="H40" s="52"/>
      <c r="I40" s="52"/>
      <c r="J40" s="52">
        <v>100.0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28"/>
      <c r="X40" s="28"/>
    </row>
    <row r="41" ht="15.75" customHeight="1">
      <c r="A41" s="36"/>
      <c r="B41" s="53" t="s">
        <v>201</v>
      </c>
      <c r="C41" s="60" t="s">
        <v>186</v>
      </c>
      <c r="D41" s="49">
        <f>1000/50</f>
        <v>20</v>
      </c>
      <c r="E41" s="62">
        <v>1000.0</v>
      </c>
      <c r="F41" s="52" t="s">
        <v>164</v>
      </c>
      <c r="G41" s="52"/>
      <c r="H41" s="52"/>
      <c r="I41" s="52"/>
      <c r="J41" s="52">
        <v>50.0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28"/>
      <c r="X41" s="28"/>
    </row>
    <row r="42" ht="15.75" customHeight="1">
      <c r="A42" s="36"/>
      <c r="B42" s="53" t="s">
        <v>202</v>
      </c>
      <c r="C42" s="60" t="s">
        <v>199</v>
      </c>
      <c r="D42" s="49">
        <f>400/20</f>
        <v>20</v>
      </c>
      <c r="E42" s="62">
        <v>400.0</v>
      </c>
      <c r="F42" s="52" t="s">
        <v>164</v>
      </c>
      <c r="G42" s="52"/>
      <c r="H42" s="52"/>
      <c r="I42" s="52"/>
      <c r="J42" s="52">
        <v>20.0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28"/>
      <c r="X42" s="28"/>
    </row>
    <row r="43" ht="15.75" customHeight="1">
      <c r="A43" s="36"/>
      <c r="B43" s="53" t="s">
        <v>203</v>
      </c>
      <c r="C43" s="60" t="s">
        <v>204</v>
      </c>
      <c r="D43" s="49">
        <f>300/3</f>
        <v>100</v>
      </c>
      <c r="E43" s="62">
        <v>300.0</v>
      </c>
      <c r="F43" s="52" t="s">
        <v>164</v>
      </c>
      <c r="G43" s="52"/>
      <c r="H43" s="52"/>
      <c r="I43" s="52"/>
      <c r="J43" s="52">
        <v>3.0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28"/>
      <c r="X43" s="28"/>
    </row>
    <row r="44" ht="15.75" customHeight="1">
      <c r="A44" s="36"/>
      <c r="B44" s="53" t="s">
        <v>205</v>
      </c>
      <c r="C44" s="60" t="s">
        <v>79</v>
      </c>
      <c r="D44" s="49">
        <f>500/10</f>
        <v>50</v>
      </c>
      <c r="E44" s="62">
        <v>500.0</v>
      </c>
      <c r="F44" s="52" t="s">
        <v>164</v>
      </c>
      <c r="G44" s="52"/>
      <c r="H44" s="52"/>
      <c r="I44" s="52"/>
      <c r="J44" s="52">
        <v>10.0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28"/>
      <c r="X44" s="28"/>
    </row>
    <row r="45" ht="15.75" customHeight="1">
      <c r="A45" s="36"/>
      <c r="B45" s="53" t="s">
        <v>206</v>
      </c>
      <c r="C45" s="60" t="s">
        <v>159</v>
      </c>
      <c r="D45" s="49">
        <f t="shared" ref="D45:D46" si="3">300/10</f>
        <v>30</v>
      </c>
      <c r="E45" s="62">
        <v>300.0</v>
      </c>
      <c r="F45" s="52" t="s">
        <v>164</v>
      </c>
      <c r="G45" s="52"/>
      <c r="H45" s="52"/>
      <c r="I45" s="52"/>
      <c r="J45" s="52">
        <v>10.0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28"/>
      <c r="X45" s="28"/>
    </row>
    <row r="46" ht="15.75" customHeight="1">
      <c r="A46" s="36"/>
      <c r="B46" s="53" t="s">
        <v>207</v>
      </c>
      <c r="C46" s="60" t="s">
        <v>159</v>
      </c>
      <c r="D46" s="49">
        <f t="shared" si="3"/>
        <v>30</v>
      </c>
      <c r="E46" s="62">
        <v>300.0</v>
      </c>
      <c r="F46" s="52" t="s">
        <v>164</v>
      </c>
      <c r="G46" s="52"/>
      <c r="H46" s="52"/>
      <c r="I46" s="52"/>
      <c r="J46" s="52">
        <v>10.0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28"/>
      <c r="X46" s="28"/>
    </row>
    <row r="47" ht="15.75" customHeight="1">
      <c r="A47" s="36"/>
      <c r="B47" s="53"/>
      <c r="C47" s="60"/>
      <c r="D47" s="49"/>
      <c r="E47" s="6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28"/>
      <c r="X47" s="28"/>
    </row>
    <row r="48" ht="15.75" customHeight="1">
      <c r="A48" s="36"/>
      <c r="B48" s="79" t="s">
        <v>208</v>
      </c>
      <c r="C48" s="80"/>
      <c r="D48" s="185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28"/>
      <c r="X48" s="28"/>
    </row>
    <row r="49" ht="15.75" customHeight="1">
      <c r="A49" s="36"/>
      <c r="B49" s="45" t="s">
        <v>209</v>
      </c>
      <c r="C49" s="46" t="s">
        <v>210</v>
      </c>
      <c r="D49" s="49">
        <f>6560/4</f>
        <v>1640</v>
      </c>
      <c r="E49" s="50">
        <v>6560.0</v>
      </c>
      <c r="F49" s="52" t="s">
        <v>55</v>
      </c>
      <c r="G49" s="52"/>
      <c r="H49" s="52">
        <v>4.0</v>
      </c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28"/>
      <c r="X49" s="28"/>
    </row>
    <row r="50" ht="15.75" customHeight="1">
      <c r="A50" s="36"/>
      <c r="B50" s="53" t="s">
        <v>211</v>
      </c>
      <c r="C50" s="60" t="s">
        <v>210</v>
      </c>
      <c r="D50" s="49">
        <f>3440/4</f>
        <v>860</v>
      </c>
      <c r="E50" s="62">
        <v>3440.0</v>
      </c>
      <c r="F50" s="52" t="s">
        <v>55</v>
      </c>
      <c r="G50" s="52"/>
      <c r="H50" s="52">
        <v>4.0</v>
      </c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28"/>
      <c r="X50" s="28"/>
    </row>
    <row r="51" ht="15.75" customHeight="1">
      <c r="A51" s="36"/>
      <c r="B51" s="76" t="s">
        <v>212</v>
      </c>
      <c r="C51" s="60" t="s">
        <v>213</v>
      </c>
      <c r="D51" s="49">
        <f>8000/8</f>
        <v>1000</v>
      </c>
      <c r="E51" s="62">
        <v>8000.0</v>
      </c>
      <c r="F51" s="52" t="s">
        <v>55</v>
      </c>
      <c r="G51" s="52"/>
      <c r="H51" s="52">
        <v>8.0</v>
      </c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28"/>
      <c r="X51" s="28"/>
    </row>
    <row r="52" ht="15.75" customHeight="1">
      <c r="A52" s="36"/>
      <c r="B52" s="45" t="s">
        <v>214</v>
      </c>
      <c r="C52" s="60" t="s">
        <v>215</v>
      </c>
      <c r="D52" s="49">
        <f>15000/300</f>
        <v>50</v>
      </c>
      <c r="E52" s="62">
        <v>15000.0</v>
      </c>
      <c r="F52" s="52" t="s">
        <v>55</v>
      </c>
      <c r="G52" s="52"/>
      <c r="H52" s="52">
        <v>300.0</v>
      </c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28"/>
      <c r="X52" s="28"/>
    </row>
    <row r="53" ht="15.75" customHeight="1">
      <c r="A53" s="36"/>
      <c r="B53" s="45" t="s">
        <v>216</v>
      </c>
      <c r="C53" s="60" t="s">
        <v>217</v>
      </c>
      <c r="D53" s="49">
        <f>5700/100</f>
        <v>57</v>
      </c>
      <c r="E53" s="62">
        <v>5700.0</v>
      </c>
      <c r="F53" s="52" t="s">
        <v>55</v>
      </c>
      <c r="G53" s="52"/>
      <c r="H53" s="52">
        <v>100.0</v>
      </c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28"/>
      <c r="X53" s="28"/>
    </row>
    <row r="54" ht="15.75" customHeight="1">
      <c r="A54" s="36"/>
      <c r="B54" s="45" t="s">
        <v>218</v>
      </c>
      <c r="C54" s="60" t="s">
        <v>210</v>
      </c>
      <c r="D54" s="49">
        <f>5500/4</f>
        <v>1375</v>
      </c>
      <c r="E54" s="62">
        <v>5500.0</v>
      </c>
      <c r="F54" s="52" t="s">
        <v>55</v>
      </c>
      <c r="G54" s="52"/>
      <c r="H54" s="52"/>
      <c r="I54" s="52">
        <v>4.0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28"/>
      <c r="X54" s="28"/>
    </row>
    <row r="55" ht="15.75" customHeight="1">
      <c r="A55" s="36"/>
      <c r="B55" s="45" t="s">
        <v>219</v>
      </c>
      <c r="C55" s="60" t="s">
        <v>220</v>
      </c>
      <c r="D55" s="49">
        <f>7200/4</f>
        <v>1800</v>
      </c>
      <c r="E55" s="62">
        <v>7200.0</v>
      </c>
      <c r="F55" s="52" t="s">
        <v>55</v>
      </c>
      <c r="G55" s="52"/>
      <c r="H55" s="52"/>
      <c r="I55" s="52">
        <v>4.0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28"/>
      <c r="X55" s="28"/>
    </row>
    <row r="56" ht="15.75" customHeight="1">
      <c r="A56" s="36"/>
      <c r="B56" s="45" t="s">
        <v>221</v>
      </c>
      <c r="C56" s="60" t="s">
        <v>101</v>
      </c>
      <c r="D56" s="49">
        <f>8000/6</f>
        <v>1333.333333</v>
      </c>
      <c r="E56" s="62">
        <v>8000.0</v>
      </c>
      <c r="F56" s="52" t="s">
        <v>55</v>
      </c>
      <c r="G56" s="52"/>
      <c r="H56" s="52"/>
      <c r="I56" s="52">
        <v>6.0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28"/>
      <c r="X56" s="28"/>
    </row>
    <row r="57" ht="15.75" customHeight="1">
      <c r="A57" s="36"/>
      <c r="B57" s="45" t="s">
        <v>222</v>
      </c>
      <c r="C57" s="60" t="s">
        <v>223</v>
      </c>
      <c r="D57" s="49">
        <f>280/10</f>
        <v>28</v>
      </c>
      <c r="E57" s="62">
        <v>280.0</v>
      </c>
      <c r="F57" s="52" t="s">
        <v>55</v>
      </c>
      <c r="G57" s="52"/>
      <c r="H57" s="52"/>
      <c r="I57" s="52">
        <v>10.0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28"/>
      <c r="X57" s="28"/>
    </row>
    <row r="58" ht="15.75" customHeight="1">
      <c r="A58" s="36"/>
      <c r="B58" s="45" t="s">
        <v>224</v>
      </c>
      <c r="C58" s="60" t="s">
        <v>225</v>
      </c>
      <c r="D58" s="49">
        <f>2100/6</f>
        <v>350</v>
      </c>
      <c r="E58" s="62">
        <v>2100.0</v>
      </c>
      <c r="F58" s="52" t="s">
        <v>55</v>
      </c>
      <c r="G58" s="52"/>
      <c r="H58" s="52"/>
      <c r="I58" s="52"/>
      <c r="J58" s="52">
        <v>6.0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28"/>
      <c r="X58" s="28"/>
    </row>
    <row r="59" ht="15.75" customHeight="1">
      <c r="A59" s="36"/>
      <c r="B59" s="45" t="s">
        <v>226</v>
      </c>
      <c r="C59" s="60" t="s">
        <v>79</v>
      </c>
      <c r="D59" s="49">
        <f>3000/10</f>
        <v>300</v>
      </c>
      <c r="E59" s="62">
        <v>3000.0</v>
      </c>
      <c r="F59" s="52" t="s">
        <v>55</v>
      </c>
      <c r="G59" s="52"/>
      <c r="H59" s="52"/>
      <c r="I59" s="52"/>
      <c r="J59" s="52">
        <v>10.0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28"/>
      <c r="X59" s="28"/>
    </row>
    <row r="60" ht="15.75" customHeight="1">
      <c r="A60" s="36"/>
      <c r="B60" s="45" t="s">
        <v>227</v>
      </c>
      <c r="C60" s="60" t="s">
        <v>225</v>
      </c>
      <c r="D60" s="49">
        <f>2400/6</f>
        <v>400</v>
      </c>
      <c r="E60" s="62">
        <v>2400.0</v>
      </c>
      <c r="F60" s="52" t="s">
        <v>55</v>
      </c>
      <c r="G60" s="52"/>
      <c r="H60" s="52"/>
      <c r="I60" s="52"/>
      <c r="J60" s="52">
        <v>6.0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28"/>
      <c r="X60" s="28"/>
    </row>
    <row r="61" ht="15.75" hidden="1" customHeight="1">
      <c r="A61" s="36"/>
      <c r="B61" s="45"/>
      <c r="C61" s="60"/>
      <c r="D61" s="49"/>
      <c r="E61" s="6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28"/>
      <c r="X61" s="28"/>
    </row>
    <row r="62" ht="15.75" hidden="1" customHeight="1">
      <c r="A62" s="36"/>
      <c r="B62" s="45"/>
      <c r="C62" s="60"/>
      <c r="D62" s="49"/>
      <c r="E62" s="6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28"/>
      <c r="X62" s="28"/>
    </row>
    <row r="63" ht="15.75" hidden="1" customHeight="1">
      <c r="A63" s="36"/>
      <c r="B63" s="45"/>
      <c r="C63" s="60"/>
      <c r="D63" s="49"/>
      <c r="E63" s="6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28"/>
      <c r="X63" s="28"/>
    </row>
    <row r="64" ht="15.75" hidden="1" customHeight="1">
      <c r="A64" s="36"/>
      <c r="B64" s="45"/>
      <c r="C64" s="60"/>
      <c r="D64" s="49"/>
      <c r="E64" s="6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28"/>
      <c r="X64" s="28"/>
    </row>
    <row r="65" ht="15.75" hidden="1" customHeight="1">
      <c r="A65" s="36"/>
      <c r="B65" s="45"/>
      <c r="C65" s="60"/>
      <c r="D65" s="49"/>
      <c r="E65" s="6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28"/>
      <c r="X65" s="28"/>
    </row>
    <row r="66" ht="15.75" hidden="1" customHeight="1">
      <c r="A66" s="36"/>
      <c r="B66" s="45"/>
      <c r="C66" s="60"/>
      <c r="D66" s="49"/>
      <c r="E66" s="6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28"/>
      <c r="X66" s="28"/>
    </row>
    <row r="67" ht="15.75" hidden="1" customHeight="1">
      <c r="A67" s="77"/>
      <c r="B67" s="78"/>
      <c r="C67" s="182"/>
      <c r="D67" s="183"/>
      <c r="E67" s="184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28"/>
      <c r="X67" s="28"/>
    </row>
    <row r="68" ht="15.75" hidden="1" customHeight="1">
      <c r="A68" s="36"/>
      <c r="B68" s="79" t="s">
        <v>93</v>
      </c>
      <c r="C68" s="80"/>
      <c r="D68" s="185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28"/>
      <c r="X68" s="28"/>
    </row>
    <row r="69" ht="15.75" hidden="1" customHeight="1">
      <c r="A69" s="36"/>
      <c r="B69" s="45"/>
      <c r="C69" s="60"/>
      <c r="D69" s="49"/>
      <c r="E69" s="6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28"/>
      <c r="X69" s="28"/>
    </row>
    <row r="70" ht="15.75" hidden="1" customHeight="1">
      <c r="A70" s="36"/>
      <c r="B70" s="45"/>
      <c r="C70" s="60"/>
      <c r="D70" s="49"/>
      <c r="E70" s="6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28"/>
      <c r="X70" s="28"/>
    </row>
    <row r="71" ht="15.75" hidden="1" customHeight="1">
      <c r="A71" s="36"/>
      <c r="B71" s="45"/>
      <c r="C71" s="60"/>
      <c r="D71" s="49"/>
      <c r="E71" s="6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28"/>
      <c r="X71" s="28"/>
    </row>
    <row r="72" ht="15.75" hidden="1" customHeight="1">
      <c r="A72" s="36"/>
      <c r="B72" s="45"/>
      <c r="C72" s="60"/>
      <c r="D72" s="49"/>
      <c r="E72" s="6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28"/>
      <c r="X72" s="28"/>
    </row>
    <row r="73" ht="15.75" hidden="1" customHeight="1">
      <c r="A73" s="36"/>
      <c r="B73" s="79" t="s">
        <v>94</v>
      </c>
      <c r="C73" s="80"/>
      <c r="D73" s="185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28"/>
      <c r="X73" s="28"/>
    </row>
    <row r="74" ht="15.75" hidden="1" customHeight="1">
      <c r="A74" s="36"/>
      <c r="B74" s="45"/>
      <c r="C74" s="60"/>
      <c r="D74" s="49"/>
      <c r="E74" s="6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28"/>
      <c r="X74" s="28"/>
    </row>
    <row r="75" ht="15.75" hidden="1" customHeight="1">
      <c r="A75" s="36"/>
      <c r="B75" s="45"/>
      <c r="C75" s="60"/>
      <c r="D75" s="49"/>
      <c r="E75" s="6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28"/>
      <c r="X75" s="28"/>
    </row>
    <row r="76" ht="15.75" hidden="1" customHeight="1">
      <c r="A76" s="36"/>
      <c r="B76" s="45"/>
      <c r="C76" s="60"/>
      <c r="D76" s="49"/>
      <c r="E76" s="6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28"/>
      <c r="X76" s="28"/>
    </row>
    <row r="77" ht="15.75" customHeight="1">
      <c r="A77" s="77"/>
      <c r="B77" s="109" t="s">
        <v>114</v>
      </c>
      <c r="C77" s="110"/>
      <c r="D77" s="110"/>
      <c r="E77" s="110"/>
      <c r="F77" s="110"/>
      <c r="G77" s="110"/>
      <c r="H77" s="110"/>
      <c r="I77" s="111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28"/>
      <c r="X77" s="28"/>
    </row>
    <row r="78" ht="15.75" customHeight="1">
      <c r="A78" s="112"/>
      <c r="B78" s="113"/>
      <c r="C78" s="2"/>
      <c r="D78" s="14"/>
      <c r="E78" s="114"/>
      <c r="F78" s="16"/>
      <c r="G78" s="1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115" t="s">
        <v>115</v>
      </c>
      <c r="B79" s="6"/>
      <c r="C79" s="116">
        <v>247155.0</v>
      </c>
      <c r="F79" s="16"/>
      <c r="G79" s="1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hidden="1" customHeight="1">
      <c r="A80" s="117" t="s">
        <v>116</v>
      </c>
      <c r="B80" s="118"/>
      <c r="C80" s="119">
        <f>PRODUCT(C79,0.1)</f>
        <v>24715.5</v>
      </c>
      <c r="D80" s="120"/>
      <c r="E80" s="121"/>
      <c r="F80" s="16"/>
      <c r="G80" s="16"/>
      <c r="H80" s="122"/>
      <c r="J80" s="122"/>
      <c r="U80" s="122"/>
      <c r="V80" s="2"/>
      <c r="W80" s="2"/>
      <c r="X80" s="2"/>
    </row>
    <row r="81" ht="15.75" hidden="1" customHeight="1">
      <c r="A81" s="123" t="s">
        <v>117</v>
      </c>
      <c r="B81" s="124"/>
      <c r="C81" s="125">
        <f>PRODUCT(C79,0.1)</f>
        <v>24715.5</v>
      </c>
      <c r="D81" s="110"/>
      <c r="E81" s="111"/>
      <c r="F81" s="16"/>
      <c r="G81" s="16"/>
      <c r="H81" s="127"/>
      <c r="I81" s="127"/>
      <c r="J81" s="128"/>
      <c r="U81" s="128"/>
      <c r="V81" s="2"/>
      <c r="W81" s="2"/>
      <c r="X81" s="2"/>
    </row>
    <row r="82" ht="15.75" hidden="1" customHeight="1">
      <c r="A82" s="123" t="s">
        <v>118</v>
      </c>
      <c r="B82" s="124"/>
      <c r="C82" s="125">
        <f>SUM(C79:E81)</f>
        <v>296586</v>
      </c>
      <c r="D82" s="110"/>
      <c r="E82" s="111"/>
      <c r="F82" s="16"/>
      <c r="G82" s="16"/>
      <c r="H82" s="127"/>
      <c r="I82" s="127"/>
      <c r="J82" s="128"/>
      <c r="U82" s="128"/>
      <c r="V82" s="2"/>
      <c r="W82" s="2"/>
      <c r="X82" s="2"/>
    </row>
    <row r="83" ht="15.75" customHeight="1">
      <c r="A83" s="129"/>
      <c r="B83" s="6"/>
      <c r="C83" s="2"/>
      <c r="D83" s="14"/>
      <c r="E83" s="15"/>
      <c r="F83" s="16"/>
      <c r="G83" s="16"/>
      <c r="H83" s="127"/>
      <c r="I83" s="127"/>
      <c r="J83" s="128"/>
      <c r="U83" s="128"/>
      <c r="V83" s="2"/>
      <c r="W83" s="2"/>
      <c r="X83" s="2"/>
    </row>
    <row r="84" ht="15.75" customHeight="1">
      <c r="A84" s="130" t="s">
        <v>119</v>
      </c>
      <c r="B84" s="6"/>
      <c r="C84" s="2"/>
      <c r="D84" s="14"/>
      <c r="E84" s="15"/>
      <c r="F84" s="16"/>
      <c r="G84" s="1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131"/>
      <c r="B85" s="6"/>
      <c r="C85" s="2"/>
      <c r="D85" s="14"/>
      <c r="E85" s="15"/>
      <c r="F85" s="16"/>
      <c r="G85" s="1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132" t="s">
        <v>120</v>
      </c>
      <c r="B86" s="113"/>
      <c r="C86" s="133" t="s">
        <v>121</v>
      </c>
      <c r="F86" s="127"/>
      <c r="G86" s="127"/>
      <c r="H86" s="2"/>
      <c r="I86" s="133" t="s">
        <v>122</v>
      </c>
      <c r="O86" s="2"/>
      <c r="P86" s="2"/>
      <c r="Q86" s="133" t="s">
        <v>123</v>
      </c>
      <c r="U86" s="2"/>
      <c r="V86" s="2"/>
      <c r="X86" s="127"/>
    </row>
    <row r="87" ht="15.75" customHeight="1">
      <c r="A87" s="132"/>
      <c r="B87" s="113"/>
      <c r="C87" s="133"/>
      <c r="D87" s="136"/>
      <c r="E87" s="133"/>
      <c r="F87" s="127"/>
      <c r="G87" s="127"/>
      <c r="H87" s="2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27"/>
      <c r="X87" s="127"/>
    </row>
    <row r="88" ht="15.75" customHeight="1">
      <c r="A88" s="113"/>
      <c r="B88" s="113"/>
      <c r="C88" s="127"/>
      <c r="D88" s="139"/>
      <c r="E88" s="140"/>
      <c r="F88" s="127"/>
      <c r="G88" s="127"/>
      <c r="H88" s="2"/>
      <c r="I88" s="127"/>
      <c r="J88" s="140"/>
      <c r="K88" s="140"/>
      <c r="L88" s="140"/>
      <c r="M88" s="140"/>
      <c r="N88" s="140"/>
      <c r="O88" s="140"/>
      <c r="P88" s="140"/>
      <c r="Q88" s="127"/>
      <c r="R88" s="140"/>
      <c r="S88" s="127"/>
      <c r="T88" s="127"/>
      <c r="U88" s="127"/>
      <c r="V88" s="127"/>
      <c r="W88" s="127"/>
      <c r="X88" s="127"/>
    </row>
    <row r="89" ht="15.75" customHeight="1">
      <c r="A89" s="141" t="s">
        <v>124</v>
      </c>
      <c r="C89" s="142" t="s">
        <v>125</v>
      </c>
      <c r="G89" s="2"/>
      <c r="H89" s="2"/>
      <c r="I89" s="142" t="s">
        <v>126</v>
      </c>
      <c r="O89" s="2"/>
      <c r="P89" s="2"/>
      <c r="Q89" s="142" t="s">
        <v>127</v>
      </c>
      <c r="U89" s="2"/>
      <c r="V89" s="2"/>
    </row>
    <row r="90" ht="15.0" customHeight="1">
      <c r="A90" s="143" t="s">
        <v>128</v>
      </c>
      <c r="C90" s="144" t="s">
        <v>129</v>
      </c>
      <c r="G90" s="145"/>
      <c r="H90" s="2"/>
      <c r="I90" s="146" t="s">
        <v>130</v>
      </c>
      <c r="O90" s="2"/>
      <c r="P90" s="2"/>
      <c r="Q90" s="144" t="s">
        <v>131</v>
      </c>
      <c r="U90" s="2"/>
      <c r="V90" s="2"/>
      <c r="W90" s="127"/>
      <c r="X90" s="127"/>
    </row>
    <row r="91" ht="15.75" customHeight="1">
      <c r="A91" s="2"/>
      <c r="B91" s="2"/>
      <c r="C91" s="2"/>
      <c r="D91" s="1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 t="s">
        <v>132</v>
      </c>
      <c r="B92" s="2"/>
      <c r="C92" s="2" t="s">
        <v>132</v>
      </c>
      <c r="D92" s="14"/>
      <c r="E92" s="2"/>
      <c r="F92" s="2"/>
      <c r="G92" s="2"/>
      <c r="H92" s="2"/>
      <c r="I92" s="2" t="s">
        <v>132</v>
      </c>
      <c r="J92" s="2"/>
      <c r="K92" s="2"/>
      <c r="L92" s="2"/>
      <c r="M92" s="2"/>
      <c r="N92" s="2"/>
      <c r="O92" s="2"/>
      <c r="P92" s="2"/>
      <c r="Q92" s="2" t="s">
        <v>132</v>
      </c>
      <c r="R92" s="2"/>
      <c r="S92" s="2"/>
      <c r="T92" s="2"/>
      <c r="U92" s="2"/>
      <c r="V92" s="2"/>
      <c r="W92" s="2"/>
      <c r="X92" s="2"/>
    </row>
    <row r="93" ht="15.75" customHeight="1">
      <c r="D93" s="149"/>
      <c r="H93" s="150"/>
    </row>
    <row r="94" ht="15.75" customHeight="1">
      <c r="D94" s="149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</row>
    <row r="95" ht="15.75" customHeight="1">
      <c r="D95" s="149"/>
      <c r="H95" s="196"/>
      <c r="I95" s="153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</row>
    <row r="96" ht="15.75" customHeight="1">
      <c r="D96" s="149"/>
      <c r="H96" s="155"/>
    </row>
    <row r="97" ht="15.75" customHeight="1">
      <c r="D97" s="149"/>
      <c r="H97" s="156"/>
    </row>
    <row r="98" ht="15.75" customHeight="1">
      <c r="D98" s="149"/>
    </row>
    <row r="99" ht="15.75" customHeight="1">
      <c r="D99" s="149"/>
    </row>
    <row r="100" ht="15.75" customHeight="1">
      <c r="D100" s="149"/>
    </row>
    <row r="101" ht="15.75" customHeight="1">
      <c r="D101" s="149"/>
    </row>
    <row r="102" ht="15.75" customHeight="1">
      <c r="D102" s="149"/>
    </row>
    <row r="103" ht="15.75" customHeight="1">
      <c r="D103" s="149"/>
    </row>
    <row r="104" ht="15.75" customHeight="1">
      <c r="D104" s="149"/>
    </row>
    <row r="105" ht="15.75" customHeight="1">
      <c r="D105" s="149"/>
    </row>
    <row r="106" ht="15.75" customHeight="1">
      <c r="D106" s="149"/>
    </row>
    <row r="107" ht="15.75" customHeight="1">
      <c r="D107" s="149"/>
    </row>
    <row r="108" ht="15.75" customHeight="1">
      <c r="D108" s="149"/>
    </row>
    <row r="109" ht="15.75" customHeight="1">
      <c r="D109" s="149"/>
    </row>
    <row r="110" ht="15.75" customHeight="1">
      <c r="D110" s="149"/>
    </row>
    <row r="111" ht="15.75" customHeight="1">
      <c r="D111" s="149"/>
    </row>
    <row r="112" ht="15.75" customHeight="1">
      <c r="D112" s="149"/>
    </row>
    <row r="113" ht="15.75" customHeight="1">
      <c r="D113" s="149"/>
    </row>
    <row r="114" ht="15.75" customHeight="1">
      <c r="D114" s="149"/>
    </row>
    <row r="115" ht="15.75" customHeight="1">
      <c r="D115" s="149"/>
    </row>
    <row r="116" ht="15.75" customHeight="1">
      <c r="D116" s="149"/>
    </row>
    <row r="117" ht="15.75" customHeight="1">
      <c r="D117" s="149"/>
    </row>
    <row r="118" ht="15.75" customHeight="1">
      <c r="D118" s="149"/>
    </row>
    <row r="119" ht="15.75" customHeight="1">
      <c r="D119" s="149"/>
    </row>
    <row r="120" ht="15.75" customHeight="1">
      <c r="D120" s="149"/>
    </row>
    <row r="121" ht="15.75" customHeight="1">
      <c r="D121" s="149"/>
    </row>
    <row r="122" ht="15.75" customHeight="1">
      <c r="D122" s="149"/>
    </row>
    <row r="123" ht="15.75" customHeight="1">
      <c r="D123" s="149"/>
    </row>
    <row r="124" ht="15.75" customHeight="1">
      <c r="D124" s="149"/>
    </row>
    <row r="125" ht="15.75" customHeight="1">
      <c r="D125" s="149"/>
    </row>
    <row r="126" ht="15.75" customHeight="1">
      <c r="D126" s="149"/>
    </row>
    <row r="127" ht="15.75" customHeight="1">
      <c r="D127" s="149"/>
    </row>
    <row r="128" ht="15.75" customHeight="1">
      <c r="D128" s="149"/>
    </row>
    <row r="129" ht="15.75" customHeight="1">
      <c r="D129" s="149"/>
    </row>
    <row r="130" ht="15.75" customHeight="1">
      <c r="D130" s="149"/>
    </row>
    <row r="131" ht="15.75" customHeight="1">
      <c r="D131" s="149"/>
    </row>
    <row r="132" ht="15.75" customHeight="1">
      <c r="D132" s="149"/>
    </row>
    <row r="133" ht="15.75" customHeight="1">
      <c r="D133" s="149"/>
    </row>
    <row r="134" ht="15.75" customHeight="1">
      <c r="D134" s="149"/>
    </row>
    <row r="135" ht="15.75" customHeight="1">
      <c r="D135" s="149"/>
    </row>
    <row r="136" ht="15.75" customHeight="1">
      <c r="D136" s="149"/>
    </row>
    <row r="137" ht="15.75" customHeight="1">
      <c r="D137" s="149"/>
    </row>
    <row r="138" ht="15.75" customHeight="1">
      <c r="D138" s="149"/>
    </row>
    <row r="139" ht="15.75" customHeight="1">
      <c r="D139" s="149"/>
    </row>
    <row r="140" ht="15.75" customHeight="1">
      <c r="D140" s="149"/>
    </row>
    <row r="141" ht="15.75" customHeight="1">
      <c r="D141" s="149"/>
    </row>
    <row r="142" ht="15.75" customHeight="1">
      <c r="D142" s="149"/>
    </row>
    <row r="143" ht="15.75" customHeight="1">
      <c r="D143" s="149"/>
    </row>
    <row r="144" ht="15.75" customHeight="1">
      <c r="D144" s="149"/>
    </row>
    <row r="145" ht="15.75" customHeight="1">
      <c r="D145" s="149"/>
    </row>
    <row r="146" ht="15.75" customHeight="1">
      <c r="D146" s="149"/>
    </row>
    <row r="147" ht="15.75" customHeight="1">
      <c r="D147" s="149"/>
    </row>
    <row r="148" ht="15.75" customHeight="1">
      <c r="D148" s="149"/>
    </row>
    <row r="149" ht="15.75" customHeight="1">
      <c r="D149" s="149"/>
    </row>
    <row r="150" ht="15.75" customHeight="1">
      <c r="D150" s="149"/>
    </row>
    <row r="151" ht="15.75" customHeight="1">
      <c r="D151" s="149"/>
    </row>
    <row r="152" ht="15.75" customHeight="1">
      <c r="D152" s="149"/>
    </row>
    <row r="153" ht="15.75" customHeight="1">
      <c r="D153" s="149"/>
    </row>
    <row r="154" ht="15.75" customHeight="1">
      <c r="D154" s="149"/>
    </row>
    <row r="155" ht="15.75" customHeight="1">
      <c r="D155" s="149"/>
    </row>
    <row r="156" ht="15.75" customHeight="1">
      <c r="D156" s="149"/>
    </row>
    <row r="157" ht="15.75" customHeight="1">
      <c r="D157" s="149"/>
    </row>
    <row r="158" ht="15.75" customHeight="1">
      <c r="D158" s="149"/>
    </row>
    <row r="159" ht="15.75" customHeight="1">
      <c r="D159" s="149"/>
    </row>
    <row r="160" ht="15.75" customHeight="1">
      <c r="D160" s="149"/>
    </row>
    <row r="161" ht="15.75" customHeight="1">
      <c r="D161" s="149"/>
    </row>
    <row r="162" ht="15.75" customHeight="1">
      <c r="D162" s="149"/>
    </row>
    <row r="163" ht="15.75" customHeight="1">
      <c r="D163" s="149"/>
    </row>
    <row r="164" ht="15.75" customHeight="1">
      <c r="D164" s="149"/>
    </row>
    <row r="165" ht="15.75" customHeight="1">
      <c r="D165" s="149"/>
    </row>
    <row r="166" ht="15.75" customHeight="1">
      <c r="D166" s="149"/>
    </row>
    <row r="167" ht="15.75" customHeight="1">
      <c r="D167" s="149"/>
    </row>
    <row r="168" ht="15.75" customHeight="1">
      <c r="D168" s="149"/>
    </row>
    <row r="169" ht="15.75" customHeight="1">
      <c r="D169" s="149"/>
    </row>
    <row r="170" ht="15.75" customHeight="1">
      <c r="D170" s="149"/>
    </row>
    <row r="171" ht="15.75" customHeight="1">
      <c r="D171" s="149"/>
    </row>
    <row r="172" ht="15.75" customHeight="1">
      <c r="D172" s="149"/>
    </row>
    <row r="173" ht="15.75" customHeight="1">
      <c r="D173" s="149"/>
    </row>
    <row r="174" ht="15.75" customHeight="1">
      <c r="D174" s="149"/>
    </row>
    <row r="175" ht="15.75" customHeight="1">
      <c r="D175" s="149"/>
    </row>
    <row r="176" ht="15.75" customHeight="1">
      <c r="D176" s="149"/>
    </row>
    <row r="177" ht="15.75" customHeight="1">
      <c r="D177" s="149"/>
    </row>
    <row r="178" ht="15.75" customHeight="1">
      <c r="D178" s="149"/>
    </row>
    <row r="179" ht="15.75" customHeight="1">
      <c r="D179" s="149"/>
    </row>
    <row r="180" ht="15.75" customHeight="1">
      <c r="D180" s="149"/>
    </row>
    <row r="181" ht="15.75" customHeight="1">
      <c r="D181" s="149"/>
    </row>
    <row r="182" ht="15.75" customHeight="1">
      <c r="D182" s="149"/>
    </row>
    <row r="183" ht="15.75" customHeight="1">
      <c r="D183" s="149"/>
    </row>
    <row r="184" ht="15.75" customHeight="1">
      <c r="D184" s="149"/>
    </row>
    <row r="185" ht="15.75" customHeight="1">
      <c r="D185" s="149"/>
    </row>
    <row r="186" ht="15.75" customHeight="1">
      <c r="D186" s="149"/>
    </row>
    <row r="187" ht="15.75" customHeight="1">
      <c r="D187" s="149"/>
    </row>
    <row r="188" ht="15.75" customHeight="1">
      <c r="D188" s="149"/>
    </row>
    <row r="189" ht="15.75" customHeight="1">
      <c r="D189" s="149"/>
    </row>
    <row r="190" ht="15.75" customHeight="1">
      <c r="D190" s="149"/>
    </row>
    <row r="191" ht="15.75" customHeight="1">
      <c r="D191" s="149"/>
    </row>
    <row r="192" ht="15.75" customHeight="1">
      <c r="D192" s="149"/>
    </row>
    <row r="193" ht="15.75" customHeight="1">
      <c r="D193" s="149"/>
    </row>
    <row r="194" ht="15.75" customHeight="1">
      <c r="D194" s="149"/>
    </row>
    <row r="195" ht="15.75" customHeight="1">
      <c r="D195" s="149"/>
    </row>
    <row r="196" ht="15.75" customHeight="1">
      <c r="D196" s="149"/>
    </row>
    <row r="197" ht="15.75" customHeight="1">
      <c r="D197" s="149"/>
    </row>
    <row r="198" ht="15.75" customHeight="1">
      <c r="D198" s="149"/>
    </row>
    <row r="199" ht="15.75" customHeight="1">
      <c r="D199" s="149"/>
    </row>
    <row r="200" ht="15.75" customHeight="1">
      <c r="D200" s="149"/>
    </row>
    <row r="201" ht="15.75" customHeight="1">
      <c r="D201" s="149"/>
    </row>
    <row r="202" ht="15.75" customHeight="1">
      <c r="D202" s="149"/>
    </row>
    <row r="203" ht="15.75" customHeight="1">
      <c r="D203" s="149"/>
    </row>
    <row r="204" ht="15.75" customHeight="1">
      <c r="D204" s="149"/>
    </row>
    <row r="205" ht="15.75" customHeight="1">
      <c r="D205" s="149"/>
    </row>
    <row r="206" ht="15.75" customHeight="1">
      <c r="D206" s="149"/>
    </row>
    <row r="207" ht="15.75" customHeight="1">
      <c r="D207" s="149"/>
    </row>
    <row r="208" ht="15.75" customHeight="1">
      <c r="D208" s="149"/>
    </row>
    <row r="209" ht="15.75" customHeight="1">
      <c r="D209" s="149"/>
    </row>
    <row r="210" ht="15.75" customHeight="1">
      <c r="D210" s="149"/>
    </row>
    <row r="211" ht="15.75" customHeight="1">
      <c r="D211" s="149"/>
    </row>
    <row r="212" ht="15.75" customHeight="1">
      <c r="D212" s="149"/>
    </row>
    <row r="213" ht="15.75" customHeight="1">
      <c r="D213" s="149"/>
    </row>
    <row r="214" ht="15.75" customHeight="1">
      <c r="D214" s="149"/>
    </row>
    <row r="215" ht="15.75" customHeight="1">
      <c r="D215" s="149"/>
    </row>
    <row r="216" ht="15.75" customHeight="1">
      <c r="D216" s="149"/>
    </row>
    <row r="217" ht="15.75" customHeight="1">
      <c r="D217" s="149"/>
    </row>
    <row r="218" ht="15.75" customHeight="1">
      <c r="D218" s="149"/>
    </row>
    <row r="219" ht="15.75" customHeight="1">
      <c r="D219" s="149"/>
    </row>
    <row r="220" ht="15.75" customHeight="1">
      <c r="D220" s="149"/>
    </row>
    <row r="221" ht="15.75" customHeight="1">
      <c r="D221" s="149"/>
    </row>
    <row r="222" ht="15.75" customHeight="1">
      <c r="D222" s="149"/>
    </row>
    <row r="223" ht="15.75" customHeight="1">
      <c r="D223" s="149"/>
    </row>
    <row r="224" ht="15.75" customHeight="1">
      <c r="D224" s="149"/>
    </row>
    <row r="225" ht="15.75" customHeight="1">
      <c r="D225" s="149"/>
    </row>
    <row r="226" ht="15.75" customHeight="1">
      <c r="D226" s="149"/>
    </row>
    <row r="227" ht="15.75" customHeight="1">
      <c r="D227" s="149"/>
    </row>
    <row r="228" ht="15.75" customHeight="1">
      <c r="D228" s="149"/>
    </row>
    <row r="229" ht="15.75" customHeight="1">
      <c r="D229" s="149"/>
    </row>
    <row r="230" ht="15.75" customHeight="1">
      <c r="D230" s="149"/>
    </row>
    <row r="231" ht="15.75" customHeight="1">
      <c r="D231" s="149"/>
    </row>
    <row r="232" ht="15.75" customHeight="1">
      <c r="D232" s="149"/>
    </row>
    <row r="233" ht="15.75" customHeight="1">
      <c r="D233" s="149"/>
    </row>
    <row r="234" ht="15.75" customHeight="1">
      <c r="D234" s="149"/>
    </row>
    <row r="235" ht="15.75" customHeight="1">
      <c r="D235" s="149"/>
    </row>
    <row r="236" ht="15.75" customHeight="1">
      <c r="D236" s="149"/>
    </row>
    <row r="237" ht="15.75" customHeight="1">
      <c r="D237" s="149"/>
    </row>
    <row r="238" ht="15.75" customHeight="1">
      <c r="D238" s="149"/>
    </row>
    <row r="239" ht="15.75" customHeight="1">
      <c r="D239" s="149"/>
    </row>
    <row r="240" ht="15.75" customHeight="1">
      <c r="D240" s="149"/>
    </row>
    <row r="241" ht="15.75" customHeight="1">
      <c r="D241" s="149"/>
    </row>
    <row r="242" ht="15.75" customHeight="1">
      <c r="D242" s="149"/>
    </row>
    <row r="243" ht="15.75" customHeight="1">
      <c r="D243" s="149"/>
    </row>
    <row r="244" ht="15.75" customHeight="1">
      <c r="D244" s="149"/>
    </row>
    <row r="245" ht="15.75" customHeight="1">
      <c r="D245" s="149"/>
    </row>
    <row r="246" ht="15.75" customHeight="1">
      <c r="D246" s="149"/>
    </row>
    <row r="247" ht="15.75" customHeight="1">
      <c r="D247" s="149"/>
    </row>
    <row r="248" ht="15.75" customHeight="1">
      <c r="D248" s="149"/>
    </row>
    <row r="249" ht="15.75" customHeight="1">
      <c r="D249" s="149"/>
    </row>
    <row r="250" ht="15.75" customHeight="1">
      <c r="D250" s="149"/>
    </row>
    <row r="251" ht="15.75" customHeight="1">
      <c r="D251" s="149"/>
    </row>
    <row r="252" ht="15.75" customHeight="1">
      <c r="D252" s="149"/>
    </row>
    <row r="253" ht="15.75" customHeight="1">
      <c r="D253" s="149"/>
    </row>
    <row r="254" ht="15.75" customHeight="1">
      <c r="D254" s="149"/>
    </row>
    <row r="255" ht="15.75" customHeight="1">
      <c r="D255" s="149"/>
    </row>
    <row r="256" ht="15.75" customHeight="1">
      <c r="D256" s="149"/>
    </row>
    <row r="257" ht="15.75" customHeight="1">
      <c r="D257" s="149"/>
    </row>
    <row r="258" ht="15.75" customHeight="1">
      <c r="D258" s="149"/>
    </row>
    <row r="259" ht="15.75" customHeight="1">
      <c r="D259" s="149"/>
    </row>
    <row r="260" ht="15.75" customHeight="1">
      <c r="D260" s="149"/>
    </row>
    <row r="261" ht="15.75" customHeight="1">
      <c r="D261" s="149"/>
    </row>
    <row r="262" ht="15.75" customHeight="1">
      <c r="D262" s="149"/>
    </row>
    <row r="263" ht="15.75" customHeight="1">
      <c r="D263" s="149"/>
    </row>
    <row r="264" ht="15.75" customHeight="1">
      <c r="D264" s="149"/>
    </row>
    <row r="265" ht="15.75" customHeight="1">
      <c r="D265" s="149"/>
    </row>
    <row r="266" ht="15.75" customHeight="1">
      <c r="D266" s="149"/>
    </row>
    <row r="267" ht="15.75" customHeight="1">
      <c r="D267" s="149"/>
    </row>
    <row r="268" ht="15.75" customHeight="1">
      <c r="D268" s="149"/>
    </row>
    <row r="269" ht="15.75" customHeight="1">
      <c r="D269" s="149"/>
    </row>
    <row r="270" ht="15.75" customHeight="1">
      <c r="D270" s="149"/>
    </row>
    <row r="271" ht="15.75" customHeight="1">
      <c r="D271" s="149"/>
    </row>
    <row r="272" ht="15.75" customHeight="1">
      <c r="D272" s="149"/>
    </row>
    <row r="273" ht="15.75" customHeight="1">
      <c r="D273" s="149"/>
    </row>
    <row r="274" ht="15.75" customHeight="1">
      <c r="D274" s="149"/>
    </row>
    <row r="275" ht="15.75" customHeight="1">
      <c r="D275" s="149"/>
    </row>
    <row r="276" ht="15.75" customHeight="1">
      <c r="D276" s="149"/>
    </row>
    <row r="277" ht="15.75" customHeight="1">
      <c r="D277" s="149"/>
    </row>
    <row r="278" ht="15.75" customHeight="1">
      <c r="D278" s="149"/>
    </row>
    <row r="279" ht="15.75" customHeight="1">
      <c r="D279" s="149"/>
    </row>
    <row r="280" ht="15.75" customHeight="1">
      <c r="D280" s="149"/>
    </row>
    <row r="281" ht="15.75" customHeight="1">
      <c r="D281" s="149"/>
    </row>
    <row r="282" ht="15.75" customHeight="1">
      <c r="D282" s="149"/>
    </row>
    <row r="283" ht="15.75" customHeight="1">
      <c r="D283" s="149"/>
    </row>
    <row r="284" ht="15.75" customHeight="1">
      <c r="D284" s="149"/>
    </row>
    <row r="285" ht="15.75" customHeight="1">
      <c r="D285" s="149"/>
    </row>
    <row r="286" ht="15.75" customHeight="1">
      <c r="D286" s="149"/>
    </row>
    <row r="287" ht="15.75" customHeight="1">
      <c r="D287" s="149"/>
    </row>
    <row r="288" ht="15.75" customHeight="1">
      <c r="D288" s="149"/>
    </row>
    <row r="289" ht="15.75" customHeight="1">
      <c r="D289" s="149"/>
    </row>
    <row r="290" ht="15.75" customHeight="1">
      <c r="D290" s="149"/>
    </row>
    <row r="291" ht="15.75" customHeight="1">
      <c r="D291" s="149"/>
    </row>
    <row r="292" ht="15.75" customHeight="1">
      <c r="D292" s="149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82:E82"/>
    <mergeCell ref="C86:E86"/>
    <mergeCell ref="A89:B89"/>
    <mergeCell ref="C89:F89"/>
    <mergeCell ref="A90:B90"/>
    <mergeCell ref="C90:F90"/>
    <mergeCell ref="F8:F9"/>
    <mergeCell ref="G8:G9"/>
    <mergeCell ref="B77:I77"/>
    <mergeCell ref="C79:E79"/>
    <mergeCell ref="C80:E80"/>
    <mergeCell ref="H80:I80"/>
    <mergeCell ref="C81:E81"/>
    <mergeCell ref="I89:N89"/>
    <mergeCell ref="Q89:T89"/>
    <mergeCell ref="V89:X89"/>
    <mergeCell ref="I90:N90"/>
    <mergeCell ref="Q90:T90"/>
    <mergeCell ref="H93:T93"/>
    <mergeCell ref="H96:T96"/>
    <mergeCell ref="H97:T97"/>
    <mergeCell ref="J80:T80"/>
    <mergeCell ref="J81:T81"/>
    <mergeCell ref="J82:T82"/>
    <mergeCell ref="J83:T83"/>
    <mergeCell ref="I86:N86"/>
    <mergeCell ref="Q86:T86"/>
    <mergeCell ref="V86:W86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