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Final_P1_DRAFT_PPMP_Q2 of" sheetId="1" r:id="rId4"/>
    <sheet state="visible" name="Copy of Final_Final_P1_DRAFT_PP" sheetId="2" r:id="rId5"/>
    <sheet state="visible" name="Copy of Copy of Final_Final_P1_" sheetId="3" r:id="rId6"/>
    <sheet state="visible" name="FINAL PPMP Q2" sheetId="4" r:id="rId7"/>
  </sheets>
  <definedNames/>
  <calcPr/>
  <extLst>
    <ext uri="GoogleSheetsCustomDataVersion2">
      <go:sheetsCustomData xmlns:go="http://customooxmlschemas.google.com/" r:id="rId8" roundtripDataChecksum="blOe1f0sOWAgPbArWNfkMHzEU6nm5Jtu7w9SPvmEKx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5">
      <text>
        <t xml:space="preserve">======
ID#AAABPNzRnRI
    (2024-06-05 07:53:28)
zapateria
	-Claire Margaret Natividad</t>
      </text>
    </comment>
    <comment authorId="0" ref="C43">
      <text>
        <t xml:space="preserve">======
ID#AAABPNzRnQs
    (2024-06-05 07:53:28)
Aishe Launch
	-Claire Natividad</t>
      </text>
    </comment>
    <comment authorId="0" ref="C47">
      <text>
        <t xml:space="preserve">======
ID#AAABPNzRnQ0
    (2024-06-05 07:53:28)
not a priority
	-Claire Natividad</t>
      </text>
    </comment>
    <comment authorId="0" ref="C49">
      <text>
        <t xml:space="preserve">======
ID#AAABPNzRnQg
    (2024-06-05 07:53:28)
2nd batch
	-Claire Natividad</t>
      </text>
    </comment>
    <comment authorId="0" ref="C38">
      <text>
        <t xml:space="preserve">======
ID#AAABPNzRnQc
    (2024-06-05 07:53:28)
PFFI
	-Claire Natividad</t>
      </text>
    </comment>
    <comment authorId="0" ref="D35">
      <text>
        <t xml:space="preserve">======
ID#AAABPNzRnQY
    (2024-06-05 07:53:28)
1 lot
	-Philip Ajon Basat
sir, 1 lot po for May, 1 lot for April, for assurance purposes lang po if ever need mag-rePR for adobe sub po, allowed naman po siya, ganun po ginagawa ng ibang projects
	-Trisha Grace Sablan</t>
      </text>
    </comment>
    <comment authorId="0" ref="C30">
      <text>
        <t xml:space="preserve">======
ID#AAABPNzRnQk
    (2024-06-05 07:53:28)
Roweliza
	-Claire Natividad</t>
      </text>
    </comment>
    <comment authorId="0" ref="A79">
      <text>
        <t xml:space="preserve">======
ID#AAABPNzRnRY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jFGWFLYYyBU8A5b05zh2atd08NX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0">
      <text>
        <t xml:space="preserve">======
ID#AAABPNzRnQU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iDnaqU2CFYsVPlnoy+Vs20MTICf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4">
      <text>
        <t xml:space="preserve">======
ID#AAABPNzRnQ4
    (2024-06-05 07:53:28)
600k
	-Claire Margaret Natividad</t>
      </text>
    </comment>
    <comment authorId="0" ref="A80">
      <text>
        <t xml:space="preserve">======
ID#AAABPNzRnRA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g+kQRytxMKinznBGou1qG9bRnDe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2">
      <text>
        <t xml:space="preserve">======
ID#AAABPNzRnRE
    (2024-06-05 07:53:28)
42500
	-Claire Margaret Natividad</t>
      </text>
    </comment>
    <comment authorId="0" ref="E32">
      <text>
        <t xml:space="preserve">======
ID#AAABPNzRnRU
    (2024-06-05 07:53:28)
85 pesos
	-Claire Margaret Natividad</t>
      </text>
    </comment>
    <comment authorId="0" ref="E15">
      <text>
        <t xml:space="preserve">======
ID#AAABPNzRnRQ
    (2024-06-05 07:53:28)
624k
	-Claire Margaret Natividad</t>
      </text>
    </comment>
    <comment authorId="0" ref="H47">
      <text>
        <t xml:space="preserve">======
ID#AAABPNzRnRM
    (2024-06-05 07:53:28)
60 days
	-Claire Natividad</t>
      </text>
    </comment>
    <comment authorId="0" ref="D32">
      <text>
        <t xml:space="preserve">======
ID#AAABPNzRnQw
    (2024-06-05 07:53:28)
500 pcs
	-Claire Margaret Natividad</t>
      </text>
    </comment>
    <comment authorId="0" ref="H30">
      <text>
        <t xml:space="preserve">======
ID#AAABPNzRnQo
    (2024-06-05 07:53:28)
45 days
	-Claire Natividad</t>
      </text>
    </comment>
    <comment authorId="0" ref="A76">
      <text>
        <t xml:space="preserve">======
ID#AAABPNzRnQ8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jT21UM3cwPovr6N5ojK0BOQf//RA=="/>
    </ext>
  </extLst>
</comments>
</file>

<file path=xl/sharedStrings.xml><?xml version="1.0" encoding="utf-8"?>
<sst xmlns="http://schemas.openxmlformats.org/spreadsheetml/2006/main" count="750" uniqueCount="177">
  <si>
    <t xml:space="preserve">  PROJECT PROCUREMENT MANAGEMENT PLAN (PPMP) 2024</t>
  </si>
  <si>
    <t>For the 2nd Quarter of CY 2024</t>
  </si>
  <si>
    <t>END-USER/UNIT: RDD-CDABUS</t>
  </si>
  <si>
    <t>Charged to: Sustainable Textile for the Community-based Philippine Footwear Industry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</si>
  <si>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</si>
  <si>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</si>
  <si>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</si>
  <si>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</si>
  <si>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</si>
  <si>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</si>
  <si>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</si>
  <si>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</si>
  <si>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</si>
  <si>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</si>
  <si>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</si>
  <si>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</si>
  <si>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</si>
  <si>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</si>
  <si>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</si>
  <si>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</si>
  <si>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</si>
  <si>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</si>
  <si>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</si>
  <si>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</si>
  <si>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</si>
  <si>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</si>
  <si>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</si>
  <si>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</si>
  <si>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</si>
  <si>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</si>
  <si>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</si>
  <si>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</si>
  <si>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</si>
  <si>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</si>
  <si>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</si>
  <si>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</si>
  <si>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</si>
  <si>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</si>
  <si>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</si>
  <si>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</si>
  <si>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</si>
  <si>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</si>
  <si>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</si>
  <si>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</si>
  <si>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</si>
  <si>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</si>
  <si>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</si>
  <si>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</si>
  <si>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</si>
  <si>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</si>
  <si>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</si>
  <si>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</si>
  <si>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</si>
  <si>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</si>
  <si>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</si>
  <si>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</si>
  <si>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</si>
  <si>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</si>
  <si>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</si>
  <si>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</si>
  <si>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</si>
  <si>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</si>
  <si>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</si>
  <si>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</si>
  <si>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</si>
  <si>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</si>
  <si>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</si>
  <si>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</si>
  <si>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</si>
  <si>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</si>
  <si>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</si>
  <si>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</si>
  <si>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</si>
  <si>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</si>
  <si>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</si>
  <si>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</si>
  <si>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</si>
  <si>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Repair and Maintenance</t>
  </si>
  <si>
    <t>Repair and Maintenance of Ring Spinning Machine</t>
  </si>
  <si>
    <t>1 lot</t>
  </si>
  <si>
    <t>Negotiated Procurement-Small Value Procurement/Direct Contracting</t>
  </si>
  <si>
    <t>Representation Expenses</t>
  </si>
  <si>
    <t>Venue for Program Launch (200 pax, with lights and sounds)</t>
  </si>
  <si>
    <t>Laboratory Supplies</t>
  </si>
  <si>
    <t>Sodium Hydroxide, 48% Concentration, Technical Grade, 30kgs/cby</t>
  </si>
  <si>
    <t>10 cby</t>
  </si>
  <si>
    <t>Ferrous Sulphate, Technical Grade, 1kg/pack</t>
  </si>
  <si>
    <t>10 packs/bag</t>
  </si>
  <si>
    <t>Silent type Oil-free Air Compressor</t>
  </si>
  <si>
    <t>Pneumatic Air Spray Paint Gun</t>
  </si>
  <si>
    <t>Laboratory Gown</t>
  </si>
  <si>
    <t>10 pcs</t>
  </si>
  <si>
    <t>Laboratory Shoes</t>
  </si>
  <si>
    <t>10 pairs</t>
  </si>
  <si>
    <t>Waterproof Electronic Digital Thermometer</t>
  </si>
  <si>
    <t>5 pcs</t>
  </si>
  <si>
    <t>Glass Laboratory Thermometer</t>
  </si>
  <si>
    <t>Other Supplies and Materials</t>
  </si>
  <si>
    <t>Memory cards (Micro SD card 128-256 GB)</t>
  </si>
  <si>
    <t>5 pieces</t>
  </si>
  <si>
    <t>Memory cards (SD card 128-256 GB)</t>
  </si>
  <si>
    <t xml:space="preserve">HDMI Cables to USB-C </t>
  </si>
  <si>
    <t>Coconut Coir Twine</t>
  </si>
  <si>
    <t>50 kgs</t>
  </si>
  <si>
    <t>Prototyping of Streetwear Shoes</t>
  </si>
  <si>
    <t>Prototyping of Uniform Shoes</t>
  </si>
  <si>
    <t>Split Type Wall Mounted Airconditioner with Installation</t>
  </si>
  <si>
    <t>Professional Services</t>
  </si>
  <si>
    <t>Life Cycle Analysis Development Services</t>
  </si>
  <si>
    <t>Negotiated Procurement-Small Value Procurement / Direct Contracting</t>
  </si>
  <si>
    <t>Subscription Expenses</t>
  </si>
  <si>
    <t>Subscription to Adobe Creative Cloud</t>
  </si>
  <si>
    <t>2 lot</t>
  </si>
  <si>
    <t>Testing Services Fees</t>
  </si>
  <si>
    <t>Shoe Delamination Resistance Test</t>
  </si>
  <si>
    <t>Fabric Color Migration Test</t>
  </si>
  <si>
    <t>Fabric Water Resistance Test</t>
  </si>
  <si>
    <t>Textile Processing Services Fees</t>
  </si>
  <si>
    <t>Nonwoven Needle Punched</t>
  </si>
  <si>
    <t>Shoe Prototyping Services (Fashion)</t>
  </si>
  <si>
    <t>Shoe Prototyping Services (Casual)</t>
  </si>
  <si>
    <t>Shoe Design Services</t>
  </si>
  <si>
    <t>Weaving Services</t>
  </si>
  <si>
    <t>Negotiated Procurement-Small Value Procurement</t>
  </si>
  <si>
    <t>Fabric Finishing Services</t>
  </si>
  <si>
    <t>Yarn Finishing Services</t>
  </si>
  <si>
    <t>Weaving Yarns</t>
  </si>
  <si>
    <t>TOTAL APPROVED BUDGET: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</si>
  <si>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</si>
  <si>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</si>
  <si>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</si>
  <si>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</si>
  <si>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</si>
  <si>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JENNELI E. CAYA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</si>
  <si>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</si>
  <si>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</si>
  <si>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</si>
  <si>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</si>
  <si>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</si>
  <si>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</si>
  <si>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</si>
  <si>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</si>
  <si>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</si>
  <si>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Textile Processing</t>
  </si>
  <si>
    <t>Maco</t>
  </si>
  <si>
    <t>Monaco</t>
  </si>
  <si>
    <t>Aishe Raffia</t>
  </si>
  <si>
    <t>Aishe NYSTIF</t>
  </si>
  <si>
    <t>FFDC</t>
  </si>
  <si>
    <t>Zapateria design and prototype</t>
  </si>
  <si>
    <t>cubicle</t>
  </si>
  <si>
    <t>printer</t>
  </si>
  <si>
    <t>lab supplies alcohol gloves</t>
  </si>
  <si>
    <t>bobbins - sir ronald</t>
  </si>
  <si>
    <t>Creative Def</t>
  </si>
  <si>
    <t>Printer ink</t>
  </si>
  <si>
    <t>Coconut Coir</t>
  </si>
  <si>
    <t>Streetwear Shoes</t>
  </si>
  <si>
    <t>Uniform Shoes</t>
  </si>
  <si>
    <t>Professional Weaving (Power Loom) Services</t>
  </si>
  <si>
    <t>PROJECT PROCUREMENT MANAGEMENT PLAN (PPMP) 2024</t>
  </si>
  <si>
    <t>Venue for Program Launch (150 pax, with lights and sounds)</t>
  </si>
  <si>
    <t>Advertising Expenses</t>
  </si>
  <si>
    <t>Advertising Sevices</t>
  </si>
  <si>
    <t>Printing and Publication Expenses</t>
  </si>
  <si>
    <t>Printing of Event Materials</t>
  </si>
  <si>
    <t>Transportation and Delivery Expenses</t>
  </si>
  <si>
    <t>Transportation of Exhibit/ Event Materials</t>
  </si>
  <si>
    <t>Plastic Partition</t>
  </si>
  <si>
    <t>Shopping</t>
  </si>
  <si>
    <t>Gun Tacker and Staple Wire</t>
  </si>
  <si>
    <t>Thermoplastic Spinning Bobbins</t>
  </si>
  <si>
    <t>500 pcs</t>
  </si>
  <si>
    <t>60 days</t>
  </si>
  <si>
    <t>Hazard, Gratuity Pay, Laborers</t>
  </si>
  <si>
    <t>Photo/ Video Services</t>
  </si>
  <si>
    <t>45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</si>
</sst>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[$₱]#,##0.00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sz val="9.0"/>
      <color rgb="FF000000"/>
      <name val="Arial"/>
    </font>
    <font>
      <b/>
      <u/>
      <sz val="9.0"/>
      <color theme="1"/>
      <name val="Arial"/>
    </font>
    <font>
      <u/>
      <sz val="8.0"/>
      <color theme="1"/>
      <name val="Arial"/>
    </font>
    <font>
      <b/>
      <u/>
      <sz val="12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b/>
      <u/>
      <sz val="9.0"/>
      <color theme="1"/>
      <name val="Arial"/>
    </font>
    <font>
      <u/>
      <sz val="8.0"/>
      <color theme="1"/>
      <name val="Arial"/>
    </font>
    <font>
      <b/>
      <u/>
      <sz val="12.0"/>
      <color theme="1"/>
      <name val="Arial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A9999"/>
        <bgColor rgb="FFEA9999"/>
      </patternFill>
    </fill>
  </fills>
  <borders count="71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ck">
        <color rgb="FF000000"/>
      </left>
    </border>
    <border>
      <left style="medium">
        <color rgb="FF000000"/>
      </left>
      <right style="medium">
        <color rgb="FF000000"/>
      </right>
      <bottom/>
    </border>
    <border>
      <left/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3" numFmtId="4" xfId="0" applyFont="1" applyNumberFormat="1"/>
    <xf borderId="0" fillId="0" fontId="3" numFmtId="164" xfId="0" applyFont="1" applyNumberFormat="1"/>
    <xf borderId="1" fillId="0" fontId="5" numFmtId="0" xfId="0" applyBorder="1" applyFont="1"/>
    <xf borderId="1" fillId="0" fontId="3" numFmtId="0" xfId="0" applyBorder="1" applyFont="1"/>
    <xf borderId="1" fillId="0" fontId="3" numFmtId="4" xfId="0" applyBorder="1" applyFont="1" applyNumberFormat="1"/>
    <xf borderId="1" fillId="0" fontId="3" numFmtId="164" xfId="0" applyBorder="1" applyFont="1" applyNumberFormat="1"/>
    <xf borderId="1" fillId="0" fontId="3" numFmtId="0" xfId="0" applyAlignment="1" applyBorder="1" applyFont="1">
      <alignment horizontal="center"/>
    </xf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3" fillId="0" fontId="6" numFmtId="4" xfId="0" applyAlignment="1" applyBorder="1" applyFont="1" applyNumberFormat="1">
      <alignment horizontal="center" shrinkToFit="0" wrapText="1"/>
    </xf>
    <xf borderId="4" fillId="0" fontId="6" numFmtId="164" xfId="0" applyAlignment="1" applyBorder="1" applyFont="1" applyNumberFormat="1">
      <alignment horizontal="center" shrinkToFit="0" wrapText="1"/>
    </xf>
    <xf borderId="3" fillId="0" fontId="6" numFmtId="164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7" numFmtId="0" xfId="0" applyBorder="1" applyFont="1"/>
    <xf borderId="5" fillId="0" fontId="7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7" numFmtId="0" xfId="0" applyBorder="1" applyFont="1"/>
    <xf borderId="9" fillId="0" fontId="6" numFmtId="164" xfId="0" applyAlignment="1" applyBorder="1" applyFont="1" applyNumberFormat="1">
      <alignment horizontal="center"/>
    </xf>
    <xf borderId="9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 shrinkToFit="0" vertical="center" wrapText="1"/>
    </xf>
    <xf quotePrefix="1" borderId="11" fillId="0" fontId="6" numFmtId="0" xfId="0" applyAlignment="1" applyBorder="1" applyFont="1">
      <alignment horizontal="center" shrinkToFit="0" wrapText="1"/>
    </xf>
    <xf quotePrefix="1" borderId="4" fillId="0" fontId="6" numFmtId="0" xfId="0" applyAlignment="1" applyBorder="1" applyFont="1">
      <alignment horizontal="center" shrinkToFit="0" wrapText="1"/>
    </xf>
    <xf quotePrefix="1" borderId="4" fillId="0" fontId="6" numFmtId="4" xfId="0" applyAlignment="1" applyBorder="1" applyFont="1" applyNumberFormat="1">
      <alignment horizontal="center" shrinkToFit="0" wrapText="1"/>
    </xf>
    <xf quotePrefix="1" borderId="4" fillId="0" fontId="6" numFmtId="164" xfId="0" applyAlignment="1" applyBorder="1" applyFont="1" applyNumberFormat="1">
      <alignment horizontal="center" shrinkToFit="0" wrapText="1"/>
    </xf>
    <xf quotePrefix="1" borderId="12" fillId="0" fontId="6" numFmtId="0" xfId="0" applyAlignment="1" applyBorder="1" applyFont="1">
      <alignment horizontal="center" shrinkToFit="0" wrapText="1"/>
    </xf>
    <xf quotePrefix="1" borderId="3" fillId="0" fontId="6" numFmtId="0" xfId="0" applyAlignment="1" applyBorder="1" applyFont="1">
      <alignment horizontal="center" shrinkToFit="0" vertical="center" wrapText="1"/>
    </xf>
    <xf borderId="13" fillId="2" fontId="8" numFmtId="0" xfId="0" applyAlignment="1" applyBorder="1" applyFill="1" applyFont="1">
      <alignment horizontal="center" shrinkToFit="0" wrapText="1"/>
    </xf>
    <xf borderId="14" fillId="2" fontId="3" numFmtId="0" xfId="0" applyBorder="1" applyFont="1"/>
    <xf borderId="14" fillId="2" fontId="6" numFmtId="0" xfId="0" applyAlignment="1" applyBorder="1" applyFont="1">
      <alignment shrinkToFit="0" wrapText="1"/>
    </xf>
    <xf borderId="14" fillId="2" fontId="3" numFmtId="4" xfId="0" applyBorder="1" applyFont="1" applyNumberFormat="1"/>
    <xf borderId="14" fillId="2" fontId="3" numFmtId="164" xfId="0" applyBorder="1" applyFont="1" applyNumberFormat="1"/>
    <xf borderId="14" fillId="2" fontId="3" numFmtId="0" xfId="0" applyAlignment="1" applyBorder="1" applyFont="1">
      <alignment horizontal="center"/>
    </xf>
    <xf borderId="15" fillId="2" fontId="3" numFmtId="0" xfId="0" applyBorder="1" applyFont="1"/>
    <xf borderId="16" fillId="2" fontId="3" numFmtId="0" xfId="0" applyBorder="1" applyFont="1"/>
    <xf borderId="17" fillId="2" fontId="8" numFmtId="0" xfId="0" applyAlignment="1" applyBorder="1" applyFont="1">
      <alignment vertical="center"/>
    </xf>
    <xf borderId="18" fillId="2" fontId="8" numFmtId="0" xfId="0" applyAlignment="1" applyBorder="1" applyFont="1">
      <alignment vertical="center"/>
    </xf>
    <xf borderId="13" fillId="3" fontId="3" numFmtId="0" xfId="0" applyBorder="1" applyFill="1" applyFont="1"/>
    <xf borderId="14" fillId="3" fontId="8" numFmtId="49" xfId="0" applyAlignment="1" applyBorder="1" applyFont="1" applyNumberFormat="1">
      <alignment horizontal="center"/>
    </xf>
    <xf borderId="14" fillId="3" fontId="8" numFmtId="49" xfId="0" applyAlignment="1" applyBorder="1" applyFont="1" applyNumberFormat="1">
      <alignment shrinkToFit="0" wrapText="1"/>
    </xf>
    <xf borderId="19" fillId="3" fontId="8" numFmtId="0" xfId="0" applyAlignment="1" applyBorder="1" applyFont="1">
      <alignment horizontal="center" shrinkToFit="0" wrapText="1"/>
    </xf>
    <xf borderId="14" fillId="3" fontId="8" numFmtId="4" xfId="0" applyAlignment="1" applyBorder="1" applyFont="1" applyNumberFormat="1">
      <alignment horizontal="right" shrinkToFit="0" wrapText="1"/>
    </xf>
    <xf borderId="19" fillId="3" fontId="8" numFmtId="164" xfId="0" applyAlignment="1" applyBorder="1" applyFont="1" applyNumberFormat="1">
      <alignment horizontal="right" shrinkToFit="0" wrapText="1"/>
    </xf>
    <xf borderId="20" fillId="3" fontId="8" numFmtId="0" xfId="0" applyAlignment="1" applyBorder="1" applyFont="1">
      <alignment horizontal="center" shrinkToFit="0" vertical="center" wrapText="1"/>
    </xf>
    <xf borderId="19" fillId="3" fontId="3" numFmtId="0" xfId="0" applyBorder="1" applyFont="1"/>
    <xf borderId="19" fillId="3" fontId="8" numFmtId="0" xfId="0" applyAlignment="1" applyBorder="1" applyFont="1">
      <alignment horizontal="center"/>
    </xf>
    <xf borderId="19" fillId="3" fontId="3" numFmtId="0" xfId="0" applyAlignment="1" applyBorder="1" applyFont="1">
      <alignment horizontal="center"/>
    </xf>
    <xf borderId="19" fillId="3" fontId="8" numFmtId="0" xfId="0" applyBorder="1" applyFont="1"/>
    <xf borderId="21" fillId="3" fontId="3" numFmtId="0" xfId="0" applyBorder="1" applyFont="1"/>
    <xf borderId="22" fillId="3" fontId="8" numFmtId="0" xfId="0" applyAlignment="1" applyBorder="1" applyFont="1">
      <alignment vertical="center"/>
    </xf>
    <xf borderId="19" fillId="3" fontId="8" numFmtId="0" xfId="0" applyAlignment="1" applyBorder="1" applyFont="1">
      <alignment vertical="center"/>
    </xf>
    <xf borderId="23" fillId="3" fontId="8" numFmtId="0" xfId="0" applyAlignment="1" applyBorder="1" applyFont="1">
      <alignment vertical="center"/>
    </xf>
    <xf borderId="13" fillId="2" fontId="3" numFmtId="0" xfId="0" applyBorder="1" applyFont="1"/>
    <xf borderId="14" fillId="2" fontId="8" numFmtId="49" xfId="0" applyAlignment="1" applyBorder="1" applyFont="1" applyNumberFormat="1">
      <alignment horizontal="center"/>
    </xf>
    <xf borderId="14" fillId="2" fontId="6" numFmtId="49" xfId="0" applyAlignment="1" applyBorder="1" applyFont="1" applyNumberFormat="1">
      <alignment shrinkToFit="0" wrapText="1"/>
    </xf>
    <xf borderId="19" fillId="2" fontId="8" numFmtId="0" xfId="0" applyAlignment="1" applyBorder="1" applyFont="1">
      <alignment horizontal="center" shrinkToFit="0" wrapText="1"/>
    </xf>
    <xf borderId="14" fillId="2" fontId="8" numFmtId="4" xfId="0" applyAlignment="1" applyBorder="1" applyFont="1" applyNumberFormat="1">
      <alignment horizontal="right" shrinkToFit="0" wrapText="1"/>
    </xf>
    <xf borderId="19" fillId="2" fontId="8" numFmtId="164" xfId="0" applyAlignment="1" applyBorder="1" applyFont="1" applyNumberFormat="1">
      <alignment horizontal="right" shrinkToFit="0" wrapText="1"/>
    </xf>
    <xf borderId="24" fillId="0" fontId="7" numFmtId="0" xfId="0" applyBorder="1" applyFont="1"/>
    <xf borderId="19" fillId="2" fontId="3" numFmtId="0" xfId="0" applyBorder="1" applyFont="1"/>
    <xf borderId="19" fillId="2" fontId="8" numFmtId="0" xfId="0" applyAlignment="1" applyBorder="1" applyFont="1">
      <alignment horizontal="center"/>
    </xf>
    <xf borderId="19" fillId="2" fontId="3" numFmtId="0" xfId="0" applyAlignment="1" applyBorder="1" applyFont="1">
      <alignment horizontal="center"/>
    </xf>
    <xf borderId="19" fillId="2" fontId="8" numFmtId="0" xfId="0" applyBorder="1" applyFont="1"/>
    <xf borderId="21" fillId="2" fontId="3" numFmtId="0" xfId="0" applyBorder="1" applyFont="1"/>
    <xf borderId="22" fillId="2" fontId="8" numFmtId="0" xfId="0" applyAlignment="1" applyBorder="1" applyFont="1">
      <alignment vertical="center"/>
    </xf>
    <xf borderId="19" fillId="2" fontId="8" numFmtId="0" xfId="0" applyAlignment="1" applyBorder="1" applyFont="1">
      <alignment vertical="center"/>
    </xf>
    <xf borderId="23" fillId="2" fontId="8" numFmtId="0" xfId="0" applyAlignment="1" applyBorder="1" applyFont="1">
      <alignment vertical="center"/>
    </xf>
    <xf borderId="11" fillId="0" fontId="3" numFmtId="0" xfId="0" applyBorder="1" applyFont="1"/>
    <xf borderId="4" fillId="0" fontId="8" numFmtId="49" xfId="0" applyAlignment="1" applyBorder="1" applyFont="1" applyNumberFormat="1">
      <alignment horizontal="center"/>
    </xf>
    <xf borderId="14" fillId="4" fontId="8" numFmtId="49" xfId="0" applyAlignment="1" applyBorder="1" applyFill="1" applyFont="1" applyNumberFormat="1">
      <alignment shrinkToFit="0" wrapText="1"/>
    </xf>
    <xf borderId="19" fillId="0" fontId="8" numFmtId="0" xfId="0" applyAlignment="1" applyBorder="1" applyFont="1">
      <alignment horizontal="center" shrinkToFit="0" wrapText="1"/>
    </xf>
    <xf borderId="4" fillId="0" fontId="8" numFmtId="4" xfId="0" applyAlignment="1" applyBorder="1" applyFont="1" applyNumberFormat="1">
      <alignment horizontal="right" shrinkToFit="0" wrapText="1"/>
    </xf>
    <xf borderId="19" fillId="0" fontId="8" numFmtId="164" xfId="0" applyAlignment="1" applyBorder="1" applyFont="1" applyNumberFormat="1">
      <alignment horizontal="right" shrinkToFit="0" wrapText="1"/>
    </xf>
    <xf borderId="25" fillId="0" fontId="7" numFmtId="0" xfId="0" applyBorder="1" applyFont="1"/>
    <xf borderId="19" fillId="4" fontId="8" numFmtId="0" xfId="0" applyAlignment="1" applyBorder="1" applyFont="1">
      <alignment horizontal="center" shrinkToFit="0" wrapText="1"/>
    </xf>
    <xf borderId="19" fillId="4" fontId="3" numFmtId="0" xfId="0" applyBorder="1" applyFont="1"/>
    <xf borderId="19" fillId="4" fontId="8" numFmtId="0" xfId="0" applyAlignment="1" applyBorder="1" applyFont="1">
      <alignment horizontal="center"/>
    </xf>
    <xf borderId="19" fillId="4" fontId="3" numFmtId="0" xfId="0" applyAlignment="1" applyBorder="1" applyFont="1">
      <alignment horizontal="center"/>
    </xf>
    <xf borderId="19" fillId="4" fontId="8" numFmtId="0" xfId="0" applyBorder="1" applyFont="1"/>
    <xf borderId="21" fillId="4" fontId="3" numFmtId="0" xfId="0" applyBorder="1" applyFont="1"/>
    <xf borderId="22" fillId="4" fontId="8" numFmtId="0" xfId="0" applyAlignment="1" applyBorder="1" applyFont="1">
      <alignment vertical="center"/>
    </xf>
    <xf borderId="19" fillId="4" fontId="8" numFmtId="0" xfId="0" applyAlignment="1" applyBorder="1" applyFont="1">
      <alignment vertical="center"/>
    </xf>
    <xf borderId="23" fillId="4" fontId="8" numFmtId="0" xfId="0" applyAlignment="1" applyBorder="1" applyFont="1">
      <alignment vertical="center"/>
    </xf>
    <xf borderId="14" fillId="2" fontId="3" numFmtId="49" xfId="0" applyBorder="1" applyFont="1" applyNumberFormat="1"/>
    <xf borderId="19" fillId="2" fontId="8" numFmtId="0" xfId="0" applyAlignment="1" applyBorder="1" applyFont="1">
      <alignment horizontal="center" shrinkToFit="0" vertical="center" wrapText="1"/>
    </xf>
    <xf borderId="19" fillId="3" fontId="8" numFmtId="0" xfId="0" applyAlignment="1" applyBorder="1" applyFont="1">
      <alignment horizontal="center" vertical="center"/>
    </xf>
    <xf borderId="26" fillId="3" fontId="8" numFmtId="4" xfId="0" applyAlignment="1" applyBorder="1" applyFont="1" applyNumberFormat="1">
      <alignment horizontal="right" shrinkToFit="0" vertical="center" wrapText="1"/>
    </xf>
    <xf borderId="20" fillId="3" fontId="8" numFmtId="164" xfId="0" applyAlignment="1" applyBorder="1" applyFont="1" applyNumberFormat="1">
      <alignment horizontal="right" shrinkToFit="0" vertical="center" wrapText="1"/>
    </xf>
    <xf borderId="20" fillId="3" fontId="8" numFmtId="0" xfId="0" applyAlignment="1" applyBorder="1" applyFont="1">
      <alignment horizontal="center" vertical="center"/>
    </xf>
    <xf borderId="27" fillId="0" fontId="7" numFmtId="0" xfId="0" applyBorder="1" applyFont="1"/>
    <xf borderId="19" fillId="3" fontId="2" numFmtId="0" xfId="0" applyBorder="1" applyFont="1"/>
    <xf borderId="14" fillId="3" fontId="3" numFmtId="49" xfId="0" applyBorder="1" applyFont="1" applyNumberFormat="1"/>
    <xf borderId="14" fillId="3" fontId="8" numFmtId="4" xfId="0" applyAlignment="1" applyBorder="1" applyFont="1" applyNumberFormat="1">
      <alignment horizontal="right"/>
    </xf>
    <xf borderId="19" fillId="2" fontId="8" numFmtId="0" xfId="0" applyAlignment="1" applyBorder="1" applyFont="1">
      <alignment horizontal="center" vertical="center"/>
    </xf>
    <xf borderId="19" fillId="3" fontId="9" numFmtId="0" xfId="0" applyAlignment="1" applyBorder="1" applyFont="1">
      <alignment horizontal="left"/>
    </xf>
    <xf borderId="14" fillId="3" fontId="8" numFmtId="0" xfId="0" applyAlignment="1" applyBorder="1" applyFont="1">
      <alignment horizontal="center" shrinkToFit="0" wrapText="1"/>
    </xf>
    <xf borderId="14" fillId="3" fontId="8" numFmtId="164" xfId="0" applyAlignment="1" applyBorder="1" applyFont="1" applyNumberFormat="1">
      <alignment horizontal="right" shrinkToFit="0" wrapText="1"/>
    </xf>
    <xf borderId="13" fillId="4" fontId="3" numFmtId="0" xfId="0" applyBorder="1" applyFont="1"/>
    <xf borderId="14" fillId="4" fontId="3" numFmtId="49" xfId="0" applyBorder="1" applyFont="1" applyNumberFormat="1"/>
    <xf borderId="14" fillId="4" fontId="8" numFmtId="4" xfId="0" applyAlignment="1" applyBorder="1" applyFont="1" applyNumberFormat="1">
      <alignment horizontal="right" shrinkToFit="0" wrapText="1"/>
    </xf>
    <xf borderId="19" fillId="4" fontId="8" numFmtId="164" xfId="0" applyAlignment="1" applyBorder="1" applyFont="1" applyNumberFormat="1">
      <alignment horizontal="right" shrinkToFit="0" wrapText="1"/>
    </xf>
    <xf borderId="19" fillId="4" fontId="8" numFmtId="0" xfId="0" applyAlignment="1" applyBorder="1" applyFont="1">
      <alignment horizontal="center" vertical="center"/>
    </xf>
    <xf borderId="13" fillId="5" fontId="3" numFmtId="0" xfId="0" applyBorder="1" applyFill="1" applyFont="1"/>
    <xf borderId="14" fillId="5" fontId="3" numFmtId="49" xfId="0" applyBorder="1" applyFont="1" applyNumberFormat="1"/>
    <xf borderId="14" fillId="5" fontId="8" numFmtId="49" xfId="0" applyAlignment="1" applyBorder="1" applyFont="1" applyNumberFormat="1">
      <alignment shrinkToFit="0" wrapText="1"/>
    </xf>
    <xf borderId="14" fillId="5" fontId="8" numFmtId="0" xfId="0" applyAlignment="1" applyBorder="1" applyFont="1">
      <alignment horizontal="center" shrinkToFit="0" wrapText="1"/>
    </xf>
    <xf borderId="14" fillId="5" fontId="8" numFmtId="4" xfId="0" applyAlignment="1" applyBorder="1" applyFont="1" applyNumberFormat="1">
      <alignment horizontal="right" shrinkToFit="0" wrapText="1"/>
    </xf>
    <xf borderId="14" fillId="5" fontId="8" numFmtId="164" xfId="0" applyAlignment="1" applyBorder="1" applyFont="1" applyNumberFormat="1">
      <alignment horizontal="right" shrinkToFit="0" wrapText="1"/>
    </xf>
    <xf borderId="19" fillId="5" fontId="8" numFmtId="0" xfId="0" applyAlignment="1" applyBorder="1" applyFont="1">
      <alignment horizontal="center" shrinkToFit="0" wrapText="1"/>
    </xf>
    <xf borderId="19" fillId="5" fontId="3" numFmtId="0" xfId="0" applyBorder="1" applyFont="1"/>
    <xf borderId="19" fillId="5" fontId="8" numFmtId="0" xfId="0" applyAlignment="1" applyBorder="1" applyFont="1">
      <alignment horizontal="center" vertical="center"/>
    </xf>
    <xf borderId="19" fillId="5" fontId="3" numFmtId="0" xfId="0" applyAlignment="1" applyBorder="1" applyFont="1">
      <alignment horizontal="center"/>
    </xf>
    <xf borderId="19" fillId="5" fontId="8" numFmtId="0" xfId="0" applyBorder="1" applyFont="1"/>
    <xf borderId="21" fillId="5" fontId="3" numFmtId="0" xfId="0" applyBorder="1" applyFont="1"/>
    <xf borderId="22" fillId="5" fontId="8" numFmtId="0" xfId="0" applyAlignment="1" applyBorder="1" applyFont="1">
      <alignment vertical="center"/>
    </xf>
    <xf borderId="19" fillId="5" fontId="8" numFmtId="0" xfId="0" applyAlignment="1" applyBorder="1" applyFont="1">
      <alignment vertical="center"/>
    </xf>
    <xf borderId="23" fillId="5" fontId="8" numFmtId="0" xfId="0" applyAlignment="1" applyBorder="1" applyFont="1">
      <alignment vertical="center"/>
    </xf>
    <xf borderId="14" fillId="4" fontId="8" numFmtId="0" xfId="0" applyAlignment="1" applyBorder="1" applyFont="1">
      <alignment horizontal="center" shrinkToFit="0" wrapText="1"/>
    </xf>
    <xf borderId="14" fillId="4" fontId="8" numFmtId="164" xfId="0" applyAlignment="1" applyBorder="1" applyFont="1" applyNumberFormat="1">
      <alignment horizontal="right" shrinkToFit="0" wrapText="1"/>
    </xf>
    <xf borderId="14" fillId="3" fontId="8" numFmtId="0" xfId="0" applyAlignment="1" applyBorder="1" applyFont="1">
      <alignment horizontal="center" vertical="center"/>
    </xf>
    <xf borderId="14" fillId="3" fontId="8" numFmtId="4" xfId="0" applyAlignment="1" applyBorder="1" applyFont="1" applyNumberFormat="1">
      <alignment horizontal="right" vertical="center"/>
    </xf>
    <xf borderId="14" fillId="3" fontId="8" numFmtId="164" xfId="0" applyAlignment="1" applyBorder="1" applyFont="1" applyNumberFormat="1">
      <alignment horizontal="right" vertical="center"/>
    </xf>
    <xf borderId="19" fillId="3" fontId="3" numFmtId="0" xfId="0" applyAlignment="1" applyBorder="1" applyFont="1">
      <alignment horizontal="center" vertical="center"/>
    </xf>
    <xf borderId="19" fillId="2" fontId="3" numFmtId="0" xfId="0" applyAlignment="1" applyBorder="1" applyFont="1">
      <alignment vertical="center"/>
    </xf>
    <xf borderId="4" fillId="0" fontId="8" numFmtId="49" xfId="0" applyAlignment="1" applyBorder="1" applyFont="1" applyNumberFormat="1">
      <alignment horizontal="center" shrinkToFit="0" wrapText="1"/>
    </xf>
    <xf borderId="19" fillId="0" fontId="8" numFmtId="3" xfId="0" applyAlignment="1" applyBorder="1" applyFont="1" applyNumberFormat="1">
      <alignment horizontal="center"/>
    </xf>
    <xf borderId="4" fillId="0" fontId="8" numFmtId="164" xfId="0" applyAlignment="1" applyBorder="1" applyFont="1" applyNumberFormat="1">
      <alignment horizontal="right"/>
    </xf>
    <xf borderId="19" fillId="0" fontId="8" numFmtId="0" xfId="0" applyAlignment="1" applyBorder="1" applyFont="1">
      <alignment horizontal="center" shrinkToFit="0" vertical="center" wrapText="1"/>
    </xf>
    <xf borderId="19" fillId="4" fontId="3" numFmtId="3" xfId="0" applyBorder="1" applyFont="1" applyNumberFormat="1"/>
    <xf borderId="19" fillId="4" fontId="8" numFmtId="3" xfId="0" applyAlignment="1" applyBorder="1" applyFont="1" applyNumberFormat="1">
      <alignment horizontal="center" vertical="center"/>
    </xf>
    <xf borderId="19" fillId="4" fontId="3" numFmtId="3" xfId="0" applyAlignment="1" applyBorder="1" applyFont="1" applyNumberFormat="1">
      <alignment horizontal="center"/>
    </xf>
    <xf borderId="19" fillId="4" fontId="8" numFmtId="3" xfId="0" applyBorder="1" applyFont="1" applyNumberFormat="1"/>
    <xf borderId="21" fillId="4" fontId="3" numFmtId="3" xfId="0" applyBorder="1" applyFont="1" applyNumberFormat="1"/>
    <xf borderId="14" fillId="2" fontId="8" numFmtId="49" xfId="0" applyAlignment="1" applyBorder="1" applyFont="1" applyNumberFormat="1">
      <alignment horizontal="center" shrinkToFit="0" wrapText="1"/>
    </xf>
    <xf borderId="19" fillId="2" fontId="8" numFmtId="3" xfId="0" applyAlignment="1" applyBorder="1" applyFont="1" applyNumberFormat="1">
      <alignment horizontal="center"/>
    </xf>
    <xf borderId="14" fillId="2" fontId="8" numFmtId="164" xfId="0" applyAlignment="1" applyBorder="1" applyFont="1" applyNumberFormat="1">
      <alignment horizontal="right"/>
    </xf>
    <xf borderId="19" fillId="2" fontId="3" numFmtId="3" xfId="0" applyBorder="1" applyFont="1" applyNumberFormat="1"/>
    <xf borderId="19" fillId="2" fontId="8" numFmtId="3" xfId="0" applyAlignment="1" applyBorder="1" applyFont="1" applyNumberFormat="1">
      <alignment horizontal="center" vertical="center"/>
    </xf>
    <xf borderId="19" fillId="2" fontId="3" numFmtId="3" xfId="0" applyAlignment="1" applyBorder="1" applyFont="1" applyNumberFormat="1">
      <alignment horizontal="center"/>
    </xf>
    <xf borderId="19" fillId="2" fontId="8" numFmtId="3" xfId="0" applyBorder="1" applyFont="1" applyNumberFormat="1"/>
    <xf borderId="21" fillId="2" fontId="3" numFmtId="3" xfId="0" applyBorder="1" applyFont="1" applyNumberFormat="1"/>
    <xf borderId="14" fillId="4" fontId="8" numFmtId="49" xfId="0" applyAlignment="1" applyBorder="1" applyFont="1" applyNumberFormat="1">
      <alignment horizontal="center" shrinkToFit="0" wrapText="1"/>
    </xf>
    <xf borderId="14" fillId="4" fontId="8" numFmtId="49" xfId="0" applyAlignment="1" applyBorder="1" applyFont="1" applyNumberFormat="1">
      <alignment shrinkToFit="0" vertical="center" wrapText="1"/>
    </xf>
    <xf borderId="14" fillId="4" fontId="8" numFmtId="164" xfId="0" applyAlignment="1" applyBorder="1" applyFont="1" applyNumberFormat="1">
      <alignment horizontal="right" vertical="center"/>
    </xf>
    <xf borderId="19" fillId="4" fontId="8" numFmtId="164" xfId="0" applyAlignment="1" applyBorder="1" applyFont="1" applyNumberFormat="1">
      <alignment horizontal="right" shrinkToFit="0" vertical="center" wrapText="1"/>
    </xf>
    <xf borderId="14" fillId="4" fontId="8" numFmtId="49" xfId="0" applyAlignment="1" applyBorder="1" applyFont="1" applyNumberFormat="1">
      <alignment horizontal="center"/>
    </xf>
    <xf borderId="14" fillId="4" fontId="8" numFmtId="164" xfId="0" applyAlignment="1" applyBorder="1" applyFont="1" applyNumberFormat="1">
      <alignment horizontal="right"/>
    </xf>
    <xf borderId="20" fillId="4" fontId="8" numFmtId="0" xfId="0" applyAlignment="1" applyBorder="1" applyFont="1">
      <alignment horizontal="center" shrinkToFit="0" vertical="center" wrapText="1"/>
    </xf>
    <xf borderId="4" fillId="0" fontId="3" numFmtId="49" xfId="0" applyBorder="1" applyFont="1" applyNumberFormat="1"/>
    <xf borderId="4" fillId="0" fontId="8" numFmtId="49" xfId="0" applyAlignment="1" applyBorder="1" applyFont="1" applyNumberFormat="1">
      <alignment shrinkToFit="0" wrapText="1"/>
    </xf>
    <xf borderId="4" fillId="0" fontId="8" numFmtId="0" xfId="0" applyAlignment="1" applyBorder="1" applyFont="1">
      <alignment horizontal="center" shrinkToFit="0" wrapText="1"/>
    </xf>
    <xf borderId="4" fillId="0" fontId="8" numFmtId="164" xfId="0" applyAlignment="1" applyBorder="1" applyFont="1" applyNumberFormat="1">
      <alignment horizontal="right" shrinkToFit="0" wrapText="1"/>
    </xf>
    <xf borderId="20" fillId="0" fontId="8" numFmtId="0" xfId="0" applyAlignment="1" applyBorder="1" applyFont="1">
      <alignment horizontal="center" shrinkToFit="0" vertical="center" wrapText="1"/>
    </xf>
    <xf borderId="19" fillId="5" fontId="8" numFmtId="0" xfId="0" applyAlignment="1" applyBorder="1" applyFont="1">
      <alignment horizontal="center"/>
    </xf>
    <xf borderId="26" fillId="3" fontId="8" numFmtId="49" xfId="0" applyAlignment="1" applyBorder="1" applyFont="1" applyNumberFormat="1">
      <alignment shrinkToFit="0" vertical="center" wrapText="1"/>
    </xf>
    <xf borderId="26" fillId="3" fontId="8" numFmtId="0" xfId="0" applyAlignment="1" applyBorder="1" applyFont="1">
      <alignment horizontal="center" shrinkToFit="0" vertical="center" wrapText="1"/>
    </xf>
    <xf borderId="26" fillId="3" fontId="8" numFmtId="164" xfId="0" applyAlignment="1" applyBorder="1" applyFont="1" applyNumberFormat="1">
      <alignment horizontal="right" shrinkToFit="0" vertical="center" wrapText="1"/>
    </xf>
    <xf borderId="20" fillId="3" fontId="3" numFmtId="0" xfId="0" applyAlignment="1" applyBorder="1" applyFont="1">
      <alignment horizontal="center" vertical="center"/>
    </xf>
    <xf borderId="28" fillId="0" fontId="7" numFmtId="0" xfId="0" applyBorder="1" applyFont="1"/>
    <xf borderId="19" fillId="5" fontId="8" numFmtId="164" xfId="0" applyAlignment="1" applyBorder="1" applyFont="1" applyNumberFormat="1">
      <alignment horizontal="right" shrinkToFit="0" wrapText="1"/>
    </xf>
    <xf borderId="29" fillId="5" fontId="8" numFmtId="0" xfId="0" applyAlignment="1" applyBorder="1" applyFont="1">
      <alignment horizontal="center" shrinkToFit="0" vertical="center" wrapText="1"/>
    </xf>
    <xf borderId="30" fillId="0" fontId="7" numFmtId="0" xfId="0" applyBorder="1" applyFont="1"/>
    <xf borderId="19" fillId="3" fontId="8" numFmtId="49" xfId="0" applyBorder="1" applyFont="1" applyNumberFormat="1"/>
    <xf borderId="22" fillId="3" fontId="8" numFmtId="3" xfId="0" applyAlignment="1" applyBorder="1" applyFont="1" applyNumberFormat="1">
      <alignment horizontal="center" shrinkToFit="0" wrapText="1"/>
    </xf>
    <xf borderId="22" fillId="3" fontId="8" numFmtId="4" xfId="0" applyAlignment="1" applyBorder="1" applyFont="1" applyNumberFormat="1">
      <alignment horizontal="right"/>
    </xf>
    <xf borderId="22" fillId="3" fontId="8" numFmtId="164" xfId="0" applyBorder="1" applyFont="1" applyNumberFormat="1"/>
    <xf borderId="22" fillId="3" fontId="8" numFmtId="0" xfId="0" applyBorder="1" applyFont="1"/>
    <xf borderId="22" fillId="3" fontId="8" numFmtId="0" xfId="0" applyAlignment="1" applyBorder="1" applyFont="1">
      <alignment horizontal="center"/>
    </xf>
    <xf borderId="25" fillId="0" fontId="3" numFmtId="0" xfId="0" applyBorder="1" applyFont="1"/>
    <xf borderId="14" fillId="4" fontId="3" numFmtId="0" xfId="0" applyBorder="1" applyFont="1"/>
    <xf borderId="4" fillId="0" fontId="3" numFmtId="0" xfId="0" applyBorder="1" applyFont="1"/>
    <xf borderId="4" fillId="0" fontId="3" numFmtId="4" xfId="0" applyBorder="1" applyFont="1" applyNumberFormat="1"/>
    <xf borderId="4" fillId="0" fontId="3" numFmtId="0" xfId="0" applyAlignment="1" applyBorder="1" applyFont="1">
      <alignment horizontal="center"/>
    </xf>
    <xf borderId="21" fillId="4" fontId="8" numFmtId="0" xfId="0" applyAlignment="1" applyBorder="1" applyFont="1">
      <alignment vertical="center"/>
    </xf>
    <xf borderId="31" fillId="4" fontId="8" numFmtId="0" xfId="0" applyAlignment="1" applyBorder="1" applyFont="1">
      <alignment vertical="center"/>
    </xf>
    <xf borderId="0" fillId="0" fontId="10" numFmtId="0" xfId="0" applyFont="1"/>
    <xf borderId="32" fillId="0" fontId="1" numFmtId="165" xfId="0" applyAlignment="1" applyBorder="1" applyFont="1" applyNumberFormat="1">
      <alignment horizontal="right"/>
    </xf>
    <xf borderId="32" fillId="0" fontId="7" numFmtId="0" xfId="0" applyBorder="1" applyFont="1"/>
    <xf borderId="4" fillId="0" fontId="7" numFmtId="0" xfId="0" applyBorder="1" applyFont="1"/>
    <xf borderId="0" fillId="0" fontId="3" numFmtId="164" xfId="0" applyAlignment="1" applyFont="1" applyNumberFormat="1">
      <alignment horizontal="center"/>
    </xf>
    <xf borderId="0" fillId="0" fontId="11" numFmtId="0" xfId="0" applyFont="1"/>
    <xf borderId="0" fillId="0" fontId="1" numFmtId="0" xfId="0" applyFont="1"/>
    <xf borderId="0" fillId="0" fontId="12" numFmtId="0" xfId="0" applyFont="1"/>
    <xf borderId="0" fillId="0" fontId="13" numFmtId="0" xfId="0" applyFont="1"/>
    <xf borderId="19" fillId="0" fontId="8" numFmtId="0" xfId="0" applyAlignment="1" applyBorder="1" applyFont="1">
      <alignment vertical="center"/>
    </xf>
    <xf borderId="33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34" fillId="0" fontId="8" numFmtId="0" xfId="0" applyAlignment="1" applyBorder="1" applyFont="1">
      <alignment vertical="center"/>
    </xf>
    <xf borderId="35" fillId="0" fontId="8" numFmtId="0" xfId="0" applyAlignment="1" applyBorder="1" applyFont="1">
      <alignment vertical="center"/>
    </xf>
    <xf borderId="0" fillId="0" fontId="3" numFmtId="165" xfId="0" applyFont="1" applyNumberFormat="1"/>
    <xf borderId="0" fillId="0" fontId="14" numFmtId="4" xfId="0" applyFont="1" applyNumberFormat="1"/>
    <xf borderId="0" fillId="0" fontId="14" numFmtId="164" xfId="0" applyFont="1" applyNumberFormat="1"/>
    <xf borderId="36" fillId="4" fontId="1" numFmtId="0" xfId="0" applyAlignment="1" applyBorder="1" applyFont="1">
      <alignment horizontal="center"/>
    </xf>
    <xf borderId="37" fillId="0" fontId="7" numFmtId="0" xfId="0" applyBorder="1" applyFont="1"/>
    <xf borderId="38" fillId="0" fontId="7" numFmtId="0" xfId="0" applyBorder="1" applyFont="1"/>
    <xf borderId="31" fillId="4" fontId="2" numFmtId="0" xfId="0" applyBorder="1" applyFont="1"/>
    <xf borderId="36" fillId="4" fontId="3" numFmtId="0" xfId="0" applyAlignment="1" applyBorder="1" applyFont="1">
      <alignment horizontal="center"/>
    </xf>
    <xf borderId="36" fillId="4" fontId="3" numFmtId="0" xfId="0" applyBorder="1" applyFont="1"/>
    <xf borderId="31" fillId="4" fontId="4" numFmtId="0" xfId="0" applyBorder="1" applyFont="1"/>
    <xf borderId="31" fillId="4" fontId="3" numFmtId="0" xfId="0" applyBorder="1" applyFont="1"/>
    <xf borderId="31" fillId="4" fontId="3" numFmtId="4" xfId="0" applyBorder="1" applyFont="1" applyNumberFormat="1"/>
    <xf borderId="31" fillId="4" fontId="3" numFmtId="0" xfId="0" applyAlignment="1" applyBorder="1" applyFont="1">
      <alignment horizontal="center"/>
    </xf>
    <xf borderId="31" fillId="4" fontId="3" numFmtId="164" xfId="0" applyBorder="1" applyFont="1" applyNumberFormat="1"/>
    <xf borderId="39" fillId="4" fontId="5" numFmtId="0" xfId="0" applyBorder="1" applyFont="1"/>
    <xf borderId="39" fillId="4" fontId="3" numFmtId="0" xfId="0" applyBorder="1" applyFont="1"/>
    <xf borderId="39" fillId="4" fontId="3" numFmtId="4" xfId="0" applyBorder="1" applyFont="1" applyNumberFormat="1"/>
    <xf borderId="39" fillId="4" fontId="3" numFmtId="164" xfId="0" applyBorder="1" applyFont="1" applyNumberFormat="1"/>
    <xf borderId="39" fillId="4" fontId="3" numFmtId="0" xfId="0" applyAlignment="1" applyBorder="1" applyFont="1">
      <alignment horizontal="center"/>
    </xf>
    <xf borderId="40" fillId="4" fontId="6" numFmtId="0" xfId="0" applyAlignment="1" applyBorder="1" applyFont="1">
      <alignment horizontal="center" shrinkToFit="0" wrapText="1"/>
    </xf>
    <xf borderId="41" fillId="4" fontId="6" numFmtId="0" xfId="0" applyAlignment="1" applyBorder="1" applyFont="1">
      <alignment horizontal="center" shrinkToFit="0" wrapText="1"/>
    </xf>
    <xf borderId="41" fillId="4" fontId="6" numFmtId="4" xfId="0" applyAlignment="1" applyBorder="1" applyFont="1" applyNumberFormat="1">
      <alignment horizontal="center" shrinkToFit="0" wrapText="1"/>
    </xf>
    <xf borderId="14" fillId="4" fontId="6" numFmtId="164" xfId="0" applyAlignment="1" applyBorder="1" applyFont="1" applyNumberFormat="1">
      <alignment horizontal="center" shrinkToFit="0" wrapText="1"/>
    </xf>
    <xf borderId="41" fillId="4" fontId="6" numFmtId="164" xfId="0" applyAlignment="1" applyBorder="1" applyFont="1" applyNumberFormat="1">
      <alignment horizontal="center" shrinkToFit="0" wrapText="1"/>
    </xf>
    <xf borderId="42" fillId="4" fontId="6" numFmtId="0" xfId="0" applyAlignment="1" applyBorder="1" applyFont="1">
      <alignment horizontal="center" shrinkToFit="0" wrapText="1"/>
    </xf>
    <xf borderId="43" fillId="0" fontId="7" numFmtId="0" xfId="0" applyBorder="1" applyFont="1"/>
    <xf borderId="44" fillId="0" fontId="7" numFmtId="0" xfId="0" applyBorder="1" applyFont="1"/>
    <xf borderId="45" fillId="4" fontId="6" numFmtId="0" xfId="0" applyAlignment="1" applyBorder="1" applyFont="1">
      <alignment horizontal="center" shrinkToFit="0" vertical="center" wrapText="1"/>
    </xf>
    <xf borderId="46" fillId="4" fontId="6" numFmtId="0" xfId="0" applyAlignment="1" applyBorder="1" applyFont="1">
      <alignment horizontal="center" shrinkToFit="0" vertical="center" wrapText="1"/>
    </xf>
    <xf borderId="47" fillId="0" fontId="7" numFmtId="0" xfId="0" applyBorder="1" applyFont="1"/>
    <xf borderId="48" fillId="4" fontId="6" numFmtId="164" xfId="0" applyAlignment="1" applyBorder="1" applyFont="1" applyNumberFormat="1">
      <alignment horizontal="center"/>
    </xf>
    <xf borderId="48" fillId="4" fontId="6" numFmtId="0" xfId="0" applyAlignment="1" applyBorder="1" applyFont="1">
      <alignment horizontal="center"/>
    </xf>
    <xf borderId="48" fillId="4" fontId="6" numFmtId="0" xfId="0" applyAlignment="1" applyBorder="1" applyFont="1">
      <alignment horizontal="center" shrinkToFit="0" wrapText="1"/>
    </xf>
    <xf borderId="49" fillId="4" fontId="6" numFmtId="0" xfId="0" applyAlignment="1" applyBorder="1" applyFont="1">
      <alignment horizontal="center"/>
    </xf>
    <xf borderId="10" fillId="4" fontId="6" numFmtId="0" xfId="0" applyAlignment="1" applyBorder="1" applyFont="1">
      <alignment horizontal="center" shrinkToFit="0" vertical="center" wrapText="1"/>
    </xf>
    <xf quotePrefix="1" borderId="13" fillId="4" fontId="6" numFmtId="0" xfId="0" applyAlignment="1" applyBorder="1" applyFont="1">
      <alignment horizontal="center" shrinkToFit="0" wrapText="1"/>
    </xf>
    <xf quotePrefix="1" borderId="14" fillId="4" fontId="6" numFmtId="0" xfId="0" applyAlignment="1" applyBorder="1" applyFont="1">
      <alignment horizontal="center" shrinkToFit="0" wrapText="1"/>
    </xf>
    <xf quotePrefix="1" borderId="14" fillId="4" fontId="6" numFmtId="4" xfId="0" applyAlignment="1" applyBorder="1" applyFont="1" applyNumberFormat="1">
      <alignment horizontal="center" shrinkToFit="0" wrapText="1"/>
    </xf>
    <xf quotePrefix="1" borderId="14" fillId="4" fontId="6" numFmtId="164" xfId="0" applyAlignment="1" applyBorder="1" applyFont="1" applyNumberFormat="1">
      <alignment horizontal="center" shrinkToFit="0" wrapText="1"/>
    </xf>
    <xf quotePrefix="1" borderId="50" fillId="4" fontId="6" numFmtId="0" xfId="0" applyAlignment="1" applyBorder="1" applyFont="1">
      <alignment horizontal="center" shrinkToFit="0" wrapText="1"/>
    </xf>
    <xf quotePrefix="1" borderId="16" fillId="4" fontId="6" numFmtId="0" xfId="0" applyAlignment="1" applyBorder="1" applyFont="1">
      <alignment horizontal="center" shrinkToFit="0" vertical="center" wrapText="1"/>
    </xf>
    <xf borderId="13" fillId="4" fontId="8" numFmtId="0" xfId="0" applyAlignment="1" applyBorder="1" applyFont="1">
      <alignment horizontal="center" shrinkToFit="0" wrapText="1"/>
    </xf>
    <xf borderId="14" fillId="4" fontId="6" numFmtId="0" xfId="0" applyAlignment="1" applyBorder="1" applyFont="1">
      <alignment shrinkToFit="0" wrapText="1"/>
    </xf>
    <xf borderId="14" fillId="4" fontId="3" numFmtId="4" xfId="0" applyBorder="1" applyFont="1" applyNumberFormat="1"/>
    <xf borderId="14" fillId="4" fontId="3" numFmtId="164" xfId="0" applyBorder="1" applyFont="1" applyNumberFormat="1"/>
    <xf borderId="14" fillId="4" fontId="3" numFmtId="0" xfId="0" applyAlignment="1" applyBorder="1" applyFont="1">
      <alignment horizontal="center"/>
    </xf>
    <xf borderId="15" fillId="4" fontId="3" numFmtId="0" xfId="0" applyBorder="1" applyFont="1"/>
    <xf borderId="16" fillId="4" fontId="3" numFmtId="0" xfId="0" applyBorder="1" applyFont="1"/>
    <xf borderId="17" fillId="4" fontId="8" numFmtId="0" xfId="0" applyAlignment="1" applyBorder="1" applyFont="1">
      <alignment vertical="center"/>
    </xf>
    <xf borderId="18" fillId="4" fontId="8" numFmtId="0" xfId="0" applyAlignment="1" applyBorder="1" applyFont="1">
      <alignment vertical="center"/>
    </xf>
    <xf borderId="14" fillId="4" fontId="6" numFmtId="49" xfId="0" applyAlignment="1" applyBorder="1" applyFont="1" applyNumberFormat="1">
      <alignment shrinkToFit="0" wrapText="1"/>
    </xf>
    <xf borderId="19" fillId="4" fontId="8" numFmtId="0" xfId="0" applyAlignment="1" applyBorder="1" applyFont="1">
      <alignment horizontal="center" shrinkToFit="0" vertical="center" wrapText="1"/>
    </xf>
    <xf borderId="26" fillId="4" fontId="8" numFmtId="4" xfId="0" applyAlignment="1" applyBorder="1" applyFont="1" applyNumberFormat="1">
      <alignment horizontal="right" shrinkToFit="0" vertical="center" wrapText="1"/>
    </xf>
    <xf borderId="20" fillId="4" fontId="8" numFmtId="164" xfId="0" applyAlignment="1" applyBorder="1" applyFont="1" applyNumberFormat="1">
      <alignment horizontal="right" shrinkToFit="0" vertical="center" wrapText="1"/>
    </xf>
    <xf borderId="20" fillId="4" fontId="8" numFmtId="0" xfId="0" applyAlignment="1" applyBorder="1" applyFont="1">
      <alignment horizontal="center" vertical="center"/>
    </xf>
    <xf borderId="19" fillId="4" fontId="2" numFmtId="0" xfId="0" applyBorder="1" applyFont="1"/>
    <xf borderId="14" fillId="4" fontId="8" numFmtId="4" xfId="0" applyAlignment="1" applyBorder="1" applyFont="1" applyNumberFormat="1">
      <alignment horizontal="right"/>
    </xf>
    <xf borderId="19" fillId="4" fontId="9" numFmtId="0" xfId="0" applyAlignment="1" applyBorder="1" applyFont="1">
      <alignment horizontal="left"/>
    </xf>
    <xf borderId="14" fillId="4" fontId="8" numFmtId="0" xfId="0" applyAlignment="1" applyBorder="1" applyFont="1">
      <alignment horizontal="center" vertical="center"/>
    </xf>
    <xf borderId="14" fillId="4" fontId="8" numFmtId="4" xfId="0" applyAlignment="1" applyBorder="1" applyFont="1" applyNumberFormat="1">
      <alignment horizontal="right" vertical="center"/>
    </xf>
    <xf borderId="19" fillId="4" fontId="3" numFmtId="0" xfId="0" applyAlignment="1" applyBorder="1" applyFont="1">
      <alignment horizontal="center" vertical="center"/>
    </xf>
    <xf borderId="19" fillId="4" fontId="3" numFmtId="0" xfId="0" applyAlignment="1" applyBorder="1" applyFont="1">
      <alignment vertical="center"/>
    </xf>
    <xf borderId="19" fillId="4" fontId="8" numFmtId="3" xfId="0" applyAlignment="1" applyBorder="1" applyFont="1" applyNumberFormat="1">
      <alignment horizontal="center"/>
    </xf>
    <xf borderId="14" fillId="6" fontId="3" numFmtId="49" xfId="0" applyBorder="1" applyFill="1" applyFont="1" applyNumberFormat="1"/>
    <xf borderId="26" fillId="4" fontId="8" numFmtId="49" xfId="0" applyAlignment="1" applyBorder="1" applyFont="1" applyNumberFormat="1">
      <alignment shrinkToFit="0" vertical="center" wrapText="1"/>
    </xf>
    <xf borderId="26" fillId="4" fontId="8" numFmtId="0" xfId="0" applyAlignment="1" applyBorder="1" applyFont="1">
      <alignment horizontal="center" shrinkToFit="0" vertical="center" wrapText="1"/>
    </xf>
    <xf borderId="26" fillId="4" fontId="8" numFmtId="164" xfId="0" applyAlignment="1" applyBorder="1" applyFont="1" applyNumberFormat="1">
      <alignment horizontal="right" shrinkToFit="0" vertical="center" wrapText="1"/>
    </xf>
    <xf borderId="20" fillId="4" fontId="3" numFmtId="0" xfId="0" applyAlignment="1" applyBorder="1" applyFont="1">
      <alignment horizontal="center" vertical="center"/>
    </xf>
    <xf borderId="29" fillId="4" fontId="8" numFmtId="0" xfId="0" applyAlignment="1" applyBorder="1" applyFont="1">
      <alignment horizontal="center" shrinkToFit="0" vertical="center" wrapText="1"/>
    </xf>
    <xf borderId="19" fillId="4" fontId="8" numFmtId="49" xfId="0" applyBorder="1" applyFont="1" applyNumberFormat="1"/>
    <xf borderId="22" fillId="4" fontId="8" numFmtId="3" xfId="0" applyAlignment="1" applyBorder="1" applyFont="1" applyNumberFormat="1">
      <alignment horizontal="center" shrinkToFit="0" wrapText="1"/>
    </xf>
    <xf borderId="22" fillId="4" fontId="8" numFmtId="4" xfId="0" applyAlignment="1" applyBorder="1" applyFont="1" applyNumberFormat="1">
      <alignment horizontal="right"/>
    </xf>
    <xf borderId="22" fillId="4" fontId="8" numFmtId="164" xfId="0" applyBorder="1" applyFont="1" applyNumberFormat="1"/>
    <xf borderId="22" fillId="4" fontId="8" numFmtId="0" xfId="0" applyBorder="1" applyFont="1"/>
    <xf borderId="22" fillId="4" fontId="8" numFmtId="0" xfId="0" applyAlignment="1" applyBorder="1" applyFont="1">
      <alignment horizontal="center"/>
    </xf>
    <xf borderId="51" fillId="4" fontId="3" numFmtId="0" xfId="0" applyBorder="1" applyFont="1"/>
    <xf borderId="31" fillId="4" fontId="15" numFmtId="0" xfId="0" applyBorder="1" applyFont="1"/>
    <xf borderId="52" fillId="4" fontId="1" numFmtId="165" xfId="0" applyAlignment="1" applyBorder="1" applyFont="1" applyNumberFormat="1">
      <alignment horizontal="right"/>
    </xf>
    <xf borderId="53" fillId="0" fontId="7" numFmtId="0" xfId="0" applyBorder="1" applyFont="1"/>
    <xf borderId="54" fillId="0" fontId="7" numFmtId="0" xfId="0" applyBorder="1" applyFont="1"/>
    <xf borderId="31" fillId="4" fontId="3" numFmtId="164" xfId="0" applyAlignment="1" applyBorder="1" applyFont="1" applyNumberFormat="1">
      <alignment horizontal="center"/>
    </xf>
    <xf borderId="31" fillId="4" fontId="16" numFmtId="0" xfId="0" applyBorder="1" applyFont="1"/>
    <xf borderId="31" fillId="4" fontId="1" numFmtId="0" xfId="0" applyBorder="1" applyFont="1"/>
    <xf borderId="36" fillId="4" fontId="17" numFmtId="0" xfId="0" applyBorder="1" applyFont="1"/>
    <xf borderId="36" fillId="4" fontId="13" numFmtId="0" xfId="0" applyBorder="1" applyFont="1"/>
    <xf borderId="31" fillId="4" fontId="13" numFmtId="0" xfId="0" applyBorder="1" applyFont="1"/>
    <xf borderId="34" fillId="4" fontId="8" numFmtId="0" xfId="0" applyAlignment="1" applyBorder="1" applyFont="1">
      <alignment vertical="center"/>
    </xf>
    <xf borderId="55" fillId="4" fontId="8" numFmtId="0" xfId="0" applyAlignment="1" applyBorder="1" applyFont="1">
      <alignment vertical="center"/>
    </xf>
    <xf borderId="31" fillId="4" fontId="3" numFmtId="165" xfId="0" applyBorder="1" applyFont="1" applyNumberFormat="1"/>
    <xf borderId="31" fillId="4" fontId="14" numFmtId="4" xfId="0" applyBorder="1" applyFont="1" applyNumberFormat="1"/>
    <xf borderId="31" fillId="4" fontId="14" numFmtId="164" xfId="0" applyBorder="1" applyFont="1" applyNumberForma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0" fillId="4" fontId="2" numFmtId="0" xfId="0" applyFont="1"/>
    <xf borderId="31" fillId="7" fontId="3" numFmtId="0" xfId="0" applyAlignment="1" applyBorder="1" applyFill="1" applyFont="1">
      <alignment horizontal="center"/>
    </xf>
    <xf borderId="0" fillId="0" fontId="5" numFmtId="0" xfId="0" applyFont="1"/>
    <xf borderId="56" fillId="0" fontId="6" numFmtId="0" xfId="0" applyAlignment="1" applyBorder="1" applyFont="1">
      <alignment horizontal="center" shrinkToFit="0" wrapText="1"/>
    </xf>
    <xf borderId="57" fillId="7" fontId="6" numFmtId="0" xfId="0" applyAlignment="1" applyBorder="1" applyFont="1">
      <alignment horizontal="center" shrinkToFit="0" wrapText="1"/>
    </xf>
    <xf borderId="58" fillId="4" fontId="6" numFmtId="4" xfId="0" applyAlignment="1" applyBorder="1" applyFont="1" applyNumberFormat="1">
      <alignment horizontal="center" shrinkToFit="0" wrapText="1"/>
    </xf>
    <xf borderId="59" fillId="4" fontId="6" numFmtId="164" xfId="0" applyAlignment="1" applyBorder="1" applyFont="1" applyNumberFormat="1">
      <alignment horizontal="center" shrinkToFit="0" wrapText="1"/>
    </xf>
    <xf borderId="58" fillId="4" fontId="6" numFmtId="164" xfId="0" applyAlignment="1" applyBorder="1" applyFont="1" applyNumberFormat="1">
      <alignment horizontal="center" shrinkToFit="0" wrapText="1"/>
    </xf>
    <xf borderId="58" fillId="4" fontId="6" numFmtId="0" xfId="0" applyAlignment="1" applyBorder="1" applyFont="1">
      <alignment horizontal="center" shrinkToFit="0" wrapText="1"/>
    </xf>
    <xf borderId="60" fillId="4" fontId="6" numFmtId="0" xfId="0" applyAlignment="1" applyBorder="1" applyFont="1">
      <alignment horizontal="center" shrinkToFit="0" wrapText="1"/>
    </xf>
    <xf borderId="6" fillId="0" fontId="7" numFmtId="0" xfId="0" applyBorder="1" applyFont="1"/>
    <xf borderId="7" fillId="0" fontId="7" numFmtId="0" xfId="0" applyBorder="1" applyFont="1"/>
    <xf borderId="61" fillId="0" fontId="7" numFmtId="0" xfId="0" applyBorder="1" applyFont="1"/>
    <xf borderId="62" fillId="0" fontId="7" numFmtId="0" xfId="0" applyBorder="1" applyFont="1"/>
    <xf borderId="63" fillId="0" fontId="7" numFmtId="0" xfId="0" applyBorder="1" applyFont="1"/>
    <xf borderId="15" fillId="4" fontId="6" numFmtId="164" xfId="0" applyAlignment="1" applyBorder="1" applyFont="1" applyNumberFormat="1">
      <alignment horizontal="center"/>
    </xf>
    <xf borderId="15" fillId="4" fontId="6" numFmtId="0" xfId="0" applyAlignment="1" applyBorder="1" applyFont="1">
      <alignment horizontal="center"/>
    </xf>
    <xf borderId="15" fillId="4" fontId="6" numFmtId="0" xfId="0" applyAlignment="1" applyBorder="1" applyFont="1">
      <alignment horizontal="center" shrinkToFit="0" wrapText="1"/>
    </xf>
    <xf borderId="16" fillId="4" fontId="6" numFmtId="0" xfId="0" applyAlignment="1" applyBorder="1" applyFont="1">
      <alignment horizontal="center"/>
    </xf>
    <xf borderId="64" fillId="4" fontId="6" numFmtId="0" xfId="0" applyAlignment="1" applyBorder="1" applyFont="1">
      <alignment horizontal="center" shrinkToFit="0" vertical="center" wrapText="1"/>
    </xf>
    <xf quotePrefix="1" borderId="65" fillId="0" fontId="6" numFmtId="0" xfId="0" applyAlignment="1" applyBorder="1" applyFont="1">
      <alignment horizontal="center" shrinkToFit="0" wrapText="1"/>
    </xf>
    <xf quotePrefix="1" borderId="17" fillId="7" fontId="6" numFmtId="0" xfId="0" applyAlignment="1" applyBorder="1" applyFont="1">
      <alignment horizontal="center" shrinkToFit="0" wrapText="1"/>
    </xf>
    <xf quotePrefix="1" borderId="17" fillId="4" fontId="6" numFmtId="4" xfId="0" applyAlignment="1" applyBorder="1" applyFont="1" applyNumberFormat="1">
      <alignment horizontal="center" shrinkToFit="0" wrapText="1"/>
    </xf>
    <xf quotePrefix="1" borderId="17" fillId="4" fontId="6" numFmtId="164" xfId="0" applyAlignment="1" applyBorder="1" applyFont="1" applyNumberFormat="1">
      <alignment horizontal="center" shrinkToFit="0" wrapText="1"/>
    </xf>
    <xf quotePrefix="1" borderId="17" fillId="4" fontId="6" numFmtId="0" xfId="0" applyAlignment="1" applyBorder="1" applyFont="1">
      <alignment horizontal="center" shrinkToFit="0" wrapText="1"/>
    </xf>
    <xf quotePrefix="1" borderId="17" fillId="4" fontId="6" numFmtId="0" xfId="0" applyAlignment="1" applyBorder="1" applyFont="1">
      <alignment horizontal="center" shrinkToFit="0" vertical="center" wrapText="1"/>
    </xf>
    <xf quotePrefix="1" borderId="18" fillId="4" fontId="6" numFmtId="0" xfId="0" applyAlignment="1" applyBorder="1" applyFont="1">
      <alignment horizontal="center" shrinkToFit="0" vertical="center" wrapText="1"/>
    </xf>
    <xf borderId="66" fillId="8" fontId="8" numFmtId="0" xfId="0" applyAlignment="1" applyBorder="1" applyFill="1" applyFont="1">
      <alignment horizontal="center" shrinkToFit="0" wrapText="1"/>
    </xf>
    <xf borderId="19" fillId="8" fontId="3" numFmtId="0" xfId="0" applyAlignment="1" applyBorder="1" applyFont="1">
      <alignment horizontal="center"/>
    </xf>
    <xf borderId="19" fillId="8" fontId="6" numFmtId="0" xfId="0" applyAlignment="1" applyBorder="1" applyFont="1">
      <alignment shrinkToFit="0" wrapText="1"/>
    </xf>
    <xf borderId="19" fillId="8" fontId="3" numFmtId="0" xfId="0" applyBorder="1" applyFont="1"/>
    <xf borderId="19" fillId="8" fontId="3" numFmtId="4" xfId="0" applyBorder="1" applyFont="1" applyNumberFormat="1"/>
    <xf borderId="19" fillId="8" fontId="3" numFmtId="164" xfId="0" applyBorder="1" applyFont="1" applyNumberFormat="1"/>
    <xf borderId="19" fillId="8" fontId="8" numFmtId="0" xfId="0" applyAlignment="1" applyBorder="1" applyFont="1">
      <alignment horizontal="center" shrinkToFit="0" vertical="center" wrapText="1"/>
    </xf>
    <xf borderId="19" fillId="8" fontId="8" numFmtId="0" xfId="0" applyAlignment="1" applyBorder="1" applyFont="1">
      <alignment vertical="center"/>
    </xf>
    <xf borderId="23" fillId="8" fontId="8" numFmtId="0" xfId="0" applyAlignment="1" applyBorder="1" applyFont="1">
      <alignment vertical="center"/>
    </xf>
    <xf borderId="66" fillId="0" fontId="3" numFmtId="0" xfId="0" applyBorder="1" applyFont="1"/>
    <xf borderId="19" fillId="7" fontId="8" numFmtId="49" xfId="0" applyAlignment="1" applyBorder="1" applyFont="1" applyNumberFormat="1">
      <alignment horizontal="center"/>
    </xf>
    <xf borderId="19" fillId="4" fontId="8" numFmtId="49" xfId="0" applyAlignment="1" applyBorder="1" applyFont="1" applyNumberFormat="1">
      <alignment shrinkToFit="0" wrapText="1"/>
    </xf>
    <xf borderId="19" fillId="4" fontId="8" numFmtId="4" xfId="0" applyAlignment="1" applyBorder="1" applyFont="1" applyNumberFormat="1">
      <alignment horizontal="right" shrinkToFit="0" wrapText="1"/>
    </xf>
    <xf borderId="19" fillId="7" fontId="3" numFmtId="49" xfId="0" applyAlignment="1" applyBorder="1" applyFont="1" applyNumberFormat="1">
      <alignment horizontal="center"/>
    </xf>
    <xf borderId="66" fillId="9" fontId="3" numFmtId="0" xfId="0" applyBorder="1" applyFill="1" applyFont="1"/>
    <xf borderId="19" fillId="9" fontId="3" numFmtId="49" xfId="0" applyAlignment="1" applyBorder="1" applyFont="1" applyNumberFormat="1">
      <alignment horizontal="center"/>
    </xf>
    <xf borderId="19" fillId="9" fontId="8" numFmtId="49" xfId="0" applyAlignment="1" applyBorder="1" applyFont="1" applyNumberFormat="1">
      <alignment shrinkToFit="0" wrapText="1"/>
    </xf>
    <xf borderId="19" fillId="9" fontId="8" numFmtId="0" xfId="0" applyAlignment="1" applyBorder="1" applyFont="1">
      <alignment horizontal="center" shrinkToFit="0" wrapText="1"/>
    </xf>
    <xf borderId="19" fillId="9" fontId="8" numFmtId="4" xfId="0" applyAlignment="1" applyBorder="1" applyFont="1" applyNumberFormat="1">
      <alignment horizontal="right" shrinkToFit="0" wrapText="1"/>
    </xf>
    <xf borderId="19" fillId="9" fontId="8" numFmtId="0" xfId="0" applyAlignment="1" applyBorder="1" applyFont="1">
      <alignment horizontal="center" shrinkToFit="0" vertical="center" wrapText="1"/>
    </xf>
    <xf borderId="19" fillId="9" fontId="8" numFmtId="0" xfId="0" applyAlignment="1" applyBorder="1" applyFont="1">
      <alignment horizontal="center"/>
    </xf>
    <xf borderId="19" fillId="9" fontId="8" numFmtId="0" xfId="0" applyBorder="1" applyFont="1"/>
    <xf borderId="19" fillId="9" fontId="3" numFmtId="0" xfId="0" applyBorder="1" applyFont="1"/>
    <xf borderId="19" fillId="9" fontId="8" numFmtId="0" xfId="0" applyAlignment="1" applyBorder="1" applyFont="1">
      <alignment vertical="center"/>
    </xf>
    <xf borderId="23" fillId="9" fontId="8" numFmtId="0" xfId="0" applyAlignment="1" applyBorder="1" applyFont="1">
      <alignment vertical="center"/>
    </xf>
    <xf borderId="20" fillId="4" fontId="8" numFmtId="4" xfId="0" applyAlignment="1" applyBorder="1" applyFont="1" applyNumberFormat="1">
      <alignment horizontal="right" shrinkToFit="0" vertical="center" wrapText="1"/>
    </xf>
    <xf borderId="19" fillId="4" fontId="8" numFmtId="4" xfId="0" applyAlignment="1" applyBorder="1" applyFont="1" applyNumberFormat="1">
      <alignment horizontal="right" vertical="center"/>
    </xf>
    <xf borderId="19" fillId="0" fontId="8" numFmtId="49" xfId="0" applyAlignment="1" applyBorder="1" applyFont="1" applyNumberFormat="1">
      <alignment shrinkToFit="0" wrapText="1"/>
    </xf>
    <xf borderId="19" fillId="0" fontId="8" numFmtId="0" xfId="0" applyAlignment="1" applyBorder="1" applyFont="1">
      <alignment horizontal="center" vertical="center"/>
    </xf>
    <xf borderId="19" fillId="0" fontId="8" numFmtId="4" xfId="0" applyAlignment="1" applyBorder="1" applyFont="1" applyNumberFormat="1">
      <alignment horizontal="right" vertical="center"/>
    </xf>
    <xf borderId="19" fillId="0" fontId="3" numFmtId="0" xfId="0" applyBorder="1" applyFont="1"/>
    <xf borderId="23" fillId="0" fontId="8" numFmtId="0" xfId="0" applyAlignment="1" applyBorder="1" applyFont="1">
      <alignment vertical="center"/>
    </xf>
    <xf borderId="19" fillId="7" fontId="8" numFmtId="49" xfId="0" applyAlignment="1" applyBorder="1" applyFont="1" applyNumberFormat="1">
      <alignment horizontal="center" shrinkToFit="0" wrapText="1"/>
    </xf>
    <xf borderId="19" fillId="4" fontId="8" numFmtId="164" xfId="0" applyAlignment="1" applyBorder="1" applyFont="1" applyNumberFormat="1">
      <alignment horizontal="right"/>
    </xf>
    <xf borderId="23" fillId="4" fontId="8" numFmtId="0" xfId="0" applyAlignment="1" applyBorder="1" applyFont="1">
      <alignment horizontal="center"/>
    </xf>
    <xf borderId="19" fillId="4" fontId="8" numFmtId="49" xfId="0" applyAlignment="1" applyBorder="1" applyFont="1" applyNumberFormat="1">
      <alignment shrinkToFit="0" vertical="center" wrapText="1"/>
    </xf>
    <xf borderId="19" fillId="4" fontId="8" numFmtId="164" xfId="0" applyAlignment="1" applyBorder="1" applyFont="1" applyNumberFormat="1">
      <alignment horizontal="right" vertical="center"/>
    </xf>
    <xf borderId="19" fillId="4" fontId="8" numFmtId="4" xfId="0" applyAlignment="1" applyBorder="1" applyFont="1" applyNumberFormat="1">
      <alignment horizontal="right" shrinkToFit="0" vertical="center" wrapText="1"/>
    </xf>
    <xf borderId="67" fillId="0" fontId="3" numFmtId="0" xfId="0" applyBorder="1" applyFont="1"/>
    <xf borderId="34" fillId="7" fontId="3" numFmtId="49" xfId="0" applyAlignment="1" applyBorder="1" applyFont="1" applyNumberFormat="1">
      <alignment horizontal="center"/>
    </xf>
    <xf borderId="34" fillId="4" fontId="8" numFmtId="49" xfId="0" applyAlignment="1" applyBorder="1" applyFont="1" applyNumberFormat="1">
      <alignment shrinkToFit="0" wrapText="1"/>
    </xf>
    <xf borderId="34" fillId="4" fontId="8" numFmtId="0" xfId="0" applyAlignment="1" applyBorder="1" applyFont="1">
      <alignment horizontal="center" shrinkToFit="0" wrapText="1"/>
    </xf>
    <xf borderId="34" fillId="4" fontId="8" numFmtId="4" xfId="0" applyAlignment="1" applyBorder="1" applyFont="1" applyNumberFormat="1">
      <alignment horizontal="right" shrinkToFit="0" wrapText="1"/>
    </xf>
    <xf borderId="34" fillId="4" fontId="8" numFmtId="164" xfId="0" applyAlignment="1" applyBorder="1" applyFont="1" applyNumberFormat="1">
      <alignment horizontal="right" shrinkToFit="0" wrapText="1"/>
    </xf>
    <xf borderId="68" fillId="0" fontId="7" numFmtId="0" xfId="0" applyBorder="1" applyFont="1"/>
    <xf borderId="34" fillId="4" fontId="3" numFmtId="0" xfId="0" applyAlignment="1" applyBorder="1" applyFont="1">
      <alignment horizontal="center" vertical="center"/>
    </xf>
    <xf borderId="34" fillId="4" fontId="8" numFmtId="0" xfId="0" applyAlignment="1" applyBorder="1" applyFont="1">
      <alignment horizontal="center" vertical="center"/>
    </xf>
    <xf borderId="34" fillId="4" fontId="8" numFmtId="0" xfId="0" applyAlignment="1" applyBorder="1" applyFont="1">
      <alignment horizontal="center"/>
    </xf>
    <xf borderId="34" fillId="4" fontId="8" numFmtId="0" xfId="0" applyBorder="1" applyFont="1"/>
    <xf borderId="34" fillId="4" fontId="3" numFmtId="0" xfId="0" applyBorder="1" applyFont="1"/>
    <xf borderId="69" fillId="4" fontId="8" numFmtId="0" xfId="0" applyAlignment="1" applyBorder="1" applyFont="1">
      <alignment horizontal="center"/>
    </xf>
    <xf borderId="51" fillId="4" fontId="8" numFmtId="0" xfId="0" applyAlignment="1" applyBorder="1" applyFont="1">
      <alignment vertical="center"/>
    </xf>
    <xf borderId="70" fillId="4" fontId="8" numFmtId="0" xfId="0" applyAlignment="1" applyBorder="1" applyFont="1">
      <alignment vertical="center"/>
    </xf>
    <xf borderId="31" fillId="4" fontId="1" numFmtId="0" xfId="0" applyAlignment="1" applyBorder="1" applyFont="1">
      <alignment horizontal="center"/>
    </xf>
    <xf borderId="31" fillId="4" fontId="13" numFmtId="0" xfId="0" applyAlignment="1" applyBorder="1" applyFont="1">
      <alignment horizontal="center"/>
    </xf>
    <xf borderId="0" fillId="0" fontId="18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9.13"/>
    <col customWidth="1" min="3" max="3" width="61.13"/>
    <col customWidth="1" min="4" max="4" width="11.63"/>
    <col customWidth="1" min="5" max="5" width="11.75"/>
    <col customWidth="1" min="6" max="6" width="12.75"/>
    <col customWidth="1" min="7" max="7" width="29.88"/>
    <col customWidth="1" min="8" max="8" width="10.38"/>
    <col customWidth="1" min="9" max="10" width="7.63"/>
    <col customWidth="1" min="11" max="11" width="6.25"/>
    <col customWidth="1" hidden="1" min="12" max="14" width="8.38"/>
    <col customWidth="1" hidden="1" min="15" max="16" width="7.63"/>
    <col customWidth="1" hidden="1" min="17" max="17" width="11.38"/>
    <col customWidth="1" hidden="1" min="18" max="19" width="7.63"/>
    <col customWidth="1" hidden="1" min="20" max="20" width="10.25"/>
    <col customWidth="1" hidden="1" min="21" max="21" width="9.25"/>
    <col customWidth="1" hidden="1" min="22" max="22" width="7.63"/>
    <col customWidth="1" hidden="1" min="23" max="23" width="9.5"/>
    <col customWidth="1" hidden="1" min="24" max="24" width="9.88"/>
    <col customWidth="1" hidden="1" min="25" max="25" width="11.25"/>
    <col customWidth="1" hidden="1" min="26" max="37" width="12.63"/>
  </cols>
  <sheetData>
    <row r="1" ht="15.75" customHeight="1">
      <c r="A1" s="1" t="s">
        <v>0</v>
      </c>
      <c r="AJ1" s="2"/>
      <c r="AK1" s="2"/>
      <c r="AL1" s="2"/>
    </row>
    <row r="2" ht="15.75" customHeight="1">
      <c r="A2" s="3" t="s">
        <v>1</v>
      </c>
      <c r="AJ2" s="2"/>
      <c r="AK2" s="2"/>
      <c r="AL2" s="2"/>
    </row>
    <row r="3" ht="15.75" customHeight="1">
      <c r="A3" s="4"/>
      <c r="AJ3" s="2"/>
      <c r="AK3" s="2"/>
      <c r="AL3" s="2"/>
    </row>
    <row r="4" ht="15.75" customHeight="1">
      <c r="A4" s="5" t="s">
        <v>2</v>
      </c>
      <c r="B4" s="4"/>
      <c r="C4" s="4"/>
      <c r="D4" s="4"/>
      <c r="E4" s="6"/>
      <c r="F4" s="4"/>
      <c r="G4" s="4"/>
      <c r="H4" s="4"/>
      <c r="I4" s="4"/>
      <c r="J4" s="4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2"/>
      <c r="AK4" s="2"/>
      <c r="AL4" s="2"/>
    </row>
    <row r="5" ht="15.75" customHeight="1">
      <c r="A5" s="4"/>
      <c r="B5" s="4"/>
      <c r="C5" s="4"/>
      <c r="D5" s="4"/>
      <c r="E5" s="6"/>
      <c r="F5" s="7"/>
      <c r="G5" s="4"/>
      <c r="H5" s="4"/>
      <c r="I5" s="4"/>
      <c r="J5" s="4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2"/>
      <c r="AK5" s="2"/>
      <c r="AL5" s="2"/>
    </row>
    <row r="6" ht="15.75" customHeight="1">
      <c r="A6" s="5" t="s">
        <v>3</v>
      </c>
      <c r="B6" s="4"/>
      <c r="C6" s="4"/>
      <c r="D6" s="4"/>
      <c r="E6" s="6"/>
      <c r="F6" s="7"/>
      <c r="G6" s="4"/>
      <c r="H6" s="4"/>
      <c r="I6" s="4"/>
      <c r="J6" s="4"/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2"/>
      <c r="AK6" s="2"/>
      <c r="AL6" s="2"/>
    </row>
    <row r="7" ht="15.75" customHeight="1">
      <c r="A7" s="8" t="s">
        <v>4</v>
      </c>
      <c r="B7" s="9"/>
      <c r="C7" s="9"/>
      <c r="D7" s="9"/>
      <c r="E7" s="10"/>
      <c r="F7" s="11"/>
      <c r="G7" s="9"/>
      <c r="H7" s="9"/>
      <c r="I7" s="9"/>
      <c r="J7" s="9"/>
      <c r="K7" s="12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"/>
      <c r="AK7" s="2"/>
      <c r="AL7" s="2"/>
    </row>
    <row r="8" ht="22.5" customHeight="1">
      <c r="A8" s="13" t="s">
        <v>5</v>
      </c>
      <c r="B8" s="14" t="s">
        <v>6</v>
      </c>
      <c r="C8" s="15" t="s">
        <v>7</v>
      </c>
      <c r="D8" s="16" t="s">
        <v>8</v>
      </c>
      <c r="E8" s="15" t="s">
        <v>9</v>
      </c>
      <c r="F8" s="17" t="s">
        <v>10</v>
      </c>
      <c r="G8" s="14" t="s">
        <v>11</v>
      </c>
      <c r="H8" s="14" t="s">
        <v>12</v>
      </c>
      <c r="I8" s="18" t="s">
        <v>13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/>
      <c r="AJ8" s="21"/>
      <c r="AK8" s="21"/>
      <c r="AL8" s="22"/>
    </row>
    <row r="9" ht="15.75" customHeight="1">
      <c r="A9" s="23"/>
      <c r="B9" s="20"/>
      <c r="C9" s="20"/>
      <c r="D9" s="24" t="s">
        <v>14</v>
      </c>
      <c r="E9" s="20"/>
      <c r="F9" s="20"/>
      <c r="G9" s="20"/>
      <c r="H9" s="20"/>
      <c r="I9" s="25" t="s">
        <v>15</v>
      </c>
      <c r="J9" s="25" t="s">
        <v>16</v>
      </c>
      <c r="K9" s="25" t="s">
        <v>17</v>
      </c>
      <c r="L9" s="26" t="s">
        <v>18</v>
      </c>
      <c r="M9" s="26" t="s">
        <v>19</v>
      </c>
      <c r="N9" s="26" t="s">
        <v>20</v>
      </c>
      <c r="O9" s="26" t="s">
        <v>21</v>
      </c>
      <c r="P9" s="26" t="s">
        <v>22</v>
      </c>
      <c r="Q9" s="26" t="s">
        <v>23</v>
      </c>
      <c r="R9" s="26" t="s">
        <v>24</v>
      </c>
      <c r="S9" s="26" t="s">
        <v>25</v>
      </c>
      <c r="T9" s="26" t="s">
        <v>26</v>
      </c>
      <c r="U9" s="26" t="s">
        <v>27</v>
      </c>
      <c r="V9" s="26" t="s">
        <v>28</v>
      </c>
      <c r="W9" s="26" t="s">
        <v>29</v>
      </c>
      <c r="X9" s="26" t="s">
        <v>30</v>
      </c>
      <c r="Y9" s="26" t="s">
        <v>31</v>
      </c>
      <c r="Z9" s="26" t="s">
        <v>32</v>
      </c>
      <c r="AA9" s="26" t="s">
        <v>33</v>
      </c>
      <c r="AB9" s="26" t="s">
        <v>34</v>
      </c>
      <c r="AC9" s="26" t="s">
        <v>35</v>
      </c>
      <c r="AD9" s="26" t="s">
        <v>36</v>
      </c>
      <c r="AE9" s="26" t="s">
        <v>37</v>
      </c>
      <c r="AF9" s="26" t="s">
        <v>38</v>
      </c>
      <c r="AG9" s="26" t="s">
        <v>39</v>
      </c>
      <c r="AH9" s="26" t="s">
        <v>40</v>
      </c>
      <c r="AI9" s="27" t="s">
        <v>41</v>
      </c>
      <c r="AJ9" s="28" t="s">
        <v>39</v>
      </c>
      <c r="AK9" s="28" t="s">
        <v>40</v>
      </c>
      <c r="AL9" s="28" t="s">
        <v>41</v>
      </c>
    </row>
    <row r="10" ht="15.75" customHeight="1">
      <c r="A10" s="29" t="s">
        <v>42</v>
      </c>
      <c r="B10" s="30" t="s">
        <v>43</v>
      </c>
      <c r="C10" s="31" t="s">
        <v>44</v>
      </c>
      <c r="D10" s="32" t="s">
        <v>45</v>
      </c>
      <c r="E10" s="31" t="s">
        <v>46</v>
      </c>
      <c r="F10" s="32" t="s">
        <v>47</v>
      </c>
      <c r="G10" s="30" t="s">
        <v>48</v>
      </c>
      <c r="H10" s="30" t="s">
        <v>49</v>
      </c>
      <c r="I10" s="30" t="s">
        <v>50</v>
      </c>
      <c r="J10" s="30" t="s">
        <v>51</v>
      </c>
      <c r="K10" s="30" t="s">
        <v>52</v>
      </c>
      <c r="L10" s="30" t="s">
        <v>53</v>
      </c>
      <c r="M10" s="30" t="s">
        <v>54</v>
      </c>
      <c r="N10" s="30" t="s">
        <v>55</v>
      </c>
      <c r="O10" s="30" t="s">
        <v>56</v>
      </c>
      <c r="P10" s="30" t="s">
        <v>57</v>
      </c>
      <c r="Q10" s="30" t="s">
        <v>58</v>
      </c>
      <c r="R10" s="30" t="s">
        <v>59</v>
      </c>
      <c r="S10" s="30" t="s">
        <v>60</v>
      </c>
      <c r="T10" s="30" t="s">
        <v>61</v>
      </c>
      <c r="U10" s="30" t="s">
        <v>62</v>
      </c>
      <c r="V10" s="30" t="s">
        <v>63</v>
      </c>
      <c r="W10" s="30" t="s">
        <v>64</v>
      </c>
      <c r="X10" s="30" t="s">
        <v>65</v>
      </c>
      <c r="Y10" s="30" t="s">
        <v>66</v>
      </c>
      <c r="Z10" s="30" t="s">
        <v>67</v>
      </c>
      <c r="AA10" s="30" t="s">
        <v>68</v>
      </c>
      <c r="AB10" s="30" t="s">
        <v>69</v>
      </c>
      <c r="AC10" s="30" t="s">
        <v>70</v>
      </c>
      <c r="AD10" s="30" t="s">
        <v>71</v>
      </c>
      <c r="AE10" s="30" t="s">
        <v>72</v>
      </c>
      <c r="AF10" s="30" t="s">
        <v>73</v>
      </c>
      <c r="AG10" s="30" t="s">
        <v>74</v>
      </c>
      <c r="AH10" s="30" t="s">
        <v>75</v>
      </c>
      <c r="AI10" s="33" t="s">
        <v>76</v>
      </c>
      <c r="AJ10" s="34" t="s">
        <v>74</v>
      </c>
      <c r="AK10" s="34" t="s">
        <v>75</v>
      </c>
      <c r="AL10" s="34" t="s">
        <v>76</v>
      </c>
    </row>
    <row r="11" ht="15.75" customHeight="1">
      <c r="A11" s="35"/>
      <c r="B11" s="36"/>
      <c r="C11" s="37" t="s">
        <v>77</v>
      </c>
      <c r="D11" s="36"/>
      <c r="E11" s="38"/>
      <c r="F11" s="39"/>
      <c r="G11" s="36"/>
      <c r="H11" s="36"/>
      <c r="I11" s="36"/>
      <c r="J11" s="36"/>
      <c r="K11" s="40"/>
      <c r="L11" s="36"/>
      <c r="M11" s="36"/>
      <c r="N11" s="36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2"/>
      <c r="AJ11" s="43"/>
      <c r="AK11" s="43"/>
      <c r="AL11" s="44"/>
    </row>
    <row r="12" ht="15.75" customHeight="1">
      <c r="A12" s="45"/>
      <c r="B12" s="46"/>
      <c r="C12" s="47" t="s">
        <v>78</v>
      </c>
      <c r="D12" s="48" t="s">
        <v>79</v>
      </c>
      <c r="E12" s="49">
        <v>50000.0</v>
      </c>
      <c r="F12" s="50">
        <v>50000.0</v>
      </c>
      <c r="G12" s="51" t="s">
        <v>80</v>
      </c>
      <c r="H12" s="48"/>
      <c r="I12" s="52"/>
      <c r="J12" s="53">
        <v>1.0</v>
      </c>
      <c r="K12" s="54"/>
      <c r="L12" s="55"/>
      <c r="M12" s="52"/>
      <c r="N12" s="56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5"/>
      <c r="AJ12" s="57"/>
      <c r="AK12" s="58"/>
      <c r="AL12" s="59"/>
    </row>
    <row r="13" ht="15.75" customHeight="1">
      <c r="A13" s="60"/>
      <c r="B13" s="61"/>
      <c r="C13" s="62" t="s">
        <v>81</v>
      </c>
      <c r="D13" s="63"/>
      <c r="E13" s="64"/>
      <c r="F13" s="65"/>
      <c r="G13" s="66"/>
      <c r="H13" s="63"/>
      <c r="I13" s="67"/>
      <c r="J13" s="68"/>
      <c r="K13" s="69"/>
      <c r="L13" s="70"/>
      <c r="M13" s="67"/>
      <c r="N13" s="71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70"/>
      <c r="AJ13" s="72"/>
      <c r="AK13" s="73"/>
      <c r="AL13" s="74"/>
    </row>
    <row r="14" ht="15.75" customHeight="1">
      <c r="A14" s="75"/>
      <c r="B14" s="76"/>
      <c r="C14" s="77" t="s">
        <v>82</v>
      </c>
      <c r="D14" s="78" t="s">
        <v>79</v>
      </c>
      <c r="E14" s="79">
        <v>500000.0</v>
      </c>
      <c r="F14" s="80">
        <v>500000.0</v>
      </c>
      <c r="G14" s="81"/>
      <c r="H14" s="82"/>
      <c r="I14" s="83"/>
      <c r="J14" s="84"/>
      <c r="K14" s="85">
        <v>1.0</v>
      </c>
      <c r="L14" s="86"/>
      <c r="M14" s="83"/>
      <c r="N14" s="87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6"/>
      <c r="AJ14" s="88"/>
      <c r="AK14" s="89"/>
      <c r="AL14" s="90"/>
    </row>
    <row r="15" ht="15.75" customHeight="1">
      <c r="A15" s="60"/>
      <c r="B15" s="91"/>
      <c r="C15" s="62" t="s">
        <v>83</v>
      </c>
      <c r="D15" s="63"/>
      <c r="E15" s="64"/>
      <c r="F15" s="65"/>
      <c r="G15" s="92"/>
      <c r="H15" s="63"/>
      <c r="I15" s="67"/>
      <c r="J15" s="68"/>
      <c r="K15" s="69"/>
      <c r="L15" s="70"/>
      <c r="M15" s="67"/>
      <c r="N15" s="71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70"/>
      <c r="AJ15" s="72"/>
      <c r="AK15" s="73"/>
      <c r="AL15" s="74"/>
    </row>
    <row r="16" ht="15.75" customHeight="1">
      <c r="A16" s="45"/>
      <c r="B16" s="46"/>
      <c r="C16" s="47" t="s">
        <v>84</v>
      </c>
      <c r="D16" s="48" t="s">
        <v>85</v>
      </c>
      <c r="E16" s="49">
        <v>2100.0</v>
      </c>
      <c r="F16" s="50">
        <v>21000.0</v>
      </c>
      <c r="G16" s="51" t="s">
        <v>80</v>
      </c>
      <c r="H16" s="48"/>
      <c r="I16" s="93"/>
      <c r="J16" s="93">
        <v>10.0</v>
      </c>
      <c r="K16" s="54"/>
      <c r="L16" s="55"/>
      <c r="M16" s="52"/>
      <c r="N16" s="56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5"/>
      <c r="AJ16" s="57"/>
      <c r="AK16" s="58"/>
      <c r="AL16" s="59"/>
    </row>
    <row r="17" ht="15.75" customHeight="1">
      <c r="A17" s="45"/>
      <c r="B17" s="46"/>
      <c r="C17" s="47" t="s">
        <v>86</v>
      </c>
      <c r="D17" s="48" t="s">
        <v>87</v>
      </c>
      <c r="E17" s="49">
        <v>1900.0</v>
      </c>
      <c r="F17" s="50">
        <v>19000.0</v>
      </c>
      <c r="G17" s="66"/>
      <c r="H17" s="48"/>
      <c r="I17" s="93"/>
      <c r="J17" s="93">
        <v>10.0</v>
      </c>
      <c r="K17" s="54"/>
      <c r="L17" s="55"/>
      <c r="M17" s="52"/>
      <c r="N17" s="56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5"/>
      <c r="AJ17" s="57"/>
      <c r="AK17" s="58"/>
      <c r="AL17" s="59"/>
    </row>
    <row r="18" ht="15.75" customHeight="1">
      <c r="A18" s="45"/>
      <c r="B18" s="46"/>
      <c r="C18" s="47" t="s">
        <v>88</v>
      </c>
      <c r="D18" s="51" t="s">
        <v>79</v>
      </c>
      <c r="E18" s="94">
        <v>30000.0</v>
      </c>
      <c r="F18" s="95">
        <v>30000.0</v>
      </c>
      <c r="G18" s="66"/>
      <c r="H18" s="48"/>
      <c r="I18" s="93"/>
      <c r="J18" s="96">
        <v>1.0</v>
      </c>
      <c r="K18" s="54"/>
      <c r="L18" s="55"/>
      <c r="M18" s="52"/>
      <c r="N18" s="56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5"/>
      <c r="AJ18" s="57"/>
      <c r="AK18" s="58"/>
      <c r="AL18" s="59"/>
    </row>
    <row r="19" ht="15.75" customHeight="1">
      <c r="A19" s="45"/>
      <c r="B19" s="46"/>
      <c r="C19" s="47" t="s">
        <v>89</v>
      </c>
      <c r="D19" s="81"/>
      <c r="E19" s="97"/>
      <c r="F19" s="81"/>
      <c r="G19" s="66"/>
      <c r="H19" s="48"/>
      <c r="I19" s="93"/>
      <c r="J19" s="81"/>
      <c r="K19" s="54"/>
      <c r="L19" s="55"/>
      <c r="M19" s="52"/>
      <c r="N19" s="56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5"/>
      <c r="AJ19" s="57"/>
      <c r="AK19" s="58"/>
      <c r="AL19" s="59"/>
    </row>
    <row r="20" ht="15.75" customHeight="1">
      <c r="A20" s="45"/>
      <c r="B20" s="46"/>
      <c r="C20" s="47" t="s">
        <v>90</v>
      </c>
      <c r="D20" s="48" t="s">
        <v>91</v>
      </c>
      <c r="E20" s="49">
        <v>900.0</v>
      </c>
      <c r="F20" s="50">
        <f t="shared" ref="F20:F21" si="1">E20*10</f>
        <v>9000</v>
      </c>
      <c r="G20" s="66"/>
      <c r="H20" s="48"/>
      <c r="I20" s="98"/>
      <c r="J20" s="93">
        <v>10.0</v>
      </c>
      <c r="K20" s="54"/>
      <c r="L20" s="55"/>
      <c r="M20" s="52"/>
      <c r="N20" s="56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5"/>
      <c r="AJ20" s="57"/>
      <c r="AK20" s="58"/>
      <c r="AL20" s="59"/>
    </row>
    <row r="21" ht="15.75" customHeight="1">
      <c r="A21" s="45"/>
      <c r="B21" s="99"/>
      <c r="C21" s="47" t="s">
        <v>92</v>
      </c>
      <c r="D21" s="48" t="s">
        <v>93</v>
      </c>
      <c r="E21" s="49">
        <v>600.0</v>
      </c>
      <c r="F21" s="50">
        <f t="shared" si="1"/>
        <v>6000</v>
      </c>
      <c r="G21" s="66"/>
      <c r="H21" s="48"/>
      <c r="I21" s="98"/>
      <c r="J21" s="93">
        <v>10.0</v>
      </c>
      <c r="K21" s="54"/>
      <c r="L21" s="55"/>
      <c r="M21" s="52"/>
      <c r="N21" s="56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5"/>
      <c r="AJ21" s="57"/>
      <c r="AK21" s="58"/>
      <c r="AL21" s="59"/>
    </row>
    <row r="22" ht="15.75" customHeight="1">
      <c r="A22" s="45"/>
      <c r="B22" s="99"/>
      <c r="C22" s="47" t="s">
        <v>94</v>
      </c>
      <c r="D22" s="48" t="s">
        <v>95</v>
      </c>
      <c r="E22" s="100">
        <v>1500.0</v>
      </c>
      <c r="F22" s="50">
        <v>7500.0</v>
      </c>
      <c r="G22" s="66"/>
      <c r="H22" s="48"/>
      <c r="I22" s="98"/>
      <c r="J22" s="93">
        <v>5.0</v>
      </c>
      <c r="K22" s="54"/>
      <c r="L22" s="55"/>
      <c r="M22" s="52"/>
      <c r="N22" s="56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5"/>
      <c r="AJ22" s="57"/>
      <c r="AK22" s="58"/>
      <c r="AL22" s="59"/>
    </row>
    <row r="23" ht="15.75" customHeight="1">
      <c r="A23" s="45"/>
      <c r="B23" s="99"/>
      <c r="C23" s="47" t="s">
        <v>96</v>
      </c>
      <c r="D23" s="48" t="s">
        <v>91</v>
      </c>
      <c r="E23" s="49">
        <v>550.0</v>
      </c>
      <c r="F23" s="50">
        <f>E23*10</f>
        <v>5500</v>
      </c>
      <c r="G23" s="81"/>
      <c r="H23" s="48"/>
      <c r="I23" s="98"/>
      <c r="J23" s="93">
        <v>10.0</v>
      </c>
      <c r="K23" s="54"/>
      <c r="L23" s="55"/>
      <c r="M23" s="55"/>
      <c r="N23" s="56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5"/>
      <c r="AJ23" s="57"/>
      <c r="AK23" s="58"/>
      <c r="AL23" s="59"/>
    </row>
    <row r="24" ht="15.75" customHeight="1">
      <c r="A24" s="60"/>
      <c r="B24" s="91"/>
      <c r="C24" s="62" t="s">
        <v>97</v>
      </c>
      <c r="D24" s="63"/>
      <c r="E24" s="64"/>
      <c r="F24" s="65"/>
      <c r="G24" s="63"/>
      <c r="H24" s="63"/>
      <c r="I24" s="67"/>
      <c r="J24" s="101"/>
      <c r="K24" s="69"/>
      <c r="L24" s="70"/>
      <c r="M24" s="70"/>
      <c r="N24" s="71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70"/>
      <c r="AJ24" s="72"/>
      <c r="AK24" s="73"/>
      <c r="AL24" s="74"/>
    </row>
    <row r="25" ht="15.75" customHeight="1">
      <c r="A25" s="45"/>
      <c r="B25" s="99"/>
      <c r="C25" s="102" t="s">
        <v>98</v>
      </c>
      <c r="D25" s="103" t="s">
        <v>99</v>
      </c>
      <c r="E25" s="49">
        <v>2000.0</v>
      </c>
      <c r="F25" s="49">
        <f t="shared" ref="F25:F27" si="2">E25*5</f>
        <v>10000</v>
      </c>
      <c r="G25" s="51" t="s">
        <v>80</v>
      </c>
      <c r="H25" s="48"/>
      <c r="I25" s="98"/>
      <c r="J25" s="93">
        <v>5.0</v>
      </c>
      <c r="K25" s="54"/>
      <c r="L25" s="55"/>
      <c r="M25" s="55"/>
      <c r="N25" s="56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5"/>
      <c r="AJ25" s="57"/>
      <c r="AK25" s="58"/>
      <c r="AL25" s="59"/>
    </row>
    <row r="26" ht="15.75" customHeight="1">
      <c r="A26" s="45"/>
      <c r="B26" s="99"/>
      <c r="C26" s="102" t="s">
        <v>100</v>
      </c>
      <c r="D26" s="103" t="s">
        <v>99</v>
      </c>
      <c r="E26" s="49">
        <v>2000.0</v>
      </c>
      <c r="F26" s="49">
        <f t="shared" si="2"/>
        <v>10000</v>
      </c>
      <c r="G26" s="66"/>
      <c r="H26" s="48"/>
      <c r="I26" s="98"/>
      <c r="J26" s="93">
        <v>5.0</v>
      </c>
      <c r="K26" s="54"/>
      <c r="L26" s="55"/>
      <c r="M26" s="55"/>
      <c r="N26" s="56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5"/>
      <c r="AJ26" s="57"/>
      <c r="AK26" s="58"/>
      <c r="AL26" s="59"/>
    </row>
    <row r="27" ht="15.75" customHeight="1">
      <c r="A27" s="45"/>
      <c r="B27" s="99"/>
      <c r="C27" s="47" t="s">
        <v>101</v>
      </c>
      <c r="D27" s="103" t="s">
        <v>99</v>
      </c>
      <c r="E27" s="49">
        <v>600.0</v>
      </c>
      <c r="F27" s="104">
        <f t="shared" si="2"/>
        <v>3000</v>
      </c>
      <c r="G27" s="66"/>
      <c r="H27" s="48"/>
      <c r="I27" s="98"/>
      <c r="J27" s="93">
        <v>5.0</v>
      </c>
      <c r="K27" s="54"/>
      <c r="L27" s="55"/>
      <c r="M27" s="55"/>
      <c r="N27" s="56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5"/>
      <c r="AJ27" s="57"/>
      <c r="AK27" s="58"/>
      <c r="AL27" s="59"/>
    </row>
    <row r="28" ht="15.75" customHeight="1">
      <c r="A28" s="105"/>
      <c r="B28" s="106"/>
      <c r="C28" s="77" t="s">
        <v>102</v>
      </c>
      <c r="D28" s="82" t="s">
        <v>103</v>
      </c>
      <c r="E28" s="107">
        <v>15000.0</v>
      </c>
      <c r="F28" s="108">
        <v>15000.0</v>
      </c>
      <c r="G28" s="66"/>
      <c r="H28" s="82"/>
      <c r="I28" s="83"/>
      <c r="J28" s="109">
        <v>50.0</v>
      </c>
      <c r="K28" s="85"/>
      <c r="L28" s="86"/>
      <c r="M28" s="86"/>
      <c r="N28" s="87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6"/>
      <c r="AJ28" s="88"/>
      <c r="AK28" s="89"/>
      <c r="AL28" s="90"/>
    </row>
    <row r="29" ht="15.75" customHeight="1">
      <c r="A29" s="110"/>
      <c r="B29" s="111"/>
      <c r="C29" s="112" t="s">
        <v>104</v>
      </c>
      <c r="D29" s="113" t="s">
        <v>79</v>
      </c>
      <c r="E29" s="114">
        <v>90000.0</v>
      </c>
      <c r="F29" s="115">
        <v>90000.0</v>
      </c>
      <c r="G29" s="66"/>
      <c r="H29" s="116"/>
      <c r="I29" s="117"/>
      <c r="J29" s="118">
        <v>1.0</v>
      </c>
      <c r="K29" s="119"/>
      <c r="L29" s="120"/>
      <c r="M29" s="120"/>
      <c r="N29" s="121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20"/>
      <c r="AJ29" s="122"/>
      <c r="AK29" s="123"/>
      <c r="AL29" s="124"/>
    </row>
    <row r="30" ht="15.75" customHeight="1">
      <c r="A30" s="105"/>
      <c r="B30" s="106"/>
      <c r="C30" s="77" t="s">
        <v>105</v>
      </c>
      <c r="D30" s="125" t="s">
        <v>79</v>
      </c>
      <c r="E30" s="107">
        <v>90000.0</v>
      </c>
      <c r="F30" s="126">
        <v>90000.0</v>
      </c>
      <c r="G30" s="66"/>
      <c r="H30" s="82"/>
      <c r="I30" s="83"/>
      <c r="J30" s="109">
        <v>1.0</v>
      </c>
      <c r="K30" s="85"/>
      <c r="L30" s="86"/>
      <c r="M30" s="86"/>
      <c r="N30" s="87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6"/>
      <c r="AJ30" s="88"/>
      <c r="AK30" s="89"/>
      <c r="AL30" s="90"/>
    </row>
    <row r="31" ht="15.75" customHeight="1">
      <c r="A31" s="45"/>
      <c r="B31" s="99"/>
      <c r="C31" s="47" t="s">
        <v>106</v>
      </c>
      <c r="D31" s="127" t="s">
        <v>79</v>
      </c>
      <c r="E31" s="128">
        <v>85000.0</v>
      </c>
      <c r="F31" s="129">
        <v>85000.0</v>
      </c>
      <c r="G31" s="81"/>
      <c r="H31" s="52"/>
      <c r="I31" s="52"/>
      <c r="J31" s="130">
        <v>1.0</v>
      </c>
      <c r="K31" s="54"/>
      <c r="L31" s="52"/>
      <c r="M31" s="52"/>
      <c r="N31" s="56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7"/>
      <c r="AK31" s="58"/>
      <c r="AL31" s="59"/>
    </row>
    <row r="32" ht="15.75" customHeight="1">
      <c r="A32" s="60"/>
      <c r="B32" s="91"/>
      <c r="C32" s="62" t="s">
        <v>107</v>
      </c>
      <c r="D32" s="36"/>
      <c r="E32" s="38"/>
      <c r="F32" s="39"/>
      <c r="G32" s="67"/>
      <c r="H32" s="67"/>
      <c r="I32" s="67"/>
      <c r="J32" s="131"/>
      <c r="K32" s="69"/>
      <c r="L32" s="67"/>
      <c r="M32" s="67"/>
      <c r="N32" s="71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72"/>
      <c r="AK32" s="73"/>
      <c r="AL32" s="74"/>
    </row>
    <row r="33" ht="15.75" customHeight="1">
      <c r="A33" s="75"/>
      <c r="B33" s="132"/>
      <c r="C33" s="77" t="s">
        <v>108</v>
      </c>
      <c r="D33" s="133" t="s">
        <v>79</v>
      </c>
      <c r="E33" s="134">
        <v>70000.0</v>
      </c>
      <c r="F33" s="80">
        <v>70000.0</v>
      </c>
      <c r="G33" s="135" t="s">
        <v>109</v>
      </c>
      <c r="H33" s="82"/>
      <c r="I33" s="136"/>
      <c r="J33" s="137">
        <v>1.0</v>
      </c>
      <c r="K33" s="138"/>
      <c r="L33" s="139"/>
      <c r="M33" s="139"/>
      <c r="N33" s="140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86"/>
      <c r="AJ33" s="88"/>
      <c r="AK33" s="89"/>
      <c r="AL33" s="90"/>
    </row>
    <row r="34" ht="15.75" customHeight="1">
      <c r="A34" s="60"/>
      <c r="B34" s="141"/>
      <c r="C34" s="62" t="s">
        <v>110</v>
      </c>
      <c r="D34" s="142"/>
      <c r="E34" s="143"/>
      <c r="F34" s="65"/>
      <c r="G34" s="63"/>
      <c r="H34" s="63"/>
      <c r="I34" s="144"/>
      <c r="J34" s="145"/>
      <c r="K34" s="146"/>
      <c r="L34" s="147"/>
      <c r="M34" s="147"/>
      <c r="N34" s="148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70"/>
      <c r="AJ34" s="72"/>
      <c r="AK34" s="73"/>
      <c r="AL34" s="74"/>
    </row>
    <row r="35" ht="15.75" customHeight="1">
      <c r="A35" s="105"/>
      <c r="B35" s="149"/>
      <c r="C35" s="150" t="s">
        <v>111</v>
      </c>
      <c r="D35" s="137" t="s">
        <v>112</v>
      </c>
      <c r="E35" s="151">
        <v>45000.0</v>
      </c>
      <c r="F35" s="152">
        <v>45000.0</v>
      </c>
      <c r="G35" s="82" t="s">
        <v>109</v>
      </c>
      <c r="H35" s="82"/>
      <c r="I35" s="137">
        <v>1.0</v>
      </c>
      <c r="J35" s="137">
        <v>1.0</v>
      </c>
      <c r="K35" s="138"/>
      <c r="L35" s="139"/>
      <c r="M35" s="139"/>
      <c r="N35" s="140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86"/>
      <c r="AJ35" s="88"/>
      <c r="AK35" s="89"/>
      <c r="AL35" s="90"/>
    </row>
    <row r="36" ht="15.75" customHeight="1">
      <c r="A36" s="60"/>
      <c r="B36" s="61"/>
      <c r="C36" s="62" t="s">
        <v>113</v>
      </c>
      <c r="D36" s="142"/>
      <c r="E36" s="143"/>
      <c r="F36" s="65"/>
      <c r="G36" s="63"/>
      <c r="H36" s="63"/>
      <c r="I36" s="144"/>
      <c r="J36" s="101"/>
      <c r="K36" s="146"/>
      <c r="L36" s="147"/>
      <c r="M36" s="147"/>
      <c r="N36" s="148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70"/>
      <c r="AJ36" s="72"/>
      <c r="AK36" s="73"/>
      <c r="AL36" s="74"/>
    </row>
    <row r="37" ht="15.75" customHeight="1">
      <c r="A37" s="105"/>
      <c r="B37" s="153"/>
      <c r="C37" s="77" t="s">
        <v>114</v>
      </c>
      <c r="D37" s="137" t="s">
        <v>79</v>
      </c>
      <c r="E37" s="154">
        <v>40000.0</v>
      </c>
      <c r="F37" s="108">
        <v>40000.0</v>
      </c>
      <c r="G37" s="155" t="s">
        <v>109</v>
      </c>
      <c r="H37" s="82"/>
      <c r="I37" s="136"/>
      <c r="J37" s="109">
        <v>1.0</v>
      </c>
      <c r="K37" s="138"/>
      <c r="L37" s="139"/>
      <c r="M37" s="139"/>
      <c r="N37" s="140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86"/>
      <c r="AJ37" s="88"/>
      <c r="AK37" s="89"/>
      <c r="AL37" s="90"/>
    </row>
    <row r="38" ht="15.75" customHeight="1">
      <c r="A38" s="105"/>
      <c r="B38" s="106"/>
      <c r="C38" s="77" t="s">
        <v>115</v>
      </c>
      <c r="D38" s="137" t="s">
        <v>79</v>
      </c>
      <c r="E38" s="154">
        <v>5000.0</v>
      </c>
      <c r="F38" s="108">
        <v>5000.0</v>
      </c>
      <c r="G38" s="66"/>
      <c r="H38" s="82"/>
      <c r="I38" s="136"/>
      <c r="J38" s="109">
        <v>1.0</v>
      </c>
      <c r="K38" s="138"/>
      <c r="L38" s="139"/>
      <c r="M38" s="139"/>
      <c r="N38" s="140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86"/>
      <c r="AJ38" s="88"/>
      <c r="AK38" s="89"/>
      <c r="AL38" s="90"/>
    </row>
    <row r="39" ht="15.75" customHeight="1">
      <c r="A39" s="105"/>
      <c r="B39" s="106"/>
      <c r="C39" s="77" t="s">
        <v>116</v>
      </c>
      <c r="D39" s="137" t="s">
        <v>79</v>
      </c>
      <c r="E39" s="154">
        <v>40000.0</v>
      </c>
      <c r="F39" s="108">
        <v>40000.0</v>
      </c>
      <c r="G39" s="81"/>
      <c r="H39" s="82"/>
      <c r="I39" s="136"/>
      <c r="J39" s="109">
        <v>1.0</v>
      </c>
      <c r="K39" s="138"/>
      <c r="L39" s="139"/>
      <c r="M39" s="139"/>
      <c r="N39" s="140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86"/>
      <c r="AJ39" s="88"/>
      <c r="AK39" s="89"/>
      <c r="AL39" s="90"/>
    </row>
    <row r="40" ht="15.75" customHeight="1">
      <c r="A40" s="75"/>
      <c r="B40" s="156"/>
      <c r="C40" s="157"/>
      <c r="D40" s="133"/>
      <c r="E40" s="79"/>
      <c r="F40" s="80"/>
      <c r="G40" s="78"/>
      <c r="H40" s="82"/>
      <c r="I40" s="136"/>
      <c r="J40" s="109"/>
      <c r="K40" s="138"/>
      <c r="L40" s="139"/>
      <c r="M40" s="139"/>
      <c r="N40" s="140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86"/>
      <c r="AJ40" s="88"/>
      <c r="AK40" s="89"/>
      <c r="AL40" s="90"/>
    </row>
    <row r="41" ht="15.75" customHeight="1">
      <c r="A41" s="60"/>
      <c r="B41" s="91"/>
      <c r="C41" s="62" t="s">
        <v>117</v>
      </c>
      <c r="D41" s="36"/>
      <c r="E41" s="38"/>
      <c r="F41" s="39"/>
      <c r="G41" s="67"/>
      <c r="H41" s="67"/>
      <c r="I41" s="67"/>
      <c r="J41" s="131"/>
      <c r="K41" s="69"/>
      <c r="L41" s="67"/>
      <c r="M41" s="67"/>
      <c r="N41" s="71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72"/>
      <c r="AK41" s="73"/>
      <c r="AL41" s="74"/>
    </row>
    <row r="42" ht="15.75" customHeight="1">
      <c r="A42" s="75"/>
      <c r="B42" s="156"/>
      <c r="C42" s="157" t="s">
        <v>118</v>
      </c>
      <c r="D42" s="158" t="s">
        <v>79</v>
      </c>
      <c r="E42" s="79">
        <v>20000.0</v>
      </c>
      <c r="F42" s="159">
        <v>20000.0</v>
      </c>
      <c r="G42" s="160" t="s">
        <v>109</v>
      </c>
      <c r="H42" s="82"/>
      <c r="I42" s="83"/>
      <c r="J42" s="84">
        <v>1.0</v>
      </c>
      <c r="K42" s="85"/>
      <c r="L42" s="86"/>
      <c r="M42" s="86"/>
      <c r="N42" s="87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6"/>
      <c r="AJ42" s="88"/>
      <c r="AK42" s="89"/>
      <c r="AL42" s="90"/>
    </row>
    <row r="43" ht="15.75" customHeight="1">
      <c r="A43" s="105"/>
      <c r="B43" s="106"/>
      <c r="C43" s="77" t="s">
        <v>119</v>
      </c>
      <c r="D43" s="125" t="s">
        <v>79</v>
      </c>
      <c r="E43" s="107">
        <v>50000.0</v>
      </c>
      <c r="F43" s="126">
        <v>50000.0</v>
      </c>
      <c r="G43" s="66"/>
      <c r="H43" s="82"/>
      <c r="I43" s="83"/>
      <c r="J43" s="85">
        <v>1.0</v>
      </c>
      <c r="K43" s="84"/>
      <c r="L43" s="86"/>
      <c r="M43" s="83"/>
      <c r="N43" s="87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6"/>
      <c r="AJ43" s="88"/>
      <c r="AK43" s="89"/>
      <c r="AL43" s="90"/>
    </row>
    <row r="44" ht="15.75" customHeight="1">
      <c r="A44" s="110"/>
      <c r="B44" s="111"/>
      <c r="C44" s="112" t="s">
        <v>120</v>
      </c>
      <c r="D44" s="113" t="s">
        <v>79</v>
      </c>
      <c r="E44" s="114">
        <v>50000.0</v>
      </c>
      <c r="F44" s="115">
        <v>50000.0</v>
      </c>
      <c r="G44" s="66"/>
      <c r="H44" s="116"/>
      <c r="I44" s="117"/>
      <c r="J44" s="119">
        <v>1.0</v>
      </c>
      <c r="K44" s="161"/>
      <c r="L44" s="120"/>
      <c r="M44" s="117"/>
      <c r="N44" s="121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20"/>
      <c r="AJ44" s="122"/>
      <c r="AK44" s="123"/>
      <c r="AL44" s="124"/>
    </row>
    <row r="45" ht="15.75" customHeight="1">
      <c r="A45" s="45"/>
      <c r="B45" s="99"/>
      <c r="C45" s="162" t="s">
        <v>121</v>
      </c>
      <c r="D45" s="163" t="s">
        <v>79</v>
      </c>
      <c r="E45" s="94">
        <v>160000.0</v>
      </c>
      <c r="F45" s="164">
        <v>160000.0</v>
      </c>
      <c r="G45" s="51" t="s">
        <v>109</v>
      </c>
      <c r="H45" s="48"/>
      <c r="I45" s="165">
        <v>1.0</v>
      </c>
      <c r="J45" s="130"/>
      <c r="K45" s="53"/>
      <c r="L45" s="55"/>
      <c r="M45" s="52"/>
      <c r="N45" s="56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5"/>
      <c r="AJ45" s="57"/>
      <c r="AK45" s="58"/>
      <c r="AL45" s="59"/>
    </row>
    <row r="46" ht="15.75" customHeight="1">
      <c r="A46" s="45"/>
      <c r="B46" s="99"/>
      <c r="C46" s="97"/>
      <c r="D46" s="97"/>
      <c r="E46" s="97"/>
      <c r="F46" s="97"/>
      <c r="G46" s="166"/>
      <c r="H46" s="48"/>
      <c r="I46" s="81"/>
      <c r="J46" s="130"/>
      <c r="K46" s="53"/>
      <c r="L46" s="55"/>
      <c r="M46" s="52"/>
      <c r="N46" s="56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5"/>
      <c r="AJ46" s="57"/>
      <c r="AK46" s="58"/>
      <c r="AL46" s="59"/>
    </row>
    <row r="47" ht="15.75" customHeight="1">
      <c r="A47" s="110"/>
      <c r="B47" s="111"/>
      <c r="C47" s="112" t="s">
        <v>122</v>
      </c>
      <c r="D47" s="116" t="s">
        <v>79</v>
      </c>
      <c r="E47" s="114">
        <v>10000.0</v>
      </c>
      <c r="F47" s="167">
        <v>10000.0</v>
      </c>
      <c r="G47" s="168" t="s">
        <v>123</v>
      </c>
      <c r="H47" s="116"/>
      <c r="I47" s="117"/>
      <c r="J47" s="119">
        <v>1.0</v>
      </c>
      <c r="K47" s="161"/>
      <c r="L47" s="120"/>
      <c r="M47" s="117"/>
      <c r="N47" s="121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20"/>
      <c r="AJ47" s="122"/>
      <c r="AK47" s="123"/>
      <c r="AL47" s="124"/>
    </row>
    <row r="48" ht="15.75" customHeight="1">
      <c r="A48" s="110"/>
      <c r="B48" s="111"/>
      <c r="C48" s="112" t="s">
        <v>124</v>
      </c>
      <c r="D48" s="116" t="s">
        <v>79</v>
      </c>
      <c r="E48" s="114">
        <v>30000.0</v>
      </c>
      <c r="F48" s="167">
        <v>30000.0</v>
      </c>
      <c r="G48" s="169"/>
      <c r="H48" s="116"/>
      <c r="I48" s="117"/>
      <c r="J48" s="119">
        <v>1.0</v>
      </c>
      <c r="K48" s="161"/>
      <c r="L48" s="120"/>
      <c r="M48" s="117"/>
      <c r="N48" s="121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20"/>
      <c r="AJ48" s="122"/>
      <c r="AK48" s="123"/>
      <c r="AL48" s="124"/>
    </row>
    <row r="49" ht="15.75" customHeight="1">
      <c r="A49" s="110"/>
      <c r="B49" s="111"/>
      <c r="C49" s="112" t="s">
        <v>125</v>
      </c>
      <c r="D49" s="116" t="s">
        <v>79</v>
      </c>
      <c r="E49" s="114">
        <v>30000.0</v>
      </c>
      <c r="F49" s="167">
        <v>30000.0</v>
      </c>
      <c r="G49" s="169"/>
      <c r="H49" s="116"/>
      <c r="I49" s="117"/>
      <c r="J49" s="119">
        <v>1.0</v>
      </c>
      <c r="K49" s="161"/>
      <c r="L49" s="120"/>
      <c r="M49" s="117"/>
      <c r="N49" s="121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20"/>
      <c r="AJ49" s="122"/>
      <c r="AK49" s="123"/>
      <c r="AL49" s="124"/>
    </row>
    <row r="50" ht="15.75" customHeight="1">
      <c r="A50" s="45"/>
      <c r="B50" s="99"/>
      <c r="C50" s="170" t="s">
        <v>126</v>
      </c>
      <c r="D50" s="171" t="s">
        <v>79</v>
      </c>
      <c r="E50" s="172">
        <v>35000.0</v>
      </c>
      <c r="F50" s="173">
        <v>35000.0</v>
      </c>
      <c r="G50" s="97"/>
      <c r="H50" s="174"/>
      <c r="I50" s="175">
        <v>1.0</v>
      </c>
      <c r="J50" s="98"/>
      <c r="K50" s="53"/>
      <c r="L50" s="55"/>
      <c r="M50" s="52"/>
      <c r="N50" s="56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5"/>
      <c r="AJ50" s="57"/>
      <c r="AK50" s="58"/>
      <c r="AL50" s="59"/>
    </row>
    <row r="51" ht="15.75" customHeight="1">
      <c r="A51" s="176"/>
      <c r="B51" s="177"/>
      <c r="C51" s="177"/>
      <c r="D51" s="178"/>
      <c r="E51" s="179"/>
      <c r="F51" s="179"/>
      <c r="G51" s="178"/>
      <c r="H51" s="178"/>
      <c r="I51" s="178"/>
      <c r="J51" s="178"/>
      <c r="K51" s="180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89"/>
      <c r="AK51" s="89"/>
      <c r="AL51" s="90"/>
    </row>
    <row r="52" ht="15.75" customHeight="1">
      <c r="A52" s="4"/>
      <c r="B52" s="4"/>
      <c r="C52" s="4"/>
      <c r="D52" s="4"/>
      <c r="E52" s="6"/>
      <c r="F52" s="6"/>
      <c r="G52" s="4"/>
      <c r="H52" s="4"/>
      <c r="I52" s="4"/>
      <c r="J52" s="4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89"/>
      <c r="AK52" s="181"/>
      <c r="AL52" s="182"/>
    </row>
    <row r="53" ht="15.75" customHeight="1">
      <c r="A53" s="183" t="s">
        <v>127</v>
      </c>
      <c r="B53" s="4"/>
      <c r="C53" s="4"/>
      <c r="D53" s="184">
        <f>SUM(F12:F51)</f>
        <v>1536000</v>
      </c>
      <c r="E53" s="185"/>
      <c r="F53" s="186"/>
      <c r="G53" s="4"/>
      <c r="H53" s="4"/>
      <c r="I53" s="4"/>
      <c r="J53" s="4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89"/>
      <c r="AK53" s="181"/>
      <c r="AL53" s="182"/>
    </row>
    <row r="54" ht="15.75" customHeight="1">
      <c r="A54" s="4"/>
      <c r="B54" s="4"/>
      <c r="C54" s="4"/>
      <c r="D54" s="4"/>
      <c r="E54" s="6"/>
      <c r="F54" s="7"/>
      <c r="G54" s="4"/>
      <c r="H54" s="4"/>
      <c r="I54" s="4"/>
      <c r="J54" s="4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7"/>
      <c r="AI54" s="4"/>
      <c r="AJ54" s="89"/>
      <c r="AK54" s="181"/>
      <c r="AL54" s="182"/>
    </row>
    <row r="55" ht="15.75" customHeight="1">
      <c r="A55" s="188" t="s">
        <v>128</v>
      </c>
      <c r="B55" s="4"/>
      <c r="C55" s="4"/>
      <c r="D55" s="4"/>
      <c r="E55" s="6"/>
      <c r="F55" s="7"/>
      <c r="G55" s="4"/>
      <c r="H55" s="4"/>
      <c r="I55" s="4"/>
      <c r="J55" s="4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89"/>
      <c r="AK55" s="181"/>
      <c r="AL55" s="182"/>
    </row>
    <row r="56" ht="15.75" customHeight="1">
      <c r="A56" s="4"/>
      <c r="B56" s="4"/>
      <c r="C56" s="4"/>
      <c r="D56" s="4"/>
      <c r="E56" s="6"/>
      <c r="F56" s="7"/>
      <c r="G56" s="4"/>
      <c r="H56" s="4"/>
      <c r="I56" s="4"/>
      <c r="J56" s="4"/>
      <c r="K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89"/>
      <c r="AK56" s="181"/>
      <c r="AL56" s="182"/>
    </row>
    <row r="57" ht="15.75" customHeight="1">
      <c r="A57" s="189" t="s">
        <v>129</v>
      </c>
      <c r="B57" s="4"/>
      <c r="C57" s="4"/>
      <c r="D57" s="189" t="s">
        <v>130</v>
      </c>
      <c r="E57" s="6"/>
      <c r="F57" s="7"/>
      <c r="G57" s="189" t="s">
        <v>131</v>
      </c>
      <c r="H57" s="4"/>
      <c r="I57" s="4"/>
      <c r="J57" s="189" t="s">
        <v>132</v>
      </c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89"/>
      <c r="AK57" s="181"/>
      <c r="AL57" s="182"/>
    </row>
    <row r="58" ht="15.75" customHeight="1">
      <c r="A58" s="4"/>
      <c r="B58" s="4"/>
      <c r="C58" s="4"/>
      <c r="D58" s="4"/>
      <c r="E58" s="6"/>
      <c r="F58" s="7"/>
      <c r="G58" s="4"/>
      <c r="H58" s="4"/>
      <c r="I58" s="4"/>
      <c r="J58" s="4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89"/>
      <c r="AK58" s="181"/>
      <c r="AL58" s="182"/>
    </row>
    <row r="59" ht="15.75" customHeight="1">
      <c r="A59" s="4"/>
      <c r="B59" s="4"/>
      <c r="C59" s="4"/>
      <c r="D59" s="4"/>
      <c r="E59" s="6"/>
      <c r="F59" s="7"/>
      <c r="G59" s="4"/>
      <c r="H59" s="4"/>
      <c r="I59" s="4"/>
      <c r="J59" s="4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89"/>
      <c r="AK59" s="181"/>
      <c r="AL59" s="182"/>
    </row>
    <row r="60" ht="15.75" customHeight="1">
      <c r="A60" s="190" t="s">
        <v>133</v>
      </c>
      <c r="D60" s="189" t="s">
        <v>134</v>
      </c>
      <c r="E60" s="6"/>
      <c r="F60" s="7"/>
      <c r="G60" s="189" t="s">
        <v>135</v>
      </c>
      <c r="H60" s="4"/>
      <c r="I60" s="4"/>
      <c r="J60" s="189" t="s">
        <v>136</v>
      </c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89"/>
      <c r="AK60" s="181"/>
      <c r="AL60" s="182"/>
    </row>
    <row r="61" ht="15.75" customHeight="1">
      <c r="A61" s="191" t="s">
        <v>137</v>
      </c>
      <c r="D61" s="191" t="s">
        <v>138</v>
      </c>
      <c r="E61" s="6"/>
      <c r="F61" s="7"/>
      <c r="G61" s="191" t="s">
        <v>139</v>
      </c>
      <c r="H61" s="4"/>
      <c r="I61" s="4"/>
      <c r="J61" s="191" t="s">
        <v>140</v>
      </c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89"/>
      <c r="AK61" s="181"/>
      <c r="AL61" s="182"/>
    </row>
    <row r="62" ht="15.75" customHeight="1">
      <c r="A62" s="4"/>
      <c r="B62" s="4"/>
      <c r="C62" s="4"/>
      <c r="D62" s="4"/>
      <c r="E62" s="6"/>
      <c r="F62" s="7"/>
      <c r="G62" s="4"/>
      <c r="H62" s="4"/>
      <c r="I62" s="4"/>
      <c r="J62" s="4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89"/>
      <c r="AK62" s="181"/>
      <c r="AL62" s="182"/>
    </row>
    <row r="63" ht="15.75" customHeight="1">
      <c r="A63" s="191" t="s">
        <v>141</v>
      </c>
      <c r="B63" s="4"/>
      <c r="C63" s="4"/>
      <c r="D63" s="191" t="s">
        <v>142</v>
      </c>
      <c r="E63" s="6"/>
      <c r="F63" s="7"/>
      <c r="G63" s="191" t="s">
        <v>142</v>
      </c>
      <c r="H63" s="4"/>
      <c r="I63" s="4"/>
      <c r="J63" s="191" t="s">
        <v>142</v>
      </c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89"/>
      <c r="AK63" s="181"/>
      <c r="AL63" s="182"/>
    </row>
    <row r="64" ht="15.75" customHeight="1">
      <c r="A64" s="4"/>
      <c r="B64" s="4"/>
      <c r="C64" s="4"/>
      <c r="D64" s="4"/>
      <c r="E64" s="6"/>
      <c r="F64" s="6"/>
      <c r="G64" s="4"/>
      <c r="H64" s="4"/>
      <c r="I64" s="4"/>
      <c r="J64" s="4"/>
      <c r="K64" s="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192"/>
      <c r="AK64" s="193"/>
      <c r="AL64" s="194"/>
    </row>
    <row r="65" ht="15.75" customHeight="1">
      <c r="A65" s="4"/>
      <c r="B65" s="4"/>
      <c r="C65" s="4"/>
      <c r="D65" s="4"/>
      <c r="E65" s="6"/>
      <c r="F65" s="6"/>
      <c r="G65" s="4"/>
      <c r="H65" s="4"/>
      <c r="I65" s="4"/>
      <c r="J65" s="4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192"/>
      <c r="AK65" s="193"/>
      <c r="AL65" s="194"/>
    </row>
    <row r="66" ht="15.75" customHeight="1">
      <c r="A66" s="4"/>
      <c r="B66" s="4"/>
      <c r="C66" s="4"/>
      <c r="D66" s="4"/>
      <c r="E66" s="6"/>
      <c r="F66" s="6"/>
      <c r="G66" s="4"/>
      <c r="H66" s="4"/>
      <c r="I66" s="4"/>
      <c r="J66" s="4"/>
      <c r="K66" s="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192"/>
      <c r="AK66" s="193"/>
      <c r="AL66" s="194"/>
    </row>
    <row r="67" ht="15.75" customHeight="1">
      <c r="A67" s="4"/>
      <c r="B67" s="4"/>
      <c r="C67" s="4"/>
      <c r="D67" s="4"/>
      <c r="E67" s="6"/>
      <c r="F67" s="6"/>
      <c r="G67" s="4"/>
      <c r="H67" s="4"/>
      <c r="I67" s="4"/>
      <c r="J67" s="4"/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192"/>
      <c r="AK67" s="193"/>
      <c r="AL67" s="194"/>
    </row>
    <row r="68" ht="15.75" customHeight="1">
      <c r="A68" s="4"/>
      <c r="B68" s="4"/>
      <c r="C68" s="4"/>
      <c r="D68" s="4"/>
      <c r="E68" s="6"/>
      <c r="F68" s="6"/>
      <c r="G68" s="4"/>
      <c r="H68" s="4"/>
      <c r="I68" s="4"/>
      <c r="J68" s="4"/>
      <c r="K68" s="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192"/>
      <c r="AK68" s="193"/>
      <c r="AL68" s="194"/>
    </row>
    <row r="69" ht="15.75" customHeight="1">
      <c r="A69" s="4"/>
      <c r="B69" s="4"/>
      <c r="C69" s="4"/>
      <c r="D69" s="4"/>
      <c r="E69" s="6"/>
      <c r="F69" s="6"/>
      <c r="G69" s="4"/>
      <c r="H69" s="4"/>
      <c r="I69" s="4"/>
      <c r="J69" s="4"/>
      <c r="K69" s="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192"/>
      <c r="AK69" s="193"/>
      <c r="AL69" s="194"/>
    </row>
    <row r="70" ht="15.75" customHeight="1">
      <c r="A70" s="4"/>
      <c r="B70" s="4"/>
      <c r="C70" s="4"/>
      <c r="D70" s="4"/>
      <c r="E70" s="6"/>
      <c r="F70" s="6"/>
      <c r="G70" s="4"/>
      <c r="H70" s="4"/>
      <c r="I70" s="4"/>
      <c r="J70" s="4"/>
      <c r="K70" s="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192"/>
      <c r="AK70" s="193"/>
      <c r="AL70" s="194"/>
    </row>
    <row r="71" ht="15.75" customHeight="1">
      <c r="A71" s="4"/>
      <c r="B71" s="4"/>
      <c r="C71" s="4"/>
      <c r="D71" s="4"/>
      <c r="E71" s="6"/>
      <c r="F71" s="6"/>
      <c r="G71" s="4"/>
      <c r="H71" s="4"/>
      <c r="I71" s="4"/>
      <c r="J71" s="4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192"/>
      <c r="AK71" s="193"/>
      <c r="AL71" s="194"/>
    </row>
    <row r="72" ht="15.75" customHeight="1">
      <c r="A72" s="4"/>
      <c r="B72" s="4"/>
      <c r="C72" s="4"/>
      <c r="D72" s="4"/>
      <c r="E72" s="6"/>
      <c r="F72" s="6"/>
      <c r="G72" s="4"/>
      <c r="H72" s="4"/>
      <c r="I72" s="4"/>
      <c r="J72" s="4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192"/>
      <c r="AK72" s="193"/>
      <c r="AL72" s="194"/>
    </row>
    <row r="73" ht="15.75" customHeight="1">
      <c r="A73" s="4"/>
      <c r="B73" s="4"/>
      <c r="C73" s="4"/>
      <c r="D73" s="4"/>
      <c r="E73" s="6"/>
      <c r="F73" s="6"/>
      <c r="G73" s="4"/>
      <c r="H73" s="4"/>
      <c r="I73" s="4"/>
      <c r="J73" s="4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195"/>
      <c r="AK73" s="196"/>
      <c r="AL73" s="194"/>
    </row>
    <row r="74" ht="15.75" customHeight="1">
      <c r="A74" s="4"/>
      <c r="B74" s="4"/>
      <c r="C74" s="4"/>
      <c r="D74" s="4"/>
      <c r="E74" s="6"/>
      <c r="F74" s="7"/>
      <c r="G74" s="4"/>
      <c r="H74" s="4"/>
      <c r="I74" s="4"/>
      <c r="J74" s="4"/>
      <c r="K74" s="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2"/>
      <c r="AK74" s="2"/>
      <c r="AL74" s="2"/>
    </row>
    <row r="75" ht="15.75" customHeight="1">
      <c r="A75" s="4"/>
      <c r="B75" s="4"/>
      <c r="C75" s="4"/>
      <c r="D75" s="197"/>
      <c r="E75" s="197"/>
      <c r="F75" s="197"/>
      <c r="G75" s="4"/>
      <c r="H75" s="4"/>
      <c r="I75" s="4"/>
      <c r="J75" s="4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2"/>
      <c r="AK75" s="2"/>
      <c r="AL75" s="2"/>
    </row>
    <row r="76" ht="15.75" customHeight="1">
      <c r="A76" s="4"/>
      <c r="B76" s="4"/>
      <c r="C76" s="4"/>
      <c r="D76" s="4"/>
      <c r="E76" s="6"/>
      <c r="F76" s="7"/>
      <c r="G76" s="4"/>
      <c r="H76" s="4"/>
      <c r="I76" s="4"/>
      <c r="J76" s="4"/>
      <c r="K76" s="18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2"/>
      <c r="AK76" s="2"/>
      <c r="AL76" s="2"/>
    </row>
    <row r="77" ht="15.75" customHeight="1">
      <c r="A77" s="4"/>
      <c r="B77" s="4"/>
      <c r="C77" s="4"/>
      <c r="D77" s="4" t="s">
        <v>143</v>
      </c>
      <c r="E77" s="6"/>
      <c r="F77" s="7"/>
      <c r="G77" s="4"/>
      <c r="H77" s="4"/>
      <c r="I77" s="4"/>
      <c r="J77" s="4"/>
      <c r="K77" s="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2"/>
      <c r="AK77" s="2"/>
      <c r="AL77" s="2"/>
    </row>
    <row r="78" ht="15.75" customHeight="1">
      <c r="A78" s="4"/>
      <c r="B78" s="4"/>
      <c r="C78" s="4"/>
      <c r="D78" s="198">
        <v>500000.0</v>
      </c>
      <c r="F78" s="7"/>
      <c r="G78" s="4"/>
      <c r="H78" s="4"/>
      <c r="I78" s="4"/>
      <c r="J78" s="4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2"/>
      <c r="AK78" s="2"/>
      <c r="AL78" s="2"/>
    </row>
    <row r="79" ht="15.75" customHeight="1">
      <c r="A79" s="4"/>
      <c r="B79" s="4"/>
      <c r="C79" s="4"/>
      <c r="D79" s="6">
        <v>250000.0</v>
      </c>
      <c r="E79" s="6">
        <v>90000.0</v>
      </c>
      <c r="F79" s="6">
        <v>90000.0</v>
      </c>
      <c r="G79" s="7" t="s">
        <v>144</v>
      </c>
      <c r="H79" s="4"/>
      <c r="I79" s="4"/>
      <c r="J79" s="4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2"/>
      <c r="AK79" s="2"/>
      <c r="AL79" s="2"/>
    </row>
    <row r="80" ht="15.75" customHeight="1">
      <c r="A80" s="4"/>
      <c r="B80" s="4"/>
      <c r="C80" s="4"/>
      <c r="D80" s="6">
        <v>90000.0</v>
      </c>
      <c r="E80" s="6">
        <v>17500.0</v>
      </c>
      <c r="F80" s="6">
        <v>17500.0</v>
      </c>
      <c r="G80" s="7" t="s">
        <v>145</v>
      </c>
      <c r="H80" s="4"/>
      <c r="I80" s="4"/>
      <c r="J80" s="4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2"/>
      <c r="AK80" s="2"/>
      <c r="AL80" s="2"/>
    </row>
    <row r="81" ht="15.75" customHeight="1">
      <c r="A81" s="4"/>
      <c r="B81" s="4"/>
      <c r="C81" s="4"/>
      <c r="D81" s="6">
        <v>15000.0</v>
      </c>
      <c r="E81" s="6">
        <v>15000.0</v>
      </c>
      <c r="F81" s="6">
        <v>15000.0</v>
      </c>
      <c r="G81" s="7" t="s">
        <v>146</v>
      </c>
      <c r="H81" s="4"/>
      <c r="I81" s="4"/>
      <c r="J81" s="4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2"/>
      <c r="AK81" s="2"/>
      <c r="AL81" s="2"/>
    </row>
    <row r="82" ht="15.75" customHeight="1">
      <c r="A82" s="4"/>
      <c r="B82" s="4"/>
      <c r="C82" s="4"/>
      <c r="D82" s="6">
        <v>20000.0</v>
      </c>
      <c r="E82" s="6">
        <v>20000.0</v>
      </c>
      <c r="F82" s="6">
        <v>20000.0</v>
      </c>
      <c r="G82" s="7" t="s">
        <v>147</v>
      </c>
      <c r="H82" s="4"/>
      <c r="I82" s="4"/>
      <c r="J82" s="4"/>
      <c r="K82" s="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2"/>
      <c r="AK82" s="2"/>
      <c r="AL82" s="2"/>
    </row>
    <row r="83" ht="15.0" customHeight="1">
      <c r="A83" s="4"/>
      <c r="B83" s="4"/>
      <c r="C83" s="4"/>
      <c r="D83" s="6">
        <v>17500.0</v>
      </c>
      <c r="E83" s="6">
        <v>50000.0</v>
      </c>
      <c r="F83" s="6">
        <v>250000.0</v>
      </c>
      <c r="G83" s="7" t="s">
        <v>148</v>
      </c>
      <c r="H83" s="4"/>
      <c r="I83" s="4"/>
      <c r="J83" s="4"/>
      <c r="K83" s="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2"/>
      <c r="AK83" s="2"/>
      <c r="AL83" s="2"/>
    </row>
    <row r="84" ht="15.75" customHeight="1">
      <c r="A84" s="4"/>
      <c r="B84" s="4"/>
      <c r="C84" s="4"/>
      <c r="D84" s="6"/>
      <c r="E84" s="6">
        <v>160000.0</v>
      </c>
      <c r="F84" s="6">
        <v>107500.0</v>
      </c>
      <c r="G84" s="7" t="s">
        <v>149</v>
      </c>
      <c r="H84" s="4"/>
      <c r="I84" s="4"/>
      <c r="J84" s="4"/>
      <c r="K84" s="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2"/>
      <c r="AK84" s="2"/>
      <c r="AL84" s="2"/>
    </row>
    <row r="85" ht="15.75" customHeight="1">
      <c r="A85" s="4"/>
      <c r="B85" s="4"/>
      <c r="C85" s="4"/>
      <c r="D85" s="6"/>
      <c r="E85" s="6">
        <v>35000.0</v>
      </c>
      <c r="F85" s="6"/>
      <c r="G85" s="7"/>
      <c r="H85" s="4"/>
      <c r="I85" s="4"/>
      <c r="J85" s="4"/>
      <c r="K85" s="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2"/>
      <c r="AK85" s="2"/>
      <c r="AL85" s="2"/>
    </row>
    <row r="86" ht="15.75" customHeight="1">
      <c r="A86" s="4"/>
      <c r="B86" s="4"/>
      <c r="C86" s="4"/>
      <c r="D86" s="6"/>
      <c r="E86" s="6">
        <v>30000.0</v>
      </c>
      <c r="F86" s="6"/>
      <c r="G86" s="4"/>
      <c r="H86" s="4"/>
      <c r="I86" s="4"/>
      <c r="J86" s="4"/>
      <c r="K86" s="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2"/>
      <c r="AK86" s="2"/>
      <c r="AL86" s="2"/>
    </row>
    <row r="87" ht="15.75" customHeight="1">
      <c r="A87" s="4"/>
      <c r="B87" s="4"/>
      <c r="C87" s="4"/>
      <c r="D87" s="198">
        <f>SUM(D79:D86)</f>
        <v>392500</v>
      </c>
      <c r="E87" s="199">
        <f>SUM(E78:E86)</f>
        <v>417500</v>
      </c>
      <c r="F87" s="199">
        <f>SUM(F79:F86)</f>
        <v>500000</v>
      </c>
      <c r="G87" s="4"/>
      <c r="H87" s="4"/>
      <c r="I87" s="4"/>
      <c r="J87" s="4"/>
      <c r="K87" s="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2"/>
      <c r="AK87" s="2"/>
      <c r="AL87" s="2"/>
    </row>
    <row r="88" ht="15.75" customHeight="1">
      <c r="A88" s="4"/>
      <c r="B88" s="4"/>
      <c r="C88" s="4"/>
      <c r="D88" s="6"/>
      <c r="F88" s="7"/>
      <c r="G88" s="4"/>
      <c r="H88" s="4"/>
      <c r="I88" s="4"/>
      <c r="J88" s="4"/>
      <c r="K88" s="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2"/>
      <c r="AK88" s="2"/>
      <c r="AL88" s="2"/>
    </row>
    <row r="89" ht="15.75" customHeight="1">
      <c r="A89" s="4"/>
      <c r="B89" s="4"/>
      <c r="C89" s="4"/>
      <c r="D89" s="6">
        <f>D78-D87</f>
        <v>107500</v>
      </c>
      <c r="F89" s="7"/>
      <c r="G89" s="4"/>
      <c r="H89" s="4"/>
      <c r="I89" s="4"/>
      <c r="J89" s="4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2"/>
      <c r="AK89" s="2"/>
      <c r="AL89" s="2"/>
    </row>
    <row r="90" ht="15.75" customHeight="1">
      <c r="A90" s="4"/>
      <c r="B90" s="4"/>
      <c r="C90" s="4"/>
      <c r="D90" s="4"/>
      <c r="E90" s="6"/>
      <c r="F90" s="7"/>
      <c r="G90" s="4"/>
      <c r="H90" s="4"/>
      <c r="I90" s="4"/>
      <c r="J90" s="4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2"/>
      <c r="AK90" s="2"/>
      <c r="AL90" s="2"/>
    </row>
    <row r="91" ht="15.75" customHeight="1">
      <c r="A91" s="4"/>
      <c r="B91" s="4"/>
      <c r="C91" s="4"/>
      <c r="D91" s="4"/>
      <c r="E91" s="6"/>
      <c r="F91" s="7"/>
      <c r="G91" s="4"/>
      <c r="H91" s="4"/>
      <c r="I91" s="4"/>
      <c r="J91" s="4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2"/>
      <c r="AK91" s="2"/>
      <c r="AL91" s="2"/>
    </row>
    <row r="92" ht="15.75" customHeight="1">
      <c r="A92" s="4"/>
      <c r="B92" s="4"/>
      <c r="C92" s="4"/>
      <c r="D92" s="4" t="s">
        <v>97</v>
      </c>
      <c r="E92" s="6"/>
      <c r="F92" s="7"/>
      <c r="G92" s="4"/>
      <c r="H92" s="4"/>
      <c r="I92" s="4"/>
      <c r="J92" s="4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2"/>
      <c r="AK92" s="2"/>
      <c r="AL92" s="2"/>
    </row>
    <row r="93" ht="15.75" customHeight="1">
      <c r="A93" s="4"/>
      <c r="B93" s="4"/>
      <c r="C93" s="4"/>
      <c r="D93" s="4"/>
      <c r="E93" s="6"/>
      <c r="F93" s="7">
        <v>69000.0</v>
      </c>
      <c r="G93" s="4" t="s">
        <v>150</v>
      </c>
      <c r="H93" s="4"/>
      <c r="I93" s="4"/>
      <c r="J93" s="4"/>
      <c r="K93" s="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2"/>
      <c r="AK93" s="2"/>
      <c r="AL93" s="2"/>
    </row>
    <row r="94" ht="15.75" customHeight="1">
      <c r="A94" s="4"/>
      <c r="B94" s="4"/>
      <c r="C94" s="4"/>
      <c r="D94" s="4"/>
      <c r="E94" s="6"/>
      <c r="F94" s="7">
        <v>20000.0</v>
      </c>
      <c r="G94" s="4" t="s">
        <v>151</v>
      </c>
      <c r="H94" s="4"/>
      <c r="I94" s="4"/>
      <c r="J94" s="4"/>
      <c r="K94" s="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2"/>
      <c r="AK94" s="2"/>
      <c r="AL94" s="2"/>
    </row>
    <row r="95" ht="15.75" customHeight="1">
      <c r="A95" s="4"/>
      <c r="B95" s="4"/>
      <c r="C95" s="4"/>
      <c r="D95" s="4"/>
      <c r="E95" s="6"/>
      <c r="F95" s="7">
        <v>19725.0</v>
      </c>
      <c r="G95" s="4" t="s">
        <v>152</v>
      </c>
      <c r="H95" s="4"/>
      <c r="I95" s="4"/>
      <c r="J95" s="4"/>
      <c r="K95" s="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2"/>
      <c r="AK95" s="2"/>
      <c r="AL95" s="2"/>
    </row>
    <row r="96" ht="15.75" customHeight="1">
      <c r="A96" s="4"/>
      <c r="B96" s="4"/>
      <c r="C96" s="4"/>
      <c r="D96" s="4"/>
      <c r="E96" s="6"/>
      <c r="F96" s="7">
        <v>69000.0</v>
      </c>
      <c r="G96" s="4" t="s">
        <v>153</v>
      </c>
      <c r="H96" s="4"/>
      <c r="I96" s="4"/>
      <c r="J96" s="4"/>
      <c r="K96" s="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2"/>
      <c r="AK96" s="2"/>
      <c r="AL96" s="2"/>
    </row>
    <row r="97" ht="15.75" customHeight="1">
      <c r="A97" s="4"/>
      <c r="B97" s="4"/>
      <c r="C97" s="4"/>
      <c r="D97" s="4"/>
      <c r="E97" s="6"/>
      <c r="F97" s="7">
        <v>42500.0</v>
      </c>
      <c r="G97" s="4" t="s">
        <v>153</v>
      </c>
      <c r="H97" s="4"/>
      <c r="I97" s="4"/>
      <c r="J97" s="4"/>
      <c r="K97" s="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2"/>
      <c r="AK97" s="2"/>
      <c r="AL97" s="2"/>
    </row>
    <row r="98" ht="15.75" customHeight="1">
      <c r="A98" s="4"/>
      <c r="B98" s="4"/>
      <c r="C98" s="4"/>
      <c r="D98" s="4"/>
      <c r="E98" s="6"/>
      <c r="F98" s="7">
        <v>157500.0</v>
      </c>
      <c r="G98" s="4" t="s">
        <v>154</v>
      </c>
      <c r="H98" s="4"/>
      <c r="I98" s="4"/>
      <c r="J98" s="4"/>
      <c r="K98" s="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2"/>
      <c r="AK98" s="2"/>
      <c r="AL98" s="2"/>
    </row>
    <row r="99" ht="15.75" customHeight="1">
      <c r="A99" s="4"/>
      <c r="B99" s="4"/>
      <c r="C99" s="4"/>
      <c r="D99" s="4"/>
      <c r="E99" s="6"/>
      <c r="F99" s="7">
        <v>48000.0</v>
      </c>
      <c r="G99" s="4" t="s">
        <v>155</v>
      </c>
      <c r="H99" s="4"/>
      <c r="I99" s="4"/>
      <c r="J99" s="4"/>
      <c r="K99" s="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2"/>
      <c r="AK99" s="2"/>
      <c r="AL99" s="2"/>
    </row>
    <row r="100" ht="15.75" customHeight="1">
      <c r="A100" s="4"/>
      <c r="B100" s="4"/>
      <c r="C100" s="4"/>
      <c r="D100" s="4"/>
      <c r="E100" s="6"/>
      <c r="F100" s="7">
        <v>15000.0</v>
      </c>
      <c r="G100" s="4" t="s">
        <v>156</v>
      </c>
      <c r="H100" s="4"/>
      <c r="I100" s="4"/>
      <c r="J100" s="4"/>
      <c r="K100" s="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2"/>
      <c r="AK100" s="2"/>
      <c r="AL100" s="2"/>
    </row>
    <row r="101" ht="15.75" customHeight="1">
      <c r="A101" s="4"/>
      <c r="B101" s="4"/>
      <c r="C101" s="4"/>
      <c r="D101" s="4"/>
      <c r="E101" s="6"/>
      <c r="F101" s="7">
        <v>90000.0</v>
      </c>
      <c r="G101" s="4" t="s">
        <v>157</v>
      </c>
      <c r="H101" s="4"/>
      <c r="I101" s="4"/>
      <c r="J101" s="4"/>
      <c r="K101" s="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2"/>
      <c r="AK101" s="2"/>
      <c r="AL101" s="2"/>
    </row>
    <row r="102" ht="15.75" customHeight="1">
      <c r="A102" s="4"/>
      <c r="B102" s="4"/>
      <c r="C102" s="4"/>
      <c r="D102" s="4"/>
      <c r="E102" s="6"/>
      <c r="F102" s="7">
        <v>90000.0</v>
      </c>
      <c r="G102" s="4" t="s">
        <v>158</v>
      </c>
      <c r="H102" s="4"/>
      <c r="I102" s="4"/>
      <c r="J102" s="4"/>
      <c r="K102" s="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2"/>
      <c r="AK102" s="2"/>
      <c r="AL102" s="2"/>
    </row>
    <row r="103" ht="15.75" customHeight="1">
      <c r="A103" s="4"/>
      <c r="B103" s="4">
        <v>16000.0</v>
      </c>
      <c r="C103" s="4"/>
      <c r="D103" s="4"/>
      <c r="E103" s="6"/>
      <c r="F103" s="4"/>
      <c r="G103" s="4"/>
      <c r="H103" s="4"/>
      <c r="I103" s="4"/>
      <c r="J103" s="4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2"/>
      <c r="AK103" s="2"/>
      <c r="AL103" s="2"/>
    </row>
    <row r="104" ht="15.75" customHeight="1">
      <c r="A104" s="4"/>
      <c r="B104" s="4">
        <v>126000.0</v>
      </c>
      <c r="C104" s="4"/>
      <c r="D104" s="4"/>
      <c r="E104" s="6"/>
      <c r="F104" s="4"/>
      <c r="G104" s="4"/>
      <c r="H104" s="4"/>
      <c r="I104" s="4"/>
      <c r="J104" s="4"/>
      <c r="K104" s="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2"/>
      <c r="AK104" s="2"/>
      <c r="AL104" s="2"/>
    </row>
    <row r="105" ht="15.75" customHeight="1">
      <c r="A105" s="4"/>
      <c r="B105" s="4">
        <v>68250.0</v>
      </c>
      <c r="C105" s="4"/>
      <c r="D105" s="4"/>
      <c r="E105" s="6"/>
      <c r="F105" s="4"/>
      <c r="G105" s="4"/>
      <c r="H105" s="4"/>
      <c r="I105" s="4"/>
      <c r="J105" s="4"/>
      <c r="K105" s="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2"/>
      <c r="AK105" s="2"/>
      <c r="AL105" s="2"/>
    </row>
    <row r="106" ht="15.75" customHeight="1">
      <c r="A106" s="4"/>
      <c r="B106" s="4">
        <f>12600*4</f>
        <v>50400</v>
      </c>
      <c r="C106" s="4"/>
      <c r="D106" s="4"/>
      <c r="E106" s="6"/>
      <c r="F106" s="4"/>
      <c r="G106" s="4"/>
      <c r="H106" s="4"/>
      <c r="I106" s="4"/>
      <c r="J106" s="4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2"/>
      <c r="AK106" s="2"/>
      <c r="AL106" s="2"/>
    </row>
    <row r="107" ht="15.75" customHeight="1">
      <c r="A107" s="4"/>
      <c r="B107" s="4">
        <f>6825*4</f>
        <v>27300</v>
      </c>
      <c r="C107" s="4"/>
      <c r="D107" s="4"/>
      <c r="E107" s="6"/>
      <c r="F107" s="4"/>
      <c r="G107" s="4"/>
      <c r="H107" s="4"/>
      <c r="I107" s="4"/>
      <c r="J107" s="4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2"/>
      <c r="AK107" s="2"/>
      <c r="AL107" s="2"/>
    </row>
    <row r="108" ht="15.75" customHeight="1">
      <c r="A108" s="4"/>
      <c r="B108" s="4">
        <f>SUM(B103:B107)</f>
        <v>287950</v>
      </c>
      <c r="C108" s="4"/>
      <c r="D108" s="4"/>
      <c r="E108" s="6"/>
      <c r="F108" s="4"/>
      <c r="G108" s="4"/>
      <c r="H108" s="4"/>
      <c r="I108" s="4"/>
      <c r="J108" s="4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2"/>
      <c r="AK108" s="2"/>
      <c r="AL108" s="2"/>
    </row>
    <row r="109" ht="15.75" customHeight="1">
      <c r="A109" s="4"/>
      <c r="B109" s="4"/>
      <c r="C109" s="4"/>
      <c r="D109" s="4"/>
      <c r="E109" s="6"/>
      <c r="F109" s="4"/>
      <c r="G109" s="4"/>
      <c r="H109" s="4"/>
      <c r="I109" s="4"/>
      <c r="J109" s="4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2"/>
      <c r="AK109" s="2"/>
      <c r="AL109" s="2"/>
    </row>
    <row r="110" ht="15.75" customHeight="1">
      <c r="A110" s="4"/>
      <c r="B110" s="4"/>
      <c r="C110" s="4"/>
      <c r="D110" s="4"/>
      <c r="E110" s="6"/>
      <c r="F110" s="4"/>
      <c r="G110" s="4"/>
      <c r="H110" s="4"/>
      <c r="I110" s="4"/>
      <c r="J110" s="4"/>
      <c r="K110" s="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2"/>
      <c r="AK110" s="2"/>
      <c r="AL110" s="2"/>
    </row>
    <row r="111" ht="15.75" customHeight="1">
      <c r="A111" s="4"/>
      <c r="B111" s="4"/>
      <c r="C111" s="4"/>
      <c r="D111" s="4"/>
      <c r="E111" s="6"/>
      <c r="F111" s="4"/>
      <c r="G111" s="4"/>
      <c r="H111" s="4"/>
      <c r="I111" s="4"/>
      <c r="J111" s="4"/>
      <c r="K111" s="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2"/>
      <c r="AK111" s="2"/>
      <c r="AL111" s="2"/>
    </row>
    <row r="112" ht="15.75" customHeight="1">
      <c r="A112" s="4"/>
      <c r="B112" s="4"/>
      <c r="C112" s="4"/>
      <c r="D112" s="4"/>
      <c r="E112" s="6"/>
      <c r="F112" s="4"/>
      <c r="G112" s="4"/>
      <c r="H112" s="4"/>
      <c r="I112" s="4"/>
      <c r="J112" s="4"/>
      <c r="K112" s="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2"/>
      <c r="AK112" s="2"/>
      <c r="AL112" s="2"/>
    </row>
    <row r="113" ht="15.75" customHeight="1">
      <c r="A113" s="4"/>
      <c r="B113" s="4"/>
      <c r="C113" s="4"/>
      <c r="D113" s="4"/>
      <c r="E113" s="6"/>
      <c r="F113" s="4"/>
      <c r="G113" s="4"/>
      <c r="H113" s="4"/>
      <c r="I113" s="4"/>
      <c r="J113" s="4"/>
      <c r="K113" s="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2"/>
      <c r="AK113" s="2"/>
      <c r="AL113" s="2"/>
    </row>
    <row r="114" ht="15.75" customHeight="1">
      <c r="A114" s="4"/>
      <c r="B114" s="4"/>
      <c r="C114" s="4"/>
      <c r="D114" s="4"/>
      <c r="E114" s="6"/>
      <c r="F114" s="4"/>
      <c r="G114" s="4"/>
      <c r="H114" s="4"/>
      <c r="I114" s="4"/>
      <c r="J114" s="4"/>
      <c r="K114" s="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2"/>
      <c r="AK114" s="2"/>
      <c r="AL114" s="2"/>
    </row>
    <row r="115" ht="15.75" customHeight="1">
      <c r="A115" s="4"/>
      <c r="B115" s="4"/>
      <c r="C115" s="4"/>
      <c r="D115" s="4"/>
      <c r="E115" s="6"/>
      <c r="F115" s="4"/>
      <c r="G115" s="4"/>
      <c r="H115" s="4"/>
      <c r="I115" s="4"/>
      <c r="J115" s="4"/>
      <c r="K115" s="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2"/>
      <c r="AK115" s="2"/>
      <c r="AL115" s="2"/>
    </row>
    <row r="116" ht="15.75" customHeight="1">
      <c r="A116" s="4"/>
      <c r="B116" s="4"/>
      <c r="C116" s="4"/>
      <c r="D116" s="4"/>
      <c r="E116" s="6"/>
      <c r="F116" s="4"/>
      <c r="G116" s="4"/>
      <c r="H116" s="4"/>
      <c r="I116" s="4"/>
      <c r="J116" s="4"/>
      <c r="K116" s="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2"/>
      <c r="AK116" s="2"/>
      <c r="AL116" s="2"/>
    </row>
    <row r="117" ht="15.75" customHeight="1">
      <c r="A117" s="4"/>
      <c r="B117" s="4"/>
      <c r="C117" s="4"/>
      <c r="D117" s="4"/>
      <c r="E117" s="6"/>
      <c r="F117" s="4"/>
      <c r="G117" s="4"/>
      <c r="H117" s="4"/>
      <c r="I117" s="4"/>
      <c r="J117" s="4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2"/>
      <c r="AK117" s="2"/>
      <c r="AL117" s="2"/>
    </row>
    <row r="118" ht="15.75" customHeight="1">
      <c r="A118" s="4"/>
      <c r="B118" s="4"/>
      <c r="C118" s="4"/>
      <c r="D118" s="4"/>
      <c r="E118" s="6"/>
      <c r="F118" s="4"/>
      <c r="G118" s="4"/>
      <c r="H118" s="4"/>
      <c r="I118" s="4"/>
      <c r="J118" s="4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2"/>
      <c r="AK118" s="2"/>
      <c r="AL118" s="2"/>
    </row>
    <row r="119" ht="15.75" customHeight="1">
      <c r="A119" s="4"/>
      <c r="B119" s="4"/>
      <c r="C119" s="4"/>
      <c r="D119" s="4"/>
      <c r="E119" s="6"/>
      <c r="F119" s="4"/>
      <c r="G119" s="4"/>
      <c r="H119" s="4"/>
      <c r="I119" s="4"/>
      <c r="J119" s="4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2"/>
      <c r="AK119" s="2"/>
      <c r="AL119" s="2"/>
    </row>
    <row r="120" ht="15.75" customHeight="1">
      <c r="A120" s="4"/>
      <c r="B120" s="4"/>
      <c r="C120" s="4"/>
      <c r="D120" s="4"/>
      <c r="E120" s="6"/>
      <c r="F120" s="4"/>
      <c r="G120" s="4"/>
      <c r="H120" s="4"/>
      <c r="I120" s="4"/>
      <c r="J120" s="4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2"/>
      <c r="AK120" s="2"/>
      <c r="AL120" s="2"/>
    </row>
    <row r="121" ht="15.75" customHeight="1">
      <c r="A121" s="4"/>
      <c r="B121" s="4"/>
      <c r="C121" s="4"/>
      <c r="D121" s="4"/>
      <c r="E121" s="6"/>
      <c r="F121" s="4"/>
      <c r="G121" s="4"/>
      <c r="H121" s="4"/>
      <c r="I121" s="4"/>
      <c r="J121" s="4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2"/>
      <c r="AK121" s="2"/>
      <c r="AL121" s="2"/>
    </row>
    <row r="122" ht="15.75" customHeight="1">
      <c r="A122" s="4"/>
      <c r="B122" s="4"/>
      <c r="C122" s="4"/>
      <c r="D122" s="4"/>
      <c r="E122" s="6"/>
      <c r="F122" s="4"/>
      <c r="G122" s="4"/>
      <c r="H122" s="4"/>
      <c r="I122" s="4"/>
      <c r="J122" s="4"/>
      <c r="K122" s="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2"/>
      <c r="AK122" s="2"/>
      <c r="AL122" s="2"/>
    </row>
    <row r="123" ht="15.75" customHeight="1">
      <c r="A123" s="4"/>
      <c r="B123" s="4"/>
      <c r="C123" s="4"/>
      <c r="D123" s="4"/>
      <c r="E123" s="6"/>
      <c r="F123" s="4"/>
      <c r="G123" s="4"/>
      <c r="H123" s="4"/>
      <c r="I123" s="4"/>
      <c r="J123" s="4"/>
      <c r="K123" s="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2"/>
      <c r="AK123" s="2"/>
      <c r="AL123" s="2"/>
    </row>
    <row r="124" ht="15.75" customHeight="1">
      <c r="A124" s="4"/>
      <c r="B124" s="4"/>
      <c r="C124" s="4"/>
      <c r="D124" s="4"/>
      <c r="E124" s="6"/>
      <c r="F124" s="4"/>
      <c r="G124" s="4"/>
      <c r="H124" s="4"/>
      <c r="I124" s="4"/>
      <c r="J124" s="4"/>
      <c r="K124" s="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2"/>
      <c r="AK124" s="2"/>
      <c r="AL124" s="2"/>
    </row>
    <row r="125" ht="15.75" customHeight="1">
      <c r="A125" s="4"/>
      <c r="B125" s="4"/>
      <c r="C125" s="4"/>
      <c r="D125" s="4"/>
      <c r="E125" s="6"/>
      <c r="F125" s="4"/>
      <c r="G125" s="4"/>
      <c r="H125" s="4"/>
      <c r="I125" s="4"/>
      <c r="J125" s="4"/>
      <c r="K125" s="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2"/>
      <c r="AK125" s="2"/>
      <c r="AL125" s="2"/>
    </row>
    <row r="126" ht="15.75" customHeight="1">
      <c r="A126" s="4"/>
      <c r="B126" s="4"/>
      <c r="C126" s="4"/>
      <c r="D126" s="4"/>
      <c r="E126" s="6"/>
      <c r="F126" s="4"/>
      <c r="G126" s="4"/>
      <c r="H126" s="4"/>
      <c r="I126" s="4"/>
      <c r="J126" s="4"/>
      <c r="K126" s="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2"/>
      <c r="AK126" s="2"/>
      <c r="AL126" s="2"/>
    </row>
    <row r="127" ht="15.75" customHeight="1">
      <c r="A127" s="4"/>
      <c r="B127" s="4"/>
      <c r="C127" s="4"/>
      <c r="D127" s="4"/>
      <c r="E127" s="6"/>
      <c r="F127" s="4"/>
      <c r="G127" s="4"/>
      <c r="H127" s="4"/>
      <c r="I127" s="4"/>
      <c r="J127" s="4"/>
      <c r="K127" s="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2"/>
      <c r="AK127" s="2"/>
      <c r="AL127" s="2"/>
    </row>
    <row r="128" ht="15.75" customHeight="1">
      <c r="A128" s="4"/>
      <c r="B128" s="4"/>
      <c r="C128" s="4"/>
      <c r="D128" s="4"/>
      <c r="E128" s="6"/>
      <c r="F128" s="4"/>
      <c r="G128" s="4"/>
      <c r="H128" s="4"/>
      <c r="I128" s="4"/>
      <c r="J128" s="4"/>
      <c r="K128" s="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2"/>
      <c r="AK128" s="2"/>
      <c r="AL128" s="2"/>
    </row>
    <row r="129" ht="15.75" customHeight="1">
      <c r="A129" s="4"/>
      <c r="B129" s="4"/>
      <c r="C129" s="4"/>
      <c r="D129" s="4"/>
      <c r="E129" s="6"/>
      <c r="F129" s="4"/>
      <c r="G129" s="4"/>
      <c r="H129" s="4"/>
      <c r="I129" s="4"/>
      <c r="J129" s="4"/>
      <c r="K129" s="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2"/>
      <c r="AK129" s="2"/>
      <c r="AL129" s="2"/>
    </row>
    <row r="130" ht="15.75" customHeight="1">
      <c r="A130" s="4"/>
      <c r="B130" s="4"/>
      <c r="C130" s="4"/>
      <c r="D130" s="4"/>
      <c r="E130" s="6"/>
      <c r="F130" s="4"/>
      <c r="G130" s="4"/>
      <c r="H130" s="4"/>
      <c r="I130" s="4"/>
      <c r="J130" s="4"/>
      <c r="K130" s="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2"/>
      <c r="AK130" s="2"/>
      <c r="AL130" s="2"/>
    </row>
    <row r="131" ht="15.75" customHeight="1">
      <c r="A131" s="4"/>
      <c r="B131" s="4"/>
      <c r="C131" s="4"/>
      <c r="D131" s="4"/>
      <c r="E131" s="6"/>
      <c r="F131" s="4"/>
      <c r="G131" s="4"/>
      <c r="H131" s="4"/>
      <c r="I131" s="4"/>
      <c r="J131" s="4"/>
      <c r="K131" s="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2"/>
      <c r="AK131" s="2"/>
      <c r="AL131" s="2"/>
    </row>
    <row r="132" ht="15.75" customHeight="1">
      <c r="A132" s="4"/>
      <c r="B132" s="4"/>
      <c r="C132" s="4"/>
      <c r="D132" s="4"/>
      <c r="E132" s="6"/>
      <c r="F132" s="4"/>
      <c r="G132" s="4"/>
      <c r="H132" s="4"/>
      <c r="I132" s="4"/>
      <c r="J132" s="4"/>
      <c r="K132" s="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2"/>
      <c r="AK132" s="2"/>
      <c r="AL132" s="2"/>
    </row>
    <row r="133" ht="15.75" customHeight="1">
      <c r="A133" s="4"/>
      <c r="B133" s="4"/>
      <c r="C133" s="4"/>
      <c r="D133" s="4"/>
      <c r="E133" s="6"/>
      <c r="F133" s="4"/>
      <c r="G133" s="4"/>
      <c r="H133" s="4"/>
      <c r="I133" s="4"/>
      <c r="J133" s="4"/>
      <c r="K133" s="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2"/>
      <c r="AK133" s="2"/>
      <c r="AL133" s="2"/>
    </row>
    <row r="134" ht="15.75" customHeight="1">
      <c r="A134" s="4"/>
      <c r="B134" s="4"/>
      <c r="C134" s="4"/>
      <c r="D134" s="4"/>
      <c r="E134" s="6"/>
      <c r="F134" s="4"/>
      <c r="G134" s="4"/>
      <c r="H134" s="4"/>
      <c r="I134" s="4"/>
      <c r="J134" s="4"/>
      <c r="K134" s="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2"/>
      <c r="AK134" s="2"/>
      <c r="AL134" s="2"/>
    </row>
    <row r="135" ht="15.75" customHeight="1">
      <c r="A135" s="4"/>
      <c r="B135" s="4"/>
      <c r="C135" s="4"/>
      <c r="D135" s="4"/>
      <c r="E135" s="6"/>
      <c r="F135" s="4"/>
      <c r="G135" s="4"/>
      <c r="H135" s="4"/>
      <c r="I135" s="4"/>
      <c r="J135" s="4"/>
      <c r="K135" s="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2"/>
      <c r="AK135" s="2"/>
      <c r="AL135" s="2"/>
    </row>
    <row r="136" ht="15.75" customHeight="1">
      <c r="A136" s="4"/>
      <c r="B136" s="4"/>
      <c r="C136" s="4"/>
      <c r="D136" s="4"/>
      <c r="E136" s="6"/>
      <c r="F136" s="4"/>
      <c r="G136" s="4"/>
      <c r="H136" s="4"/>
      <c r="I136" s="4"/>
      <c r="J136" s="4"/>
      <c r="K136" s="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2"/>
      <c r="AK136" s="2"/>
      <c r="AL136" s="2"/>
    </row>
    <row r="137" ht="15.75" customHeight="1">
      <c r="A137" s="4"/>
      <c r="B137" s="4"/>
      <c r="C137" s="4"/>
      <c r="D137" s="4"/>
      <c r="E137" s="6"/>
      <c r="F137" s="4"/>
      <c r="G137" s="4"/>
      <c r="H137" s="4"/>
      <c r="I137" s="4"/>
      <c r="J137" s="4"/>
      <c r="K137" s="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2"/>
      <c r="AK137" s="2"/>
      <c r="AL137" s="2"/>
    </row>
    <row r="138" ht="15.75" customHeight="1">
      <c r="A138" s="4"/>
      <c r="B138" s="4"/>
      <c r="C138" s="4"/>
      <c r="D138" s="4"/>
      <c r="E138" s="6"/>
      <c r="F138" s="4"/>
      <c r="G138" s="4"/>
      <c r="H138" s="4"/>
      <c r="I138" s="4"/>
      <c r="J138" s="4"/>
      <c r="K138" s="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2"/>
      <c r="AK138" s="2"/>
      <c r="AL138" s="2"/>
    </row>
    <row r="139" ht="15.75" customHeight="1">
      <c r="A139" s="4"/>
      <c r="B139" s="4"/>
      <c r="C139" s="4"/>
      <c r="D139" s="4"/>
      <c r="E139" s="6"/>
      <c r="F139" s="4"/>
      <c r="G139" s="4"/>
      <c r="H139" s="4"/>
      <c r="I139" s="4"/>
      <c r="J139" s="4"/>
      <c r="K139" s="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2"/>
      <c r="AK139" s="2"/>
      <c r="AL139" s="2"/>
    </row>
    <row r="140" ht="15.75" customHeight="1">
      <c r="A140" s="4"/>
      <c r="B140" s="4"/>
      <c r="C140" s="4"/>
      <c r="D140" s="4"/>
      <c r="E140" s="6"/>
      <c r="F140" s="4"/>
      <c r="G140" s="4"/>
      <c r="H140" s="4"/>
      <c r="I140" s="4"/>
      <c r="J140" s="4"/>
      <c r="K140" s="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2"/>
      <c r="AK140" s="2"/>
      <c r="AL140" s="2"/>
    </row>
    <row r="141" ht="15.75" customHeight="1">
      <c r="A141" s="4"/>
      <c r="B141" s="4"/>
      <c r="C141" s="4"/>
      <c r="D141" s="4"/>
      <c r="E141" s="6"/>
      <c r="F141" s="4"/>
      <c r="G141" s="4"/>
      <c r="H141" s="4"/>
      <c r="I141" s="4"/>
      <c r="J141" s="4"/>
      <c r="K141" s="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2"/>
      <c r="AK141" s="2"/>
      <c r="AL141" s="2"/>
    </row>
    <row r="142" ht="15.75" customHeight="1">
      <c r="A142" s="4"/>
      <c r="B142" s="4"/>
      <c r="C142" s="4"/>
      <c r="D142" s="4"/>
      <c r="E142" s="6"/>
      <c r="F142" s="4"/>
      <c r="G142" s="4"/>
      <c r="H142" s="4"/>
      <c r="I142" s="4"/>
      <c r="J142" s="4"/>
      <c r="K142" s="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2"/>
      <c r="AK142" s="2"/>
      <c r="AL142" s="2"/>
    </row>
    <row r="143" ht="15.75" customHeight="1">
      <c r="A143" s="4"/>
      <c r="B143" s="4"/>
      <c r="C143" s="4"/>
      <c r="D143" s="4"/>
      <c r="E143" s="6"/>
      <c r="F143" s="4"/>
      <c r="G143" s="4"/>
      <c r="H143" s="4"/>
      <c r="I143" s="4"/>
      <c r="J143" s="4"/>
      <c r="K143" s="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2"/>
      <c r="AK143" s="2"/>
      <c r="AL143" s="2"/>
    </row>
    <row r="144" ht="15.75" customHeight="1">
      <c r="A144" s="4"/>
      <c r="B144" s="4"/>
      <c r="C144" s="4"/>
      <c r="D144" s="4"/>
      <c r="E144" s="6"/>
      <c r="F144" s="4"/>
      <c r="G144" s="4"/>
      <c r="H144" s="4"/>
      <c r="I144" s="4"/>
      <c r="J144" s="4"/>
      <c r="K144" s="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2"/>
      <c r="AK144" s="2"/>
      <c r="AL144" s="2"/>
    </row>
    <row r="145" ht="15.75" customHeight="1">
      <c r="A145" s="4"/>
      <c r="B145" s="4"/>
      <c r="C145" s="4"/>
      <c r="D145" s="4"/>
      <c r="E145" s="6"/>
      <c r="F145" s="4"/>
      <c r="G145" s="4"/>
      <c r="H145" s="4"/>
      <c r="I145" s="4"/>
      <c r="J145" s="4"/>
      <c r="K145" s="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2"/>
      <c r="AK145" s="2"/>
      <c r="AL145" s="2"/>
    </row>
    <row r="146" ht="15.75" customHeight="1">
      <c r="A146" s="4"/>
      <c r="B146" s="4"/>
      <c r="C146" s="4"/>
      <c r="D146" s="4"/>
      <c r="E146" s="6"/>
      <c r="F146" s="4"/>
      <c r="G146" s="4"/>
      <c r="H146" s="4"/>
      <c r="I146" s="4"/>
      <c r="J146" s="4"/>
      <c r="K146" s="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2"/>
      <c r="AK146" s="2"/>
      <c r="AL146" s="2"/>
    </row>
    <row r="147" ht="15.75" customHeight="1">
      <c r="A147" s="4"/>
      <c r="B147" s="4"/>
      <c r="C147" s="4"/>
      <c r="D147" s="4"/>
      <c r="E147" s="6"/>
      <c r="F147" s="4"/>
      <c r="G147" s="4"/>
      <c r="H147" s="4"/>
      <c r="I147" s="4"/>
      <c r="J147" s="4"/>
      <c r="K147" s="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2"/>
      <c r="AK147" s="2"/>
      <c r="AL147" s="2"/>
    </row>
    <row r="148" ht="15.75" customHeight="1">
      <c r="A148" s="4"/>
      <c r="B148" s="4"/>
      <c r="C148" s="4"/>
      <c r="D148" s="4"/>
      <c r="E148" s="6"/>
      <c r="F148" s="4"/>
      <c r="G148" s="4"/>
      <c r="H148" s="4"/>
      <c r="I148" s="4"/>
      <c r="J148" s="4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2"/>
      <c r="AK148" s="2"/>
      <c r="AL148" s="2"/>
    </row>
    <row r="149" ht="15.75" customHeight="1">
      <c r="A149" s="4"/>
      <c r="B149" s="4"/>
      <c r="C149" s="4"/>
      <c r="D149" s="4"/>
      <c r="E149" s="6"/>
      <c r="F149" s="4"/>
      <c r="G149" s="4"/>
      <c r="H149" s="4"/>
      <c r="I149" s="4"/>
      <c r="J149" s="4"/>
      <c r="K149" s="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2"/>
      <c r="AK149" s="2"/>
      <c r="AL149" s="2"/>
    </row>
    <row r="150" ht="15.75" customHeight="1">
      <c r="A150" s="4"/>
      <c r="B150" s="4"/>
      <c r="C150" s="4"/>
      <c r="D150" s="4"/>
      <c r="E150" s="6"/>
      <c r="F150" s="4"/>
      <c r="G150" s="4"/>
      <c r="H150" s="4"/>
      <c r="I150" s="4"/>
      <c r="J150" s="4"/>
      <c r="K150" s="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2"/>
      <c r="AK150" s="2"/>
      <c r="AL150" s="2"/>
    </row>
    <row r="151" ht="15.75" customHeight="1">
      <c r="A151" s="4"/>
      <c r="B151" s="4"/>
      <c r="C151" s="4"/>
      <c r="D151" s="4"/>
      <c r="E151" s="6"/>
      <c r="F151" s="4"/>
      <c r="G151" s="4"/>
      <c r="H151" s="4"/>
      <c r="I151" s="4"/>
      <c r="J151" s="4"/>
      <c r="K151" s="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2"/>
      <c r="AK151" s="2"/>
      <c r="AL151" s="2"/>
    </row>
    <row r="152" ht="15.75" customHeight="1">
      <c r="A152" s="4"/>
      <c r="B152" s="4"/>
      <c r="C152" s="4"/>
      <c r="D152" s="4"/>
      <c r="E152" s="6"/>
      <c r="F152" s="4"/>
      <c r="G152" s="4"/>
      <c r="H152" s="4"/>
      <c r="I152" s="4"/>
      <c r="J152" s="4"/>
      <c r="K152" s="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2"/>
      <c r="AK152" s="2"/>
      <c r="AL152" s="2"/>
    </row>
    <row r="153" ht="15.75" customHeight="1">
      <c r="A153" s="4"/>
      <c r="B153" s="4"/>
      <c r="C153" s="4"/>
      <c r="D153" s="4"/>
      <c r="E153" s="6"/>
      <c r="F153" s="4"/>
      <c r="G153" s="4"/>
      <c r="H153" s="4"/>
      <c r="I153" s="4"/>
      <c r="J153" s="4"/>
      <c r="K153" s="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2"/>
      <c r="AK153" s="2"/>
      <c r="AL153" s="2"/>
    </row>
    <row r="154" ht="15.75" customHeight="1">
      <c r="A154" s="4"/>
      <c r="B154" s="4"/>
      <c r="C154" s="4"/>
      <c r="D154" s="4"/>
      <c r="E154" s="6"/>
      <c r="F154" s="4"/>
      <c r="G154" s="4"/>
      <c r="H154" s="4"/>
      <c r="I154" s="4"/>
      <c r="J154" s="4"/>
      <c r="K154" s="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2"/>
      <c r="AK154" s="2"/>
      <c r="AL154" s="2"/>
    </row>
    <row r="155" ht="15.75" customHeight="1">
      <c r="A155" s="4"/>
      <c r="B155" s="4"/>
      <c r="C155" s="4"/>
      <c r="D155" s="4"/>
      <c r="E155" s="6"/>
      <c r="F155" s="4"/>
      <c r="G155" s="4"/>
      <c r="H155" s="4"/>
      <c r="I155" s="4"/>
      <c r="J155" s="4"/>
      <c r="K155" s="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2"/>
      <c r="AK155" s="2"/>
      <c r="AL155" s="2"/>
    </row>
    <row r="156" ht="15.75" customHeight="1">
      <c r="A156" s="4"/>
      <c r="B156" s="4"/>
      <c r="C156" s="4"/>
      <c r="D156" s="4"/>
      <c r="E156" s="6"/>
      <c r="F156" s="4"/>
      <c r="G156" s="4"/>
      <c r="H156" s="4"/>
      <c r="I156" s="4"/>
      <c r="J156" s="4"/>
      <c r="K156" s="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2"/>
      <c r="AK156" s="2"/>
      <c r="AL156" s="2"/>
    </row>
    <row r="157" ht="15.75" customHeight="1">
      <c r="A157" s="4"/>
      <c r="B157" s="4"/>
      <c r="C157" s="4"/>
      <c r="D157" s="4"/>
      <c r="E157" s="6"/>
      <c r="F157" s="4"/>
      <c r="G157" s="4"/>
      <c r="H157" s="4"/>
      <c r="I157" s="4"/>
      <c r="J157" s="4"/>
      <c r="K157" s="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2"/>
      <c r="AK157" s="2"/>
      <c r="AL157" s="2"/>
    </row>
    <row r="158" ht="15.75" customHeight="1">
      <c r="A158" s="4"/>
      <c r="B158" s="4"/>
      <c r="C158" s="4"/>
      <c r="D158" s="4"/>
      <c r="E158" s="6"/>
      <c r="F158" s="4"/>
      <c r="G158" s="4"/>
      <c r="H158" s="4"/>
      <c r="I158" s="4"/>
      <c r="J158" s="4"/>
      <c r="K158" s="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2"/>
      <c r="AK158" s="2"/>
      <c r="AL158" s="2"/>
    </row>
    <row r="159" ht="15.75" customHeight="1">
      <c r="A159" s="4"/>
      <c r="B159" s="4"/>
      <c r="C159" s="4"/>
      <c r="D159" s="4"/>
      <c r="E159" s="6"/>
      <c r="F159" s="4"/>
      <c r="G159" s="4"/>
      <c r="H159" s="4"/>
      <c r="I159" s="4"/>
      <c r="J159" s="4"/>
      <c r="K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2"/>
      <c r="AK159" s="2"/>
      <c r="AL159" s="2"/>
    </row>
    <row r="160" ht="15.75" customHeight="1">
      <c r="A160" s="4"/>
      <c r="B160" s="4"/>
      <c r="C160" s="4"/>
      <c r="D160" s="4"/>
      <c r="E160" s="6"/>
      <c r="F160" s="4"/>
      <c r="G160" s="4"/>
      <c r="H160" s="4"/>
      <c r="I160" s="4"/>
      <c r="J160" s="4"/>
      <c r="K160" s="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2"/>
      <c r="AK160" s="2"/>
      <c r="AL160" s="2"/>
    </row>
    <row r="161" ht="15.75" customHeight="1">
      <c r="A161" s="4"/>
      <c r="B161" s="4"/>
      <c r="C161" s="4"/>
      <c r="D161" s="4"/>
      <c r="E161" s="6"/>
      <c r="F161" s="4"/>
      <c r="G161" s="4"/>
      <c r="H161" s="4"/>
      <c r="I161" s="4"/>
      <c r="J161" s="4"/>
      <c r="K161" s="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2"/>
      <c r="AK161" s="2"/>
      <c r="AL161" s="2"/>
    </row>
    <row r="162" ht="15.75" customHeight="1">
      <c r="A162" s="4"/>
      <c r="B162" s="4"/>
      <c r="C162" s="4"/>
      <c r="D162" s="4"/>
      <c r="E162" s="6"/>
      <c r="F162" s="4"/>
      <c r="G162" s="4"/>
      <c r="H162" s="4"/>
      <c r="I162" s="4"/>
      <c r="J162" s="4"/>
      <c r="K162" s="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2"/>
      <c r="AK162" s="2"/>
      <c r="AL162" s="2"/>
    </row>
    <row r="163" ht="15.75" customHeight="1">
      <c r="A163" s="4"/>
      <c r="B163" s="4"/>
      <c r="C163" s="4"/>
      <c r="D163" s="4"/>
      <c r="E163" s="6"/>
      <c r="F163" s="4"/>
      <c r="G163" s="4"/>
      <c r="H163" s="4"/>
      <c r="I163" s="4"/>
      <c r="J163" s="4"/>
      <c r="K163" s="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2"/>
      <c r="AK163" s="2"/>
      <c r="AL163" s="2"/>
    </row>
    <row r="164" ht="15.75" customHeight="1">
      <c r="A164" s="4"/>
      <c r="B164" s="4"/>
      <c r="C164" s="4"/>
      <c r="D164" s="4"/>
      <c r="E164" s="6"/>
      <c r="F164" s="4"/>
      <c r="G164" s="4"/>
      <c r="H164" s="4"/>
      <c r="I164" s="4"/>
      <c r="J164" s="4"/>
      <c r="K164" s="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2"/>
      <c r="AK164" s="2"/>
      <c r="AL164" s="2"/>
    </row>
    <row r="165" ht="15.75" customHeight="1">
      <c r="A165" s="4"/>
      <c r="B165" s="4"/>
      <c r="C165" s="4"/>
      <c r="D165" s="4"/>
      <c r="E165" s="6"/>
      <c r="F165" s="4"/>
      <c r="G165" s="4"/>
      <c r="H165" s="4"/>
      <c r="I165" s="4"/>
      <c r="J165" s="4"/>
      <c r="K165" s="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2"/>
      <c r="AK165" s="2"/>
      <c r="AL165" s="2"/>
    </row>
    <row r="166" ht="15.75" customHeight="1">
      <c r="A166" s="4"/>
      <c r="B166" s="4"/>
      <c r="C166" s="4"/>
      <c r="D166" s="4"/>
      <c r="E166" s="6"/>
      <c r="F166" s="4"/>
      <c r="G166" s="4"/>
      <c r="H166" s="4"/>
      <c r="I166" s="4"/>
      <c r="J166" s="4"/>
      <c r="K166" s="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2"/>
      <c r="AK166" s="2"/>
      <c r="AL166" s="2"/>
    </row>
    <row r="167" ht="15.75" customHeight="1">
      <c r="A167" s="4"/>
      <c r="B167" s="4"/>
      <c r="C167" s="4"/>
      <c r="D167" s="4"/>
      <c r="E167" s="6"/>
      <c r="F167" s="4"/>
      <c r="G167" s="4"/>
      <c r="H167" s="4"/>
      <c r="I167" s="4"/>
      <c r="J167" s="4"/>
      <c r="K167" s="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2"/>
      <c r="AK167" s="2"/>
      <c r="AL167" s="2"/>
    </row>
    <row r="168" ht="15.75" customHeight="1">
      <c r="A168" s="4"/>
      <c r="B168" s="4"/>
      <c r="C168" s="4"/>
      <c r="D168" s="4"/>
      <c r="E168" s="6"/>
      <c r="F168" s="4"/>
      <c r="G168" s="4"/>
      <c r="H168" s="4"/>
      <c r="I168" s="4"/>
      <c r="J168" s="4"/>
      <c r="K168" s="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2"/>
      <c r="AK168" s="2"/>
      <c r="AL168" s="2"/>
    </row>
    <row r="169" ht="15.75" customHeight="1">
      <c r="A169" s="4"/>
      <c r="B169" s="4"/>
      <c r="C169" s="4"/>
      <c r="D169" s="4"/>
      <c r="E169" s="6"/>
      <c r="F169" s="4"/>
      <c r="G169" s="4"/>
      <c r="H169" s="4"/>
      <c r="I169" s="4"/>
      <c r="J169" s="4"/>
      <c r="K169" s="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2"/>
      <c r="AK169" s="2"/>
      <c r="AL169" s="2"/>
    </row>
    <row r="170" ht="15.75" customHeight="1">
      <c r="A170" s="4"/>
      <c r="B170" s="4"/>
      <c r="C170" s="4"/>
      <c r="D170" s="4"/>
      <c r="E170" s="6"/>
      <c r="F170" s="4"/>
      <c r="G170" s="4"/>
      <c r="H170" s="4"/>
      <c r="I170" s="4"/>
      <c r="J170" s="4"/>
      <c r="K170" s="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2"/>
      <c r="AK170" s="2"/>
      <c r="AL170" s="2"/>
    </row>
    <row r="171" ht="15.75" customHeight="1">
      <c r="A171" s="4"/>
      <c r="B171" s="4"/>
      <c r="C171" s="4"/>
      <c r="D171" s="4"/>
      <c r="E171" s="6"/>
      <c r="F171" s="4"/>
      <c r="G171" s="4"/>
      <c r="H171" s="4"/>
      <c r="I171" s="4"/>
      <c r="J171" s="4"/>
      <c r="K171" s="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2"/>
      <c r="AK171" s="2"/>
      <c r="AL171" s="2"/>
    </row>
    <row r="172" ht="15.75" customHeight="1">
      <c r="A172" s="4"/>
      <c r="B172" s="4"/>
      <c r="C172" s="4"/>
      <c r="D172" s="4"/>
      <c r="E172" s="6"/>
      <c r="F172" s="4"/>
      <c r="G172" s="4"/>
      <c r="H172" s="4"/>
      <c r="I172" s="4"/>
      <c r="J172" s="4"/>
      <c r="K172" s="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2"/>
      <c r="AK172" s="2"/>
      <c r="AL172" s="2"/>
    </row>
    <row r="173" ht="15.75" customHeight="1">
      <c r="A173" s="4"/>
      <c r="B173" s="4"/>
      <c r="C173" s="4"/>
      <c r="D173" s="4"/>
      <c r="E173" s="6"/>
      <c r="F173" s="4"/>
      <c r="G173" s="4"/>
      <c r="H173" s="4"/>
      <c r="I173" s="4"/>
      <c r="J173" s="4"/>
      <c r="K173" s="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2"/>
      <c r="AK173" s="2"/>
      <c r="AL173" s="2"/>
    </row>
    <row r="174" ht="15.75" customHeight="1">
      <c r="A174" s="4"/>
      <c r="B174" s="4"/>
      <c r="C174" s="4"/>
      <c r="D174" s="4"/>
      <c r="E174" s="6"/>
      <c r="F174" s="4"/>
      <c r="G174" s="4"/>
      <c r="H174" s="4"/>
      <c r="I174" s="4"/>
      <c r="J174" s="4"/>
      <c r="K174" s="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2"/>
      <c r="AK174" s="2"/>
      <c r="AL174" s="2"/>
    </row>
    <row r="175" ht="15.75" customHeight="1">
      <c r="A175" s="4"/>
      <c r="B175" s="4"/>
      <c r="C175" s="4"/>
      <c r="D175" s="4"/>
      <c r="E175" s="6"/>
      <c r="F175" s="4"/>
      <c r="G175" s="4"/>
      <c r="H175" s="4"/>
      <c r="I175" s="4"/>
      <c r="J175" s="4"/>
      <c r="K175" s="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2"/>
      <c r="AK175" s="2"/>
      <c r="AL175" s="2"/>
    </row>
    <row r="176" ht="15.75" customHeight="1">
      <c r="A176" s="4"/>
      <c r="B176" s="4"/>
      <c r="C176" s="4"/>
      <c r="D176" s="4"/>
      <c r="E176" s="6"/>
      <c r="F176" s="4"/>
      <c r="G176" s="4"/>
      <c r="H176" s="4"/>
      <c r="I176" s="4"/>
      <c r="J176" s="4"/>
      <c r="K176" s="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2"/>
      <c r="AK176" s="2"/>
      <c r="AL176" s="2"/>
    </row>
    <row r="177" ht="15.75" customHeight="1">
      <c r="A177" s="4"/>
      <c r="B177" s="4"/>
      <c r="C177" s="4"/>
      <c r="D177" s="4"/>
      <c r="E177" s="6"/>
      <c r="F177" s="4"/>
      <c r="G177" s="4"/>
      <c r="H177" s="4"/>
      <c r="I177" s="4"/>
      <c r="J177" s="4"/>
      <c r="K177" s="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2"/>
      <c r="AK177" s="2"/>
      <c r="AL177" s="2"/>
    </row>
    <row r="178" ht="15.75" customHeight="1">
      <c r="A178" s="4"/>
      <c r="B178" s="4"/>
      <c r="C178" s="4"/>
      <c r="D178" s="4"/>
      <c r="E178" s="6"/>
      <c r="F178" s="4"/>
      <c r="G178" s="4"/>
      <c r="H178" s="4"/>
      <c r="I178" s="4"/>
      <c r="J178" s="4"/>
      <c r="K178" s="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2"/>
      <c r="AK178" s="2"/>
      <c r="AL178" s="2"/>
    </row>
    <row r="179" ht="15.75" customHeight="1">
      <c r="A179" s="4"/>
      <c r="B179" s="4"/>
      <c r="C179" s="4"/>
      <c r="D179" s="4"/>
      <c r="E179" s="6"/>
      <c r="F179" s="4"/>
      <c r="G179" s="4"/>
      <c r="H179" s="4"/>
      <c r="I179" s="4"/>
      <c r="J179" s="4"/>
      <c r="K179" s="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2"/>
      <c r="AK179" s="2"/>
      <c r="AL179" s="2"/>
    </row>
    <row r="180" ht="15.75" customHeight="1">
      <c r="A180" s="4"/>
      <c r="B180" s="4"/>
      <c r="C180" s="4"/>
      <c r="D180" s="4"/>
      <c r="E180" s="6"/>
      <c r="F180" s="4"/>
      <c r="G180" s="4"/>
      <c r="H180" s="4"/>
      <c r="I180" s="4"/>
      <c r="J180" s="4"/>
      <c r="K180" s="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2"/>
      <c r="AK180" s="2"/>
      <c r="AL180" s="2"/>
    </row>
    <row r="181" ht="15.75" customHeight="1">
      <c r="A181" s="4"/>
      <c r="B181" s="4"/>
      <c r="C181" s="4"/>
      <c r="D181" s="4"/>
      <c r="E181" s="6"/>
      <c r="F181" s="4"/>
      <c r="G181" s="4"/>
      <c r="H181" s="4"/>
      <c r="I181" s="4"/>
      <c r="J181" s="4"/>
      <c r="K181" s="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2"/>
      <c r="AK181" s="2"/>
      <c r="AL181" s="2"/>
    </row>
    <row r="182" ht="15.75" customHeight="1">
      <c r="A182" s="4"/>
      <c r="B182" s="4"/>
      <c r="C182" s="4"/>
      <c r="D182" s="4"/>
      <c r="E182" s="6"/>
      <c r="F182" s="4"/>
      <c r="G182" s="4"/>
      <c r="H182" s="4"/>
      <c r="I182" s="4"/>
      <c r="J182" s="4"/>
      <c r="K182" s="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2"/>
      <c r="AK182" s="2"/>
      <c r="AL182" s="2"/>
    </row>
    <row r="183" ht="15.75" customHeight="1">
      <c r="A183" s="4"/>
      <c r="B183" s="4"/>
      <c r="C183" s="4"/>
      <c r="D183" s="4"/>
      <c r="E183" s="6"/>
      <c r="F183" s="4"/>
      <c r="G183" s="4"/>
      <c r="H183" s="4"/>
      <c r="I183" s="4"/>
      <c r="J183" s="4"/>
      <c r="K183" s="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2"/>
      <c r="AK183" s="2"/>
      <c r="AL183" s="2"/>
    </row>
    <row r="184" ht="15.75" customHeight="1">
      <c r="A184" s="4"/>
      <c r="B184" s="4"/>
      <c r="C184" s="4"/>
      <c r="D184" s="4"/>
      <c r="E184" s="6"/>
      <c r="F184" s="4"/>
      <c r="G184" s="4"/>
      <c r="H184" s="4"/>
      <c r="I184" s="4"/>
      <c r="J184" s="4"/>
      <c r="K184" s="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2"/>
      <c r="AK184" s="2"/>
      <c r="AL184" s="2"/>
    </row>
    <row r="185" ht="15.75" customHeight="1">
      <c r="A185" s="4"/>
      <c r="B185" s="4"/>
      <c r="C185" s="4"/>
      <c r="D185" s="4"/>
      <c r="E185" s="6"/>
      <c r="F185" s="4"/>
      <c r="G185" s="4"/>
      <c r="H185" s="4"/>
      <c r="I185" s="4"/>
      <c r="J185" s="4"/>
      <c r="K185" s="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2"/>
      <c r="AK185" s="2"/>
      <c r="AL185" s="2"/>
    </row>
    <row r="186" ht="15.75" customHeight="1">
      <c r="A186" s="4"/>
      <c r="B186" s="4"/>
      <c r="C186" s="4"/>
      <c r="D186" s="4"/>
      <c r="E186" s="6"/>
      <c r="F186" s="4"/>
      <c r="G186" s="4"/>
      <c r="H186" s="4"/>
      <c r="I186" s="4"/>
      <c r="J186" s="4"/>
      <c r="K186" s="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2"/>
      <c r="AK186" s="2"/>
      <c r="AL186" s="2"/>
    </row>
    <row r="187" ht="15.75" customHeight="1">
      <c r="A187" s="4"/>
      <c r="B187" s="4"/>
      <c r="C187" s="4"/>
      <c r="D187" s="4"/>
      <c r="E187" s="6"/>
      <c r="F187" s="4"/>
      <c r="G187" s="4"/>
      <c r="H187" s="4"/>
      <c r="I187" s="4"/>
      <c r="J187" s="4"/>
      <c r="K187" s="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2"/>
      <c r="AK187" s="2"/>
      <c r="AL187" s="2"/>
    </row>
    <row r="188" ht="15.75" customHeight="1">
      <c r="A188" s="4"/>
      <c r="B188" s="4"/>
      <c r="C188" s="4"/>
      <c r="D188" s="4"/>
      <c r="E188" s="6"/>
      <c r="F188" s="4"/>
      <c r="G188" s="4"/>
      <c r="H188" s="4"/>
      <c r="I188" s="4"/>
      <c r="J188" s="4"/>
      <c r="K188" s="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2"/>
      <c r="AK188" s="2"/>
      <c r="AL188" s="2"/>
    </row>
    <row r="189" ht="15.75" customHeight="1">
      <c r="A189" s="4"/>
      <c r="B189" s="4"/>
      <c r="C189" s="4"/>
      <c r="D189" s="4"/>
      <c r="E189" s="6"/>
      <c r="F189" s="4"/>
      <c r="G189" s="4"/>
      <c r="H189" s="4"/>
      <c r="I189" s="4"/>
      <c r="J189" s="4"/>
      <c r="K189" s="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2"/>
      <c r="AK189" s="2"/>
      <c r="AL189" s="2"/>
    </row>
    <row r="190" ht="15.75" customHeight="1">
      <c r="A190" s="4"/>
      <c r="B190" s="4"/>
      <c r="C190" s="4"/>
      <c r="D190" s="4"/>
      <c r="E190" s="6"/>
      <c r="F190" s="4"/>
      <c r="G190" s="4"/>
      <c r="H190" s="4"/>
      <c r="I190" s="4"/>
      <c r="J190" s="4"/>
      <c r="K190" s="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2"/>
      <c r="AK190" s="2"/>
      <c r="AL190" s="2"/>
    </row>
    <row r="191" ht="15.75" customHeight="1">
      <c r="A191" s="4"/>
      <c r="B191" s="4"/>
      <c r="C191" s="4"/>
      <c r="D191" s="4"/>
      <c r="E191" s="6"/>
      <c r="F191" s="4"/>
      <c r="G191" s="4"/>
      <c r="H191" s="4"/>
      <c r="I191" s="4"/>
      <c r="J191" s="4"/>
      <c r="K191" s="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2"/>
      <c r="AK191" s="2"/>
      <c r="AL191" s="2"/>
    </row>
    <row r="192" ht="15.75" customHeight="1">
      <c r="A192" s="4"/>
      <c r="B192" s="4"/>
      <c r="C192" s="4"/>
      <c r="D192" s="4"/>
      <c r="E192" s="6"/>
      <c r="F192" s="4"/>
      <c r="G192" s="4"/>
      <c r="H192" s="4"/>
      <c r="I192" s="4"/>
      <c r="J192" s="4"/>
      <c r="K192" s="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2"/>
      <c r="AK192" s="2"/>
      <c r="AL192" s="2"/>
    </row>
    <row r="193" ht="15.75" customHeight="1">
      <c r="A193" s="4"/>
      <c r="B193" s="4"/>
      <c r="C193" s="4"/>
      <c r="D193" s="4"/>
      <c r="E193" s="6"/>
      <c r="F193" s="4"/>
      <c r="G193" s="4"/>
      <c r="H193" s="4"/>
      <c r="I193" s="4"/>
      <c r="J193" s="4"/>
      <c r="K193" s="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2"/>
      <c r="AK193" s="2"/>
      <c r="AL193" s="2"/>
    </row>
    <row r="194" ht="15.75" customHeight="1">
      <c r="A194" s="4"/>
      <c r="B194" s="4"/>
      <c r="C194" s="4"/>
      <c r="D194" s="4"/>
      <c r="E194" s="6"/>
      <c r="F194" s="4"/>
      <c r="G194" s="4"/>
      <c r="H194" s="4"/>
      <c r="I194" s="4"/>
      <c r="J194" s="4"/>
      <c r="K194" s="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2"/>
      <c r="AK194" s="2"/>
      <c r="AL194" s="2"/>
    </row>
    <row r="195" ht="15.75" customHeight="1">
      <c r="A195" s="4"/>
      <c r="B195" s="4"/>
      <c r="C195" s="4"/>
      <c r="D195" s="4"/>
      <c r="E195" s="6"/>
      <c r="F195" s="4"/>
      <c r="G195" s="4"/>
      <c r="H195" s="4"/>
      <c r="I195" s="4"/>
      <c r="J195" s="4"/>
      <c r="K195" s="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2"/>
      <c r="AK195" s="2"/>
      <c r="AL195" s="2"/>
    </row>
    <row r="196" ht="15.75" customHeight="1">
      <c r="A196" s="4"/>
      <c r="B196" s="4"/>
      <c r="C196" s="4"/>
      <c r="D196" s="4"/>
      <c r="E196" s="6"/>
      <c r="F196" s="4"/>
      <c r="G196" s="4"/>
      <c r="H196" s="4"/>
      <c r="I196" s="4"/>
      <c r="J196" s="4"/>
      <c r="K196" s="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2"/>
      <c r="AK196" s="2"/>
      <c r="AL196" s="2"/>
    </row>
    <row r="197" ht="15.75" customHeight="1">
      <c r="A197" s="4"/>
      <c r="B197" s="4"/>
      <c r="C197" s="4"/>
      <c r="D197" s="4"/>
      <c r="E197" s="6"/>
      <c r="F197" s="4"/>
      <c r="G197" s="4"/>
      <c r="H197" s="4"/>
      <c r="I197" s="4"/>
      <c r="J197" s="4"/>
      <c r="K197" s="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2"/>
      <c r="AK197" s="2"/>
      <c r="AL197" s="2"/>
    </row>
    <row r="198" ht="15.75" customHeight="1">
      <c r="A198" s="4"/>
      <c r="B198" s="4"/>
      <c r="C198" s="4"/>
      <c r="D198" s="4"/>
      <c r="E198" s="6"/>
      <c r="F198" s="4"/>
      <c r="G198" s="4"/>
      <c r="H198" s="4"/>
      <c r="I198" s="4"/>
      <c r="J198" s="4"/>
      <c r="K198" s="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2"/>
      <c r="AK198" s="2"/>
      <c r="AL198" s="2"/>
    </row>
    <row r="199" ht="15.75" customHeight="1">
      <c r="A199" s="4"/>
      <c r="B199" s="4"/>
      <c r="C199" s="4"/>
      <c r="D199" s="4"/>
      <c r="E199" s="6"/>
      <c r="F199" s="4"/>
      <c r="G199" s="4"/>
      <c r="H199" s="4"/>
      <c r="I199" s="4"/>
      <c r="J199" s="4"/>
      <c r="K199" s="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2"/>
      <c r="AK199" s="2"/>
      <c r="AL199" s="2"/>
    </row>
    <row r="200" ht="15.75" customHeight="1">
      <c r="A200" s="4"/>
      <c r="B200" s="4"/>
      <c r="C200" s="4"/>
      <c r="D200" s="4"/>
      <c r="E200" s="6"/>
      <c r="F200" s="4"/>
      <c r="G200" s="4"/>
      <c r="H200" s="4"/>
      <c r="I200" s="4"/>
      <c r="J200" s="4"/>
      <c r="K200" s="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2"/>
      <c r="AK200" s="2"/>
      <c r="AL200" s="2"/>
    </row>
    <row r="201" ht="15.75" customHeight="1">
      <c r="A201" s="4"/>
      <c r="B201" s="4"/>
      <c r="C201" s="4"/>
      <c r="D201" s="4"/>
      <c r="E201" s="6"/>
      <c r="F201" s="4"/>
      <c r="G201" s="4"/>
      <c r="H201" s="4"/>
      <c r="I201" s="4"/>
      <c r="J201" s="4"/>
      <c r="K201" s="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2"/>
      <c r="AK201" s="2"/>
      <c r="AL201" s="2"/>
    </row>
    <row r="202" ht="15.75" customHeight="1">
      <c r="A202" s="4"/>
      <c r="B202" s="4"/>
      <c r="C202" s="4"/>
      <c r="D202" s="4"/>
      <c r="E202" s="6"/>
      <c r="F202" s="4"/>
      <c r="G202" s="4"/>
      <c r="H202" s="4"/>
      <c r="I202" s="4"/>
      <c r="J202" s="4"/>
      <c r="K202" s="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2"/>
      <c r="AK202" s="2"/>
      <c r="AL202" s="2"/>
    </row>
    <row r="203" ht="15.75" customHeight="1">
      <c r="A203" s="4"/>
      <c r="B203" s="4"/>
      <c r="C203" s="4"/>
      <c r="D203" s="4"/>
      <c r="E203" s="6"/>
      <c r="F203" s="4"/>
      <c r="G203" s="4"/>
      <c r="H203" s="4"/>
      <c r="I203" s="4"/>
      <c r="J203" s="4"/>
      <c r="K203" s="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2"/>
      <c r="AK203" s="2"/>
      <c r="AL203" s="2"/>
    </row>
    <row r="204" ht="15.75" customHeight="1">
      <c r="A204" s="4"/>
      <c r="B204" s="4"/>
      <c r="C204" s="4"/>
      <c r="D204" s="4"/>
      <c r="E204" s="6"/>
      <c r="F204" s="4"/>
      <c r="G204" s="4"/>
      <c r="H204" s="4"/>
      <c r="I204" s="4"/>
      <c r="J204" s="4"/>
      <c r="K204" s="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2"/>
      <c r="AK204" s="2"/>
      <c r="AL204" s="2"/>
    </row>
    <row r="205" ht="15.75" customHeight="1">
      <c r="A205" s="4"/>
      <c r="B205" s="4"/>
      <c r="C205" s="4"/>
      <c r="D205" s="4"/>
      <c r="E205" s="6"/>
      <c r="F205" s="4"/>
      <c r="G205" s="4"/>
      <c r="H205" s="4"/>
      <c r="I205" s="4"/>
      <c r="J205" s="4"/>
      <c r="K205" s="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2"/>
      <c r="AK205" s="2"/>
      <c r="AL205" s="2"/>
    </row>
    <row r="206" ht="15.75" customHeight="1">
      <c r="A206" s="4"/>
      <c r="B206" s="4"/>
      <c r="C206" s="4"/>
      <c r="D206" s="4"/>
      <c r="E206" s="6"/>
      <c r="F206" s="4"/>
      <c r="G206" s="4"/>
      <c r="H206" s="4"/>
      <c r="I206" s="4"/>
      <c r="J206" s="4"/>
      <c r="K206" s="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2"/>
      <c r="AK206" s="2"/>
      <c r="AL206" s="2"/>
    </row>
    <row r="207" ht="15.75" customHeight="1">
      <c r="A207" s="4"/>
      <c r="B207" s="4"/>
      <c r="C207" s="4"/>
      <c r="D207" s="4"/>
      <c r="E207" s="6"/>
      <c r="F207" s="4"/>
      <c r="G207" s="4"/>
      <c r="H207" s="4"/>
      <c r="I207" s="4"/>
      <c r="J207" s="4"/>
      <c r="K207" s="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2"/>
      <c r="AK207" s="2"/>
      <c r="AL207" s="2"/>
    </row>
    <row r="208" ht="15.75" customHeight="1">
      <c r="A208" s="4"/>
      <c r="B208" s="4"/>
      <c r="C208" s="4"/>
      <c r="D208" s="4"/>
      <c r="E208" s="6"/>
      <c r="F208" s="4"/>
      <c r="G208" s="4"/>
      <c r="H208" s="4"/>
      <c r="I208" s="4"/>
      <c r="J208" s="4"/>
      <c r="K208" s="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2"/>
      <c r="AK208" s="2"/>
      <c r="AL208" s="2"/>
    </row>
    <row r="209" ht="15.75" customHeight="1">
      <c r="A209" s="4"/>
      <c r="B209" s="4"/>
      <c r="C209" s="4"/>
      <c r="D209" s="4"/>
      <c r="E209" s="6"/>
      <c r="F209" s="4"/>
      <c r="G209" s="4"/>
      <c r="H209" s="4"/>
      <c r="I209" s="4"/>
      <c r="J209" s="4"/>
      <c r="K209" s="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2"/>
      <c r="AK209" s="2"/>
      <c r="AL209" s="2"/>
    </row>
    <row r="210" ht="15.75" customHeight="1">
      <c r="A210" s="4"/>
      <c r="B210" s="4"/>
      <c r="C210" s="4"/>
      <c r="D210" s="4"/>
      <c r="E210" s="6"/>
      <c r="F210" s="4"/>
      <c r="G210" s="4"/>
      <c r="H210" s="4"/>
      <c r="I210" s="4"/>
      <c r="J210" s="4"/>
      <c r="K210" s="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2"/>
      <c r="AK210" s="2"/>
      <c r="AL210" s="2"/>
    </row>
    <row r="211" ht="15.75" customHeight="1">
      <c r="A211" s="4"/>
      <c r="B211" s="4"/>
      <c r="C211" s="4"/>
      <c r="D211" s="4"/>
      <c r="E211" s="6"/>
      <c r="F211" s="4"/>
      <c r="G211" s="4"/>
      <c r="H211" s="4"/>
      <c r="I211" s="4"/>
      <c r="J211" s="4"/>
      <c r="K211" s="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2"/>
      <c r="AK211" s="2"/>
      <c r="AL211" s="2"/>
    </row>
    <row r="212" ht="15.75" customHeight="1">
      <c r="A212" s="4"/>
      <c r="B212" s="4"/>
      <c r="C212" s="4"/>
      <c r="D212" s="4"/>
      <c r="E212" s="6"/>
      <c r="F212" s="4"/>
      <c r="G212" s="4"/>
      <c r="H212" s="4"/>
      <c r="I212" s="4"/>
      <c r="J212" s="4"/>
      <c r="K212" s="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2"/>
      <c r="AK212" s="2"/>
      <c r="AL212" s="2"/>
    </row>
    <row r="213" ht="15.75" customHeight="1">
      <c r="A213" s="4"/>
      <c r="B213" s="4"/>
      <c r="C213" s="4"/>
      <c r="D213" s="4"/>
      <c r="E213" s="6"/>
      <c r="F213" s="4"/>
      <c r="G213" s="4"/>
      <c r="H213" s="4"/>
      <c r="I213" s="4"/>
      <c r="J213" s="4"/>
      <c r="K213" s="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2"/>
      <c r="AK213" s="2"/>
      <c r="AL213" s="2"/>
    </row>
    <row r="214" ht="15.75" customHeight="1">
      <c r="A214" s="4"/>
      <c r="B214" s="4"/>
      <c r="C214" s="4"/>
      <c r="D214" s="4"/>
      <c r="E214" s="6"/>
      <c r="F214" s="4"/>
      <c r="G214" s="4"/>
      <c r="H214" s="4"/>
      <c r="I214" s="4"/>
      <c r="J214" s="4"/>
      <c r="K214" s="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2"/>
      <c r="AK214" s="2"/>
      <c r="AL214" s="2"/>
    </row>
    <row r="215" ht="15.75" customHeight="1">
      <c r="A215" s="4"/>
      <c r="B215" s="4"/>
      <c r="C215" s="4"/>
      <c r="D215" s="4"/>
      <c r="E215" s="6"/>
      <c r="F215" s="4"/>
      <c r="G215" s="4"/>
      <c r="H215" s="4"/>
      <c r="I215" s="4"/>
      <c r="J215" s="4"/>
      <c r="K215" s="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2"/>
      <c r="AK215" s="2"/>
      <c r="AL215" s="2"/>
    </row>
    <row r="216" ht="15.75" customHeight="1">
      <c r="A216" s="4"/>
      <c r="B216" s="4"/>
      <c r="C216" s="4"/>
      <c r="D216" s="4"/>
      <c r="E216" s="6"/>
      <c r="F216" s="4"/>
      <c r="G216" s="4"/>
      <c r="H216" s="4"/>
      <c r="I216" s="4"/>
      <c r="J216" s="4"/>
      <c r="K216" s="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2"/>
      <c r="AK216" s="2"/>
      <c r="AL216" s="2"/>
    </row>
    <row r="217" ht="15.75" customHeight="1">
      <c r="A217" s="4"/>
      <c r="B217" s="4"/>
      <c r="C217" s="4"/>
      <c r="D217" s="4"/>
      <c r="E217" s="6"/>
      <c r="F217" s="4"/>
      <c r="G217" s="4"/>
      <c r="H217" s="4"/>
      <c r="I217" s="4"/>
      <c r="J217" s="4"/>
      <c r="K217" s="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2"/>
      <c r="AK217" s="2"/>
      <c r="AL217" s="2"/>
    </row>
    <row r="218" ht="15.75" customHeight="1">
      <c r="A218" s="4"/>
      <c r="B218" s="4"/>
      <c r="C218" s="4"/>
      <c r="D218" s="4"/>
      <c r="E218" s="6"/>
      <c r="F218" s="4"/>
      <c r="G218" s="4"/>
      <c r="H218" s="4"/>
      <c r="I218" s="4"/>
      <c r="J218" s="4"/>
      <c r="K218" s="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2"/>
      <c r="AK218" s="2"/>
      <c r="AL218" s="2"/>
    </row>
    <row r="219" ht="15.75" customHeight="1">
      <c r="A219" s="4"/>
      <c r="B219" s="4"/>
      <c r="C219" s="4"/>
      <c r="D219" s="4"/>
      <c r="E219" s="6"/>
      <c r="F219" s="4"/>
      <c r="G219" s="4"/>
      <c r="H219" s="4"/>
      <c r="I219" s="4"/>
      <c r="J219" s="4"/>
      <c r="K219" s="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2"/>
      <c r="AK219" s="2"/>
      <c r="AL219" s="2"/>
    </row>
    <row r="220" ht="15.75" customHeight="1">
      <c r="A220" s="4"/>
      <c r="B220" s="4"/>
      <c r="C220" s="4"/>
      <c r="D220" s="4"/>
      <c r="E220" s="6"/>
      <c r="F220" s="4"/>
      <c r="G220" s="4"/>
      <c r="H220" s="4"/>
      <c r="I220" s="4"/>
      <c r="J220" s="4"/>
      <c r="K220" s="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2"/>
      <c r="AK220" s="2"/>
      <c r="AL220" s="2"/>
    </row>
    <row r="221" ht="15.75" customHeight="1">
      <c r="A221" s="4"/>
      <c r="B221" s="4"/>
      <c r="C221" s="4"/>
      <c r="D221" s="4"/>
      <c r="E221" s="6"/>
      <c r="F221" s="4"/>
      <c r="G221" s="4"/>
      <c r="H221" s="4"/>
      <c r="I221" s="4"/>
      <c r="J221" s="4"/>
      <c r="K221" s="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2"/>
      <c r="AK221" s="2"/>
      <c r="AL221" s="2"/>
    </row>
    <row r="222" ht="15.75" customHeight="1">
      <c r="A222" s="4"/>
      <c r="B222" s="4"/>
      <c r="C222" s="4"/>
      <c r="D222" s="4"/>
      <c r="E222" s="6"/>
      <c r="F222" s="4"/>
      <c r="G222" s="4"/>
      <c r="H222" s="4"/>
      <c r="I222" s="4"/>
      <c r="J222" s="4"/>
      <c r="K222" s="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2"/>
      <c r="AK222" s="2"/>
      <c r="AL222" s="2"/>
    </row>
    <row r="223" ht="15.75" customHeight="1">
      <c r="A223" s="4"/>
      <c r="B223" s="4"/>
      <c r="C223" s="4"/>
      <c r="D223" s="4"/>
      <c r="E223" s="6"/>
      <c r="F223" s="4"/>
      <c r="G223" s="4"/>
      <c r="H223" s="4"/>
      <c r="I223" s="4"/>
      <c r="J223" s="4"/>
      <c r="K223" s="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2"/>
      <c r="AK223" s="2"/>
      <c r="AL223" s="2"/>
    </row>
    <row r="224" ht="15.75" customHeight="1">
      <c r="A224" s="4"/>
      <c r="B224" s="4"/>
      <c r="C224" s="4"/>
      <c r="D224" s="4"/>
      <c r="E224" s="6"/>
      <c r="F224" s="4"/>
      <c r="G224" s="4"/>
      <c r="H224" s="4"/>
      <c r="I224" s="4"/>
      <c r="J224" s="4"/>
      <c r="K224" s="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2"/>
      <c r="AK224" s="2"/>
      <c r="AL224" s="2"/>
    </row>
    <row r="225" ht="15.75" customHeight="1">
      <c r="A225" s="4"/>
      <c r="B225" s="4"/>
      <c r="C225" s="4"/>
      <c r="D225" s="4"/>
      <c r="E225" s="6"/>
      <c r="F225" s="4"/>
      <c r="G225" s="4"/>
      <c r="H225" s="4"/>
      <c r="I225" s="4"/>
      <c r="J225" s="4"/>
      <c r="K225" s="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2"/>
      <c r="AK225" s="2"/>
      <c r="AL225" s="2"/>
    </row>
    <row r="226" ht="15.75" customHeight="1">
      <c r="A226" s="4"/>
      <c r="B226" s="4"/>
      <c r="C226" s="4"/>
      <c r="D226" s="4"/>
      <c r="E226" s="6"/>
      <c r="F226" s="4"/>
      <c r="G226" s="4"/>
      <c r="H226" s="4"/>
      <c r="I226" s="4"/>
      <c r="J226" s="4"/>
      <c r="K226" s="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2"/>
      <c r="AK226" s="2"/>
      <c r="AL226" s="2"/>
    </row>
    <row r="227" ht="15.75" customHeight="1">
      <c r="A227" s="4"/>
      <c r="B227" s="4"/>
      <c r="C227" s="4"/>
      <c r="D227" s="4"/>
      <c r="E227" s="6"/>
      <c r="F227" s="4"/>
      <c r="G227" s="4"/>
      <c r="H227" s="4"/>
      <c r="I227" s="4"/>
      <c r="J227" s="4"/>
      <c r="K227" s="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2"/>
      <c r="AK227" s="2"/>
      <c r="AL227" s="2"/>
    </row>
    <row r="228" ht="15.75" customHeight="1">
      <c r="A228" s="4"/>
      <c r="B228" s="4"/>
      <c r="C228" s="4"/>
      <c r="D228" s="4"/>
      <c r="E228" s="6"/>
      <c r="F228" s="4"/>
      <c r="G228" s="4"/>
      <c r="H228" s="4"/>
      <c r="I228" s="4"/>
      <c r="J228" s="4"/>
      <c r="K228" s="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2"/>
      <c r="AK228" s="2"/>
      <c r="AL228" s="2"/>
    </row>
    <row r="229" ht="15.75" customHeight="1">
      <c r="A229" s="4"/>
      <c r="B229" s="4"/>
      <c r="C229" s="4"/>
      <c r="D229" s="4"/>
      <c r="E229" s="6"/>
      <c r="F229" s="4"/>
      <c r="G229" s="4"/>
      <c r="H229" s="4"/>
      <c r="I229" s="4"/>
      <c r="J229" s="4"/>
      <c r="K229" s="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2"/>
      <c r="AK229" s="2"/>
      <c r="AL229" s="2"/>
    </row>
    <row r="230" ht="15.75" customHeight="1">
      <c r="A230" s="4"/>
      <c r="B230" s="4"/>
      <c r="C230" s="4"/>
      <c r="D230" s="4"/>
      <c r="E230" s="6"/>
      <c r="F230" s="4"/>
      <c r="G230" s="4"/>
      <c r="H230" s="4"/>
      <c r="I230" s="4"/>
      <c r="J230" s="4"/>
      <c r="K230" s="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2"/>
      <c r="AK230" s="2"/>
      <c r="AL230" s="2"/>
    </row>
    <row r="231" ht="15.75" customHeight="1">
      <c r="A231" s="4"/>
      <c r="B231" s="4"/>
      <c r="C231" s="4"/>
      <c r="D231" s="4"/>
      <c r="E231" s="6"/>
      <c r="F231" s="4"/>
      <c r="G231" s="4"/>
      <c r="H231" s="4"/>
      <c r="I231" s="4"/>
      <c r="J231" s="4"/>
      <c r="K231" s="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2"/>
      <c r="AK231" s="2"/>
      <c r="AL231" s="2"/>
    </row>
    <row r="232" ht="15.75" customHeight="1">
      <c r="A232" s="4"/>
      <c r="B232" s="4"/>
      <c r="C232" s="4"/>
      <c r="D232" s="4"/>
      <c r="E232" s="6"/>
      <c r="F232" s="4"/>
      <c r="G232" s="4"/>
      <c r="H232" s="4"/>
      <c r="I232" s="4"/>
      <c r="J232" s="4"/>
      <c r="K232" s="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2"/>
      <c r="AK232" s="2"/>
      <c r="AL232" s="2"/>
    </row>
    <row r="233" ht="15.75" customHeight="1">
      <c r="A233" s="4"/>
      <c r="B233" s="4"/>
      <c r="C233" s="4"/>
      <c r="D233" s="4"/>
      <c r="E233" s="6"/>
      <c r="F233" s="4"/>
      <c r="G233" s="4"/>
      <c r="H233" s="4"/>
      <c r="I233" s="4"/>
      <c r="J233" s="4"/>
      <c r="K233" s="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2"/>
      <c r="AK233" s="2"/>
      <c r="AL233" s="2"/>
    </row>
    <row r="234" ht="15.75" customHeight="1">
      <c r="A234" s="4"/>
      <c r="B234" s="4"/>
      <c r="C234" s="4"/>
      <c r="D234" s="4"/>
      <c r="E234" s="6"/>
      <c r="F234" s="4"/>
      <c r="G234" s="4"/>
      <c r="H234" s="4"/>
      <c r="I234" s="4"/>
      <c r="J234" s="4"/>
      <c r="K234" s="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2"/>
      <c r="AK234" s="2"/>
      <c r="AL234" s="2"/>
    </row>
    <row r="235" ht="15.75" customHeight="1">
      <c r="A235" s="4"/>
      <c r="B235" s="4"/>
      <c r="C235" s="4"/>
      <c r="D235" s="4"/>
      <c r="E235" s="6"/>
      <c r="F235" s="4"/>
      <c r="G235" s="4"/>
      <c r="H235" s="4"/>
      <c r="I235" s="4"/>
      <c r="J235" s="4"/>
      <c r="K235" s="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2"/>
      <c r="AK235" s="2"/>
      <c r="AL235" s="2"/>
    </row>
    <row r="236" ht="15.75" customHeight="1">
      <c r="A236" s="4"/>
      <c r="B236" s="4"/>
      <c r="C236" s="4"/>
      <c r="D236" s="4"/>
      <c r="E236" s="6"/>
      <c r="F236" s="4"/>
      <c r="G236" s="4"/>
      <c r="H236" s="4"/>
      <c r="I236" s="4"/>
      <c r="J236" s="4"/>
      <c r="K236" s="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2"/>
      <c r="AK236" s="2"/>
      <c r="AL236" s="2"/>
    </row>
    <row r="237" ht="15.75" customHeight="1">
      <c r="A237" s="4"/>
      <c r="B237" s="4"/>
      <c r="C237" s="4"/>
      <c r="D237" s="4"/>
      <c r="E237" s="6"/>
      <c r="F237" s="4"/>
      <c r="G237" s="4"/>
      <c r="H237" s="4"/>
      <c r="I237" s="4"/>
      <c r="J237" s="4"/>
      <c r="K237" s="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2"/>
      <c r="AK237" s="2"/>
      <c r="AL237" s="2"/>
    </row>
    <row r="238" ht="15.75" customHeight="1">
      <c r="A238" s="4"/>
      <c r="B238" s="4"/>
      <c r="C238" s="4"/>
      <c r="D238" s="4"/>
      <c r="E238" s="6"/>
      <c r="F238" s="4"/>
      <c r="G238" s="4"/>
      <c r="H238" s="4"/>
      <c r="I238" s="4"/>
      <c r="J238" s="4"/>
      <c r="K238" s="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2"/>
      <c r="AK238" s="2"/>
      <c r="AL238" s="2"/>
    </row>
    <row r="239" ht="15.75" customHeight="1">
      <c r="A239" s="4"/>
      <c r="B239" s="4"/>
      <c r="C239" s="4"/>
      <c r="D239" s="4"/>
      <c r="E239" s="6"/>
      <c r="F239" s="4"/>
      <c r="G239" s="4"/>
      <c r="H239" s="4"/>
      <c r="I239" s="4"/>
      <c r="J239" s="4"/>
      <c r="K239" s="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2"/>
      <c r="AK239" s="2"/>
      <c r="AL239" s="2"/>
    </row>
    <row r="240" ht="15.75" customHeight="1">
      <c r="A240" s="4"/>
      <c r="B240" s="4"/>
      <c r="C240" s="4"/>
      <c r="D240" s="4"/>
      <c r="E240" s="6"/>
      <c r="F240" s="4"/>
      <c r="G240" s="4"/>
      <c r="H240" s="4"/>
      <c r="I240" s="4"/>
      <c r="J240" s="4"/>
      <c r="K240" s="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2"/>
      <c r="AK240" s="2"/>
      <c r="AL240" s="2"/>
    </row>
    <row r="241" ht="15.75" customHeight="1">
      <c r="A241" s="4"/>
      <c r="B241" s="4"/>
      <c r="C241" s="4"/>
      <c r="D241" s="4"/>
      <c r="E241" s="6"/>
      <c r="F241" s="4"/>
      <c r="G241" s="4"/>
      <c r="H241" s="4"/>
      <c r="I241" s="4"/>
      <c r="J241" s="4"/>
      <c r="K241" s="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2"/>
      <c r="AK241" s="2"/>
      <c r="AL241" s="2"/>
    </row>
    <row r="242" ht="15.75" customHeight="1">
      <c r="A242" s="4"/>
      <c r="B242" s="4"/>
      <c r="C242" s="4"/>
      <c r="D242" s="4"/>
      <c r="E242" s="6"/>
      <c r="F242" s="4"/>
      <c r="G242" s="4"/>
      <c r="H242" s="4"/>
      <c r="I242" s="4"/>
      <c r="J242" s="4"/>
      <c r="K242" s="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2"/>
      <c r="AK242" s="2"/>
      <c r="AL242" s="2"/>
    </row>
    <row r="243" ht="15.75" customHeight="1">
      <c r="A243" s="4"/>
      <c r="B243" s="4"/>
      <c r="C243" s="4"/>
      <c r="D243" s="4"/>
      <c r="E243" s="6"/>
      <c r="F243" s="4"/>
      <c r="G243" s="4"/>
      <c r="H243" s="4"/>
      <c r="I243" s="4"/>
      <c r="J243" s="4"/>
      <c r="K243" s="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2"/>
      <c r="AK243" s="2"/>
      <c r="AL243" s="2"/>
    </row>
    <row r="244" ht="15.75" customHeight="1">
      <c r="A244" s="4"/>
      <c r="B244" s="4"/>
      <c r="C244" s="4"/>
      <c r="D244" s="4"/>
      <c r="E244" s="6"/>
      <c r="F244" s="4"/>
      <c r="G244" s="4"/>
      <c r="H244" s="4"/>
      <c r="I244" s="4"/>
      <c r="J244" s="4"/>
      <c r="K244" s="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2"/>
      <c r="AK244" s="2"/>
      <c r="AL244" s="2"/>
    </row>
    <row r="245" ht="15.75" customHeight="1">
      <c r="A245" s="4"/>
      <c r="B245" s="4"/>
      <c r="C245" s="4"/>
      <c r="D245" s="4"/>
      <c r="E245" s="6"/>
      <c r="F245" s="4"/>
      <c r="G245" s="4"/>
      <c r="H245" s="4"/>
      <c r="I245" s="4"/>
      <c r="J245" s="4"/>
      <c r="K245" s="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2"/>
      <c r="AK245" s="2"/>
      <c r="AL245" s="2"/>
    </row>
    <row r="246" ht="15.75" customHeight="1">
      <c r="A246" s="4"/>
      <c r="B246" s="4"/>
      <c r="C246" s="4"/>
      <c r="D246" s="4"/>
      <c r="E246" s="6"/>
      <c r="F246" s="4"/>
      <c r="G246" s="4"/>
      <c r="H246" s="4"/>
      <c r="I246" s="4"/>
      <c r="J246" s="4"/>
      <c r="K246" s="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2"/>
      <c r="AK246" s="2"/>
      <c r="AL246" s="2"/>
    </row>
    <row r="247" ht="15.75" customHeight="1">
      <c r="A247" s="4"/>
      <c r="B247" s="4"/>
      <c r="C247" s="4"/>
      <c r="D247" s="4"/>
      <c r="E247" s="6"/>
      <c r="F247" s="4"/>
      <c r="G247" s="4"/>
      <c r="H247" s="4"/>
      <c r="I247" s="4"/>
      <c r="J247" s="4"/>
      <c r="K247" s="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2"/>
      <c r="AK247" s="2"/>
      <c r="AL247" s="2"/>
    </row>
    <row r="248" ht="15.75" customHeight="1">
      <c r="A248" s="4"/>
      <c r="B248" s="4"/>
      <c r="C248" s="4"/>
      <c r="D248" s="4"/>
      <c r="E248" s="6"/>
      <c r="F248" s="4"/>
      <c r="G248" s="4"/>
      <c r="H248" s="4"/>
      <c r="I248" s="4"/>
      <c r="J248" s="4"/>
      <c r="K248" s="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2"/>
      <c r="AK248" s="2"/>
      <c r="AL248" s="2"/>
    </row>
    <row r="249" ht="15.75" customHeight="1">
      <c r="A249" s="4"/>
      <c r="B249" s="4"/>
      <c r="C249" s="4"/>
      <c r="D249" s="4"/>
      <c r="E249" s="6"/>
      <c r="F249" s="4"/>
      <c r="G249" s="4"/>
      <c r="H249" s="4"/>
      <c r="I249" s="4"/>
      <c r="J249" s="4"/>
      <c r="K249" s="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2"/>
      <c r="AK249" s="2"/>
      <c r="AL249" s="2"/>
    </row>
    <row r="250" ht="15.75" customHeight="1">
      <c r="A250" s="4"/>
      <c r="B250" s="4"/>
      <c r="C250" s="4"/>
      <c r="D250" s="4"/>
      <c r="E250" s="6"/>
      <c r="F250" s="4"/>
      <c r="G250" s="4"/>
      <c r="H250" s="4"/>
      <c r="I250" s="4"/>
      <c r="J250" s="4"/>
      <c r="K250" s="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2"/>
      <c r="AK250" s="2"/>
      <c r="AL250" s="2"/>
    </row>
    <row r="251" ht="15.75" customHeight="1">
      <c r="A251" s="4"/>
      <c r="B251" s="4"/>
      <c r="C251" s="4"/>
      <c r="D251" s="4"/>
      <c r="E251" s="6"/>
      <c r="F251" s="4"/>
      <c r="G251" s="4"/>
      <c r="H251" s="4"/>
      <c r="I251" s="4"/>
      <c r="J251" s="4"/>
      <c r="K251" s="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2"/>
      <c r="AK251" s="2"/>
      <c r="AL251" s="2"/>
    </row>
    <row r="252" ht="15.75" customHeight="1">
      <c r="A252" s="4"/>
      <c r="B252" s="4"/>
      <c r="C252" s="4"/>
      <c r="D252" s="4"/>
      <c r="E252" s="6"/>
      <c r="F252" s="4"/>
      <c r="G252" s="4"/>
      <c r="H252" s="4"/>
      <c r="I252" s="4"/>
      <c r="J252" s="4"/>
      <c r="K252" s="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2"/>
      <c r="AK252" s="2"/>
      <c r="AL252" s="2"/>
    </row>
    <row r="253" ht="15.75" customHeight="1">
      <c r="A253" s="4"/>
      <c r="B253" s="4"/>
      <c r="C253" s="4"/>
      <c r="D253" s="4"/>
      <c r="E253" s="6"/>
      <c r="F253" s="4"/>
      <c r="G253" s="4"/>
      <c r="H253" s="4"/>
      <c r="I253" s="4"/>
      <c r="J253" s="4"/>
      <c r="K253" s="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2"/>
      <c r="AK253" s="2"/>
      <c r="AL253" s="2"/>
    </row>
    <row r="254" ht="15.75" customHeight="1">
      <c r="A254" s="4"/>
      <c r="B254" s="4"/>
      <c r="C254" s="4"/>
      <c r="D254" s="4"/>
      <c r="E254" s="6"/>
      <c r="F254" s="4"/>
      <c r="G254" s="4"/>
      <c r="H254" s="4"/>
      <c r="I254" s="4"/>
      <c r="J254" s="4"/>
      <c r="K254" s="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2"/>
      <c r="AK254" s="2"/>
      <c r="AL254" s="2"/>
    </row>
    <row r="255" ht="15.75" customHeight="1">
      <c r="A255" s="4"/>
      <c r="B255" s="4"/>
      <c r="C255" s="4"/>
      <c r="D255" s="4"/>
      <c r="E255" s="6"/>
      <c r="F255" s="4"/>
      <c r="G255" s="4"/>
      <c r="H255" s="4"/>
      <c r="I255" s="4"/>
      <c r="J255" s="4"/>
      <c r="K255" s="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2"/>
      <c r="AK255" s="2"/>
      <c r="AL255" s="2"/>
    </row>
    <row r="256" ht="15.75" customHeight="1">
      <c r="A256" s="4"/>
      <c r="B256" s="4"/>
      <c r="C256" s="4"/>
      <c r="D256" s="4"/>
      <c r="E256" s="6"/>
      <c r="F256" s="4"/>
      <c r="G256" s="4"/>
      <c r="H256" s="4"/>
      <c r="I256" s="4"/>
      <c r="J256" s="4"/>
      <c r="K256" s="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2"/>
      <c r="AK256" s="2"/>
      <c r="AL256" s="2"/>
    </row>
    <row r="257" ht="15.75" customHeight="1">
      <c r="A257" s="4"/>
      <c r="B257" s="4"/>
      <c r="C257" s="4"/>
      <c r="D257" s="4"/>
      <c r="E257" s="6"/>
      <c r="F257" s="4"/>
      <c r="G257" s="4"/>
      <c r="H257" s="4"/>
      <c r="I257" s="4"/>
      <c r="J257" s="4"/>
      <c r="K257" s="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2"/>
      <c r="AK257" s="2"/>
      <c r="AL257" s="2"/>
    </row>
    <row r="258" ht="15.75" customHeight="1">
      <c r="A258" s="4"/>
      <c r="B258" s="4"/>
      <c r="C258" s="4"/>
      <c r="D258" s="4"/>
      <c r="E258" s="6"/>
      <c r="F258" s="4"/>
      <c r="G258" s="4"/>
      <c r="H258" s="4"/>
      <c r="I258" s="4"/>
      <c r="J258" s="4"/>
      <c r="K258" s="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2"/>
      <c r="AK258" s="2"/>
      <c r="AL258" s="2"/>
    </row>
    <row r="259" ht="15.75" customHeight="1">
      <c r="A259" s="4"/>
      <c r="B259" s="4"/>
      <c r="C259" s="4"/>
      <c r="D259" s="4"/>
      <c r="E259" s="6"/>
      <c r="F259" s="4"/>
      <c r="G259" s="4"/>
      <c r="H259" s="4"/>
      <c r="I259" s="4"/>
      <c r="J259" s="4"/>
      <c r="K259" s="3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2"/>
      <c r="AK259" s="2"/>
      <c r="AL259" s="2"/>
    </row>
    <row r="260" ht="15.75" customHeight="1">
      <c r="A260" s="4"/>
      <c r="B260" s="4"/>
      <c r="C260" s="4"/>
      <c r="D260" s="4"/>
      <c r="E260" s="6"/>
      <c r="F260" s="4"/>
      <c r="G260" s="4"/>
      <c r="H260" s="4"/>
      <c r="I260" s="4"/>
      <c r="J260" s="4"/>
      <c r="K260" s="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2"/>
      <c r="AK260" s="2"/>
      <c r="AL260" s="2"/>
    </row>
    <row r="261" ht="15.75" customHeight="1">
      <c r="A261" s="4"/>
      <c r="B261" s="4"/>
      <c r="C261" s="4"/>
      <c r="D261" s="4"/>
      <c r="E261" s="6"/>
      <c r="F261" s="4"/>
      <c r="G261" s="4"/>
      <c r="H261" s="4"/>
      <c r="I261" s="4"/>
      <c r="J261" s="4"/>
      <c r="K261" s="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2"/>
      <c r="AK261" s="2"/>
      <c r="AL261" s="2"/>
    </row>
    <row r="262" ht="15.75" customHeight="1">
      <c r="A262" s="4"/>
      <c r="B262" s="4"/>
      <c r="C262" s="4"/>
      <c r="D262" s="4"/>
      <c r="E262" s="6"/>
      <c r="F262" s="4"/>
      <c r="G262" s="4"/>
      <c r="H262" s="4"/>
      <c r="I262" s="4"/>
      <c r="J262" s="4"/>
      <c r="K262" s="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2"/>
      <c r="AK262" s="2"/>
      <c r="AL262" s="2"/>
    </row>
    <row r="263" ht="15.75" customHeight="1">
      <c r="A263" s="4"/>
      <c r="B263" s="4"/>
      <c r="C263" s="4"/>
      <c r="D263" s="4"/>
      <c r="E263" s="6"/>
      <c r="F263" s="4"/>
      <c r="G263" s="4"/>
      <c r="H263" s="4"/>
      <c r="I263" s="4"/>
      <c r="J263" s="4"/>
      <c r="K263" s="3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2"/>
      <c r="AK263" s="2"/>
      <c r="AL263" s="2"/>
    </row>
    <row r="264" ht="15.75" customHeight="1">
      <c r="A264" s="4"/>
      <c r="B264" s="4"/>
      <c r="C264" s="4"/>
      <c r="D264" s="4"/>
      <c r="E264" s="6"/>
      <c r="F264" s="4"/>
      <c r="G264" s="4"/>
      <c r="H264" s="4"/>
      <c r="I264" s="4"/>
      <c r="J264" s="4"/>
      <c r="K264" s="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2"/>
      <c r="AK264" s="2"/>
      <c r="AL264" s="2"/>
    </row>
    <row r="265" ht="15.75" customHeight="1">
      <c r="A265" s="4"/>
      <c r="B265" s="4"/>
      <c r="C265" s="4"/>
      <c r="D265" s="4"/>
      <c r="E265" s="6"/>
      <c r="F265" s="4"/>
      <c r="G265" s="4"/>
      <c r="H265" s="4"/>
      <c r="I265" s="4"/>
      <c r="J265" s="4"/>
      <c r="K265" s="3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2"/>
      <c r="AK265" s="2"/>
      <c r="AL265" s="2"/>
    </row>
    <row r="266" ht="15.75" customHeight="1">
      <c r="A266" s="4"/>
      <c r="B266" s="4"/>
      <c r="C266" s="4"/>
      <c r="D266" s="4"/>
      <c r="E266" s="6"/>
      <c r="F266" s="4"/>
      <c r="G266" s="4"/>
      <c r="H266" s="4"/>
      <c r="I266" s="4"/>
      <c r="J266" s="4"/>
      <c r="K266" s="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2"/>
      <c r="AK266" s="2"/>
      <c r="AL266" s="2"/>
    </row>
    <row r="267" ht="15.75" customHeight="1">
      <c r="A267" s="4"/>
      <c r="B267" s="4"/>
      <c r="C267" s="4"/>
      <c r="D267" s="4"/>
      <c r="E267" s="6"/>
      <c r="F267" s="4"/>
      <c r="G267" s="4"/>
      <c r="H267" s="4"/>
      <c r="I267" s="4"/>
      <c r="J267" s="4"/>
      <c r="K267" s="3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2"/>
      <c r="AK267" s="2"/>
      <c r="AL267" s="2"/>
    </row>
    <row r="268" ht="15.75" customHeight="1">
      <c r="A268" s="4"/>
      <c r="B268" s="4"/>
      <c r="C268" s="4"/>
      <c r="D268" s="4"/>
      <c r="E268" s="6"/>
      <c r="F268" s="4"/>
      <c r="G268" s="4"/>
      <c r="H268" s="4"/>
      <c r="I268" s="4"/>
      <c r="J268" s="4"/>
      <c r="K268" s="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2"/>
      <c r="AK268" s="2"/>
      <c r="AL268" s="2"/>
    </row>
    <row r="269" ht="15.75" customHeight="1">
      <c r="A269" s="4"/>
      <c r="B269" s="4"/>
      <c r="C269" s="4"/>
      <c r="D269" s="4"/>
      <c r="E269" s="6"/>
      <c r="F269" s="4"/>
      <c r="G269" s="4"/>
      <c r="H269" s="4"/>
      <c r="I269" s="4"/>
      <c r="J269" s="4"/>
      <c r="K269" s="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2"/>
      <c r="AK269" s="2"/>
      <c r="AL269" s="2"/>
    </row>
    <row r="270" ht="15.75" customHeight="1">
      <c r="A270" s="4"/>
      <c r="B270" s="4"/>
      <c r="C270" s="4"/>
      <c r="D270" s="4"/>
      <c r="E270" s="6"/>
      <c r="F270" s="4"/>
      <c r="G270" s="4"/>
      <c r="H270" s="4"/>
      <c r="I270" s="4"/>
      <c r="J270" s="4"/>
      <c r="K270" s="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2"/>
      <c r="AK270" s="2"/>
      <c r="AL270" s="2"/>
    </row>
    <row r="271" ht="15.75" customHeight="1">
      <c r="A271" s="4"/>
      <c r="B271" s="4"/>
      <c r="C271" s="4"/>
      <c r="D271" s="4"/>
      <c r="E271" s="6"/>
      <c r="F271" s="4"/>
      <c r="G271" s="4"/>
      <c r="H271" s="4"/>
      <c r="I271" s="4"/>
      <c r="J271" s="4"/>
      <c r="K271" s="3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2"/>
      <c r="AK271" s="2"/>
      <c r="AL271" s="2"/>
    </row>
    <row r="272" ht="15.75" customHeight="1">
      <c r="A272" s="4"/>
      <c r="B272" s="4"/>
      <c r="C272" s="4"/>
      <c r="D272" s="4"/>
      <c r="E272" s="6"/>
      <c r="F272" s="4"/>
      <c r="G272" s="4"/>
      <c r="H272" s="4"/>
      <c r="I272" s="4"/>
      <c r="J272" s="4"/>
      <c r="K272" s="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2"/>
      <c r="AK272" s="2"/>
      <c r="AL272" s="2"/>
    </row>
    <row r="273" ht="15.75" customHeight="1">
      <c r="A273" s="4"/>
      <c r="B273" s="4"/>
      <c r="C273" s="4"/>
      <c r="D273" s="4"/>
      <c r="E273" s="6"/>
      <c r="F273" s="4"/>
      <c r="G273" s="4"/>
      <c r="H273" s="4"/>
      <c r="I273" s="4"/>
      <c r="J273" s="4"/>
      <c r="K273" s="3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2"/>
      <c r="AK273" s="2"/>
      <c r="AL273" s="2"/>
    </row>
    <row r="274" ht="15.75" customHeight="1">
      <c r="A274" s="4"/>
      <c r="B274" s="4"/>
      <c r="C274" s="4"/>
      <c r="D274" s="4"/>
      <c r="E274" s="6"/>
      <c r="F274" s="4"/>
      <c r="G274" s="4"/>
      <c r="H274" s="4"/>
      <c r="I274" s="4"/>
      <c r="J274" s="4"/>
      <c r="K274" s="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2"/>
      <c r="AK274" s="2"/>
      <c r="AL274" s="2"/>
    </row>
    <row r="275" ht="15.75" customHeight="1">
      <c r="A275" s="4"/>
      <c r="B275" s="4"/>
      <c r="C275" s="4"/>
      <c r="D275" s="4"/>
      <c r="E275" s="6"/>
      <c r="F275" s="4"/>
      <c r="G275" s="4"/>
      <c r="H275" s="4"/>
      <c r="I275" s="4"/>
      <c r="J275" s="4"/>
      <c r="K275" s="3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2"/>
      <c r="AK275" s="2"/>
      <c r="AL275" s="2"/>
    </row>
    <row r="276" ht="15.75" customHeight="1">
      <c r="A276" s="4"/>
      <c r="B276" s="4"/>
      <c r="C276" s="4"/>
      <c r="D276" s="4"/>
      <c r="E276" s="6"/>
      <c r="F276" s="4"/>
      <c r="G276" s="4"/>
      <c r="H276" s="4"/>
      <c r="I276" s="4"/>
      <c r="J276" s="4"/>
      <c r="K276" s="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2"/>
      <c r="AK276" s="2"/>
      <c r="AL276" s="2"/>
    </row>
    <row r="277" ht="15.75" customHeight="1">
      <c r="A277" s="4"/>
      <c r="B277" s="4"/>
      <c r="C277" s="4"/>
      <c r="D277" s="4"/>
      <c r="E277" s="6"/>
      <c r="F277" s="4"/>
      <c r="G277" s="4"/>
      <c r="H277" s="4"/>
      <c r="I277" s="4"/>
      <c r="J277" s="4"/>
      <c r="K277" s="3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2"/>
      <c r="AK277" s="2"/>
      <c r="AL277" s="2"/>
    </row>
    <row r="278" ht="15.75" customHeight="1">
      <c r="A278" s="4"/>
      <c r="B278" s="4"/>
      <c r="C278" s="4"/>
      <c r="D278" s="4"/>
      <c r="E278" s="6"/>
      <c r="F278" s="4"/>
      <c r="G278" s="4"/>
      <c r="H278" s="4"/>
      <c r="I278" s="4"/>
      <c r="J278" s="4"/>
      <c r="K278" s="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2"/>
      <c r="AK278" s="2"/>
      <c r="AL278" s="2"/>
    </row>
    <row r="279" ht="15.75" customHeight="1">
      <c r="A279" s="4"/>
      <c r="B279" s="4"/>
      <c r="C279" s="4"/>
      <c r="D279" s="4"/>
      <c r="E279" s="6"/>
      <c r="F279" s="4"/>
      <c r="G279" s="4"/>
      <c r="H279" s="4"/>
      <c r="I279" s="4"/>
      <c r="J279" s="4"/>
      <c r="K279" s="3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2"/>
      <c r="AK279" s="2"/>
      <c r="AL279" s="2"/>
    </row>
    <row r="280" ht="15.75" customHeight="1">
      <c r="A280" s="4"/>
      <c r="B280" s="4"/>
      <c r="C280" s="4"/>
      <c r="D280" s="4"/>
      <c r="E280" s="6"/>
      <c r="F280" s="4"/>
      <c r="G280" s="4"/>
      <c r="H280" s="4"/>
      <c r="I280" s="4"/>
      <c r="J280" s="4"/>
      <c r="K280" s="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2"/>
      <c r="AK280" s="2"/>
      <c r="AL280" s="2"/>
    </row>
    <row r="281" ht="15.75" customHeight="1">
      <c r="A281" s="4"/>
      <c r="B281" s="4"/>
      <c r="C281" s="4"/>
      <c r="D281" s="4"/>
      <c r="E281" s="6"/>
      <c r="F281" s="4"/>
      <c r="G281" s="4"/>
      <c r="H281" s="4"/>
      <c r="I281" s="4"/>
      <c r="J281" s="4"/>
      <c r="K281" s="3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2"/>
      <c r="AK281" s="2"/>
      <c r="AL281" s="2"/>
    </row>
    <row r="282" ht="15.75" customHeight="1">
      <c r="A282" s="4"/>
      <c r="B282" s="4"/>
      <c r="C282" s="4"/>
      <c r="D282" s="4"/>
      <c r="E282" s="6"/>
      <c r="F282" s="4"/>
      <c r="G282" s="4"/>
      <c r="H282" s="4"/>
      <c r="I282" s="4"/>
      <c r="J282" s="4"/>
      <c r="K282" s="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2"/>
      <c r="AK282" s="2"/>
      <c r="AL282" s="2"/>
    </row>
    <row r="283" ht="15.75" customHeight="1">
      <c r="A283" s="4"/>
      <c r="B283" s="4"/>
      <c r="C283" s="4"/>
      <c r="D283" s="4"/>
      <c r="E283" s="6"/>
      <c r="F283" s="4"/>
      <c r="G283" s="4"/>
      <c r="H283" s="4"/>
      <c r="I283" s="4"/>
      <c r="J283" s="4"/>
      <c r="K283" s="3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2"/>
      <c r="AK283" s="2"/>
      <c r="AL283" s="2"/>
    </row>
    <row r="284" ht="15.75" customHeight="1">
      <c r="A284" s="4"/>
      <c r="B284" s="4"/>
      <c r="C284" s="4"/>
      <c r="D284" s="4"/>
      <c r="E284" s="6"/>
      <c r="F284" s="4"/>
      <c r="G284" s="4"/>
      <c r="H284" s="4"/>
      <c r="I284" s="4"/>
      <c r="J284" s="4"/>
      <c r="K284" s="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2"/>
      <c r="AK284" s="2"/>
      <c r="AL284" s="2"/>
    </row>
    <row r="285" ht="15.75" customHeight="1">
      <c r="A285" s="4"/>
      <c r="B285" s="4"/>
      <c r="C285" s="4"/>
      <c r="D285" s="4"/>
      <c r="E285" s="6"/>
      <c r="F285" s="4"/>
      <c r="G285" s="4"/>
      <c r="H285" s="4"/>
      <c r="I285" s="4"/>
      <c r="J285" s="4"/>
      <c r="K285" s="3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2"/>
      <c r="AK285" s="2"/>
      <c r="AL285" s="2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2"/>
      <c r="AK286" s="2"/>
      <c r="AL286" s="2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3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2"/>
      <c r="AK287" s="2"/>
      <c r="AL287" s="2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2"/>
      <c r="AK288" s="2"/>
      <c r="AL288" s="2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3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2"/>
      <c r="AK289" s="2"/>
      <c r="AL289" s="2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2"/>
      <c r="AK290" s="2"/>
      <c r="AL290" s="2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3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2"/>
      <c r="AK291" s="2"/>
      <c r="AL291" s="2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2"/>
      <c r="AK292" s="2"/>
      <c r="AL292" s="2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2"/>
      <c r="AK293" s="2"/>
      <c r="AL293" s="2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2"/>
      <c r="AK294" s="2"/>
      <c r="AL294" s="2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3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2"/>
      <c r="AK295" s="2"/>
      <c r="AL295" s="2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2"/>
      <c r="AK296" s="2"/>
      <c r="AL296" s="2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3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2"/>
      <c r="AK297" s="2"/>
      <c r="AL297" s="2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2"/>
      <c r="AK298" s="2"/>
      <c r="AL298" s="2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3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2"/>
      <c r="AK299" s="2"/>
      <c r="AL299" s="2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2"/>
      <c r="AK300" s="2"/>
      <c r="AL300" s="2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3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2"/>
      <c r="AK301" s="2"/>
      <c r="AL301" s="2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2"/>
      <c r="AK302" s="2"/>
      <c r="AL302" s="2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3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2"/>
      <c r="AK303" s="2"/>
      <c r="AL303" s="2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2"/>
      <c r="AK304" s="2"/>
      <c r="AL304" s="2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3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2"/>
      <c r="AK305" s="2"/>
      <c r="AL305" s="2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2"/>
      <c r="AK306" s="2"/>
      <c r="AL306" s="2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3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2"/>
      <c r="AK307" s="2"/>
      <c r="AL307" s="2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2"/>
      <c r="AK308" s="2"/>
      <c r="AL308" s="2"/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G12:G14"/>
    <mergeCell ref="D18:D19"/>
    <mergeCell ref="E18:E19"/>
    <mergeCell ref="F18:F19"/>
    <mergeCell ref="J18:J19"/>
    <mergeCell ref="F45:F46"/>
    <mergeCell ref="G45:G46"/>
    <mergeCell ref="I45:I46"/>
    <mergeCell ref="G47:G50"/>
    <mergeCell ref="D53:F53"/>
    <mergeCell ref="A60:C60"/>
    <mergeCell ref="A61:C61"/>
    <mergeCell ref="G16:G23"/>
    <mergeCell ref="G25:G31"/>
    <mergeCell ref="G37:G39"/>
    <mergeCell ref="G42:G44"/>
    <mergeCell ref="C45:C46"/>
    <mergeCell ref="D45:D46"/>
    <mergeCell ref="E45:E46"/>
  </mergeCells>
  <printOptions/>
  <pageMargins bottom="0.4096133751306165" footer="0.0" header="0.0" left="0.2633228840125392" right="0.2362204724409449" top="0.1755485893416928"/>
  <pageSetup fitToHeight="0" paperSize="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9.13"/>
    <col customWidth="1" min="3" max="3" width="61.13"/>
    <col customWidth="1" min="4" max="4" width="11.63"/>
    <col customWidth="1" min="5" max="5" width="11.75"/>
    <col customWidth="1" min="6" max="6" width="12.75"/>
    <col customWidth="1" min="7" max="7" width="29.88"/>
    <col customWidth="1" min="8" max="8" width="10.38"/>
    <col customWidth="1" min="9" max="10" width="7.63"/>
    <col customWidth="1" min="11" max="11" width="6.25"/>
    <col customWidth="1" hidden="1" min="12" max="14" width="8.38"/>
    <col customWidth="1" hidden="1" min="15" max="16" width="7.63"/>
    <col customWidth="1" hidden="1" min="17" max="17" width="11.38"/>
    <col customWidth="1" hidden="1" min="18" max="19" width="7.63"/>
    <col customWidth="1" hidden="1" min="20" max="20" width="10.25"/>
    <col customWidth="1" hidden="1" min="21" max="21" width="9.25"/>
    <col customWidth="1" hidden="1" min="22" max="22" width="7.63"/>
    <col customWidth="1" hidden="1" min="23" max="23" width="9.5"/>
    <col customWidth="1" hidden="1" min="24" max="24" width="9.88"/>
    <col customWidth="1" hidden="1" min="25" max="25" width="11.25"/>
    <col customWidth="1" hidden="1" min="26" max="37" width="12.63"/>
  </cols>
  <sheetData>
    <row r="1" ht="15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2"/>
      <c r="AJ1" s="203"/>
      <c r="AK1" s="203"/>
      <c r="AL1" s="203"/>
    </row>
    <row r="2" ht="15.75" customHeight="1">
      <c r="A2" s="204" t="s">
        <v>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2"/>
      <c r="AJ2" s="203"/>
      <c r="AK2" s="203"/>
      <c r="AL2" s="203"/>
    </row>
    <row r="3" ht="15.75" customHeight="1">
      <c r="A3" s="205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2"/>
      <c r="AJ3" s="203"/>
      <c r="AK3" s="203"/>
      <c r="AL3" s="203"/>
    </row>
    <row r="4" ht="15.75" customHeight="1">
      <c r="A4" s="206" t="s">
        <v>2</v>
      </c>
      <c r="B4" s="207"/>
      <c r="C4" s="207"/>
      <c r="D4" s="207"/>
      <c r="E4" s="208"/>
      <c r="F4" s="207"/>
      <c r="G4" s="207"/>
      <c r="H4" s="207"/>
      <c r="I4" s="207"/>
      <c r="J4" s="207"/>
      <c r="K4" s="209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3"/>
      <c r="AK4" s="203"/>
      <c r="AL4" s="203"/>
    </row>
    <row r="5" ht="15.75" customHeight="1">
      <c r="A5" s="207"/>
      <c r="B5" s="207"/>
      <c r="C5" s="207"/>
      <c r="D5" s="207"/>
      <c r="E5" s="208"/>
      <c r="F5" s="210"/>
      <c r="G5" s="207"/>
      <c r="H5" s="207"/>
      <c r="I5" s="207"/>
      <c r="J5" s="207"/>
      <c r="K5" s="209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3"/>
      <c r="AK5" s="203"/>
      <c r="AL5" s="203"/>
    </row>
    <row r="6" ht="15.75" customHeight="1">
      <c r="A6" s="206" t="s">
        <v>3</v>
      </c>
      <c r="B6" s="207"/>
      <c r="C6" s="207"/>
      <c r="D6" s="207"/>
      <c r="E6" s="208"/>
      <c r="F6" s="210"/>
      <c r="G6" s="207"/>
      <c r="H6" s="207"/>
      <c r="I6" s="207"/>
      <c r="J6" s="207"/>
      <c r="K6" s="209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3"/>
      <c r="AK6" s="203"/>
      <c r="AL6" s="203"/>
    </row>
    <row r="7" ht="15.75" customHeight="1">
      <c r="A7" s="211" t="s">
        <v>4</v>
      </c>
      <c r="B7" s="212"/>
      <c r="C7" s="212"/>
      <c r="D7" s="212"/>
      <c r="E7" s="213"/>
      <c r="F7" s="214"/>
      <c r="G7" s="212"/>
      <c r="H7" s="212"/>
      <c r="I7" s="212"/>
      <c r="J7" s="212"/>
      <c r="K7" s="215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03"/>
      <c r="AK7" s="203"/>
      <c r="AL7" s="203"/>
    </row>
    <row r="8" ht="22.5" customHeight="1">
      <c r="A8" s="216" t="s">
        <v>5</v>
      </c>
      <c r="B8" s="217" t="s">
        <v>6</v>
      </c>
      <c r="C8" s="218" t="s">
        <v>7</v>
      </c>
      <c r="D8" s="219" t="s">
        <v>8</v>
      </c>
      <c r="E8" s="218" t="s">
        <v>9</v>
      </c>
      <c r="F8" s="220" t="s">
        <v>10</v>
      </c>
      <c r="G8" s="217" t="s">
        <v>11</v>
      </c>
      <c r="H8" s="217" t="s">
        <v>12</v>
      </c>
      <c r="I8" s="221" t="s">
        <v>13</v>
      </c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222"/>
      <c r="AI8" s="223"/>
      <c r="AJ8" s="224"/>
      <c r="AK8" s="224"/>
      <c r="AL8" s="225"/>
    </row>
    <row r="9" ht="15.75" customHeight="1">
      <c r="A9" s="23"/>
      <c r="B9" s="226"/>
      <c r="C9" s="226"/>
      <c r="D9" s="227" t="s">
        <v>14</v>
      </c>
      <c r="E9" s="226"/>
      <c r="F9" s="226"/>
      <c r="G9" s="226"/>
      <c r="H9" s="226"/>
      <c r="I9" s="228" t="s">
        <v>15</v>
      </c>
      <c r="J9" s="228" t="s">
        <v>16</v>
      </c>
      <c r="K9" s="228" t="s">
        <v>17</v>
      </c>
      <c r="L9" s="229" t="s">
        <v>18</v>
      </c>
      <c r="M9" s="229" t="s">
        <v>19</v>
      </c>
      <c r="N9" s="229" t="s">
        <v>20</v>
      </c>
      <c r="O9" s="229" t="s">
        <v>21</v>
      </c>
      <c r="P9" s="229" t="s">
        <v>22</v>
      </c>
      <c r="Q9" s="229" t="s">
        <v>23</v>
      </c>
      <c r="R9" s="229" t="s">
        <v>24</v>
      </c>
      <c r="S9" s="229" t="s">
        <v>25</v>
      </c>
      <c r="T9" s="229" t="s">
        <v>26</v>
      </c>
      <c r="U9" s="229" t="s">
        <v>27</v>
      </c>
      <c r="V9" s="229" t="s">
        <v>28</v>
      </c>
      <c r="W9" s="229" t="s">
        <v>29</v>
      </c>
      <c r="X9" s="229" t="s">
        <v>30</v>
      </c>
      <c r="Y9" s="229" t="s">
        <v>31</v>
      </c>
      <c r="Z9" s="229" t="s">
        <v>32</v>
      </c>
      <c r="AA9" s="229" t="s">
        <v>33</v>
      </c>
      <c r="AB9" s="229" t="s">
        <v>34</v>
      </c>
      <c r="AC9" s="229" t="s">
        <v>35</v>
      </c>
      <c r="AD9" s="229" t="s">
        <v>36</v>
      </c>
      <c r="AE9" s="229" t="s">
        <v>37</v>
      </c>
      <c r="AF9" s="229" t="s">
        <v>38</v>
      </c>
      <c r="AG9" s="229" t="s">
        <v>39</v>
      </c>
      <c r="AH9" s="229" t="s">
        <v>40</v>
      </c>
      <c r="AI9" s="230" t="s">
        <v>41</v>
      </c>
      <c r="AJ9" s="231" t="s">
        <v>39</v>
      </c>
      <c r="AK9" s="231" t="s">
        <v>40</v>
      </c>
      <c r="AL9" s="231" t="s">
        <v>41</v>
      </c>
    </row>
    <row r="10" ht="15.75" customHeight="1">
      <c r="A10" s="232" t="s">
        <v>42</v>
      </c>
      <c r="B10" s="233" t="s">
        <v>43</v>
      </c>
      <c r="C10" s="234" t="s">
        <v>44</v>
      </c>
      <c r="D10" s="235" t="s">
        <v>45</v>
      </c>
      <c r="E10" s="234" t="s">
        <v>46</v>
      </c>
      <c r="F10" s="235" t="s">
        <v>47</v>
      </c>
      <c r="G10" s="233" t="s">
        <v>48</v>
      </c>
      <c r="H10" s="233" t="s">
        <v>49</v>
      </c>
      <c r="I10" s="233" t="s">
        <v>50</v>
      </c>
      <c r="J10" s="233" t="s">
        <v>51</v>
      </c>
      <c r="K10" s="233" t="s">
        <v>52</v>
      </c>
      <c r="L10" s="233" t="s">
        <v>53</v>
      </c>
      <c r="M10" s="233" t="s">
        <v>54</v>
      </c>
      <c r="N10" s="233" t="s">
        <v>55</v>
      </c>
      <c r="O10" s="233" t="s">
        <v>56</v>
      </c>
      <c r="P10" s="233" t="s">
        <v>57</v>
      </c>
      <c r="Q10" s="233" t="s">
        <v>58</v>
      </c>
      <c r="R10" s="233" t="s">
        <v>59</v>
      </c>
      <c r="S10" s="233" t="s">
        <v>60</v>
      </c>
      <c r="T10" s="233" t="s">
        <v>61</v>
      </c>
      <c r="U10" s="233" t="s">
        <v>62</v>
      </c>
      <c r="V10" s="233" t="s">
        <v>63</v>
      </c>
      <c r="W10" s="233" t="s">
        <v>64</v>
      </c>
      <c r="X10" s="233" t="s">
        <v>65</v>
      </c>
      <c r="Y10" s="233" t="s">
        <v>66</v>
      </c>
      <c r="Z10" s="233" t="s">
        <v>67</v>
      </c>
      <c r="AA10" s="233" t="s">
        <v>68</v>
      </c>
      <c r="AB10" s="233" t="s">
        <v>69</v>
      </c>
      <c r="AC10" s="233" t="s">
        <v>70</v>
      </c>
      <c r="AD10" s="233" t="s">
        <v>71</v>
      </c>
      <c r="AE10" s="233" t="s">
        <v>72</v>
      </c>
      <c r="AF10" s="233" t="s">
        <v>73</v>
      </c>
      <c r="AG10" s="233" t="s">
        <v>74</v>
      </c>
      <c r="AH10" s="233" t="s">
        <v>75</v>
      </c>
      <c r="AI10" s="236" t="s">
        <v>76</v>
      </c>
      <c r="AJ10" s="237" t="s">
        <v>74</v>
      </c>
      <c r="AK10" s="237" t="s">
        <v>75</v>
      </c>
      <c r="AL10" s="237" t="s">
        <v>76</v>
      </c>
    </row>
    <row r="11" ht="15.75" customHeight="1">
      <c r="A11" s="238"/>
      <c r="B11" s="177"/>
      <c r="C11" s="239" t="s">
        <v>77</v>
      </c>
      <c r="D11" s="177"/>
      <c r="E11" s="240"/>
      <c r="F11" s="241"/>
      <c r="G11" s="177"/>
      <c r="H11" s="177"/>
      <c r="I11" s="177"/>
      <c r="J11" s="177"/>
      <c r="K11" s="242"/>
      <c r="L11" s="177"/>
      <c r="M11" s="177"/>
      <c r="N11" s="177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4"/>
      <c r="AJ11" s="245"/>
      <c r="AK11" s="245"/>
      <c r="AL11" s="246"/>
    </row>
    <row r="12" ht="15.75" customHeight="1">
      <c r="A12" s="105"/>
      <c r="B12" s="153"/>
      <c r="C12" s="77" t="s">
        <v>78</v>
      </c>
      <c r="D12" s="82" t="s">
        <v>79</v>
      </c>
      <c r="E12" s="107">
        <v>50000.0</v>
      </c>
      <c r="F12" s="108">
        <v>50000.0</v>
      </c>
      <c r="G12" s="155" t="s">
        <v>80</v>
      </c>
      <c r="H12" s="82"/>
      <c r="I12" s="83"/>
      <c r="J12" s="84">
        <v>1.0</v>
      </c>
      <c r="K12" s="85"/>
      <c r="L12" s="86"/>
      <c r="M12" s="83"/>
      <c r="N12" s="87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6"/>
      <c r="AJ12" s="88"/>
      <c r="AK12" s="89"/>
      <c r="AL12" s="90"/>
    </row>
    <row r="13" ht="15.75" customHeight="1">
      <c r="A13" s="105"/>
      <c r="B13" s="153"/>
      <c r="C13" s="247" t="s">
        <v>81</v>
      </c>
      <c r="D13" s="82"/>
      <c r="E13" s="107"/>
      <c r="F13" s="108"/>
      <c r="G13" s="66"/>
      <c r="H13" s="82"/>
      <c r="I13" s="83"/>
      <c r="J13" s="84"/>
      <c r="K13" s="85"/>
      <c r="L13" s="86"/>
      <c r="M13" s="83"/>
      <c r="N13" s="87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6"/>
      <c r="AJ13" s="88"/>
      <c r="AK13" s="89"/>
      <c r="AL13" s="90"/>
    </row>
    <row r="14" ht="15.75" customHeight="1">
      <c r="A14" s="105"/>
      <c r="B14" s="153"/>
      <c r="C14" s="77" t="s">
        <v>82</v>
      </c>
      <c r="D14" s="82" t="s">
        <v>79</v>
      </c>
      <c r="E14" s="107">
        <v>500000.0</v>
      </c>
      <c r="F14" s="108">
        <v>500000.0</v>
      </c>
      <c r="G14" s="81"/>
      <c r="H14" s="82"/>
      <c r="I14" s="83"/>
      <c r="J14" s="84"/>
      <c r="K14" s="85">
        <v>1.0</v>
      </c>
      <c r="L14" s="86"/>
      <c r="M14" s="83"/>
      <c r="N14" s="87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6"/>
      <c r="AJ14" s="88"/>
      <c r="AK14" s="89"/>
      <c r="AL14" s="90"/>
    </row>
    <row r="15" ht="15.75" customHeight="1">
      <c r="A15" s="105"/>
      <c r="B15" s="106"/>
      <c r="C15" s="247" t="s">
        <v>83</v>
      </c>
      <c r="D15" s="82"/>
      <c r="E15" s="107"/>
      <c r="F15" s="108"/>
      <c r="G15" s="248"/>
      <c r="H15" s="82"/>
      <c r="I15" s="83"/>
      <c r="J15" s="84"/>
      <c r="K15" s="85"/>
      <c r="L15" s="86"/>
      <c r="M15" s="83"/>
      <c r="N15" s="87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6"/>
      <c r="AJ15" s="88"/>
      <c r="AK15" s="89"/>
      <c r="AL15" s="90"/>
    </row>
    <row r="16" ht="15.75" customHeight="1">
      <c r="A16" s="105"/>
      <c r="B16" s="153"/>
      <c r="C16" s="77" t="s">
        <v>84</v>
      </c>
      <c r="D16" s="82" t="s">
        <v>85</v>
      </c>
      <c r="E16" s="107">
        <v>2100.0</v>
      </c>
      <c r="F16" s="108">
        <v>21000.0</v>
      </c>
      <c r="G16" s="155" t="s">
        <v>80</v>
      </c>
      <c r="H16" s="82"/>
      <c r="I16" s="109"/>
      <c r="J16" s="109">
        <v>10.0</v>
      </c>
      <c r="K16" s="85"/>
      <c r="L16" s="86"/>
      <c r="M16" s="83"/>
      <c r="N16" s="87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6"/>
      <c r="AJ16" s="88"/>
      <c r="AK16" s="89"/>
      <c r="AL16" s="90"/>
    </row>
    <row r="17" ht="15.75" customHeight="1">
      <c r="A17" s="105"/>
      <c r="B17" s="153"/>
      <c r="C17" s="77" t="s">
        <v>86</v>
      </c>
      <c r="D17" s="82" t="s">
        <v>87</v>
      </c>
      <c r="E17" s="107">
        <v>1900.0</v>
      </c>
      <c r="F17" s="108">
        <v>19000.0</v>
      </c>
      <c r="G17" s="66"/>
      <c r="H17" s="82"/>
      <c r="I17" s="109"/>
      <c r="J17" s="109">
        <v>10.0</v>
      </c>
      <c r="K17" s="85"/>
      <c r="L17" s="86"/>
      <c r="M17" s="83"/>
      <c r="N17" s="87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6"/>
      <c r="AJ17" s="88"/>
      <c r="AK17" s="89"/>
      <c r="AL17" s="90"/>
    </row>
    <row r="18" ht="15.75" customHeight="1">
      <c r="A18" s="105"/>
      <c r="B18" s="153"/>
      <c r="C18" s="77" t="s">
        <v>88</v>
      </c>
      <c r="D18" s="155" t="s">
        <v>79</v>
      </c>
      <c r="E18" s="249">
        <v>30000.0</v>
      </c>
      <c r="F18" s="250">
        <v>30000.0</v>
      </c>
      <c r="G18" s="66"/>
      <c r="H18" s="82"/>
      <c r="I18" s="109"/>
      <c r="J18" s="251">
        <v>1.0</v>
      </c>
      <c r="K18" s="85"/>
      <c r="L18" s="86"/>
      <c r="M18" s="83"/>
      <c r="N18" s="87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6"/>
      <c r="AJ18" s="88"/>
      <c r="AK18" s="89"/>
      <c r="AL18" s="90"/>
    </row>
    <row r="19" ht="15.75" customHeight="1">
      <c r="A19" s="105"/>
      <c r="B19" s="153"/>
      <c r="C19" s="77" t="s">
        <v>89</v>
      </c>
      <c r="D19" s="81"/>
      <c r="E19" s="97"/>
      <c r="F19" s="81"/>
      <c r="G19" s="66"/>
      <c r="H19" s="82"/>
      <c r="I19" s="109"/>
      <c r="J19" s="81"/>
      <c r="K19" s="85"/>
      <c r="L19" s="86"/>
      <c r="M19" s="83"/>
      <c r="N19" s="87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6"/>
      <c r="AJ19" s="88"/>
      <c r="AK19" s="89"/>
      <c r="AL19" s="90"/>
    </row>
    <row r="20" ht="15.75" customHeight="1">
      <c r="A20" s="105"/>
      <c r="B20" s="153"/>
      <c r="C20" s="77" t="s">
        <v>90</v>
      </c>
      <c r="D20" s="82" t="s">
        <v>91</v>
      </c>
      <c r="E20" s="107">
        <v>900.0</v>
      </c>
      <c r="F20" s="108">
        <f t="shared" ref="F20:F21" si="1">E20*10</f>
        <v>9000</v>
      </c>
      <c r="G20" s="66"/>
      <c r="H20" s="82"/>
      <c r="I20" s="252"/>
      <c r="J20" s="109">
        <v>10.0</v>
      </c>
      <c r="K20" s="85"/>
      <c r="L20" s="86"/>
      <c r="M20" s="83"/>
      <c r="N20" s="87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6"/>
      <c r="AJ20" s="88"/>
      <c r="AK20" s="89"/>
      <c r="AL20" s="90"/>
    </row>
    <row r="21" ht="15.75" customHeight="1">
      <c r="A21" s="105"/>
      <c r="B21" s="106"/>
      <c r="C21" s="77" t="s">
        <v>92</v>
      </c>
      <c r="D21" s="82" t="s">
        <v>93</v>
      </c>
      <c r="E21" s="107">
        <v>600.0</v>
      </c>
      <c r="F21" s="108">
        <f t="shared" si="1"/>
        <v>6000</v>
      </c>
      <c r="G21" s="66"/>
      <c r="H21" s="82"/>
      <c r="I21" s="252"/>
      <c r="J21" s="109">
        <v>10.0</v>
      </c>
      <c r="K21" s="85"/>
      <c r="L21" s="86"/>
      <c r="M21" s="83"/>
      <c r="N21" s="87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6"/>
      <c r="AJ21" s="88"/>
      <c r="AK21" s="89"/>
      <c r="AL21" s="90"/>
    </row>
    <row r="22" ht="15.75" customHeight="1">
      <c r="A22" s="105"/>
      <c r="B22" s="106"/>
      <c r="C22" s="77" t="s">
        <v>94</v>
      </c>
      <c r="D22" s="82" t="s">
        <v>95</v>
      </c>
      <c r="E22" s="253">
        <v>1500.0</v>
      </c>
      <c r="F22" s="108">
        <v>7500.0</v>
      </c>
      <c r="G22" s="66"/>
      <c r="H22" s="82"/>
      <c r="I22" s="252"/>
      <c r="J22" s="109">
        <v>5.0</v>
      </c>
      <c r="K22" s="85"/>
      <c r="L22" s="86"/>
      <c r="M22" s="83"/>
      <c r="N22" s="87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6"/>
      <c r="AJ22" s="88"/>
      <c r="AK22" s="89"/>
      <c r="AL22" s="90"/>
    </row>
    <row r="23" ht="15.75" customHeight="1">
      <c r="A23" s="105"/>
      <c r="B23" s="106"/>
      <c r="C23" s="77" t="s">
        <v>96</v>
      </c>
      <c r="D23" s="82" t="s">
        <v>91</v>
      </c>
      <c r="E23" s="107">
        <v>550.0</v>
      </c>
      <c r="F23" s="108">
        <f>E23*10</f>
        <v>5500</v>
      </c>
      <c r="G23" s="81"/>
      <c r="H23" s="82"/>
      <c r="I23" s="252"/>
      <c r="J23" s="109">
        <v>10.0</v>
      </c>
      <c r="K23" s="85"/>
      <c r="L23" s="86"/>
      <c r="M23" s="86"/>
      <c r="N23" s="87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6"/>
      <c r="AJ23" s="88"/>
      <c r="AK23" s="89"/>
      <c r="AL23" s="90"/>
    </row>
    <row r="24" ht="15.75" customHeight="1">
      <c r="A24" s="105"/>
      <c r="B24" s="106"/>
      <c r="C24" s="247" t="s">
        <v>97</v>
      </c>
      <c r="D24" s="82"/>
      <c r="E24" s="107"/>
      <c r="F24" s="108"/>
      <c r="G24" s="82"/>
      <c r="H24" s="82"/>
      <c r="I24" s="83"/>
      <c r="J24" s="109"/>
      <c r="K24" s="85"/>
      <c r="L24" s="86"/>
      <c r="M24" s="86"/>
      <c r="N24" s="87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6"/>
      <c r="AJ24" s="88"/>
      <c r="AK24" s="89"/>
      <c r="AL24" s="90"/>
    </row>
    <row r="25" ht="15.75" customHeight="1">
      <c r="A25" s="105"/>
      <c r="B25" s="106"/>
      <c r="C25" s="254" t="s">
        <v>98</v>
      </c>
      <c r="D25" s="125" t="s">
        <v>99</v>
      </c>
      <c r="E25" s="107">
        <v>2000.0</v>
      </c>
      <c r="F25" s="107">
        <f t="shared" ref="F25:F27" si="2">E25*5</f>
        <v>10000</v>
      </c>
      <c r="G25" s="155" t="s">
        <v>80</v>
      </c>
      <c r="H25" s="82"/>
      <c r="I25" s="252"/>
      <c r="J25" s="109">
        <v>5.0</v>
      </c>
      <c r="K25" s="85"/>
      <c r="L25" s="86"/>
      <c r="M25" s="86"/>
      <c r="N25" s="87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6"/>
      <c r="AJ25" s="88"/>
      <c r="AK25" s="89"/>
      <c r="AL25" s="90"/>
    </row>
    <row r="26" ht="15.75" customHeight="1">
      <c r="A26" s="105"/>
      <c r="B26" s="106"/>
      <c r="C26" s="254" t="s">
        <v>100</v>
      </c>
      <c r="D26" s="125" t="s">
        <v>99</v>
      </c>
      <c r="E26" s="107">
        <v>2000.0</v>
      </c>
      <c r="F26" s="107">
        <f t="shared" si="2"/>
        <v>10000</v>
      </c>
      <c r="G26" s="66"/>
      <c r="H26" s="82"/>
      <c r="I26" s="252"/>
      <c r="J26" s="109">
        <v>5.0</v>
      </c>
      <c r="K26" s="85"/>
      <c r="L26" s="86"/>
      <c r="M26" s="86"/>
      <c r="N26" s="87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6"/>
      <c r="AJ26" s="88"/>
      <c r="AK26" s="89"/>
      <c r="AL26" s="90"/>
    </row>
    <row r="27" ht="15.75" customHeight="1">
      <c r="A27" s="105"/>
      <c r="B27" s="106"/>
      <c r="C27" s="77" t="s">
        <v>101</v>
      </c>
      <c r="D27" s="125" t="s">
        <v>99</v>
      </c>
      <c r="E27" s="107">
        <v>600.0</v>
      </c>
      <c r="F27" s="126">
        <f t="shared" si="2"/>
        <v>3000</v>
      </c>
      <c r="G27" s="66"/>
      <c r="H27" s="82"/>
      <c r="I27" s="252"/>
      <c r="J27" s="109">
        <v>5.0</v>
      </c>
      <c r="K27" s="85"/>
      <c r="L27" s="86"/>
      <c r="M27" s="86"/>
      <c r="N27" s="87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6"/>
      <c r="AJ27" s="88"/>
      <c r="AK27" s="89"/>
      <c r="AL27" s="90"/>
    </row>
    <row r="28" ht="15.75" customHeight="1">
      <c r="A28" s="105"/>
      <c r="B28" s="106"/>
      <c r="C28" s="77" t="s">
        <v>102</v>
      </c>
      <c r="D28" s="82" t="s">
        <v>103</v>
      </c>
      <c r="E28" s="107">
        <v>15000.0</v>
      </c>
      <c r="F28" s="108">
        <v>15000.0</v>
      </c>
      <c r="G28" s="66"/>
      <c r="H28" s="82"/>
      <c r="I28" s="83"/>
      <c r="J28" s="109">
        <v>50.0</v>
      </c>
      <c r="K28" s="85"/>
      <c r="L28" s="86"/>
      <c r="M28" s="86"/>
      <c r="N28" s="87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6"/>
      <c r="AJ28" s="88"/>
      <c r="AK28" s="89"/>
      <c r="AL28" s="90"/>
    </row>
    <row r="29" ht="15.75" customHeight="1">
      <c r="A29" s="105"/>
      <c r="B29" s="106"/>
      <c r="C29" s="77" t="s">
        <v>104</v>
      </c>
      <c r="D29" s="125" t="s">
        <v>79</v>
      </c>
      <c r="E29" s="107">
        <v>90000.0</v>
      </c>
      <c r="F29" s="126">
        <v>90000.0</v>
      </c>
      <c r="G29" s="66"/>
      <c r="H29" s="82"/>
      <c r="I29" s="83"/>
      <c r="J29" s="109">
        <v>1.0</v>
      </c>
      <c r="K29" s="85"/>
      <c r="L29" s="86"/>
      <c r="M29" s="86"/>
      <c r="N29" s="87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6"/>
      <c r="AJ29" s="88"/>
      <c r="AK29" s="89"/>
      <c r="AL29" s="90"/>
    </row>
    <row r="30" ht="15.75" customHeight="1">
      <c r="A30" s="105"/>
      <c r="B30" s="106"/>
      <c r="C30" s="77" t="s">
        <v>105</v>
      </c>
      <c r="D30" s="125" t="s">
        <v>79</v>
      </c>
      <c r="E30" s="107">
        <v>90000.0</v>
      </c>
      <c r="F30" s="126">
        <v>90000.0</v>
      </c>
      <c r="G30" s="66"/>
      <c r="H30" s="82"/>
      <c r="I30" s="83"/>
      <c r="J30" s="109">
        <v>1.0</v>
      </c>
      <c r="K30" s="85"/>
      <c r="L30" s="86"/>
      <c r="M30" s="86"/>
      <c r="N30" s="87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6"/>
      <c r="AJ30" s="88"/>
      <c r="AK30" s="89"/>
      <c r="AL30" s="90"/>
    </row>
    <row r="31" ht="15.75" customHeight="1">
      <c r="A31" s="105"/>
      <c r="B31" s="106"/>
      <c r="C31" s="77" t="s">
        <v>106</v>
      </c>
      <c r="D31" s="255" t="s">
        <v>79</v>
      </c>
      <c r="E31" s="256">
        <v>85000.0</v>
      </c>
      <c r="F31" s="151">
        <v>85000.0</v>
      </c>
      <c r="G31" s="81"/>
      <c r="H31" s="83"/>
      <c r="I31" s="83"/>
      <c r="J31" s="257">
        <v>1.0</v>
      </c>
      <c r="K31" s="85"/>
      <c r="L31" s="83"/>
      <c r="M31" s="83"/>
      <c r="N31" s="87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8"/>
      <c r="AK31" s="89"/>
      <c r="AL31" s="90"/>
    </row>
    <row r="32" ht="15.75" customHeight="1">
      <c r="A32" s="105"/>
      <c r="B32" s="106"/>
      <c r="C32" s="247" t="s">
        <v>107</v>
      </c>
      <c r="D32" s="177"/>
      <c r="E32" s="240"/>
      <c r="F32" s="241"/>
      <c r="G32" s="83"/>
      <c r="H32" s="83"/>
      <c r="I32" s="83"/>
      <c r="J32" s="258"/>
      <c r="K32" s="85"/>
      <c r="L32" s="83"/>
      <c r="M32" s="83"/>
      <c r="N32" s="87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8"/>
      <c r="AK32" s="89"/>
      <c r="AL32" s="90"/>
    </row>
    <row r="33" ht="15.75" customHeight="1">
      <c r="A33" s="105"/>
      <c r="B33" s="149"/>
      <c r="C33" s="77" t="s">
        <v>108</v>
      </c>
      <c r="D33" s="259" t="s">
        <v>79</v>
      </c>
      <c r="E33" s="154">
        <v>70000.0</v>
      </c>
      <c r="F33" s="108">
        <v>70000.0</v>
      </c>
      <c r="G33" s="248" t="s">
        <v>109</v>
      </c>
      <c r="H33" s="82"/>
      <c r="I33" s="136"/>
      <c r="J33" s="137">
        <v>1.0</v>
      </c>
      <c r="K33" s="138"/>
      <c r="L33" s="139"/>
      <c r="M33" s="139"/>
      <c r="N33" s="140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86"/>
      <c r="AJ33" s="88"/>
      <c r="AK33" s="89"/>
      <c r="AL33" s="90"/>
    </row>
    <row r="34" ht="15.75" customHeight="1">
      <c r="A34" s="105"/>
      <c r="B34" s="149"/>
      <c r="C34" s="247" t="s">
        <v>110</v>
      </c>
      <c r="D34" s="259"/>
      <c r="E34" s="154"/>
      <c r="F34" s="108"/>
      <c r="G34" s="82"/>
      <c r="H34" s="82"/>
      <c r="I34" s="136"/>
      <c r="J34" s="137"/>
      <c r="K34" s="138"/>
      <c r="L34" s="139"/>
      <c r="M34" s="139"/>
      <c r="N34" s="140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86"/>
      <c r="AJ34" s="88"/>
      <c r="AK34" s="89"/>
      <c r="AL34" s="90"/>
    </row>
    <row r="35" ht="15.75" customHeight="1">
      <c r="A35" s="105"/>
      <c r="B35" s="149"/>
      <c r="C35" s="150" t="s">
        <v>111</v>
      </c>
      <c r="D35" s="137" t="s">
        <v>112</v>
      </c>
      <c r="E35" s="151">
        <v>45000.0</v>
      </c>
      <c r="F35" s="152">
        <v>45000.0</v>
      </c>
      <c r="G35" s="82" t="s">
        <v>109</v>
      </c>
      <c r="H35" s="82"/>
      <c r="I35" s="137">
        <v>1.0</v>
      </c>
      <c r="J35" s="137">
        <v>1.0</v>
      </c>
      <c r="K35" s="138"/>
      <c r="L35" s="139"/>
      <c r="M35" s="139"/>
      <c r="N35" s="140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86"/>
      <c r="AJ35" s="88"/>
      <c r="AK35" s="89"/>
      <c r="AL35" s="90"/>
    </row>
    <row r="36" ht="15.75" customHeight="1">
      <c r="A36" s="105"/>
      <c r="B36" s="153"/>
      <c r="C36" s="247" t="s">
        <v>113</v>
      </c>
      <c r="D36" s="259"/>
      <c r="E36" s="154"/>
      <c r="F36" s="108"/>
      <c r="G36" s="82"/>
      <c r="H36" s="82"/>
      <c r="I36" s="136"/>
      <c r="J36" s="109"/>
      <c r="K36" s="138"/>
      <c r="L36" s="139"/>
      <c r="M36" s="139"/>
      <c r="N36" s="140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86"/>
      <c r="AJ36" s="88"/>
      <c r="AK36" s="89"/>
      <c r="AL36" s="90"/>
    </row>
    <row r="37" ht="15.75" customHeight="1">
      <c r="A37" s="105"/>
      <c r="B37" s="153"/>
      <c r="C37" s="77" t="s">
        <v>114</v>
      </c>
      <c r="D37" s="137" t="s">
        <v>79</v>
      </c>
      <c r="E37" s="154">
        <v>40000.0</v>
      </c>
      <c r="F37" s="108">
        <v>40000.0</v>
      </c>
      <c r="G37" s="155" t="s">
        <v>109</v>
      </c>
      <c r="H37" s="82"/>
      <c r="I37" s="136"/>
      <c r="J37" s="109">
        <v>1.0</v>
      </c>
      <c r="K37" s="138"/>
      <c r="L37" s="139"/>
      <c r="M37" s="139"/>
      <c r="N37" s="140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86"/>
      <c r="AJ37" s="88"/>
      <c r="AK37" s="89"/>
      <c r="AL37" s="90"/>
    </row>
    <row r="38" ht="15.75" customHeight="1">
      <c r="A38" s="105"/>
      <c r="B38" s="106"/>
      <c r="C38" s="77" t="s">
        <v>115</v>
      </c>
      <c r="D38" s="137" t="s">
        <v>79</v>
      </c>
      <c r="E38" s="154">
        <v>5000.0</v>
      </c>
      <c r="F38" s="108">
        <v>5000.0</v>
      </c>
      <c r="G38" s="66"/>
      <c r="H38" s="82"/>
      <c r="I38" s="136"/>
      <c r="J38" s="109">
        <v>1.0</v>
      </c>
      <c r="K38" s="138"/>
      <c r="L38" s="139"/>
      <c r="M38" s="139"/>
      <c r="N38" s="140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86"/>
      <c r="AJ38" s="88"/>
      <c r="AK38" s="89"/>
      <c r="AL38" s="90"/>
    </row>
    <row r="39" ht="15.75" customHeight="1">
      <c r="A39" s="105"/>
      <c r="B39" s="106"/>
      <c r="C39" s="77" t="s">
        <v>116</v>
      </c>
      <c r="D39" s="137" t="s">
        <v>79</v>
      </c>
      <c r="E39" s="154">
        <v>40000.0</v>
      </c>
      <c r="F39" s="108">
        <v>40000.0</v>
      </c>
      <c r="G39" s="81"/>
      <c r="H39" s="82"/>
      <c r="I39" s="136"/>
      <c r="J39" s="109">
        <v>1.0</v>
      </c>
      <c r="K39" s="138"/>
      <c r="L39" s="139"/>
      <c r="M39" s="139"/>
      <c r="N39" s="140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86"/>
      <c r="AJ39" s="88"/>
      <c r="AK39" s="89"/>
      <c r="AL39" s="90"/>
    </row>
    <row r="40" ht="15.75" customHeight="1">
      <c r="A40" s="105"/>
      <c r="B40" s="106"/>
      <c r="C40" s="77"/>
      <c r="D40" s="259"/>
      <c r="E40" s="107"/>
      <c r="F40" s="108"/>
      <c r="G40" s="82"/>
      <c r="H40" s="82"/>
      <c r="I40" s="136"/>
      <c r="J40" s="109"/>
      <c r="K40" s="138"/>
      <c r="L40" s="139"/>
      <c r="M40" s="139"/>
      <c r="N40" s="140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86"/>
      <c r="AJ40" s="88"/>
      <c r="AK40" s="89"/>
      <c r="AL40" s="90"/>
    </row>
    <row r="41" ht="15.75" customHeight="1">
      <c r="A41" s="105"/>
      <c r="B41" s="106"/>
      <c r="C41" s="247" t="s">
        <v>117</v>
      </c>
      <c r="D41" s="177"/>
      <c r="E41" s="240"/>
      <c r="F41" s="241"/>
      <c r="G41" s="83"/>
      <c r="H41" s="83"/>
      <c r="I41" s="83"/>
      <c r="J41" s="258"/>
      <c r="K41" s="85"/>
      <c r="L41" s="83"/>
      <c r="M41" s="83"/>
      <c r="N41" s="87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8"/>
      <c r="AK41" s="89"/>
      <c r="AL41" s="90"/>
    </row>
    <row r="42" ht="15.75" customHeight="1">
      <c r="A42" s="105"/>
      <c r="B42" s="106"/>
      <c r="C42" s="77" t="s">
        <v>118</v>
      </c>
      <c r="D42" s="125" t="s">
        <v>79</v>
      </c>
      <c r="E42" s="107">
        <v>20000.0</v>
      </c>
      <c r="F42" s="126">
        <v>20000.0</v>
      </c>
      <c r="G42" s="155" t="s">
        <v>109</v>
      </c>
      <c r="H42" s="82"/>
      <c r="I42" s="83"/>
      <c r="J42" s="84">
        <v>1.0</v>
      </c>
      <c r="K42" s="85"/>
      <c r="L42" s="86"/>
      <c r="M42" s="86"/>
      <c r="N42" s="87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6"/>
      <c r="AJ42" s="88"/>
      <c r="AK42" s="89"/>
      <c r="AL42" s="90"/>
    </row>
    <row r="43" ht="15.75" customHeight="1">
      <c r="A43" s="105"/>
      <c r="B43" s="260"/>
      <c r="C43" s="77" t="s">
        <v>159</v>
      </c>
      <c r="D43" s="125" t="s">
        <v>79</v>
      </c>
      <c r="E43" s="107">
        <v>30000.0</v>
      </c>
      <c r="F43" s="107">
        <v>30000.0</v>
      </c>
      <c r="G43" s="66"/>
      <c r="H43" s="82"/>
      <c r="I43" s="83"/>
      <c r="J43" s="85"/>
      <c r="K43" s="84"/>
      <c r="L43" s="86"/>
      <c r="M43" s="83"/>
      <c r="N43" s="87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6"/>
      <c r="AJ43" s="88"/>
      <c r="AK43" s="89"/>
      <c r="AL43" s="90"/>
    </row>
    <row r="44" ht="15.75" customHeight="1">
      <c r="A44" s="105"/>
      <c r="B44" s="106"/>
      <c r="C44" s="77" t="s">
        <v>119</v>
      </c>
      <c r="D44" s="125" t="s">
        <v>79</v>
      </c>
      <c r="E44" s="107">
        <v>50000.0</v>
      </c>
      <c r="F44" s="126">
        <v>50000.0</v>
      </c>
      <c r="G44" s="66"/>
      <c r="H44" s="82"/>
      <c r="I44" s="83"/>
      <c r="J44" s="85">
        <v>1.0</v>
      </c>
      <c r="K44" s="84"/>
      <c r="L44" s="86"/>
      <c r="M44" s="83"/>
      <c r="N44" s="87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6"/>
      <c r="AJ44" s="88"/>
      <c r="AK44" s="89"/>
      <c r="AL44" s="90"/>
    </row>
    <row r="45" ht="15.75" customHeight="1">
      <c r="A45" s="105"/>
      <c r="B45" s="106"/>
      <c r="C45" s="77" t="s">
        <v>120</v>
      </c>
      <c r="D45" s="125" t="s">
        <v>79</v>
      </c>
      <c r="E45" s="107">
        <v>50000.0</v>
      </c>
      <c r="F45" s="126">
        <v>50000.0</v>
      </c>
      <c r="G45" s="166"/>
      <c r="H45" s="82"/>
      <c r="I45" s="83"/>
      <c r="J45" s="85">
        <v>1.0</v>
      </c>
      <c r="K45" s="84"/>
      <c r="L45" s="86"/>
      <c r="M45" s="83"/>
      <c r="N45" s="87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6"/>
      <c r="AJ45" s="88"/>
      <c r="AK45" s="89"/>
      <c r="AL45" s="90"/>
    </row>
    <row r="46" ht="15.75" customHeight="1">
      <c r="A46" s="105"/>
      <c r="B46" s="106"/>
      <c r="C46" s="261" t="s">
        <v>121</v>
      </c>
      <c r="D46" s="262" t="s">
        <v>79</v>
      </c>
      <c r="E46" s="249">
        <v>160000.0</v>
      </c>
      <c r="F46" s="263">
        <v>160000.0</v>
      </c>
      <c r="G46" s="155" t="s">
        <v>109</v>
      </c>
      <c r="H46" s="82"/>
      <c r="I46" s="264">
        <v>1.0</v>
      </c>
      <c r="J46" s="257"/>
      <c r="K46" s="84"/>
      <c r="L46" s="86"/>
      <c r="M46" s="83"/>
      <c r="N46" s="87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6"/>
      <c r="AJ46" s="88"/>
      <c r="AK46" s="89"/>
      <c r="AL46" s="90"/>
    </row>
    <row r="47" ht="15.75" customHeight="1">
      <c r="A47" s="105"/>
      <c r="B47" s="106"/>
      <c r="C47" s="97"/>
      <c r="D47" s="97"/>
      <c r="E47" s="97"/>
      <c r="F47" s="97"/>
      <c r="G47" s="166"/>
      <c r="H47" s="82"/>
      <c r="I47" s="81"/>
      <c r="J47" s="257"/>
      <c r="K47" s="84"/>
      <c r="L47" s="86"/>
      <c r="M47" s="83"/>
      <c r="N47" s="87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6"/>
      <c r="AJ47" s="88"/>
      <c r="AK47" s="89"/>
      <c r="AL47" s="90"/>
    </row>
    <row r="48" ht="15.75" customHeight="1">
      <c r="A48" s="105"/>
      <c r="B48" s="106"/>
      <c r="C48" s="77" t="s">
        <v>122</v>
      </c>
      <c r="D48" s="82" t="s">
        <v>79</v>
      </c>
      <c r="E48" s="107">
        <v>10000.0</v>
      </c>
      <c r="F48" s="108">
        <v>10000.0</v>
      </c>
      <c r="G48" s="265" t="s">
        <v>123</v>
      </c>
      <c r="H48" s="82"/>
      <c r="I48" s="83"/>
      <c r="J48" s="85">
        <v>1.0</v>
      </c>
      <c r="K48" s="84"/>
      <c r="L48" s="86"/>
      <c r="M48" s="83"/>
      <c r="N48" s="87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6"/>
      <c r="AJ48" s="88"/>
      <c r="AK48" s="89"/>
      <c r="AL48" s="90"/>
    </row>
    <row r="49" ht="15.75" customHeight="1">
      <c r="A49" s="105"/>
      <c r="B49" s="106"/>
      <c r="C49" s="77" t="s">
        <v>124</v>
      </c>
      <c r="D49" s="82" t="s">
        <v>79</v>
      </c>
      <c r="E49" s="107">
        <v>30000.0</v>
      </c>
      <c r="F49" s="108">
        <v>30000.0</v>
      </c>
      <c r="G49" s="169"/>
      <c r="H49" s="82"/>
      <c r="I49" s="83"/>
      <c r="J49" s="85">
        <v>1.0</v>
      </c>
      <c r="K49" s="84"/>
      <c r="L49" s="86"/>
      <c r="M49" s="83"/>
      <c r="N49" s="87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6"/>
      <c r="AJ49" s="88"/>
      <c r="AK49" s="89"/>
      <c r="AL49" s="90"/>
    </row>
    <row r="50" ht="15.75" customHeight="1">
      <c r="A50" s="105"/>
      <c r="B50" s="106"/>
      <c r="C50" s="77" t="s">
        <v>125</v>
      </c>
      <c r="D50" s="82" t="s">
        <v>79</v>
      </c>
      <c r="E50" s="107">
        <v>30000.0</v>
      </c>
      <c r="F50" s="108">
        <v>30000.0</v>
      </c>
      <c r="G50" s="169"/>
      <c r="H50" s="82"/>
      <c r="I50" s="83"/>
      <c r="J50" s="85">
        <v>1.0</v>
      </c>
      <c r="K50" s="84"/>
      <c r="L50" s="86"/>
      <c r="M50" s="83"/>
      <c r="N50" s="87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6"/>
      <c r="AJ50" s="88"/>
      <c r="AK50" s="89"/>
      <c r="AL50" s="90"/>
    </row>
    <row r="51" ht="15.75" customHeight="1">
      <c r="A51" s="105"/>
      <c r="B51" s="106"/>
      <c r="C51" s="266" t="s">
        <v>126</v>
      </c>
      <c r="D51" s="267" t="s">
        <v>79</v>
      </c>
      <c r="E51" s="268">
        <v>35000.0</v>
      </c>
      <c r="F51" s="269">
        <v>35000.0</v>
      </c>
      <c r="G51" s="97"/>
      <c r="H51" s="270"/>
      <c r="I51" s="271">
        <v>1.0</v>
      </c>
      <c r="J51" s="252"/>
      <c r="K51" s="84"/>
      <c r="L51" s="86"/>
      <c r="M51" s="83"/>
      <c r="N51" s="87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6"/>
      <c r="AJ51" s="88"/>
      <c r="AK51" s="89"/>
      <c r="AL51" s="90"/>
    </row>
    <row r="52" ht="15.75" customHeight="1">
      <c r="A52" s="272"/>
      <c r="B52" s="177"/>
      <c r="C52" s="177"/>
      <c r="D52" s="177"/>
      <c r="E52" s="240"/>
      <c r="F52" s="240"/>
      <c r="G52" s="177"/>
      <c r="H52" s="177"/>
      <c r="I52" s="177"/>
      <c r="J52" s="177"/>
      <c r="K52" s="242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89"/>
      <c r="AK52" s="89"/>
      <c r="AL52" s="90"/>
    </row>
    <row r="53" ht="15.75" customHeight="1">
      <c r="A53" s="207"/>
      <c r="B53" s="207"/>
      <c r="C53" s="207"/>
      <c r="D53" s="207"/>
      <c r="E53" s="208"/>
      <c r="F53" s="208"/>
      <c r="G53" s="207"/>
      <c r="H53" s="207"/>
      <c r="I53" s="207"/>
      <c r="J53" s="207"/>
      <c r="K53" s="209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89"/>
      <c r="AK53" s="181"/>
      <c r="AL53" s="182"/>
    </row>
    <row r="54" ht="15.75" customHeight="1">
      <c r="A54" s="273" t="s">
        <v>127</v>
      </c>
      <c r="B54" s="207"/>
      <c r="C54" s="207"/>
      <c r="D54" s="274">
        <f>SUM(F12:F52)</f>
        <v>1566000</v>
      </c>
      <c r="E54" s="275"/>
      <c r="F54" s="276"/>
      <c r="G54" s="207"/>
      <c r="H54" s="207"/>
      <c r="I54" s="207"/>
      <c r="J54" s="207"/>
      <c r="K54" s="209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89"/>
      <c r="AK54" s="181"/>
      <c r="AL54" s="182"/>
    </row>
    <row r="55" ht="15.75" customHeight="1">
      <c r="A55" s="207"/>
      <c r="B55" s="207"/>
      <c r="C55" s="207"/>
      <c r="D55" s="207"/>
      <c r="E55" s="208"/>
      <c r="F55" s="210"/>
      <c r="G55" s="207"/>
      <c r="H55" s="207"/>
      <c r="I55" s="207"/>
      <c r="J55" s="20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10"/>
      <c r="AI55" s="207"/>
      <c r="AJ55" s="89"/>
      <c r="AK55" s="181"/>
      <c r="AL55" s="182"/>
    </row>
    <row r="56" ht="15.75" customHeight="1">
      <c r="A56" s="278" t="s">
        <v>128</v>
      </c>
      <c r="B56" s="207"/>
      <c r="C56" s="207"/>
      <c r="D56" s="207"/>
      <c r="E56" s="208"/>
      <c r="F56" s="210"/>
      <c r="G56" s="207"/>
      <c r="H56" s="207"/>
      <c r="I56" s="207"/>
      <c r="J56" s="207"/>
      <c r="K56" s="209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89"/>
      <c r="AK56" s="181"/>
      <c r="AL56" s="182"/>
    </row>
    <row r="57" ht="15.75" customHeight="1">
      <c r="A57" s="207"/>
      <c r="B57" s="207"/>
      <c r="C57" s="207"/>
      <c r="D57" s="207"/>
      <c r="E57" s="208"/>
      <c r="F57" s="210"/>
      <c r="G57" s="207"/>
      <c r="H57" s="207"/>
      <c r="I57" s="207"/>
      <c r="J57" s="207"/>
      <c r="K57" s="209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89"/>
      <c r="AK57" s="181"/>
      <c r="AL57" s="182"/>
    </row>
    <row r="58" ht="15.75" customHeight="1">
      <c r="A58" s="279" t="s">
        <v>129</v>
      </c>
      <c r="B58" s="207"/>
      <c r="C58" s="207"/>
      <c r="D58" s="279" t="s">
        <v>130</v>
      </c>
      <c r="E58" s="208"/>
      <c r="F58" s="210"/>
      <c r="G58" s="279" t="s">
        <v>131</v>
      </c>
      <c r="H58" s="207"/>
      <c r="I58" s="207"/>
      <c r="J58" s="279" t="s">
        <v>132</v>
      </c>
      <c r="K58" s="209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89"/>
      <c r="AK58" s="181"/>
      <c r="AL58" s="182"/>
    </row>
    <row r="59" ht="15.75" customHeight="1">
      <c r="A59" s="207"/>
      <c r="B59" s="207"/>
      <c r="C59" s="207"/>
      <c r="D59" s="207"/>
      <c r="E59" s="208"/>
      <c r="F59" s="210"/>
      <c r="G59" s="207"/>
      <c r="H59" s="207"/>
      <c r="I59" s="207"/>
      <c r="J59" s="207"/>
      <c r="K59" s="209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89"/>
      <c r="AK59" s="181"/>
      <c r="AL59" s="182"/>
    </row>
    <row r="60" ht="15.75" customHeight="1">
      <c r="A60" s="207"/>
      <c r="B60" s="207"/>
      <c r="C60" s="207"/>
      <c r="D60" s="207"/>
      <c r="E60" s="208"/>
      <c r="F60" s="210"/>
      <c r="G60" s="207"/>
      <c r="H60" s="207"/>
      <c r="I60" s="207"/>
      <c r="J60" s="207"/>
      <c r="K60" s="209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89"/>
      <c r="AK60" s="181"/>
      <c r="AL60" s="182"/>
    </row>
    <row r="61" ht="15.75" customHeight="1">
      <c r="A61" s="280" t="s">
        <v>133</v>
      </c>
      <c r="B61" s="201"/>
      <c r="C61" s="202"/>
      <c r="D61" s="279" t="s">
        <v>134</v>
      </c>
      <c r="E61" s="208"/>
      <c r="F61" s="210"/>
      <c r="G61" s="279" t="s">
        <v>135</v>
      </c>
      <c r="H61" s="207"/>
      <c r="I61" s="207"/>
      <c r="J61" s="279" t="s">
        <v>136</v>
      </c>
      <c r="K61" s="209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89"/>
      <c r="AK61" s="181"/>
      <c r="AL61" s="182"/>
    </row>
    <row r="62" ht="15.75" customHeight="1">
      <c r="A62" s="281" t="s">
        <v>137</v>
      </c>
      <c r="B62" s="201"/>
      <c r="C62" s="202"/>
      <c r="D62" s="282" t="s">
        <v>138</v>
      </c>
      <c r="E62" s="208"/>
      <c r="F62" s="210"/>
      <c r="G62" s="282" t="s">
        <v>139</v>
      </c>
      <c r="H62" s="207"/>
      <c r="I62" s="207"/>
      <c r="J62" s="282" t="s">
        <v>140</v>
      </c>
      <c r="K62" s="209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89"/>
      <c r="AK62" s="181"/>
      <c r="AL62" s="182"/>
    </row>
    <row r="63" ht="15.75" customHeight="1">
      <c r="A63" s="207"/>
      <c r="B63" s="207"/>
      <c r="C63" s="207"/>
      <c r="D63" s="207"/>
      <c r="E63" s="208"/>
      <c r="F63" s="210"/>
      <c r="G63" s="207"/>
      <c r="H63" s="207"/>
      <c r="I63" s="207"/>
      <c r="J63" s="207"/>
      <c r="K63" s="209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89"/>
      <c r="AK63" s="181"/>
      <c r="AL63" s="182"/>
    </row>
    <row r="64" ht="15.75" customHeight="1">
      <c r="A64" s="282" t="s">
        <v>141</v>
      </c>
      <c r="B64" s="207"/>
      <c r="C64" s="207"/>
      <c r="D64" s="282" t="s">
        <v>142</v>
      </c>
      <c r="E64" s="208"/>
      <c r="F64" s="210"/>
      <c r="G64" s="282" t="s">
        <v>142</v>
      </c>
      <c r="H64" s="207"/>
      <c r="I64" s="207"/>
      <c r="J64" s="282" t="s">
        <v>142</v>
      </c>
      <c r="K64" s="209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89"/>
      <c r="AK64" s="181"/>
      <c r="AL64" s="182"/>
    </row>
    <row r="65" ht="15.75" customHeight="1">
      <c r="A65" s="207"/>
      <c r="B65" s="207"/>
      <c r="C65" s="207"/>
      <c r="D65" s="207"/>
      <c r="E65" s="208"/>
      <c r="F65" s="208"/>
      <c r="G65" s="207"/>
      <c r="H65" s="207"/>
      <c r="I65" s="207"/>
      <c r="J65" s="207"/>
      <c r="K65" s="209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89"/>
      <c r="AK65" s="181"/>
      <c r="AL65" s="182"/>
    </row>
    <row r="66" ht="15.75" customHeight="1">
      <c r="A66" s="207"/>
      <c r="B66" s="207"/>
      <c r="C66" s="207"/>
      <c r="D66" s="207"/>
      <c r="E66" s="208"/>
      <c r="F66" s="208"/>
      <c r="G66" s="207"/>
      <c r="H66" s="207"/>
      <c r="I66" s="207"/>
      <c r="J66" s="207"/>
      <c r="K66" s="209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89"/>
      <c r="AK66" s="181"/>
      <c r="AL66" s="182"/>
    </row>
    <row r="67" ht="15.75" customHeight="1">
      <c r="A67" s="207"/>
      <c r="B67" s="207"/>
      <c r="C67" s="207"/>
      <c r="D67" s="207"/>
      <c r="E67" s="208"/>
      <c r="F67" s="208"/>
      <c r="G67" s="207"/>
      <c r="H67" s="207"/>
      <c r="I67" s="207"/>
      <c r="J67" s="207"/>
      <c r="K67" s="209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89"/>
      <c r="AK67" s="181"/>
      <c r="AL67" s="182"/>
    </row>
    <row r="68" ht="15.75" customHeight="1">
      <c r="A68" s="207"/>
      <c r="B68" s="207"/>
      <c r="C68" s="207"/>
      <c r="D68" s="207"/>
      <c r="E68" s="208"/>
      <c r="F68" s="208"/>
      <c r="G68" s="207"/>
      <c r="H68" s="207"/>
      <c r="I68" s="207"/>
      <c r="J68" s="207"/>
      <c r="K68" s="209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89"/>
      <c r="AK68" s="181"/>
      <c r="AL68" s="182"/>
    </row>
    <row r="69" ht="15.75" customHeight="1">
      <c r="A69" s="207"/>
      <c r="B69" s="207"/>
      <c r="C69" s="207"/>
      <c r="D69" s="207"/>
      <c r="E69" s="208"/>
      <c r="F69" s="208"/>
      <c r="G69" s="207"/>
      <c r="H69" s="207"/>
      <c r="I69" s="207"/>
      <c r="J69" s="207"/>
      <c r="K69" s="209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89"/>
      <c r="AK69" s="181"/>
      <c r="AL69" s="182"/>
    </row>
    <row r="70" ht="15.75" customHeight="1">
      <c r="A70" s="207"/>
      <c r="B70" s="207"/>
      <c r="C70" s="207"/>
      <c r="D70" s="207"/>
      <c r="E70" s="208"/>
      <c r="F70" s="208"/>
      <c r="G70" s="207"/>
      <c r="H70" s="207"/>
      <c r="I70" s="207"/>
      <c r="J70" s="207"/>
      <c r="K70" s="209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89"/>
      <c r="AK70" s="181"/>
      <c r="AL70" s="182"/>
    </row>
    <row r="71" ht="15.75" customHeight="1">
      <c r="A71" s="207"/>
      <c r="B71" s="207"/>
      <c r="C71" s="207"/>
      <c r="D71" s="207"/>
      <c r="E71" s="208"/>
      <c r="F71" s="208"/>
      <c r="G71" s="207"/>
      <c r="H71" s="207"/>
      <c r="I71" s="207"/>
      <c r="J71" s="207"/>
      <c r="K71" s="209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89"/>
      <c r="AK71" s="181"/>
      <c r="AL71" s="182"/>
    </row>
    <row r="72" ht="15.75" customHeight="1">
      <c r="A72" s="207"/>
      <c r="B72" s="207"/>
      <c r="C72" s="207"/>
      <c r="D72" s="207"/>
      <c r="E72" s="208"/>
      <c r="F72" s="208"/>
      <c r="G72" s="207"/>
      <c r="H72" s="207"/>
      <c r="I72" s="207"/>
      <c r="J72" s="207"/>
      <c r="K72" s="209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89"/>
      <c r="AK72" s="181"/>
      <c r="AL72" s="182"/>
    </row>
    <row r="73" ht="15.75" customHeight="1">
      <c r="A73" s="207"/>
      <c r="B73" s="207"/>
      <c r="C73" s="207"/>
      <c r="D73" s="207"/>
      <c r="E73" s="208"/>
      <c r="F73" s="208"/>
      <c r="G73" s="207"/>
      <c r="H73" s="207"/>
      <c r="I73" s="207"/>
      <c r="J73" s="207"/>
      <c r="K73" s="209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89"/>
      <c r="AK73" s="181"/>
      <c r="AL73" s="182"/>
    </row>
    <row r="74" ht="15.75" customHeight="1">
      <c r="A74" s="207"/>
      <c r="B74" s="207"/>
      <c r="C74" s="207"/>
      <c r="D74" s="207"/>
      <c r="E74" s="208"/>
      <c r="F74" s="208"/>
      <c r="G74" s="207"/>
      <c r="H74" s="207"/>
      <c r="I74" s="207"/>
      <c r="J74" s="207"/>
      <c r="K74" s="209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83"/>
      <c r="AK74" s="284"/>
      <c r="AL74" s="182"/>
    </row>
    <row r="75" ht="15.75" customHeight="1">
      <c r="A75" s="207"/>
      <c r="B75" s="207"/>
      <c r="C75" s="207"/>
      <c r="D75" s="207"/>
      <c r="E75" s="208"/>
      <c r="F75" s="210"/>
      <c r="G75" s="207"/>
      <c r="H75" s="207"/>
      <c r="I75" s="207"/>
      <c r="J75" s="207"/>
      <c r="K75" s="209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3"/>
      <c r="AK75" s="203"/>
      <c r="AL75" s="203"/>
    </row>
    <row r="76" ht="15.75" customHeight="1">
      <c r="A76" s="207"/>
      <c r="B76" s="207"/>
      <c r="C76" s="207"/>
      <c r="D76" s="285"/>
      <c r="E76" s="285"/>
      <c r="F76" s="285"/>
      <c r="G76" s="207"/>
      <c r="H76" s="207"/>
      <c r="I76" s="207"/>
      <c r="J76" s="207"/>
      <c r="K76" s="209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3"/>
      <c r="AK76" s="203"/>
      <c r="AL76" s="203"/>
    </row>
    <row r="77" ht="15.75" customHeight="1">
      <c r="A77" s="207"/>
      <c r="B77" s="207"/>
      <c r="C77" s="207"/>
      <c r="D77" s="207"/>
      <c r="E77" s="208"/>
      <c r="F77" s="210"/>
      <c r="G77" s="207"/>
      <c r="H77" s="207"/>
      <c r="I77" s="207"/>
      <c r="J77" s="207"/>
      <c r="K77" s="277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3"/>
      <c r="AK77" s="203"/>
      <c r="AL77" s="203"/>
    </row>
    <row r="78" ht="15.75" customHeight="1">
      <c r="A78" s="207"/>
      <c r="B78" s="207"/>
      <c r="C78" s="207"/>
      <c r="D78" s="207"/>
      <c r="E78" s="208"/>
      <c r="F78" s="210"/>
      <c r="G78" s="207"/>
      <c r="H78" s="207"/>
      <c r="I78" s="207"/>
      <c r="J78" s="207"/>
      <c r="K78" s="209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3"/>
      <c r="AK78" s="203"/>
      <c r="AL78" s="203"/>
    </row>
    <row r="79" ht="15.75" customHeight="1">
      <c r="A79" s="207"/>
      <c r="B79" s="207"/>
      <c r="C79" s="207"/>
      <c r="D79" s="286">
        <v>500000.0</v>
      </c>
      <c r="E79" s="203"/>
      <c r="F79" s="210"/>
      <c r="G79" s="207"/>
      <c r="H79" s="207"/>
      <c r="I79" s="207"/>
      <c r="J79" s="207"/>
      <c r="K79" s="209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3"/>
      <c r="AK79" s="203"/>
      <c r="AL79" s="203"/>
    </row>
    <row r="80" ht="15.75" customHeight="1">
      <c r="A80" s="207"/>
      <c r="B80" s="207"/>
      <c r="C80" s="207"/>
      <c r="D80" s="208">
        <v>250000.0</v>
      </c>
      <c r="E80" s="208">
        <v>90000.0</v>
      </c>
      <c r="F80" s="208">
        <v>90000.0</v>
      </c>
      <c r="G80" s="210" t="s">
        <v>144</v>
      </c>
      <c r="H80" s="207"/>
      <c r="I80" s="207"/>
      <c r="J80" s="207"/>
      <c r="K80" s="209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3"/>
      <c r="AK80" s="203"/>
      <c r="AL80" s="203"/>
    </row>
    <row r="81" ht="15.75" customHeight="1">
      <c r="A81" s="207"/>
      <c r="B81" s="207"/>
      <c r="C81" s="207"/>
      <c r="D81" s="208">
        <v>90000.0</v>
      </c>
      <c r="E81" s="208">
        <v>17500.0</v>
      </c>
      <c r="F81" s="208">
        <v>17500.0</v>
      </c>
      <c r="G81" s="210" t="s">
        <v>145</v>
      </c>
      <c r="H81" s="207"/>
      <c r="I81" s="207"/>
      <c r="J81" s="207"/>
      <c r="K81" s="209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3"/>
      <c r="AK81" s="203"/>
      <c r="AL81" s="203"/>
    </row>
    <row r="82" ht="15.75" customHeight="1">
      <c r="A82" s="207"/>
      <c r="B82" s="207"/>
      <c r="C82" s="207"/>
      <c r="D82" s="208">
        <v>15000.0</v>
      </c>
      <c r="E82" s="208">
        <v>15000.0</v>
      </c>
      <c r="F82" s="208">
        <v>15000.0</v>
      </c>
      <c r="G82" s="210" t="s">
        <v>146</v>
      </c>
      <c r="H82" s="207"/>
      <c r="I82" s="207"/>
      <c r="J82" s="207"/>
      <c r="K82" s="209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03"/>
      <c r="AK82" s="203"/>
      <c r="AL82" s="203"/>
    </row>
    <row r="83" ht="15.75" customHeight="1">
      <c r="A83" s="207"/>
      <c r="B83" s="207"/>
      <c r="C83" s="207"/>
      <c r="D83" s="208">
        <v>20000.0</v>
      </c>
      <c r="E83" s="208">
        <v>20000.0</v>
      </c>
      <c r="F83" s="208">
        <v>20000.0</v>
      </c>
      <c r="G83" s="210" t="s">
        <v>147</v>
      </c>
      <c r="H83" s="207"/>
      <c r="I83" s="207"/>
      <c r="J83" s="207"/>
      <c r="K83" s="209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03"/>
      <c r="AK83" s="203"/>
      <c r="AL83" s="203"/>
    </row>
    <row r="84" ht="15.0" customHeight="1">
      <c r="A84" s="207"/>
      <c r="B84" s="207"/>
      <c r="C84" s="207"/>
      <c r="D84" s="208">
        <v>17500.0</v>
      </c>
      <c r="E84" s="208">
        <v>50000.0</v>
      </c>
      <c r="F84" s="208">
        <v>250000.0</v>
      </c>
      <c r="G84" s="210" t="s">
        <v>148</v>
      </c>
      <c r="H84" s="207"/>
      <c r="I84" s="207"/>
      <c r="J84" s="207"/>
      <c r="K84" s="209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3"/>
      <c r="AK84" s="203"/>
      <c r="AL84" s="203"/>
    </row>
    <row r="85" ht="15.75" customHeight="1">
      <c r="A85" s="207"/>
      <c r="B85" s="207"/>
      <c r="C85" s="207"/>
      <c r="D85" s="208"/>
      <c r="E85" s="208">
        <v>160000.0</v>
      </c>
      <c r="F85" s="208">
        <v>107500.0</v>
      </c>
      <c r="G85" s="210" t="s">
        <v>149</v>
      </c>
      <c r="H85" s="207"/>
      <c r="I85" s="207"/>
      <c r="J85" s="207"/>
      <c r="K85" s="209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3"/>
      <c r="AK85" s="203"/>
      <c r="AL85" s="203"/>
    </row>
    <row r="86" ht="15.75" customHeight="1">
      <c r="A86" s="207"/>
      <c r="B86" s="207"/>
      <c r="C86" s="207"/>
      <c r="D86" s="208"/>
      <c r="E86" s="208">
        <v>35000.0</v>
      </c>
      <c r="F86" s="208"/>
      <c r="G86" s="210"/>
      <c r="H86" s="207"/>
      <c r="I86" s="207"/>
      <c r="J86" s="207"/>
      <c r="K86" s="209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03"/>
      <c r="AK86" s="203"/>
      <c r="AL86" s="203"/>
    </row>
    <row r="87" ht="15.75" customHeight="1">
      <c r="A87" s="207"/>
      <c r="B87" s="207"/>
      <c r="C87" s="207"/>
      <c r="D87" s="208"/>
      <c r="E87" s="208">
        <v>30000.0</v>
      </c>
      <c r="F87" s="208"/>
      <c r="G87" s="207"/>
      <c r="H87" s="207"/>
      <c r="I87" s="207"/>
      <c r="J87" s="207"/>
      <c r="K87" s="209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3"/>
      <c r="AK87" s="203"/>
      <c r="AL87" s="203"/>
    </row>
    <row r="88" ht="15.75" customHeight="1">
      <c r="A88" s="207"/>
      <c r="B88" s="207"/>
      <c r="C88" s="207"/>
      <c r="D88" s="286">
        <f>SUM(D80:D87)</f>
        <v>392500</v>
      </c>
      <c r="E88" s="287">
        <f>SUM(E79:E87)</f>
        <v>417500</v>
      </c>
      <c r="F88" s="287">
        <f>SUM(F80:F87)</f>
        <v>500000</v>
      </c>
      <c r="G88" s="207"/>
      <c r="H88" s="207"/>
      <c r="I88" s="207"/>
      <c r="J88" s="207"/>
      <c r="K88" s="209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3"/>
      <c r="AK88" s="203"/>
      <c r="AL88" s="203"/>
    </row>
    <row r="89" ht="15.75" customHeight="1">
      <c r="A89" s="207"/>
      <c r="B89" s="207"/>
      <c r="C89" s="207"/>
      <c r="D89" s="208"/>
      <c r="E89" s="203"/>
      <c r="F89" s="210"/>
      <c r="G89" s="207"/>
      <c r="H89" s="207"/>
      <c r="I89" s="207"/>
      <c r="J89" s="207"/>
      <c r="K89" s="209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03"/>
      <c r="AK89" s="203"/>
      <c r="AL89" s="203"/>
    </row>
    <row r="90" ht="15.75" customHeight="1">
      <c r="A90" s="207"/>
      <c r="B90" s="207"/>
      <c r="C90" s="207"/>
      <c r="D90" s="208">
        <f>D79-D88</f>
        <v>107500</v>
      </c>
      <c r="E90" s="203"/>
      <c r="F90" s="210"/>
      <c r="G90" s="207"/>
      <c r="H90" s="207"/>
      <c r="I90" s="207"/>
      <c r="J90" s="207"/>
      <c r="K90" s="209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3"/>
      <c r="AK90" s="203"/>
      <c r="AL90" s="203"/>
    </row>
    <row r="91" ht="15.75" customHeight="1">
      <c r="A91" s="207"/>
      <c r="B91" s="207"/>
      <c r="C91" s="207"/>
      <c r="D91" s="207"/>
      <c r="E91" s="208"/>
      <c r="F91" s="210"/>
      <c r="G91" s="207"/>
      <c r="H91" s="207"/>
      <c r="I91" s="207"/>
      <c r="J91" s="207"/>
      <c r="K91" s="209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03"/>
      <c r="AK91" s="203"/>
      <c r="AL91" s="203"/>
    </row>
    <row r="92" ht="15.75" customHeight="1">
      <c r="A92" s="207"/>
      <c r="B92" s="207"/>
      <c r="C92" s="207"/>
      <c r="D92" s="207"/>
      <c r="E92" s="208"/>
      <c r="F92" s="210"/>
      <c r="G92" s="207"/>
      <c r="H92" s="207"/>
      <c r="I92" s="207"/>
      <c r="J92" s="207"/>
      <c r="K92" s="209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03"/>
      <c r="AK92" s="203"/>
      <c r="AL92" s="203"/>
    </row>
    <row r="93" ht="15.75" customHeight="1">
      <c r="A93" s="207"/>
      <c r="B93" s="207"/>
      <c r="C93" s="207"/>
      <c r="D93" s="207"/>
      <c r="E93" s="208"/>
      <c r="F93" s="210"/>
      <c r="G93" s="207"/>
      <c r="H93" s="207"/>
      <c r="I93" s="207"/>
      <c r="J93" s="207"/>
      <c r="K93" s="209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3"/>
      <c r="AK93" s="203"/>
      <c r="AL93" s="203"/>
    </row>
    <row r="94" ht="15.75" customHeight="1">
      <c r="A94" s="207"/>
      <c r="B94" s="207"/>
      <c r="C94" s="207"/>
      <c r="D94" s="207"/>
      <c r="E94" s="208"/>
      <c r="F94" s="210"/>
      <c r="G94" s="207"/>
      <c r="H94" s="207"/>
      <c r="I94" s="207"/>
      <c r="J94" s="207"/>
      <c r="K94" s="209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3"/>
      <c r="AK94" s="203"/>
      <c r="AL94" s="203"/>
    </row>
    <row r="95" ht="15.75" customHeight="1">
      <c r="A95" s="207"/>
      <c r="B95" s="207"/>
      <c r="C95" s="207"/>
      <c r="D95" s="207"/>
      <c r="E95" s="208"/>
      <c r="F95" s="210"/>
      <c r="G95" s="207"/>
      <c r="H95" s="207"/>
      <c r="I95" s="207"/>
      <c r="J95" s="207"/>
      <c r="K95" s="209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3"/>
      <c r="AK95" s="203"/>
      <c r="AL95" s="203"/>
    </row>
    <row r="96" ht="15.75" customHeight="1">
      <c r="A96" s="207"/>
      <c r="B96" s="207"/>
      <c r="C96" s="207"/>
      <c r="D96" s="207"/>
      <c r="E96" s="208"/>
      <c r="F96" s="207"/>
      <c r="G96" s="207"/>
      <c r="H96" s="207"/>
      <c r="I96" s="207"/>
      <c r="J96" s="207"/>
      <c r="K96" s="209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3"/>
      <c r="AK96" s="203"/>
      <c r="AL96" s="203"/>
    </row>
    <row r="97" ht="15.75" customHeight="1">
      <c r="A97" s="207"/>
      <c r="B97" s="207"/>
      <c r="C97" s="207"/>
      <c r="D97" s="207"/>
      <c r="E97" s="208"/>
      <c r="F97" s="207"/>
      <c r="G97" s="207"/>
      <c r="H97" s="207"/>
      <c r="I97" s="207"/>
      <c r="J97" s="207"/>
      <c r="K97" s="209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3"/>
      <c r="AK97" s="203"/>
      <c r="AL97" s="203"/>
    </row>
    <row r="98" ht="15.75" customHeight="1">
      <c r="A98" s="207"/>
      <c r="B98" s="207"/>
      <c r="C98" s="207"/>
      <c r="D98" s="207"/>
      <c r="E98" s="208"/>
      <c r="F98" s="207"/>
      <c r="G98" s="207"/>
      <c r="H98" s="207"/>
      <c r="I98" s="207"/>
      <c r="J98" s="207"/>
      <c r="K98" s="209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3"/>
      <c r="AK98" s="203"/>
      <c r="AL98" s="203"/>
    </row>
    <row r="99" ht="15.75" customHeight="1">
      <c r="A99" s="207"/>
      <c r="B99" s="207"/>
      <c r="C99" s="207"/>
      <c r="D99" s="207"/>
      <c r="E99" s="208"/>
      <c r="F99" s="207"/>
      <c r="G99" s="207"/>
      <c r="H99" s="207"/>
      <c r="I99" s="207"/>
      <c r="J99" s="207"/>
      <c r="K99" s="209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3"/>
      <c r="AK99" s="203"/>
      <c r="AL99" s="203"/>
    </row>
    <row r="100" ht="15.75" customHeight="1">
      <c r="A100" s="207"/>
      <c r="B100" s="207"/>
      <c r="C100" s="207"/>
      <c r="D100" s="207"/>
      <c r="E100" s="208"/>
      <c r="F100" s="207"/>
      <c r="G100" s="207"/>
      <c r="H100" s="207"/>
      <c r="I100" s="207"/>
      <c r="J100" s="207"/>
      <c r="K100" s="209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3"/>
      <c r="AK100" s="203"/>
      <c r="AL100" s="203"/>
    </row>
    <row r="101" ht="15.75" customHeight="1">
      <c r="A101" s="207"/>
      <c r="B101" s="207"/>
      <c r="C101" s="207"/>
      <c r="D101" s="207"/>
      <c r="E101" s="208"/>
      <c r="F101" s="207"/>
      <c r="G101" s="207"/>
      <c r="H101" s="207"/>
      <c r="I101" s="207"/>
      <c r="J101" s="207"/>
      <c r="K101" s="209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3"/>
      <c r="AK101" s="203"/>
      <c r="AL101" s="203"/>
    </row>
    <row r="102" ht="15.75" customHeight="1">
      <c r="A102" s="207"/>
      <c r="B102" s="207"/>
      <c r="C102" s="207"/>
      <c r="D102" s="207"/>
      <c r="E102" s="208"/>
      <c r="F102" s="207"/>
      <c r="G102" s="207"/>
      <c r="H102" s="207"/>
      <c r="I102" s="207"/>
      <c r="J102" s="207"/>
      <c r="K102" s="209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3"/>
      <c r="AK102" s="203"/>
      <c r="AL102" s="203"/>
    </row>
    <row r="103" ht="15.75" customHeight="1">
      <c r="A103" s="207"/>
      <c r="B103" s="207"/>
      <c r="C103" s="207"/>
      <c r="D103" s="207"/>
      <c r="E103" s="208"/>
      <c r="F103" s="207"/>
      <c r="G103" s="207"/>
      <c r="H103" s="207"/>
      <c r="I103" s="207"/>
      <c r="J103" s="207"/>
      <c r="K103" s="209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3"/>
      <c r="AK103" s="203"/>
      <c r="AL103" s="203"/>
    </row>
    <row r="104" ht="15.75" customHeight="1">
      <c r="A104" s="207"/>
      <c r="B104" s="207"/>
      <c r="C104" s="207"/>
      <c r="D104" s="207"/>
      <c r="E104" s="208"/>
      <c r="F104" s="207"/>
      <c r="G104" s="207"/>
      <c r="H104" s="207"/>
      <c r="I104" s="207"/>
      <c r="J104" s="207"/>
      <c r="K104" s="209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3"/>
      <c r="AK104" s="203"/>
      <c r="AL104" s="203"/>
    </row>
    <row r="105" ht="15.75" customHeight="1">
      <c r="A105" s="207"/>
      <c r="B105" s="207"/>
      <c r="C105" s="207"/>
      <c r="D105" s="207"/>
      <c r="E105" s="208"/>
      <c r="F105" s="207"/>
      <c r="G105" s="207"/>
      <c r="H105" s="207"/>
      <c r="I105" s="207"/>
      <c r="J105" s="207"/>
      <c r="K105" s="209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3"/>
      <c r="AK105" s="203"/>
      <c r="AL105" s="203"/>
    </row>
    <row r="106" ht="15.75" customHeight="1">
      <c r="A106" s="207"/>
      <c r="B106" s="207"/>
      <c r="C106" s="207"/>
      <c r="D106" s="207"/>
      <c r="E106" s="208"/>
      <c r="F106" s="207"/>
      <c r="G106" s="207"/>
      <c r="H106" s="207"/>
      <c r="I106" s="207"/>
      <c r="J106" s="207"/>
      <c r="K106" s="209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3"/>
      <c r="AK106" s="203"/>
      <c r="AL106" s="203"/>
    </row>
    <row r="107" ht="15.75" customHeight="1">
      <c r="A107" s="207"/>
      <c r="B107" s="207"/>
      <c r="C107" s="207"/>
      <c r="D107" s="207"/>
      <c r="E107" s="208"/>
      <c r="F107" s="207"/>
      <c r="G107" s="207"/>
      <c r="H107" s="207"/>
      <c r="I107" s="207"/>
      <c r="J107" s="207"/>
      <c r="K107" s="209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3"/>
      <c r="AK107" s="203"/>
      <c r="AL107" s="203"/>
    </row>
    <row r="108" ht="15.75" customHeight="1">
      <c r="A108" s="207"/>
      <c r="B108" s="207"/>
      <c r="C108" s="207"/>
      <c r="D108" s="207"/>
      <c r="E108" s="208"/>
      <c r="F108" s="207"/>
      <c r="G108" s="207"/>
      <c r="H108" s="207"/>
      <c r="I108" s="207"/>
      <c r="J108" s="207"/>
      <c r="K108" s="209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3"/>
      <c r="AK108" s="203"/>
      <c r="AL108" s="203"/>
    </row>
    <row r="109" ht="15.75" customHeight="1">
      <c r="A109" s="207"/>
      <c r="B109" s="207"/>
      <c r="C109" s="207"/>
      <c r="D109" s="207"/>
      <c r="E109" s="208"/>
      <c r="F109" s="207"/>
      <c r="G109" s="207"/>
      <c r="H109" s="207"/>
      <c r="I109" s="207"/>
      <c r="J109" s="207"/>
      <c r="K109" s="209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3"/>
      <c r="AK109" s="203"/>
      <c r="AL109" s="203"/>
    </row>
    <row r="110" ht="15.75" customHeight="1">
      <c r="A110" s="207"/>
      <c r="B110" s="207"/>
      <c r="C110" s="207"/>
      <c r="D110" s="207"/>
      <c r="E110" s="208"/>
      <c r="F110" s="207"/>
      <c r="G110" s="207"/>
      <c r="H110" s="207"/>
      <c r="I110" s="207"/>
      <c r="J110" s="207"/>
      <c r="K110" s="209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3"/>
      <c r="AK110" s="203"/>
      <c r="AL110" s="203"/>
    </row>
    <row r="111" ht="15.75" customHeight="1">
      <c r="A111" s="207"/>
      <c r="B111" s="207"/>
      <c r="C111" s="207"/>
      <c r="D111" s="207"/>
      <c r="E111" s="208"/>
      <c r="F111" s="207"/>
      <c r="G111" s="207"/>
      <c r="H111" s="207"/>
      <c r="I111" s="207"/>
      <c r="J111" s="207"/>
      <c r="K111" s="209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3"/>
      <c r="AK111" s="203"/>
      <c r="AL111" s="203"/>
    </row>
    <row r="112" ht="15.75" customHeight="1">
      <c r="A112" s="207"/>
      <c r="B112" s="207"/>
      <c r="C112" s="207"/>
      <c r="D112" s="207"/>
      <c r="E112" s="208"/>
      <c r="F112" s="207"/>
      <c r="G112" s="207"/>
      <c r="H112" s="207"/>
      <c r="I112" s="207"/>
      <c r="J112" s="207"/>
      <c r="K112" s="209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3"/>
      <c r="AK112" s="203"/>
      <c r="AL112" s="203"/>
    </row>
    <row r="113" ht="15.75" customHeight="1">
      <c r="A113" s="207"/>
      <c r="B113" s="207"/>
      <c r="C113" s="207"/>
      <c r="D113" s="207"/>
      <c r="E113" s="208"/>
      <c r="F113" s="207"/>
      <c r="G113" s="207"/>
      <c r="H113" s="207"/>
      <c r="I113" s="207"/>
      <c r="J113" s="207"/>
      <c r="K113" s="209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3"/>
      <c r="AK113" s="203"/>
      <c r="AL113" s="203"/>
    </row>
    <row r="114" ht="15.75" customHeight="1">
      <c r="A114" s="207"/>
      <c r="B114" s="207"/>
      <c r="C114" s="207"/>
      <c r="D114" s="207"/>
      <c r="E114" s="208"/>
      <c r="F114" s="207"/>
      <c r="G114" s="207"/>
      <c r="H114" s="207"/>
      <c r="I114" s="207"/>
      <c r="J114" s="207"/>
      <c r="K114" s="209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3"/>
      <c r="AK114" s="203"/>
      <c r="AL114" s="203"/>
    </row>
    <row r="115" ht="15.75" customHeight="1">
      <c r="A115" s="207"/>
      <c r="B115" s="207"/>
      <c r="C115" s="207"/>
      <c r="D115" s="207"/>
      <c r="E115" s="208"/>
      <c r="F115" s="207"/>
      <c r="G115" s="207"/>
      <c r="H115" s="207"/>
      <c r="I115" s="207"/>
      <c r="J115" s="207"/>
      <c r="K115" s="209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3"/>
      <c r="AK115" s="203"/>
      <c r="AL115" s="203"/>
    </row>
    <row r="116" ht="15.75" customHeight="1">
      <c r="A116" s="207"/>
      <c r="B116" s="207"/>
      <c r="C116" s="207"/>
      <c r="D116" s="207"/>
      <c r="E116" s="208"/>
      <c r="F116" s="207"/>
      <c r="G116" s="207"/>
      <c r="H116" s="207"/>
      <c r="I116" s="207"/>
      <c r="J116" s="207"/>
      <c r="K116" s="209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3"/>
      <c r="AK116" s="203"/>
      <c r="AL116" s="203"/>
    </row>
    <row r="117" ht="15.75" customHeight="1">
      <c r="A117" s="207"/>
      <c r="B117" s="207"/>
      <c r="C117" s="207"/>
      <c r="D117" s="207"/>
      <c r="E117" s="208"/>
      <c r="F117" s="207"/>
      <c r="G117" s="207"/>
      <c r="H117" s="207"/>
      <c r="I117" s="207"/>
      <c r="J117" s="207"/>
      <c r="K117" s="209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3"/>
      <c r="AK117" s="203"/>
      <c r="AL117" s="203"/>
    </row>
    <row r="118" ht="15.75" customHeight="1">
      <c r="A118" s="207"/>
      <c r="B118" s="207"/>
      <c r="C118" s="207"/>
      <c r="D118" s="207"/>
      <c r="E118" s="208"/>
      <c r="F118" s="207"/>
      <c r="G118" s="207"/>
      <c r="H118" s="207"/>
      <c r="I118" s="207"/>
      <c r="J118" s="207"/>
      <c r="K118" s="209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3"/>
      <c r="AK118" s="203"/>
      <c r="AL118" s="203"/>
    </row>
    <row r="119" ht="15.75" customHeight="1">
      <c r="A119" s="207"/>
      <c r="B119" s="207"/>
      <c r="C119" s="207"/>
      <c r="D119" s="207"/>
      <c r="E119" s="208"/>
      <c r="F119" s="207"/>
      <c r="G119" s="207"/>
      <c r="H119" s="207"/>
      <c r="I119" s="207"/>
      <c r="J119" s="207"/>
      <c r="K119" s="209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3"/>
      <c r="AK119" s="203"/>
      <c r="AL119" s="203"/>
    </row>
    <row r="120" ht="15.75" customHeight="1">
      <c r="A120" s="207"/>
      <c r="B120" s="207"/>
      <c r="C120" s="207"/>
      <c r="D120" s="207"/>
      <c r="E120" s="208"/>
      <c r="F120" s="207"/>
      <c r="G120" s="207"/>
      <c r="H120" s="207"/>
      <c r="I120" s="207"/>
      <c r="J120" s="207"/>
      <c r="K120" s="209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03"/>
      <c r="AK120" s="203"/>
      <c r="AL120" s="203"/>
    </row>
    <row r="121" ht="15.75" customHeight="1">
      <c r="A121" s="207"/>
      <c r="B121" s="207"/>
      <c r="C121" s="207"/>
      <c r="D121" s="207"/>
      <c r="E121" s="208"/>
      <c r="F121" s="207"/>
      <c r="G121" s="207"/>
      <c r="H121" s="207"/>
      <c r="I121" s="207"/>
      <c r="J121" s="207"/>
      <c r="K121" s="209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03"/>
      <c r="AK121" s="203"/>
      <c r="AL121" s="203"/>
    </row>
    <row r="122" ht="15.75" customHeight="1">
      <c r="A122" s="207"/>
      <c r="B122" s="207"/>
      <c r="C122" s="207"/>
      <c r="D122" s="207"/>
      <c r="E122" s="208"/>
      <c r="F122" s="207"/>
      <c r="G122" s="207"/>
      <c r="H122" s="207"/>
      <c r="I122" s="207"/>
      <c r="J122" s="207"/>
      <c r="K122" s="209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3"/>
      <c r="AK122" s="203"/>
      <c r="AL122" s="203"/>
    </row>
    <row r="123" ht="15.75" customHeight="1">
      <c r="A123" s="207"/>
      <c r="B123" s="207"/>
      <c r="C123" s="207"/>
      <c r="D123" s="207"/>
      <c r="E123" s="208"/>
      <c r="F123" s="207"/>
      <c r="G123" s="207"/>
      <c r="H123" s="207"/>
      <c r="I123" s="207"/>
      <c r="J123" s="207"/>
      <c r="K123" s="209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3"/>
      <c r="AK123" s="203"/>
      <c r="AL123" s="203"/>
    </row>
    <row r="124" ht="15.75" customHeight="1">
      <c r="A124" s="207"/>
      <c r="B124" s="207"/>
      <c r="C124" s="207"/>
      <c r="D124" s="207"/>
      <c r="E124" s="208"/>
      <c r="F124" s="207"/>
      <c r="G124" s="207"/>
      <c r="H124" s="207"/>
      <c r="I124" s="207"/>
      <c r="J124" s="207"/>
      <c r="K124" s="209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3"/>
      <c r="AK124" s="203"/>
      <c r="AL124" s="203"/>
    </row>
    <row r="125" ht="15.75" customHeight="1">
      <c r="A125" s="207"/>
      <c r="B125" s="207"/>
      <c r="C125" s="207"/>
      <c r="D125" s="207"/>
      <c r="E125" s="208"/>
      <c r="F125" s="207"/>
      <c r="G125" s="207"/>
      <c r="H125" s="207"/>
      <c r="I125" s="207"/>
      <c r="J125" s="207"/>
      <c r="K125" s="209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3"/>
      <c r="AK125" s="203"/>
      <c r="AL125" s="203"/>
    </row>
    <row r="126" ht="15.75" customHeight="1">
      <c r="A126" s="207"/>
      <c r="B126" s="207"/>
      <c r="C126" s="207"/>
      <c r="D126" s="207"/>
      <c r="E126" s="208"/>
      <c r="F126" s="207"/>
      <c r="G126" s="207"/>
      <c r="H126" s="207"/>
      <c r="I126" s="207"/>
      <c r="J126" s="207"/>
      <c r="K126" s="209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3"/>
      <c r="AK126" s="203"/>
      <c r="AL126" s="203"/>
    </row>
    <row r="127" ht="15.75" customHeight="1">
      <c r="A127" s="207"/>
      <c r="B127" s="207"/>
      <c r="C127" s="207"/>
      <c r="D127" s="207"/>
      <c r="E127" s="208"/>
      <c r="F127" s="207"/>
      <c r="G127" s="207"/>
      <c r="H127" s="207"/>
      <c r="I127" s="207"/>
      <c r="J127" s="207"/>
      <c r="K127" s="209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03"/>
      <c r="AK127" s="203"/>
      <c r="AL127" s="203"/>
    </row>
    <row r="128" ht="15.75" customHeight="1">
      <c r="A128" s="207"/>
      <c r="B128" s="207"/>
      <c r="C128" s="207"/>
      <c r="D128" s="207"/>
      <c r="E128" s="208"/>
      <c r="F128" s="207"/>
      <c r="G128" s="207"/>
      <c r="H128" s="207"/>
      <c r="I128" s="207"/>
      <c r="J128" s="207"/>
      <c r="K128" s="209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03"/>
      <c r="AK128" s="203"/>
      <c r="AL128" s="203"/>
    </row>
    <row r="129" ht="15.75" customHeight="1">
      <c r="A129" s="207"/>
      <c r="B129" s="207"/>
      <c r="C129" s="207"/>
      <c r="D129" s="207"/>
      <c r="E129" s="208"/>
      <c r="F129" s="207"/>
      <c r="G129" s="207"/>
      <c r="H129" s="207"/>
      <c r="I129" s="207"/>
      <c r="J129" s="207"/>
      <c r="K129" s="209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3"/>
      <c r="AK129" s="203"/>
      <c r="AL129" s="203"/>
    </row>
    <row r="130" ht="15.75" customHeight="1">
      <c r="A130" s="207"/>
      <c r="B130" s="207"/>
      <c r="C130" s="207"/>
      <c r="D130" s="207"/>
      <c r="E130" s="208"/>
      <c r="F130" s="207"/>
      <c r="G130" s="207"/>
      <c r="H130" s="207"/>
      <c r="I130" s="207"/>
      <c r="J130" s="207"/>
      <c r="K130" s="209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03"/>
      <c r="AK130" s="203"/>
      <c r="AL130" s="203"/>
    </row>
    <row r="131" ht="15.75" customHeight="1">
      <c r="A131" s="207"/>
      <c r="B131" s="207"/>
      <c r="C131" s="207"/>
      <c r="D131" s="207"/>
      <c r="E131" s="208"/>
      <c r="F131" s="207"/>
      <c r="G131" s="207"/>
      <c r="H131" s="207"/>
      <c r="I131" s="207"/>
      <c r="J131" s="207"/>
      <c r="K131" s="209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03"/>
      <c r="AK131" s="203"/>
      <c r="AL131" s="203"/>
    </row>
    <row r="132" ht="15.75" customHeight="1">
      <c r="A132" s="207"/>
      <c r="B132" s="207"/>
      <c r="C132" s="207"/>
      <c r="D132" s="207"/>
      <c r="E132" s="208"/>
      <c r="F132" s="207"/>
      <c r="G132" s="207"/>
      <c r="H132" s="207"/>
      <c r="I132" s="207"/>
      <c r="J132" s="207"/>
      <c r="K132" s="209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3"/>
      <c r="AK132" s="203"/>
      <c r="AL132" s="203"/>
    </row>
    <row r="133" ht="15.75" customHeight="1">
      <c r="A133" s="207"/>
      <c r="B133" s="207"/>
      <c r="C133" s="207"/>
      <c r="D133" s="207"/>
      <c r="E133" s="208"/>
      <c r="F133" s="207"/>
      <c r="G133" s="207"/>
      <c r="H133" s="207"/>
      <c r="I133" s="207"/>
      <c r="J133" s="207"/>
      <c r="K133" s="209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03"/>
      <c r="AK133" s="203"/>
      <c r="AL133" s="203"/>
    </row>
    <row r="134" ht="15.75" customHeight="1">
      <c r="A134" s="207"/>
      <c r="B134" s="207"/>
      <c r="C134" s="207"/>
      <c r="D134" s="207"/>
      <c r="E134" s="208"/>
      <c r="F134" s="207"/>
      <c r="G134" s="207"/>
      <c r="H134" s="207"/>
      <c r="I134" s="207"/>
      <c r="J134" s="207"/>
      <c r="K134" s="209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03"/>
      <c r="AK134" s="203"/>
      <c r="AL134" s="203"/>
    </row>
    <row r="135" ht="15.75" customHeight="1">
      <c r="A135" s="207"/>
      <c r="B135" s="207"/>
      <c r="C135" s="207"/>
      <c r="D135" s="207"/>
      <c r="E135" s="208"/>
      <c r="F135" s="207"/>
      <c r="G135" s="207"/>
      <c r="H135" s="207"/>
      <c r="I135" s="207"/>
      <c r="J135" s="207"/>
      <c r="K135" s="209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3"/>
      <c r="AK135" s="203"/>
      <c r="AL135" s="203"/>
    </row>
    <row r="136" ht="15.75" customHeight="1">
      <c r="A136" s="207"/>
      <c r="B136" s="207"/>
      <c r="C136" s="207"/>
      <c r="D136" s="207"/>
      <c r="E136" s="208"/>
      <c r="F136" s="207"/>
      <c r="G136" s="207"/>
      <c r="H136" s="207"/>
      <c r="I136" s="207"/>
      <c r="J136" s="207"/>
      <c r="K136" s="209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03"/>
      <c r="AK136" s="203"/>
      <c r="AL136" s="203"/>
    </row>
    <row r="137" ht="15.75" customHeight="1">
      <c r="A137" s="207"/>
      <c r="B137" s="207"/>
      <c r="C137" s="207"/>
      <c r="D137" s="207"/>
      <c r="E137" s="208"/>
      <c r="F137" s="207"/>
      <c r="G137" s="207"/>
      <c r="H137" s="207"/>
      <c r="I137" s="207"/>
      <c r="J137" s="207"/>
      <c r="K137" s="209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3"/>
      <c r="AK137" s="203"/>
      <c r="AL137" s="203"/>
    </row>
    <row r="138" ht="15.75" customHeight="1">
      <c r="A138" s="207"/>
      <c r="B138" s="207"/>
      <c r="C138" s="207"/>
      <c r="D138" s="207"/>
      <c r="E138" s="208"/>
      <c r="F138" s="207"/>
      <c r="G138" s="207"/>
      <c r="H138" s="207"/>
      <c r="I138" s="207"/>
      <c r="J138" s="207"/>
      <c r="K138" s="209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03"/>
      <c r="AK138" s="203"/>
      <c r="AL138" s="203"/>
    </row>
    <row r="139" ht="15.75" customHeight="1">
      <c r="A139" s="207"/>
      <c r="B139" s="207"/>
      <c r="C139" s="207"/>
      <c r="D139" s="207"/>
      <c r="E139" s="208"/>
      <c r="F139" s="207"/>
      <c r="G139" s="207"/>
      <c r="H139" s="207"/>
      <c r="I139" s="207"/>
      <c r="J139" s="207"/>
      <c r="K139" s="209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3"/>
      <c r="AK139" s="203"/>
      <c r="AL139" s="203"/>
    </row>
    <row r="140" ht="15.75" customHeight="1">
      <c r="A140" s="207"/>
      <c r="B140" s="207"/>
      <c r="C140" s="207"/>
      <c r="D140" s="207"/>
      <c r="E140" s="208"/>
      <c r="F140" s="207"/>
      <c r="G140" s="207"/>
      <c r="H140" s="207"/>
      <c r="I140" s="207"/>
      <c r="J140" s="207"/>
      <c r="K140" s="209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03"/>
      <c r="AK140" s="203"/>
      <c r="AL140" s="203"/>
    </row>
    <row r="141" ht="15.75" customHeight="1">
      <c r="A141" s="207"/>
      <c r="B141" s="207"/>
      <c r="C141" s="207"/>
      <c r="D141" s="207"/>
      <c r="E141" s="208"/>
      <c r="F141" s="207"/>
      <c r="G141" s="207"/>
      <c r="H141" s="207"/>
      <c r="I141" s="207"/>
      <c r="J141" s="207"/>
      <c r="K141" s="209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03"/>
      <c r="AK141" s="203"/>
      <c r="AL141" s="203"/>
    </row>
    <row r="142" ht="15.75" customHeight="1">
      <c r="A142" s="207"/>
      <c r="B142" s="207"/>
      <c r="C142" s="207"/>
      <c r="D142" s="207"/>
      <c r="E142" s="208"/>
      <c r="F142" s="207"/>
      <c r="G142" s="207"/>
      <c r="H142" s="207"/>
      <c r="I142" s="207"/>
      <c r="J142" s="207"/>
      <c r="K142" s="209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03"/>
      <c r="AK142" s="203"/>
      <c r="AL142" s="203"/>
    </row>
    <row r="143" ht="15.75" customHeight="1">
      <c r="A143" s="207"/>
      <c r="B143" s="207"/>
      <c r="C143" s="207"/>
      <c r="D143" s="207"/>
      <c r="E143" s="208"/>
      <c r="F143" s="207"/>
      <c r="G143" s="207"/>
      <c r="H143" s="207"/>
      <c r="I143" s="207"/>
      <c r="J143" s="207"/>
      <c r="K143" s="209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03"/>
      <c r="AK143" s="203"/>
      <c r="AL143" s="203"/>
    </row>
    <row r="144" ht="15.75" customHeight="1">
      <c r="A144" s="207"/>
      <c r="B144" s="207"/>
      <c r="C144" s="207"/>
      <c r="D144" s="207"/>
      <c r="E144" s="208"/>
      <c r="F144" s="207"/>
      <c r="G144" s="207"/>
      <c r="H144" s="207"/>
      <c r="I144" s="207"/>
      <c r="J144" s="207"/>
      <c r="K144" s="209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03"/>
      <c r="AK144" s="203"/>
      <c r="AL144" s="203"/>
    </row>
    <row r="145" ht="15.75" customHeight="1">
      <c r="A145" s="207"/>
      <c r="B145" s="207"/>
      <c r="C145" s="207"/>
      <c r="D145" s="207"/>
      <c r="E145" s="208"/>
      <c r="F145" s="207"/>
      <c r="G145" s="207"/>
      <c r="H145" s="207"/>
      <c r="I145" s="207"/>
      <c r="J145" s="207"/>
      <c r="K145" s="209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3"/>
      <c r="AK145" s="203"/>
      <c r="AL145" s="203"/>
    </row>
    <row r="146" ht="15.75" customHeight="1">
      <c r="A146" s="207"/>
      <c r="B146" s="207"/>
      <c r="C146" s="207"/>
      <c r="D146" s="207"/>
      <c r="E146" s="208"/>
      <c r="F146" s="207"/>
      <c r="G146" s="207"/>
      <c r="H146" s="207"/>
      <c r="I146" s="207"/>
      <c r="J146" s="207"/>
      <c r="K146" s="209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3"/>
      <c r="AK146" s="203"/>
      <c r="AL146" s="203"/>
    </row>
    <row r="147" ht="15.75" customHeight="1">
      <c r="A147" s="207"/>
      <c r="B147" s="207"/>
      <c r="C147" s="207"/>
      <c r="D147" s="207"/>
      <c r="E147" s="208"/>
      <c r="F147" s="207"/>
      <c r="G147" s="207"/>
      <c r="H147" s="207"/>
      <c r="I147" s="207"/>
      <c r="J147" s="207"/>
      <c r="K147" s="209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03"/>
      <c r="AK147" s="203"/>
      <c r="AL147" s="203"/>
    </row>
    <row r="148" ht="15.75" customHeight="1">
      <c r="A148" s="207"/>
      <c r="B148" s="207"/>
      <c r="C148" s="207"/>
      <c r="D148" s="207"/>
      <c r="E148" s="208"/>
      <c r="F148" s="207"/>
      <c r="G148" s="207"/>
      <c r="H148" s="207"/>
      <c r="I148" s="207"/>
      <c r="J148" s="207"/>
      <c r="K148" s="209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03"/>
      <c r="AK148" s="203"/>
      <c r="AL148" s="203"/>
    </row>
    <row r="149" ht="15.75" customHeight="1">
      <c r="A149" s="207"/>
      <c r="B149" s="207"/>
      <c r="C149" s="207"/>
      <c r="D149" s="207"/>
      <c r="E149" s="208"/>
      <c r="F149" s="207"/>
      <c r="G149" s="207"/>
      <c r="H149" s="207"/>
      <c r="I149" s="207"/>
      <c r="J149" s="207"/>
      <c r="K149" s="209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03"/>
      <c r="AK149" s="203"/>
      <c r="AL149" s="203"/>
    </row>
    <row r="150" ht="15.75" customHeight="1">
      <c r="A150" s="207"/>
      <c r="B150" s="207"/>
      <c r="C150" s="207"/>
      <c r="D150" s="207"/>
      <c r="E150" s="208"/>
      <c r="F150" s="207"/>
      <c r="G150" s="207"/>
      <c r="H150" s="207"/>
      <c r="I150" s="207"/>
      <c r="J150" s="207"/>
      <c r="K150" s="209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03"/>
      <c r="AK150" s="203"/>
      <c r="AL150" s="203"/>
    </row>
    <row r="151" ht="15.75" customHeight="1">
      <c r="A151" s="207"/>
      <c r="B151" s="207"/>
      <c r="C151" s="207"/>
      <c r="D151" s="207"/>
      <c r="E151" s="208"/>
      <c r="F151" s="207"/>
      <c r="G151" s="207"/>
      <c r="H151" s="207"/>
      <c r="I151" s="207"/>
      <c r="J151" s="207"/>
      <c r="K151" s="209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03"/>
      <c r="AK151" s="203"/>
      <c r="AL151" s="203"/>
    </row>
    <row r="152" ht="15.75" customHeight="1">
      <c r="A152" s="207"/>
      <c r="B152" s="207"/>
      <c r="C152" s="207"/>
      <c r="D152" s="207"/>
      <c r="E152" s="208"/>
      <c r="F152" s="207"/>
      <c r="G152" s="207"/>
      <c r="H152" s="207"/>
      <c r="I152" s="207"/>
      <c r="J152" s="207"/>
      <c r="K152" s="209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03"/>
      <c r="AK152" s="203"/>
      <c r="AL152" s="203"/>
    </row>
    <row r="153" ht="15.75" customHeight="1">
      <c r="A153" s="207"/>
      <c r="B153" s="207"/>
      <c r="C153" s="207"/>
      <c r="D153" s="207"/>
      <c r="E153" s="208"/>
      <c r="F153" s="207"/>
      <c r="G153" s="207"/>
      <c r="H153" s="207"/>
      <c r="I153" s="207"/>
      <c r="J153" s="207"/>
      <c r="K153" s="209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03"/>
      <c r="AK153" s="203"/>
      <c r="AL153" s="203"/>
    </row>
    <row r="154" ht="15.75" customHeight="1">
      <c r="A154" s="207"/>
      <c r="B154" s="207"/>
      <c r="C154" s="207"/>
      <c r="D154" s="207"/>
      <c r="E154" s="208"/>
      <c r="F154" s="207"/>
      <c r="G154" s="207"/>
      <c r="H154" s="207"/>
      <c r="I154" s="207"/>
      <c r="J154" s="207"/>
      <c r="K154" s="209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03"/>
      <c r="AK154" s="203"/>
      <c r="AL154" s="203"/>
    </row>
    <row r="155" ht="15.75" customHeight="1">
      <c r="A155" s="207"/>
      <c r="B155" s="207"/>
      <c r="C155" s="207"/>
      <c r="D155" s="207"/>
      <c r="E155" s="208"/>
      <c r="F155" s="207"/>
      <c r="G155" s="207"/>
      <c r="H155" s="207"/>
      <c r="I155" s="207"/>
      <c r="J155" s="207"/>
      <c r="K155" s="209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03"/>
      <c r="AK155" s="203"/>
      <c r="AL155" s="203"/>
    </row>
    <row r="156" ht="15.75" customHeight="1">
      <c r="A156" s="207"/>
      <c r="B156" s="207"/>
      <c r="C156" s="207"/>
      <c r="D156" s="207"/>
      <c r="E156" s="208"/>
      <c r="F156" s="207"/>
      <c r="G156" s="207"/>
      <c r="H156" s="207"/>
      <c r="I156" s="207"/>
      <c r="J156" s="207"/>
      <c r="K156" s="209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03"/>
      <c r="AK156" s="203"/>
      <c r="AL156" s="203"/>
    </row>
    <row r="157" ht="15.75" customHeight="1">
      <c r="A157" s="207"/>
      <c r="B157" s="207"/>
      <c r="C157" s="207"/>
      <c r="D157" s="207"/>
      <c r="E157" s="208"/>
      <c r="F157" s="207"/>
      <c r="G157" s="207"/>
      <c r="H157" s="207"/>
      <c r="I157" s="207"/>
      <c r="J157" s="207"/>
      <c r="K157" s="209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03"/>
      <c r="AK157" s="203"/>
      <c r="AL157" s="203"/>
    </row>
    <row r="158" ht="15.75" customHeight="1">
      <c r="A158" s="207"/>
      <c r="B158" s="207"/>
      <c r="C158" s="207"/>
      <c r="D158" s="207"/>
      <c r="E158" s="208"/>
      <c r="F158" s="207"/>
      <c r="G158" s="207"/>
      <c r="H158" s="207"/>
      <c r="I158" s="207"/>
      <c r="J158" s="207"/>
      <c r="K158" s="209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03"/>
      <c r="AK158" s="203"/>
      <c r="AL158" s="203"/>
    </row>
    <row r="159" ht="15.75" customHeight="1">
      <c r="A159" s="207"/>
      <c r="B159" s="207"/>
      <c r="C159" s="207"/>
      <c r="D159" s="207"/>
      <c r="E159" s="208"/>
      <c r="F159" s="207"/>
      <c r="G159" s="207"/>
      <c r="H159" s="207"/>
      <c r="I159" s="207"/>
      <c r="J159" s="207"/>
      <c r="K159" s="209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03"/>
      <c r="AK159" s="203"/>
      <c r="AL159" s="203"/>
    </row>
    <row r="160" ht="15.75" customHeight="1">
      <c r="A160" s="207"/>
      <c r="B160" s="207"/>
      <c r="C160" s="207"/>
      <c r="D160" s="207"/>
      <c r="E160" s="208"/>
      <c r="F160" s="207"/>
      <c r="G160" s="207"/>
      <c r="H160" s="207"/>
      <c r="I160" s="207"/>
      <c r="J160" s="207"/>
      <c r="K160" s="209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03"/>
      <c r="AK160" s="203"/>
      <c r="AL160" s="203"/>
    </row>
    <row r="161" ht="15.75" customHeight="1">
      <c r="A161" s="207"/>
      <c r="B161" s="207"/>
      <c r="C161" s="207"/>
      <c r="D161" s="207"/>
      <c r="E161" s="208"/>
      <c r="F161" s="207"/>
      <c r="G161" s="207"/>
      <c r="H161" s="207"/>
      <c r="I161" s="207"/>
      <c r="J161" s="207"/>
      <c r="K161" s="209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03"/>
      <c r="AK161" s="203"/>
      <c r="AL161" s="203"/>
    </row>
    <row r="162" ht="15.75" customHeight="1">
      <c r="A162" s="207"/>
      <c r="B162" s="207"/>
      <c r="C162" s="207"/>
      <c r="D162" s="207"/>
      <c r="E162" s="208"/>
      <c r="F162" s="207"/>
      <c r="G162" s="207"/>
      <c r="H162" s="207"/>
      <c r="I162" s="207"/>
      <c r="J162" s="207"/>
      <c r="K162" s="209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203"/>
      <c r="AK162" s="203"/>
      <c r="AL162" s="203"/>
    </row>
    <row r="163" ht="15.75" customHeight="1">
      <c r="A163" s="207"/>
      <c r="B163" s="207"/>
      <c r="C163" s="207"/>
      <c r="D163" s="207"/>
      <c r="E163" s="208"/>
      <c r="F163" s="207"/>
      <c r="G163" s="207"/>
      <c r="H163" s="207"/>
      <c r="I163" s="207"/>
      <c r="J163" s="207"/>
      <c r="K163" s="209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203"/>
      <c r="AK163" s="203"/>
      <c r="AL163" s="203"/>
    </row>
    <row r="164" ht="15.75" customHeight="1">
      <c r="A164" s="207"/>
      <c r="B164" s="207"/>
      <c r="C164" s="207"/>
      <c r="D164" s="207"/>
      <c r="E164" s="208"/>
      <c r="F164" s="207"/>
      <c r="G164" s="207"/>
      <c r="H164" s="207"/>
      <c r="I164" s="207"/>
      <c r="J164" s="207"/>
      <c r="K164" s="209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03"/>
      <c r="AK164" s="203"/>
      <c r="AL164" s="203"/>
    </row>
    <row r="165" ht="15.75" customHeight="1">
      <c r="A165" s="207"/>
      <c r="B165" s="207"/>
      <c r="C165" s="207"/>
      <c r="D165" s="207"/>
      <c r="E165" s="208"/>
      <c r="F165" s="207"/>
      <c r="G165" s="207"/>
      <c r="H165" s="207"/>
      <c r="I165" s="207"/>
      <c r="J165" s="207"/>
      <c r="K165" s="209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03"/>
      <c r="AK165" s="203"/>
      <c r="AL165" s="203"/>
    </row>
    <row r="166" ht="15.75" customHeight="1">
      <c r="A166" s="207"/>
      <c r="B166" s="207"/>
      <c r="C166" s="207"/>
      <c r="D166" s="207"/>
      <c r="E166" s="208"/>
      <c r="F166" s="207"/>
      <c r="G166" s="207"/>
      <c r="H166" s="207"/>
      <c r="I166" s="207"/>
      <c r="J166" s="207"/>
      <c r="K166" s="209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203"/>
      <c r="AK166" s="203"/>
      <c r="AL166" s="203"/>
    </row>
    <row r="167" ht="15.75" customHeight="1">
      <c r="A167" s="207"/>
      <c r="B167" s="207"/>
      <c r="C167" s="207"/>
      <c r="D167" s="207"/>
      <c r="E167" s="208"/>
      <c r="F167" s="207"/>
      <c r="G167" s="207"/>
      <c r="H167" s="207"/>
      <c r="I167" s="207"/>
      <c r="J167" s="207"/>
      <c r="K167" s="209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03"/>
      <c r="AK167" s="203"/>
      <c r="AL167" s="203"/>
    </row>
    <row r="168" ht="15.75" customHeight="1">
      <c r="A168" s="207"/>
      <c r="B168" s="207"/>
      <c r="C168" s="207"/>
      <c r="D168" s="207"/>
      <c r="E168" s="208"/>
      <c r="F168" s="207"/>
      <c r="G168" s="207"/>
      <c r="H168" s="207"/>
      <c r="I168" s="207"/>
      <c r="J168" s="207"/>
      <c r="K168" s="209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03"/>
      <c r="AK168" s="203"/>
      <c r="AL168" s="203"/>
    </row>
    <row r="169" ht="15.75" customHeight="1">
      <c r="A169" s="207"/>
      <c r="B169" s="207"/>
      <c r="C169" s="207"/>
      <c r="D169" s="207"/>
      <c r="E169" s="208"/>
      <c r="F169" s="207"/>
      <c r="G169" s="207"/>
      <c r="H169" s="207"/>
      <c r="I169" s="207"/>
      <c r="J169" s="207"/>
      <c r="K169" s="209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03"/>
      <c r="AK169" s="203"/>
      <c r="AL169" s="203"/>
    </row>
    <row r="170" ht="15.75" customHeight="1">
      <c r="A170" s="207"/>
      <c r="B170" s="207"/>
      <c r="C170" s="207"/>
      <c r="D170" s="207"/>
      <c r="E170" s="208"/>
      <c r="F170" s="207"/>
      <c r="G170" s="207"/>
      <c r="H170" s="207"/>
      <c r="I170" s="207"/>
      <c r="J170" s="207"/>
      <c r="K170" s="209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03"/>
      <c r="AK170" s="203"/>
      <c r="AL170" s="203"/>
    </row>
    <row r="171" ht="15.75" customHeight="1">
      <c r="A171" s="207"/>
      <c r="B171" s="207"/>
      <c r="C171" s="207"/>
      <c r="D171" s="207"/>
      <c r="E171" s="208"/>
      <c r="F171" s="207"/>
      <c r="G171" s="207"/>
      <c r="H171" s="207"/>
      <c r="I171" s="207"/>
      <c r="J171" s="207"/>
      <c r="K171" s="209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03"/>
      <c r="AK171" s="203"/>
      <c r="AL171" s="203"/>
    </row>
    <row r="172" ht="15.75" customHeight="1">
      <c r="A172" s="207"/>
      <c r="B172" s="207"/>
      <c r="C172" s="207"/>
      <c r="D172" s="207"/>
      <c r="E172" s="208"/>
      <c r="F172" s="207"/>
      <c r="G172" s="207"/>
      <c r="H172" s="207"/>
      <c r="I172" s="207"/>
      <c r="J172" s="207"/>
      <c r="K172" s="209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03"/>
      <c r="AK172" s="203"/>
      <c r="AL172" s="203"/>
    </row>
    <row r="173" ht="15.75" customHeight="1">
      <c r="A173" s="207"/>
      <c r="B173" s="207"/>
      <c r="C173" s="207"/>
      <c r="D173" s="207"/>
      <c r="E173" s="208"/>
      <c r="F173" s="207"/>
      <c r="G173" s="207"/>
      <c r="H173" s="207"/>
      <c r="I173" s="207"/>
      <c r="J173" s="207"/>
      <c r="K173" s="209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03"/>
      <c r="AK173" s="203"/>
      <c r="AL173" s="203"/>
    </row>
    <row r="174" ht="15.75" customHeight="1">
      <c r="A174" s="207"/>
      <c r="B174" s="207"/>
      <c r="C174" s="207"/>
      <c r="D174" s="207"/>
      <c r="E174" s="208"/>
      <c r="F174" s="207"/>
      <c r="G174" s="207"/>
      <c r="H174" s="207"/>
      <c r="I174" s="207"/>
      <c r="J174" s="207"/>
      <c r="K174" s="209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03"/>
      <c r="AK174" s="203"/>
      <c r="AL174" s="203"/>
    </row>
    <row r="175" ht="15.75" customHeight="1">
      <c r="A175" s="207"/>
      <c r="B175" s="207"/>
      <c r="C175" s="207"/>
      <c r="D175" s="207"/>
      <c r="E175" s="208"/>
      <c r="F175" s="207"/>
      <c r="G175" s="207"/>
      <c r="H175" s="207"/>
      <c r="I175" s="207"/>
      <c r="J175" s="207"/>
      <c r="K175" s="209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3"/>
      <c r="AK175" s="203"/>
      <c r="AL175" s="203"/>
    </row>
    <row r="176" ht="15.75" customHeight="1">
      <c r="A176" s="207"/>
      <c r="B176" s="207"/>
      <c r="C176" s="207"/>
      <c r="D176" s="207"/>
      <c r="E176" s="208"/>
      <c r="F176" s="207"/>
      <c r="G176" s="207"/>
      <c r="H176" s="207"/>
      <c r="I176" s="207"/>
      <c r="J176" s="207"/>
      <c r="K176" s="209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203"/>
      <c r="AK176" s="203"/>
      <c r="AL176" s="203"/>
    </row>
    <row r="177" ht="15.75" customHeight="1">
      <c r="A177" s="207"/>
      <c r="B177" s="207"/>
      <c r="C177" s="207"/>
      <c r="D177" s="207"/>
      <c r="E177" s="208"/>
      <c r="F177" s="207"/>
      <c r="G177" s="207"/>
      <c r="H177" s="207"/>
      <c r="I177" s="207"/>
      <c r="J177" s="207"/>
      <c r="K177" s="209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03"/>
      <c r="AK177" s="203"/>
      <c r="AL177" s="203"/>
    </row>
    <row r="178" ht="15.75" customHeight="1">
      <c r="A178" s="207"/>
      <c r="B178" s="207"/>
      <c r="C178" s="207"/>
      <c r="D178" s="207"/>
      <c r="E178" s="208"/>
      <c r="F178" s="207"/>
      <c r="G178" s="207"/>
      <c r="H178" s="207"/>
      <c r="I178" s="207"/>
      <c r="J178" s="207"/>
      <c r="K178" s="209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03"/>
      <c r="AK178" s="203"/>
      <c r="AL178" s="203"/>
    </row>
    <row r="179" ht="15.75" customHeight="1">
      <c r="A179" s="207"/>
      <c r="B179" s="207"/>
      <c r="C179" s="207"/>
      <c r="D179" s="207"/>
      <c r="E179" s="208"/>
      <c r="F179" s="207"/>
      <c r="G179" s="207"/>
      <c r="H179" s="207"/>
      <c r="I179" s="207"/>
      <c r="J179" s="207"/>
      <c r="K179" s="209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3"/>
      <c r="AK179" s="203"/>
      <c r="AL179" s="203"/>
    </row>
    <row r="180" ht="15.75" customHeight="1">
      <c r="A180" s="207"/>
      <c r="B180" s="207"/>
      <c r="C180" s="207"/>
      <c r="D180" s="207"/>
      <c r="E180" s="208"/>
      <c r="F180" s="207"/>
      <c r="G180" s="207"/>
      <c r="H180" s="207"/>
      <c r="I180" s="207"/>
      <c r="J180" s="207"/>
      <c r="K180" s="209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03"/>
      <c r="AK180" s="203"/>
      <c r="AL180" s="203"/>
    </row>
    <row r="181" ht="15.75" customHeight="1">
      <c r="A181" s="207"/>
      <c r="B181" s="207"/>
      <c r="C181" s="207"/>
      <c r="D181" s="207"/>
      <c r="E181" s="208"/>
      <c r="F181" s="207"/>
      <c r="G181" s="207"/>
      <c r="H181" s="207"/>
      <c r="I181" s="207"/>
      <c r="J181" s="207"/>
      <c r="K181" s="209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3"/>
      <c r="AK181" s="203"/>
      <c r="AL181" s="203"/>
    </row>
    <row r="182" ht="15.75" customHeight="1">
      <c r="A182" s="207"/>
      <c r="B182" s="207"/>
      <c r="C182" s="207"/>
      <c r="D182" s="207"/>
      <c r="E182" s="208"/>
      <c r="F182" s="207"/>
      <c r="G182" s="207"/>
      <c r="H182" s="207"/>
      <c r="I182" s="207"/>
      <c r="J182" s="207"/>
      <c r="K182" s="209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07"/>
      <c r="AG182" s="207"/>
      <c r="AH182" s="207"/>
      <c r="AI182" s="207"/>
      <c r="AJ182" s="203"/>
      <c r="AK182" s="203"/>
      <c r="AL182" s="203"/>
    </row>
    <row r="183" ht="15.75" customHeight="1">
      <c r="A183" s="207"/>
      <c r="B183" s="207"/>
      <c r="C183" s="207"/>
      <c r="D183" s="207"/>
      <c r="E183" s="208"/>
      <c r="F183" s="207"/>
      <c r="G183" s="207"/>
      <c r="H183" s="207"/>
      <c r="I183" s="207"/>
      <c r="J183" s="207"/>
      <c r="K183" s="209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03"/>
      <c r="AK183" s="203"/>
      <c r="AL183" s="203"/>
    </row>
    <row r="184" ht="15.75" customHeight="1">
      <c r="A184" s="207"/>
      <c r="B184" s="207"/>
      <c r="C184" s="207"/>
      <c r="D184" s="207"/>
      <c r="E184" s="208"/>
      <c r="F184" s="207"/>
      <c r="G184" s="207"/>
      <c r="H184" s="207"/>
      <c r="I184" s="207"/>
      <c r="J184" s="207"/>
      <c r="K184" s="209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07"/>
      <c r="AG184" s="207"/>
      <c r="AH184" s="207"/>
      <c r="AI184" s="207"/>
      <c r="AJ184" s="203"/>
      <c r="AK184" s="203"/>
      <c r="AL184" s="203"/>
    </row>
    <row r="185" ht="15.75" customHeight="1">
      <c r="A185" s="207"/>
      <c r="B185" s="207"/>
      <c r="C185" s="207"/>
      <c r="D185" s="207"/>
      <c r="E185" s="208"/>
      <c r="F185" s="207"/>
      <c r="G185" s="207"/>
      <c r="H185" s="207"/>
      <c r="I185" s="207"/>
      <c r="J185" s="207"/>
      <c r="K185" s="209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03"/>
      <c r="AK185" s="203"/>
      <c r="AL185" s="203"/>
    </row>
    <row r="186" ht="15.75" customHeight="1">
      <c r="A186" s="207"/>
      <c r="B186" s="207"/>
      <c r="C186" s="207"/>
      <c r="D186" s="207"/>
      <c r="E186" s="208"/>
      <c r="F186" s="207"/>
      <c r="G186" s="207"/>
      <c r="H186" s="207"/>
      <c r="I186" s="207"/>
      <c r="J186" s="207"/>
      <c r="K186" s="209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07"/>
      <c r="AG186" s="207"/>
      <c r="AH186" s="207"/>
      <c r="AI186" s="207"/>
      <c r="AJ186" s="203"/>
      <c r="AK186" s="203"/>
      <c r="AL186" s="203"/>
    </row>
    <row r="187" ht="15.75" customHeight="1">
      <c r="A187" s="207"/>
      <c r="B187" s="207"/>
      <c r="C187" s="207"/>
      <c r="D187" s="207"/>
      <c r="E187" s="208"/>
      <c r="F187" s="207"/>
      <c r="G187" s="207"/>
      <c r="H187" s="207"/>
      <c r="I187" s="207"/>
      <c r="J187" s="207"/>
      <c r="K187" s="209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03"/>
      <c r="AK187" s="203"/>
      <c r="AL187" s="203"/>
    </row>
    <row r="188" ht="15.75" customHeight="1">
      <c r="A188" s="207"/>
      <c r="B188" s="207"/>
      <c r="C188" s="207"/>
      <c r="D188" s="207"/>
      <c r="E188" s="208"/>
      <c r="F188" s="207"/>
      <c r="G188" s="207"/>
      <c r="H188" s="207"/>
      <c r="I188" s="207"/>
      <c r="J188" s="207"/>
      <c r="K188" s="209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03"/>
      <c r="AK188" s="203"/>
      <c r="AL188" s="203"/>
    </row>
    <row r="189" ht="15.75" customHeight="1">
      <c r="A189" s="207"/>
      <c r="B189" s="207"/>
      <c r="C189" s="207"/>
      <c r="D189" s="207"/>
      <c r="E189" s="208"/>
      <c r="F189" s="207"/>
      <c r="G189" s="207"/>
      <c r="H189" s="207"/>
      <c r="I189" s="207"/>
      <c r="J189" s="207"/>
      <c r="K189" s="209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03"/>
      <c r="AK189" s="203"/>
      <c r="AL189" s="203"/>
    </row>
    <row r="190" ht="15.75" customHeight="1">
      <c r="A190" s="207"/>
      <c r="B190" s="207"/>
      <c r="C190" s="207"/>
      <c r="D190" s="207"/>
      <c r="E190" s="208"/>
      <c r="F190" s="207"/>
      <c r="G190" s="207"/>
      <c r="H190" s="207"/>
      <c r="I190" s="207"/>
      <c r="J190" s="207"/>
      <c r="K190" s="209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07"/>
      <c r="AG190" s="207"/>
      <c r="AH190" s="207"/>
      <c r="AI190" s="207"/>
      <c r="AJ190" s="203"/>
      <c r="AK190" s="203"/>
      <c r="AL190" s="203"/>
    </row>
    <row r="191" ht="15.75" customHeight="1">
      <c r="A191" s="207"/>
      <c r="B191" s="207"/>
      <c r="C191" s="207"/>
      <c r="D191" s="207"/>
      <c r="E191" s="208"/>
      <c r="F191" s="207"/>
      <c r="G191" s="207"/>
      <c r="H191" s="207"/>
      <c r="I191" s="207"/>
      <c r="J191" s="207"/>
      <c r="K191" s="209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03"/>
      <c r="AK191" s="203"/>
      <c r="AL191" s="203"/>
    </row>
    <row r="192" ht="15.75" customHeight="1">
      <c r="A192" s="207"/>
      <c r="B192" s="207"/>
      <c r="C192" s="207"/>
      <c r="D192" s="207"/>
      <c r="E192" s="208"/>
      <c r="F192" s="207"/>
      <c r="G192" s="207"/>
      <c r="H192" s="207"/>
      <c r="I192" s="207"/>
      <c r="J192" s="207"/>
      <c r="K192" s="209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03"/>
      <c r="AK192" s="203"/>
      <c r="AL192" s="203"/>
    </row>
    <row r="193" ht="15.75" customHeight="1">
      <c r="A193" s="207"/>
      <c r="B193" s="207"/>
      <c r="C193" s="207"/>
      <c r="D193" s="207"/>
      <c r="E193" s="208"/>
      <c r="F193" s="207"/>
      <c r="G193" s="207"/>
      <c r="H193" s="207"/>
      <c r="I193" s="207"/>
      <c r="J193" s="207"/>
      <c r="K193" s="209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03"/>
      <c r="AK193" s="203"/>
      <c r="AL193" s="203"/>
    </row>
    <row r="194" ht="15.75" customHeight="1">
      <c r="A194" s="207"/>
      <c r="B194" s="207"/>
      <c r="C194" s="207"/>
      <c r="D194" s="207"/>
      <c r="E194" s="208"/>
      <c r="F194" s="207"/>
      <c r="G194" s="207"/>
      <c r="H194" s="207"/>
      <c r="I194" s="207"/>
      <c r="J194" s="207"/>
      <c r="K194" s="209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03"/>
      <c r="AK194" s="203"/>
      <c r="AL194" s="203"/>
    </row>
    <row r="195" ht="15.75" customHeight="1">
      <c r="A195" s="207"/>
      <c r="B195" s="207"/>
      <c r="C195" s="207"/>
      <c r="D195" s="207"/>
      <c r="E195" s="208"/>
      <c r="F195" s="207"/>
      <c r="G195" s="207"/>
      <c r="H195" s="207"/>
      <c r="I195" s="207"/>
      <c r="J195" s="207"/>
      <c r="K195" s="209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3"/>
      <c r="AK195" s="203"/>
      <c r="AL195" s="203"/>
    </row>
    <row r="196" ht="15.75" customHeight="1">
      <c r="A196" s="207"/>
      <c r="B196" s="207"/>
      <c r="C196" s="207"/>
      <c r="D196" s="207"/>
      <c r="E196" s="208"/>
      <c r="F196" s="207"/>
      <c r="G196" s="207"/>
      <c r="H196" s="207"/>
      <c r="I196" s="207"/>
      <c r="J196" s="207"/>
      <c r="K196" s="209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07"/>
      <c r="AG196" s="207"/>
      <c r="AH196" s="207"/>
      <c r="AI196" s="207"/>
      <c r="AJ196" s="203"/>
      <c r="AK196" s="203"/>
      <c r="AL196" s="203"/>
    </row>
    <row r="197" ht="15.75" customHeight="1">
      <c r="A197" s="207"/>
      <c r="B197" s="207"/>
      <c r="C197" s="207"/>
      <c r="D197" s="207"/>
      <c r="E197" s="208"/>
      <c r="F197" s="207"/>
      <c r="G197" s="207"/>
      <c r="H197" s="207"/>
      <c r="I197" s="207"/>
      <c r="J197" s="207"/>
      <c r="K197" s="209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03"/>
      <c r="AK197" s="203"/>
      <c r="AL197" s="203"/>
    </row>
    <row r="198" ht="15.75" customHeight="1">
      <c r="A198" s="207"/>
      <c r="B198" s="207"/>
      <c r="C198" s="207"/>
      <c r="D198" s="207"/>
      <c r="E198" s="208"/>
      <c r="F198" s="207"/>
      <c r="G198" s="207"/>
      <c r="H198" s="207"/>
      <c r="I198" s="207"/>
      <c r="J198" s="207"/>
      <c r="K198" s="209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03"/>
      <c r="AK198" s="203"/>
      <c r="AL198" s="203"/>
    </row>
    <row r="199" ht="15.75" customHeight="1">
      <c r="A199" s="207"/>
      <c r="B199" s="207"/>
      <c r="C199" s="207"/>
      <c r="D199" s="207"/>
      <c r="E199" s="208"/>
      <c r="F199" s="207"/>
      <c r="G199" s="207"/>
      <c r="H199" s="207"/>
      <c r="I199" s="207"/>
      <c r="J199" s="207"/>
      <c r="K199" s="209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3"/>
      <c r="AK199" s="203"/>
      <c r="AL199" s="203"/>
    </row>
    <row r="200" ht="15.75" customHeight="1">
      <c r="A200" s="207"/>
      <c r="B200" s="207"/>
      <c r="C200" s="207"/>
      <c r="D200" s="207"/>
      <c r="E200" s="208"/>
      <c r="F200" s="207"/>
      <c r="G200" s="207"/>
      <c r="H200" s="207"/>
      <c r="I200" s="207"/>
      <c r="J200" s="207"/>
      <c r="K200" s="209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03"/>
      <c r="AK200" s="203"/>
      <c r="AL200" s="203"/>
    </row>
    <row r="201" ht="15.75" customHeight="1">
      <c r="A201" s="207"/>
      <c r="B201" s="207"/>
      <c r="C201" s="207"/>
      <c r="D201" s="207"/>
      <c r="E201" s="208"/>
      <c r="F201" s="207"/>
      <c r="G201" s="207"/>
      <c r="H201" s="207"/>
      <c r="I201" s="207"/>
      <c r="J201" s="207"/>
      <c r="K201" s="209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03"/>
      <c r="AK201" s="203"/>
      <c r="AL201" s="203"/>
    </row>
    <row r="202" ht="15.75" customHeight="1">
      <c r="A202" s="207"/>
      <c r="B202" s="207"/>
      <c r="C202" s="207"/>
      <c r="D202" s="207"/>
      <c r="E202" s="208"/>
      <c r="F202" s="207"/>
      <c r="G202" s="207"/>
      <c r="H202" s="207"/>
      <c r="I202" s="207"/>
      <c r="J202" s="207"/>
      <c r="K202" s="209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03"/>
      <c r="AK202" s="203"/>
      <c r="AL202" s="203"/>
    </row>
    <row r="203" ht="15.75" customHeight="1">
      <c r="A203" s="207"/>
      <c r="B203" s="207"/>
      <c r="C203" s="207"/>
      <c r="D203" s="207"/>
      <c r="E203" s="208"/>
      <c r="F203" s="207"/>
      <c r="G203" s="207"/>
      <c r="H203" s="207"/>
      <c r="I203" s="207"/>
      <c r="J203" s="207"/>
      <c r="K203" s="209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07"/>
      <c r="AG203" s="207"/>
      <c r="AH203" s="207"/>
      <c r="AI203" s="207"/>
      <c r="AJ203" s="203"/>
      <c r="AK203" s="203"/>
      <c r="AL203" s="203"/>
    </row>
    <row r="204" ht="15.75" customHeight="1">
      <c r="A204" s="207"/>
      <c r="B204" s="207"/>
      <c r="C204" s="207"/>
      <c r="D204" s="207"/>
      <c r="E204" s="208"/>
      <c r="F204" s="207"/>
      <c r="G204" s="207"/>
      <c r="H204" s="207"/>
      <c r="I204" s="207"/>
      <c r="J204" s="207"/>
      <c r="K204" s="209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7"/>
      <c r="AD204" s="207"/>
      <c r="AE204" s="207"/>
      <c r="AF204" s="207"/>
      <c r="AG204" s="207"/>
      <c r="AH204" s="207"/>
      <c r="AI204" s="207"/>
      <c r="AJ204" s="203"/>
      <c r="AK204" s="203"/>
      <c r="AL204" s="203"/>
    </row>
    <row r="205" ht="15.75" customHeight="1">
      <c r="A205" s="207"/>
      <c r="B205" s="207"/>
      <c r="C205" s="207"/>
      <c r="D205" s="207"/>
      <c r="E205" s="208"/>
      <c r="F205" s="207"/>
      <c r="G205" s="207"/>
      <c r="H205" s="207"/>
      <c r="I205" s="207"/>
      <c r="J205" s="207"/>
      <c r="K205" s="209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07"/>
      <c r="AG205" s="207"/>
      <c r="AH205" s="207"/>
      <c r="AI205" s="207"/>
      <c r="AJ205" s="203"/>
      <c r="AK205" s="203"/>
      <c r="AL205" s="203"/>
    </row>
    <row r="206" ht="15.75" customHeight="1">
      <c r="A206" s="207"/>
      <c r="B206" s="207"/>
      <c r="C206" s="207"/>
      <c r="D206" s="207"/>
      <c r="E206" s="208"/>
      <c r="F206" s="207"/>
      <c r="G206" s="207"/>
      <c r="H206" s="207"/>
      <c r="I206" s="207"/>
      <c r="J206" s="207"/>
      <c r="K206" s="209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03"/>
      <c r="AK206" s="203"/>
      <c r="AL206" s="203"/>
    </row>
    <row r="207" ht="15.75" customHeight="1">
      <c r="A207" s="207"/>
      <c r="B207" s="207"/>
      <c r="C207" s="207"/>
      <c r="D207" s="207"/>
      <c r="E207" s="208"/>
      <c r="F207" s="207"/>
      <c r="G207" s="207"/>
      <c r="H207" s="207"/>
      <c r="I207" s="207"/>
      <c r="J207" s="207"/>
      <c r="K207" s="209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03"/>
      <c r="AK207" s="203"/>
      <c r="AL207" s="203"/>
    </row>
    <row r="208" ht="15.75" customHeight="1">
      <c r="A208" s="207"/>
      <c r="B208" s="207"/>
      <c r="C208" s="207"/>
      <c r="D208" s="207"/>
      <c r="E208" s="208"/>
      <c r="F208" s="207"/>
      <c r="G208" s="207"/>
      <c r="H208" s="207"/>
      <c r="I208" s="207"/>
      <c r="J208" s="207"/>
      <c r="K208" s="209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07"/>
      <c r="AG208" s="207"/>
      <c r="AH208" s="207"/>
      <c r="AI208" s="207"/>
      <c r="AJ208" s="203"/>
      <c r="AK208" s="203"/>
      <c r="AL208" s="203"/>
    </row>
    <row r="209" ht="15.75" customHeight="1">
      <c r="A209" s="207"/>
      <c r="B209" s="207"/>
      <c r="C209" s="207"/>
      <c r="D209" s="207"/>
      <c r="E209" s="208"/>
      <c r="F209" s="207"/>
      <c r="G209" s="207"/>
      <c r="H209" s="207"/>
      <c r="I209" s="207"/>
      <c r="J209" s="207"/>
      <c r="K209" s="209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07"/>
      <c r="AG209" s="207"/>
      <c r="AH209" s="207"/>
      <c r="AI209" s="207"/>
      <c r="AJ209" s="203"/>
      <c r="AK209" s="203"/>
      <c r="AL209" s="203"/>
    </row>
    <row r="210" ht="15.75" customHeight="1">
      <c r="A210" s="207"/>
      <c r="B210" s="207"/>
      <c r="C210" s="207"/>
      <c r="D210" s="207"/>
      <c r="E210" s="208"/>
      <c r="F210" s="207"/>
      <c r="G210" s="207"/>
      <c r="H210" s="207"/>
      <c r="I210" s="207"/>
      <c r="J210" s="207"/>
      <c r="K210" s="209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07"/>
      <c r="AG210" s="207"/>
      <c r="AH210" s="207"/>
      <c r="AI210" s="207"/>
      <c r="AJ210" s="203"/>
      <c r="AK210" s="203"/>
      <c r="AL210" s="203"/>
    </row>
    <row r="211" ht="15.75" customHeight="1">
      <c r="A211" s="207"/>
      <c r="B211" s="207"/>
      <c r="C211" s="207"/>
      <c r="D211" s="207"/>
      <c r="E211" s="208"/>
      <c r="F211" s="207"/>
      <c r="G211" s="207"/>
      <c r="H211" s="207"/>
      <c r="I211" s="207"/>
      <c r="J211" s="207"/>
      <c r="K211" s="209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03"/>
      <c r="AK211" s="203"/>
      <c r="AL211" s="203"/>
    </row>
    <row r="212" ht="15.75" customHeight="1">
      <c r="A212" s="207"/>
      <c r="B212" s="207"/>
      <c r="C212" s="207"/>
      <c r="D212" s="207"/>
      <c r="E212" s="208"/>
      <c r="F212" s="207"/>
      <c r="G212" s="207"/>
      <c r="H212" s="207"/>
      <c r="I212" s="207"/>
      <c r="J212" s="207"/>
      <c r="K212" s="209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07"/>
      <c r="AG212" s="207"/>
      <c r="AH212" s="207"/>
      <c r="AI212" s="207"/>
      <c r="AJ212" s="203"/>
      <c r="AK212" s="203"/>
      <c r="AL212" s="203"/>
    </row>
    <row r="213" ht="15.75" customHeight="1">
      <c r="A213" s="207"/>
      <c r="B213" s="207"/>
      <c r="C213" s="207"/>
      <c r="D213" s="207"/>
      <c r="E213" s="208"/>
      <c r="F213" s="207"/>
      <c r="G213" s="207"/>
      <c r="H213" s="207"/>
      <c r="I213" s="207"/>
      <c r="J213" s="207"/>
      <c r="K213" s="209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03"/>
      <c r="AK213" s="203"/>
      <c r="AL213" s="203"/>
    </row>
    <row r="214" ht="15.75" customHeight="1">
      <c r="A214" s="207"/>
      <c r="B214" s="207"/>
      <c r="C214" s="207"/>
      <c r="D214" s="207"/>
      <c r="E214" s="208"/>
      <c r="F214" s="207"/>
      <c r="G214" s="207"/>
      <c r="H214" s="207"/>
      <c r="I214" s="207"/>
      <c r="J214" s="207"/>
      <c r="K214" s="209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7"/>
      <c r="AD214" s="207"/>
      <c r="AE214" s="207"/>
      <c r="AF214" s="207"/>
      <c r="AG214" s="207"/>
      <c r="AH214" s="207"/>
      <c r="AI214" s="207"/>
      <c r="AJ214" s="203"/>
      <c r="AK214" s="203"/>
      <c r="AL214" s="203"/>
    </row>
    <row r="215" ht="15.75" customHeight="1">
      <c r="A215" s="207"/>
      <c r="B215" s="207"/>
      <c r="C215" s="207"/>
      <c r="D215" s="207"/>
      <c r="E215" s="208"/>
      <c r="F215" s="207"/>
      <c r="G215" s="207"/>
      <c r="H215" s="207"/>
      <c r="I215" s="207"/>
      <c r="J215" s="207"/>
      <c r="K215" s="209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07"/>
      <c r="AG215" s="207"/>
      <c r="AH215" s="207"/>
      <c r="AI215" s="207"/>
      <c r="AJ215" s="203"/>
      <c r="AK215" s="203"/>
      <c r="AL215" s="203"/>
    </row>
    <row r="216" ht="15.75" customHeight="1">
      <c r="A216" s="207"/>
      <c r="B216" s="207"/>
      <c r="C216" s="207"/>
      <c r="D216" s="207"/>
      <c r="E216" s="208"/>
      <c r="F216" s="207"/>
      <c r="G216" s="207"/>
      <c r="H216" s="207"/>
      <c r="I216" s="207"/>
      <c r="J216" s="207"/>
      <c r="K216" s="209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07"/>
      <c r="AG216" s="207"/>
      <c r="AH216" s="207"/>
      <c r="AI216" s="207"/>
      <c r="AJ216" s="203"/>
      <c r="AK216" s="203"/>
      <c r="AL216" s="203"/>
    </row>
    <row r="217" ht="15.75" customHeight="1">
      <c r="A217" s="207"/>
      <c r="B217" s="207"/>
      <c r="C217" s="207"/>
      <c r="D217" s="207"/>
      <c r="E217" s="208"/>
      <c r="F217" s="207"/>
      <c r="G217" s="207"/>
      <c r="H217" s="207"/>
      <c r="I217" s="207"/>
      <c r="J217" s="207"/>
      <c r="K217" s="209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07"/>
      <c r="AG217" s="207"/>
      <c r="AH217" s="207"/>
      <c r="AI217" s="207"/>
      <c r="AJ217" s="203"/>
      <c r="AK217" s="203"/>
      <c r="AL217" s="203"/>
    </row>
    <row r="218" ht="15.75" customHeight="1">
      <c r="A218" s="207"/>
      <c r="B218" s="207"/>
      <c r="C218" s="207"/>
      <c r="D218" s="207"/>
      <c r="E218" s="208"/>
      <c r="F218" s="207"/>
      <c r="G218" s="207"/>
      <c r="H218" s="207"/>
      <c r="I218" s="207"/>
      <c r="J218" s="207"/>
      <c r="K218" s="209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03"/>
      <c r="AK218" s="203"/>
      <c r="AL218" s="203"/>
    </row>
    <row r="219" ht="15.75" customHeight="1">
      <c r="A219" s="207"/>
      <c r="B219" s="207"/>
      <c r="C219" s="207"/>
      <c r="D219" s="207"/>
      <c r="E219" s="208"/>
      <c r="F219" s="207"/>
      <c r="G219" s="207"/>
      <c r="H219" s="207"/>
      <c r="I219" s="207"/>
      <c r="J219" s="207"/>
      <c r="K219" s="209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7"/>
      <c r="AD219" s="207"/>
      <c r="AE219" s="207"/>
      <c r="AF219" s="207"/>
      <c r="AG219" s="207"/>
      <c r="AH219" s="207"/>
      <c r="AI219" s="207"/>
      <c r="AJ219" s="203"/>
      <c r="AK219" s="203"/>
      <c r="AL219" s="203"/>
    </row>
    <row r="220" ht="15.75" customHeight="1">
      <c r="A220" s="207"/>
      <c r="B220" s="207"/>
      <c r="C220" s="207"/>
      <c r="D220" s="207"/>
      <c r="E220" s="208"/>
      <c r="F220" s="207"/>
      <c r="G220" s="207"/>
      <c r="H220" s="207"/>
      <c r="I220" s="207"/>
      <c r="J220" s="207"/>
      <c r="K220" s="209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03"/>
      <c r="AK220" s="203"/>
      <c r="AL220" s="203"/>
    </row>
    <row r="221" ht="15.75" customHeight="1">
      <c r="A221" s="207"/>
      <c r="B221" s="207"/>
      <c r="C221" s="207"/>
      <c r="D221" s="207"/>
      <c r="E221" s="208"/>
      <c r="F221" s="207"/>
      <c r="G221" s="207"/>
      <c r="H221" s="207"/>
      <c r="I221" s="207"/>
      <c r="J221" s="207"/>
      <c r="K221" s="209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07"/>
      <c r="AG221" s="207"/>
      <c r="AH221" s="207"/>
      <c r="AI221" s="207"/>
      <c r="AJ221" s="203"/>
      <c r="AK221" s="203"/>
      <c r="AL221" s="203"/>
    </row>
    <row r="222" ht="15.75" customHeight="1">
      <c r="A222" s="207"/>
      <c r="B222" s="207"/>
      <c r="C222" s="207"/>
      <c r="D222" s="207"/>
      <c r="E222" s="208"/>
      <c r="F222" s="207"/>
      <c r="G222" s="207"/>
      <c r="H222" s="207"/>
      <c r="I222" s="207"/>
      <c r="J222" s="207"/>
      <c r="K222" s="209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03"/>
      <c r="AK222" s="203"/>
      <c r="AL222" s="203"/>
    </row>
    <row r="223" ht="15.75" customHeight="1">
      <c r="A223" s="207"/>
      <c r="B223" s="207"/>
      <c r="C223" s="207"/>
      <c r="D223" s="207"/>
      <c r="E223" s="208"/>
      <c r="F223" s="207"/>
      <c r="G223" s="207"/>
      <c r="H223" s="207"/>
      <c r="I223" s="207"/>
      <c r="J223" s="207"/>
      <c r="K223" s="209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7"/>
      <c r="AD223" s="207"/>
      <c r="AE223" s="207"/>
      <c r="AF223" s="207"/>
      <c r="AG223" s="207"/>
      <c r="AH223" s="207"/>
      <c r="AI223" s="207"/>
      <c r="AJ223" s="203"/>
      <c r="AK223" s="203"/>
      <c r="AL223" s="203"/>
    </row>
    <row r="224" ht="15.75" customHeight="1">
      <c r="A224" s="207"/>
      <c r="B224" s="207"/>
      <c r="C224" s="207"/>
      <c r="D224" s="207"/>
      <c r="E224" s="208"/>
      <c r="F224" s="207"/>
      <c r="G224" s="207"/>
      <c r="H224" s="207"/>
      <c r="I224" s="207"/>
      <c r="J224" s="207"/>
      <c r="K224" s="209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07"/>
      <c r="AG224" s="207"/>
      <c r="AH224" s="207"/>
      <c r="AI224" s="207"/>
      <c r="AJ224" s="203"/>
      <c r="AK224" s="203"/>
      <c r="AL224" s="203"/>
    </row>
    <row r="225" ht="15.75" customHeight="1">
      <c r="A225" s="207"/>
      <c r="B225" s="207"/>
      <c r="C225" s="207"/>
      <c r="D225" s="207"/>
      <c r="E225" s="208"/>
      <c r="F225" s="207"/>
      <c r="G225" s="207"/>
      <c r="H225" s="207"/>
      <c r="I225" s="207"/>
      <c r="J225" s="207"/>
      <c r="K225" s="209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07"/>
      <c r="AG225" s="207"/>
      <c r="AH225" s="207"/>
      <c r="AI225" s="207"/>
      <c r="AJ225" s="203"/>
      <c r="AK225" s="203"/>
      <c r="AL225" s="203"/>
    </row>
    <row r="226" ht="15.75" customHeight="1">
      <c r="A226" s="207"/>
      <c r="B226" s="207"/>
      <c r="C226" s="207"/>
      <c r="D226" s="207"/>
      <c r="E226" s="208"/>
      <c r="F226" s="207"/>
      <c r="G226" s="207"/>
      <c r="H226" s="207"/>
      <c r="I226" s="207"/>
      <c r="J226" s="207"/>
      <c r="K226" s="209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7"/>
      <c r="AD226" s="207"/>
      <c r="AE226" s="207"/>
      <c r="AF226" s="207"/>
      <c r="AG226" s="207"/>
      <c r="AH226" s="207"/>
      <c r="AI226" s="207"/>
      <c r="AJ226" s="203"/>
      <c r="AK226" s="203"/>
      <c r="AL226" s="203"/>
    </row>
    <row r="227" ht="15.75" customHeight="1">
      <c r="A227" s="207"/>
      <c r="B227" s="207"/>
      <c r="C227" s="207"/>
      <c r="D227" s="207"/>
      <c r="E227" s="208"/>
      <c r="F227" s="207"/>
      <c r="G227" s="207"/>
      <c r="H227" s="207"/>
      <c r="I227" s="207"/>
      <c r="J227" s="207"/>
      <c r="K227" s="209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07"/>
      <c r="AG227" s="207"/>
      <c r="AH227" s="207"/>
      <c r="AI227" s="207"/>
      <c r="AJ227" s="203"/>
      <c r="AK227" s="203"/>
      <c r="AL227" s="203"/>
    </row>
    <row r="228" ht="15.75" customHeight="1">
      <c r="A228" s="207"/>
      <c r="B228" s="207"/>
      <c r="C228" s="207"/>
      <c r="D228" s="207"/>
      <c r="E228" s="208"/>
      <c r="F228" s="207"/>
      <c r="G228" s="207"/>
      <c r="H228" s="207"/>
      <c r="I228" s="207"/>
      <c r="J228" s="207"/>
      <c r="K228" s="209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03"/>
      <c r="AK228" s="203"/>
      <c r="AL228" s="203"/>
    </row>
    <row r="229" ht="15.75" customHeight="1">
      <c r="A229" s="207"/>
      <c r="B229" s="207"/>
      <c r="C229" s="207"/>
      <c r="D229" s="207"/>
      <c r="E229" s="208"/>
      <c r="F229" s="207"/>
      <c r="G229" s="207"/>
      <c r="H229" s="207"/>
      <c r="I229" s="207"/>
      <c r="J229" s="207"/>
      <c r="K229" s="209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7"/>
      <c r="AD229" s="207"/>
      <c r="AE229" s="207"/>
      <c r="AF229" s="207"/>
      <c r="AG229" s="207"/>
      <c r="AH229" s="207"/>
      <c r="AI229" s="207"/>
      <c r="AJ229" s="203"/>
      <c r="AK229" s="203"/>
      <c r="AL229" s="203"/>
    </row>
    <row r="230" ht="15.75" customHeight="1">
      <c r="A230" s="207"/>
      <c r="B230" s="207"/>
      <c r="C230" s="207"/>
      <c r="D230" s="207"/>
      <c r="E230" s="208"/>
      <c r="F230" s="207"/>
      <c r="G230" s="207"/>
      <c r="H230" s="207"/>
      <c r="I230" s="207"/>
      <c r="J230" s="207"/>
      <c r="K230" s="209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03"/>
      <c r="AK230" s="203"/>
      <c r="AL230" s="203"/>
    </row>
    <row r="231" ht="15.75" customHeight="1">
      <c r="A231" s="207"/>
      <c r="B231" s="207"/>
      <c r="C231" s="207"/>
      <c r="D231" s="207"/>
      <c r="E231" s="208"/>
      <c r="F231" s="207"/>
      <c r="G231" s="207"/>
      <c r="H231" s="207"/>
      <c r="I231" s="207"/>
      <c r="J231" s="207"/>
      <c r="K231" s="209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07"/>
      <c r="AG231" s="207"/>
      <c r="AH231" s="207"/>
      <c r="AI231" s="207"/>
      <c r="AJ231" s="203"/>
      <c r="AK231" s="203"/>
      <c r="AL231" s="203"/>
    </row>
    <row r="232" ht="15.75" customHeight="1">
      <c r="A232" s="207"/>
      <c r="B232" s="207"/>
      <c r="C232" s="207"/>
      <c r="D232" s="207"/>
      <c r="E232" s="208"/>
      <c r="F232" s="207"/>
      <c r="G232" s="207"/>
      <c r="H232" s="207"/>
      <c r="I232" s="207"/>
      <c r="J232" s="207"/>
      <c r="K232" s="209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03"/>
      <c r="AK232" s="203"/>
      <c r="AL232" s="203"/>
    </row>
    <row r="233" ht="15.75" customHeight="1">
      <c r="A233" s="207"/>
      <c r="B233" s="207"/>
      <c r="C233" s="207"/>
      <c r="D233" s="207"/>
      <c r="E233" s="208"/>
      <c r="F233" s="207"/>
      <c r="G233" s="207"/>
      <c r="H233" s="207"/>
      <c r="I233" s="207"/>
      <c r="J233" s="207"/>
      <c r="K233" s="209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07"/>
      <c r="AG233" s="207"/>
      <c r="AH233" s="207"/>
      <c r="AI233" s="207"/>
      <c r="AJ233" s="203"/>
      <c r="AK233" s="203"/>
      <c r="AL233" s="203"/>
    </row>
    <row r="234" ht="15.75" customHeight="1">
      <c r="A234" s="207"/>
      <c r="B234" s="207"/>
      <c r="C234" s="207"/>
      <c r="D234" s="207"/>
      <c r="E234" s="208"/>
      <c r="F234" s="207"/>
      <c r="G234" s="207"/>
      <c r="H234" s="207"/>
      <c r="I234" s="207"/>
      <c r="J234" s="207"/>
      <c r="K234" s="209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07"/>
      <c r="AG234" s="207"/>
      <c r="AH234" s="207"/>
      <c r="AI234" s="207"/>
      <c r="AJ234" s="203"/>
      <c r="AK234" s="203"/>
      <c r="AL234" s="203"/>
    </row>
    <row r="235" ht="15.75" customHeight="1">
      <c r="A235" s="207"/>
      <c r="B235" s="207"/>
      <c r="C235" s="207"/>
      <c r="D235" s="207"/>
      <c r="E235" s="208"/>
      <c r="F235" s="207"/>
      <c r="G235" s="207"/>
      <c r="H235" s="207"/>
      <c r="I235" s="207"/>
      <c r="J235" s="207"/>
      <c r="K235" s="209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03"/>
      <c r="AK235" s="203"/>
      <c r="AL235" s="203"/>
    </row>
    <row r="236" ht="15.75" customHeight="1">
      <c r="A236" s="207"/>
      <c r="B236" s="207"/>
      <c r="C236" s="207"/>
      <c r="D236" s="207"/>
      <c r="E236" s="208"/>
      <c r="F236" s="207"/>
      <c r="G236" s="207"/>
      <c r="H236" s="207"/>
      <c r="I236" s="207"/>
      <c r="J236" s="207"/>
      <c r="K236" s="209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03"/>
      <c r="AK236" s="203"/>
      <c r="AL236" s="203"/>
    </row>
    <row r="237" ht="15.75" customHeight="1">
      <c r="A237" s="207"/>
      <c r="B237" s="207"/>
      <c r="C237" s="207"/>
      <c r="D237" s="207"/>
      <c r="E237" s="208"/>
      <c r="F237" s="207"/>
      <c r="G237" s="207"/>
      <c r="H237" s="207"/>
      <c r="I237" s="207"/>
      <c r="J237" s="207"/>
      <c r="K237" s="209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07"/>
      <c r="AG237" s="207"/>
      <c r="AH237" s="207"/>
      <c r="AI237" s="207"/>
      <c r="AJ237" s="203"/>
      <c r="AK237" s="203"/>
      <c r="AL237" s="203"/>
    </row>
    <row r="238" ht="15.75" customHeight="1">
      <c r="A238" s="207"/>
      <c r="B238" s="207"/>
      <c r="C238" s="207"/>
      <c r="D238" s="207"/>
      <c r="E238" s="208"/>
      <c r="F238" s="207"/>
      <c r="G238" s="207"/>
      <c r="H238" s="207"/>
      <c r="I238" s="207"/>
      <c r="J238" s="207"/>
      <c r="K238" s="209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03"/>
      <c r="AK238" s="203"/>
      <c r="AL238" s="203"/>
    </row>
    <row r="239" ht="15.75" customHeight="1">
      <c r="A239" s="207"/>
      <c r="B239" s="207"/>
      <c r="C239" s="207"/>
      <c r="D239" s="207"/>
      <c r="E239" s="208"/>
      <c r="F239" s="207"/>
      <c r="G239" s="207"/>
      <c r="H239" s="207"/>
      <c r="I239" s="207"/>
      <c r="J239" s="207"/>
      <c r="K239" s="209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03"/>
      <c r="AK239" s="203"/>
      <c r="AL239" s="203"/>
    </row>
    <row r="240" ht="15.75" customHeight="1">
      <c r="A240" s="207"/>
      <c r="B240" s="207"/>
      <c r="C240" s="207"/>
      <c r="D240" s="207"/>
      <c r="E240" s="208"/>
      <c r="F240" s="207"/>
      <c r="G240" s="207"/>
      <c r="H240" s="207"/>
      <c r="I240" s="207"/>
      <c r="J240" s="207"/>
      <c r="K240" s="209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7"/>
      <c r="AD240" s="207"/>
      <c r="AE240" s="207"/>
      <c r="AF240" s="207"/>
      <c r="AG240" s="207"/>
      <c r="AH240" s="207"/>
      <c r="AI240" s="207"/>
      <c r="AJ240" s="203"/>
      <c r="AK240" s="203"/>
      <c r="AL240" s="203"/>
    </row>
    <row r="241" ht="15.75" customHeight="1">
      <c r="A241" s="207"/>
      <c r="B241" s="207"/>
      <c r="C241" s="207"/>
      <c r="D241" s="207"/>
      <c r="E241" s="208"/>
      <c r="F241" s="207"/>
      <c r="G241" s="207"/>
      <c r="H241" s="207"/>
      <c r="I241" s="207"/>
      <c r="J241" s="207"/>
      <c r="K241" s="209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07"/>
      <c r="AG241" s="207"/>
      <c r="AH241" s="207"/>
      <c r="AI241" s="207"/>
      <c r="AJ241" s="203"/>
      <c r="AK241" s="203"/>
      <c r="AL241" s="203"/>
    </row>
    <row r="242" ht="15.75" customHeight="1">
      <c r="A242" s="207"/>
      <c r="B242" s="207"/>
      <c r="C242" s="207"/>
      <c r="D242" s="207"/>
      <c r="E242" s="208"/>
      <c r="F242" s="207"/>
      <c r="G242" s="207"/>
      <c r="H242" s="207"/>
      <c r="I242" s="207"/>
      <c r="J242" s="207"/>
      <c r="K242" s="209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03"/>
      <c r="AK242" s="203"/>
      <c r="AL242" s="203"/>
    </row>
    <row r="243" ht="15.75" customHeight="1">
      <c r="A243" s="207"/>
      <c r="B243" s="207"/>
      <c r="C243" s="207"/>
      <c r="D243" s="207"/>
      <c r="E243" s="208"/>
      <c r="F243" s="207"/>
      <c r="G243" s="207"/>
      <c r="H243" s="207"/>
      <c r="I243" s="207"/>
      <c r="J243" s="207"/>
      <c r="K243" s="209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07"/>
      <c r="AG243" s="207"/>
      <c r="AH243" s="207"/>
      <c r="AI243" s="207"/>
      <c r="AJ243" s="203"/>
      <c r="AK243" s="203"/>
      <c r="AL243" s="203"/>
    </row>
    <row r="244" ht="15.75" customHeight="1">
      <c r="A244" s="207"/>
      <c r="B244" s="207"/>
      <c r="C244" s="207"/>
      <c r="D244" s="207"/>
      <c r="E244" s="208"/>
      <c r="F244" s="207"/>
      <c r="G244" s="207"/>
      <c r="H244" s="207"/>
      <c r="I244" s="207"/>
      <c r="J244" s="207"/>
      <c r="K244" s="209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07"/>
      <c r="AG244" s="207"/>
      <c r="AH244" s="207"/>
      <c r="AI244" s="207"/>
      <c r="AJ244" s="203"/>
      <c r="AK244" s="203"/>
      <c r="AL244" s="203"/>
    </row>
    <row r="245" ht="15.75" customHeight="1">
      <c r="A245" s="207"/>
      <c r="B245" s="207"/>
      <c r="C245" s="207"/>
      <c r="D245" s="207"/>
      <c r="E245" s="208"/>
      <c r="F245" s="207"/>
      <c r="G245" s="207"/>
      <c r="H245" s="207"/>
      <c r="I245" s="207"/>
      <c r="J245" s="207"/>
      <c r="K245" s="209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7"/>
      <c r="AD245" s="207"/>
      <c r="AE245" s="207"/>
      <c r="AF245" s="207"/>
      <c r="AG245" s="207"/>
      <c r="AH245" s="207"/>
      <c r="AI245" s="207"/>
      <c r="AJ245" s="203"/>
      <c r="AK245" s="203"/>
      <c r="AL245" s="203"/>
    </row>
    <row r="246" ht="15.75" customHeight="1">
      <c r="A246" s="207"/>
      <c r="B246" s="207"/>
      <c r="C246" s="207"/>
      <c r="D246" s="207"/>
      <c r="E246" s="208"/>
      <c r="F246" s="207"/>
      <c r="G246" s="207"/>
      <c r="H246" s="207"/>
      <c r="I246" s="207"/>
      <c r="J246" s="207"/>
      <c r="K246" s="209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7"/>
      <c r="AD246" s="207"/>
      <c r="AE246" s="207"/>
      <c r="AF246" s="207"/>
      <c r="AG246" s="207"/>
      <c r="AH246" s="207"/>
      <c r="AI246" s="207"/>
      <c r="AJ246" s="203"/>
      <c r="AK246" s="203"/>
      <c r="AL246" s="203"/>
    </row>
    <row r="247" ht="15.75" customHeight="1">
      <c r="A247" s="207"/>
      <c r="B247" s="207"/>
      <c r="C247" s="207"/>
      <c r="D247" s="207"/>
      <c r="E247" s="208"/>
      <c r="F247" s="207"/>
      <c r="G247" s="207"/>
      <c r="H247" s="207"/>
      <c r="I247" s="207"/>
      <c r="J247" s="207"/>
      <c r="K247" s="209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7"/>
      <c r="AD247" s="207"/>
      <c r="AE247" s="207"/>
      <c r="AF247" s="207"/>
      <c r="AG247" s="207"/>
      <c r="AH247" s="207"/>
      <c r="AI247" s="207"/>
      <c r="AJ247" s="203"/>
      <c r="AK247" s="203"/>
      <c r="AL247" s="203"/>
    </row>
    <row r="248" ht="15.75" customHeight="1">
      <c r="A248" s="207"/>
      <c r="B248" s="207"/>
      <c r="C248" s="207"/>
      <c r="D248" s="207"/>
      <c r="E248" s="208"/>
      <c r="F248" s="207"/>
      <c r="G248" s="207"/>
      <c r="H248" s="207"/>
      <c r="I248" s="207"/>
      <c r="J248" s="207"/>
      <c r="K248" s="209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  <c r="AG248" s="207"/>
      <c r="AH248" s="207"/>
      <c r="AI248" s="207"/>
      <c r="AJ248" s="203"/>
      <c r="AK248" s="203"/>
      <c r="AL248" s="203"/>
    </row>
    <row r="249" ht="15.75" customHeight="1">
      <c r="A249" s="207"/>
      <c r="B249" s="207"/>
      <c r="C249" s="207"/>
      <c r="D249" s="207"/>
      <c r="E249" s="208"/>
      <c r="F249" s="207"/>
      <c r="G249" s="207"/>
      <c r="H249" s="207"/>
      <c r="I249" s="207"/>
      <c r="J249" s="207"/>
      <c r="K249" s="209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  <c r="AE249" s="207"/>
      <c r="AF249" s="207"/>
      <c r="AG249" s="207"/>
      <c r="AH249" s="207"/>
      <c r="AI249" s="207"/>
      <c r="AJ249" s="203"/>
      <c r="AK249" s="203"/>
      <c r="AL249" s="203"/>
    </row>
    <row r="250" ht="15.75" customHeight="1">
      <c r="A250" s="207"/>
      <c r="B250" s="207"/>
      <c r="C250" s="207"/>
      <c r="D250" s="207"/>
      <c r="E250" s="208"/>
      <c r="F250" s="207"/>
      <c r="G250" s="207"/>
      <c r="H250" s="207"/>
      <c r="I250" s="207"/>
      <c r="J250" s="207"/>
      <c r="K250" s="209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  <c r="AG250" s="207"/>
      <c r="AH250" s="207"/>
      <c r="AI250" s="207"/>
      <c r="AJ250" s="203"/>
      <c r="AK250" s="203"/>
      <c r="AL250" s="203"/>
    </row>
    <row r="251" ht="15.75" customHeight="1">
      <c r="A251" s="207"/>
      <c r="B251" s="207"/>
      <c r="C251" s="207"/>
      <c r="D251" s="207"/>
      <c r="E251" s="208"/>
      <c r="F251" s="207"/>
      <c r="G251" s="207"/>
      <c r="H251" s="207"/>
      <c r="I251" s="207"/>
      <c r="J251" s="207"/>
      <c r="K251" s="209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7"/>
      <c r="AD251" s="207"/>
      <c r="AE251" s="207"/>
      <c r="AF251" s="207"/>
      <c r="AG251" s="207"/>
      <c r="AH251" s="207"/>
      <c r="AI251" s="207"/>
      <c r="AJ251" s="203"/>
      <c r="AK251" s="203"/>
      <c r="AL251" s="203"/>
    </row>
    <row r="252" ht="15.75" customHeight="1">
      <c r="A252" s="207"/>
      <c r="B252" s="207"/>
      <c r="C252" s="207"/>
      <c r="D252" s="207"/>
      <c r="E252" s="208"/>
      <c r="F252" s="207"/>
      <c r="G252" s="207"/>
      <c r="H252" s="207"/>
      <c r="I252" s="207"/>
      <c r="J252" s="207"/>
      <c r="K252" s="209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  <c r="AE252" s="207"/>
      <c r="AF252" s="207"/>
      <c r="AG252" s="207"/>
      <c r="AH252" s="207"/>
      <c r="AI252" s="207"/>
      <c r="AJ252" s="203"/>
      <c r="AK252" s="203"/>
      <c r="AL252" s="203"/>
    </row>
    <row r="253" ht="15.75" customHeight="1">
      <c r="A253" s="207"/>
      <c r="B253" s="207"/>
      <c r="C253" s="207"/>
      <c r="D253" s="207"/>
      <c r="E253" s="208"/>
      <c r="F253" s="207"/>
      <c r="G253" s="207"/>
      <c r="H253" s="207"/>
      <c r="I253" s="207"/>
      <c r="J253" s="207"/>
      <c r="K253" s="209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  <c r="AE253" s="207"/>
      <c r="AF253" s="207"/>
      <c r="AG253" s="207"/>
      <c r="AH253" s="207"/>
      <c r="AI253" s="207"/>
      <c r="AJ253" s="203"/>
      <c r="AK253" s="203"/>
      <c r="AL253" s="203"/>
    </row>
    <row r="254" ht="15.75" customHeight="1">
      <c r="A254" s="207"/>
      <c r="B254" s="207"/>
      <c r="C254" s="207"/>
      <c r="D254" s="207"/>
      <c r="E254" s="208"/>
      <c r="F254" s="207"/>
      <c r="G254" s="207"/>
      <c r="H254" s="207"/>
      <c r="I254" s="207"/>
      <c r="J254" s="207"/>
      <c r="K254" s="209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7"/>
      <c r="AD254" s="207"/>
      <c r="AE254" s="207"/>
      <c r="AF254" s="207"/>
      <c r="AG254" s="207"/>
      <c r="AH254" s="207"/>
      <c r="AI254" s="207"/>
      <c r="AJ254" s="203"/>
      <c r="AK254" s="203"/>
      <c r="AL254" s="203"/>
    </row>
    <row r="255" ht="15.75" customHeight="1">
      <c r="A255" s="207"/>
      <c r="B255" s="207"/>
      <c r="C255" s="207"/>
      <c r="D255" s="207"/>
      <c r="E255" s="208"/>
      <c r="F255" s="207"/>
      <c r="G255" s="207"/>
      <c r="H255" s="207"/>
      <c r="I255" s="207"/>
      <c r="J255" s="207"/>
      <c r="K255" s="209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  <c r="AG255" s="207"/>
      <c r="AH255" s="207"/>
      <c r="AI255" s="207"/>
      <c r="AJ255" s="203"/>
      <c r="AK255" s="203"/>
      <c r="AL255" s="203"/>
    </row>
    <row r="256" ht="15.75" customHeight="1">
      <c r="A256" s="207"/>
      <c r="B256" s="207"/>
      <c r="C256" s="207"/>
      <c r="D256" s="207"/>
      <c r="E256" s="208"/>
      <c r="F256" s="207"/>
      <c r="G256" s="207"/>
      <c r="H256" s="207"/>
      <c r="I256" s="207"/>
      <c r="J256" s="207"/>
      <c r="K256" s="209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207"/>
      <c r="AG256" s="207"/>
      <c r="AH256" s="207"/>
      <c r="AI256" s="207"/>
      <c r="AJ256" s="203"/>
      <c r="AK256" s="203"/>
      <c r="AL256" s="203"/>
    </row>
    <row r="257" ht="15.75" customHeight="1">
      <c r="A257" s="207"/>
      <c r="B257" s="207"/>
      <c r="C257" s="207"/>
      <c r="D257" s="207"/>
      <c r="E257" s="208"/>
      <c r="F257" s="207"/>
      <c r="G257" s="207"/>
      <c r="H257" s="207"/>
      <c r="I257" s="207"/>
      <c r="J257" s="207"/>
      <c r="K257" s="209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  <c r="AE257" s="207"/>
      <c r="AF257" s="207"/>
      <c r="AG257" s="207"/>
      <c r="AH257" s="207"/>
      <c r="AI257" s="207"/>
      <c r="AJ257" s="203"/>
      <c r="AK257" s="203"/>
      <c r="AL257" s="203"/>
    </row>
    <row r="258" ht="15.75" customHeight="1">
      <c r="A258" s="207"/>
      <c r="B258" s="207"/>
      <c r="C258" s="207"/>
      <c r="D258" s="207"/>
      <c r="E258" s="208"/>
      <c r="F258" s="207"/>
      <c r="G258" s="207"/>
      <c r="H258" s="207"/>
      <c r="I258" s="207"/>
      <c r="J258" s="207"/>
      <c r="K258" s="209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7"/>
      <c r="AD258" s="207"/>
      <c r="AE258" s="207"/>
      <c r="AF258" s="207"/>
      <c r="AG258" s="207"/>
      <c r="AH258" s="207"/>
      <c r="AI258" s="207"/>
      <c r="AJ258" s="203"/>
      <c r="AK258" s="203"/>
      <c r="AL258" s="203"/>
    </row>
    <row r="259" ht="15.75" customHeight="1">
      <c r="A259" s="207"/>
      <c r="B259" s="207"/>
      <c r="C259" s="207"/>
      <c r="D259" s="207"/>
      <c r="E259" s="208"/>
      <c r="F259" s="207"/>
      <c r="G259" s="207"/>
      <c r="H259" s="207"/>
      <c r="I259" s="207"/>
      <c r="J259" s="207"/>
      <c r="K259" s="209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  <c r="AE259" s="207"/>
      <c r="AF259" s="207"/>
      <c r="AG259" s="207"/>
      <c r="AH259" s="207"/>
      <c r="AI259" s="207"/>
      <c r="AJ259" s="203"/>
      <c r="AK259" s="203"/>
      <c r="AL259" s="203"/>
    </row>
    <row r="260" ht="15.75" customHeight="1">
      <c r="A260" s="207"/>
      <c r="B260" s="207"/>
      <c r="C260" s="207"/>
      <c r="D260" s="207"/>
      <c r="E260" s="208"/>
      <c r="F260" s="207"/>
      <c r="G260" s="207"/>
      <c r="H260" s="207"/>
      <c r="I260" s="207"/>
      <c r="J260" s="207"/>
      <c r="K260" s="209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07"/>
      <c r="AG260" s="207"/>
      <c r="AH260" s="207"/>
      <c r="AI260" s="207"/>
      <c r="AJ260" s="203"/>
      <c r="AK260" s="203"/>
      <c r="AL260" s="203"/>
    </row>
    <row r="261" ht="15.75" customHeight="1">
      <c r="A261" s="207"/>
      <c r="B261" s="207"/>
      <c r="C261" s="207"/>
      <c r="D261" s="207"/>
      <c r="E261" s="208"/>
      <c r="F261" s="207"/>
      <c r="G261" s="207"/>
      <c r="H261" s="207"/>
      <c r="I261" s="207"/>
      <c r="J261" s="207"/>
      <c r="K261" s="209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07"/>
      <c r="AG261" s="207"/>
      <c r="AH261" s="207"/>
      <c r="AI261" s="207"/>
      <c r="AJ261" s="203"/>
      <c r="AK261" s="203"/>
      <c r="AL261" s="203"/>
    </row>
    <row r="262" ht="15.75" customHeight="1">
      <c r="A262" s="207"/>
      <c r="B262" s="207"/>
      <c r="C262" s="207"/>
      <c r="D262" s="207"/>
      <c r="E262" s="208"/>
      <c r="F262" s="207"/>
      <c r="G262" s="207"/>
      <c r="H262" s="207"/>
      <c r="I262" s="207"/>
      <c r="J262" s="207"/>
      <c r="K262" s="209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  <c r="AG262" s="207"/>
      <c r="AH262" s="207"/>
      <c r="AI262" s="207"/>
      <c r="AJ262" s="203"/>
      <c r="AK262" s="203"/>
      <c r="AL262" s="203"/>
    </row>
    <row r="263" ht="15.75" customHeight="1">
      <c r="A263" s="207"/>
      <c r="B263" s="207"/>
      <c r="C263" s="207"/>
      <c r="D263" s="207"/>
      <c r="E263" s="208"/>
      <c r="F263" s="207"/>
      <c r="G263" s="207"/>
      <c r="H263" s="207"/>
      <c r="I263" s="207"/>
      <c r="J263" s="207"/>
      <c r="K263" s="209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  <c r="AG263" s="207"/>
      <c r="AH263" s="207"/>
      <c r="AI263" s="207"/>
      <c r="AJ263" s="203"/>
      <c r="AK263" s="203"/>
      <c r="AL263" s="203"/>
    </row>
    <row r="264" ht="15.75" customHeight="1">
      <c r="A264" s="207"/>
      <c r="B264" s="207"/>
      <c r="C264" s="207"/>
      <c r="D264" s="207"/>
      <c r="E264" s="208"/>
      <c r="F264" s="207"/>
      <c r="G264" s="207"/>
      <c r="H264" s="207"/>
      <c r="I264" s="207"/>
      <c r="J264" s="207"/>
      <c r="K264" s="209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07"/>
      <c r="AG264" s="207"/>
      <c r="AH264" s="207"/>
      <c r="AI264" s="207"/>
      <c r="AJ264" s="203"/>
      <c r="AK264" s="203"/>
      <c r="AL264" s="203"/>
    </row>
    <row r="265" ht="15.75" customHeight="1">
      <c r="A265" s="207"/>
      <c r="B265" s="207"/>
      <c r="C265" s="207"/>
      <c r="D265" s="207"/>
      <c r="E265" s="208"/>
      <c r="F265" s="207"/>
      <c r="G265" s="207"/>
      <c r="H265" s="207"/>
      <c r="I265" s="207"/>
      <c r="J265" s="207"/>
      <c r="K265" s="209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  <c r="AE265" s="207"/>
      <c r="AF265" s="207"/>
      <c r="AG265" s="207"/>
      <c r="AH265" s="207"/>
      <c r="AI265" s="207"/>
      <c r="AJ265" s="203"/>
      <c r="AK265" s="203"/>
      <c r="AL265" s="203"/>
    </row>
    <row r="266" ht="15.75" customHeight="1">
      <c r="A266" s="207"/>
      <c r="B266" s="207"/>
      <c r="C266" s="207"/>
      <c r="D266" s="207"/>
      <c r="E266" s="208"/>
      <c r="F266" s="207"/>
      <c r="G266" s="207"/>
      <c r="H266" s="207"/>
      <c r="I266" s="207"/>
      <c r="J266" s="207"/>
      <c r="K266" s="209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  <c r="AG266" s="207"/>
      <c r="AH266" s="207"/>
      <c r="AI266" s="207"/>
      <c r="AJ266" s="203"/>
      <c r="AK266" s="203"/>
      <c r="AL266" s="203"/>
    </row>
    <row r="267" ht="15.75" customHeight="1">
      <c r="A267" s="207"/>
      <c r="B267" s="207"/>
      <c r="C267" s="207"/>
      <c r="D267" s="207"/>
      <c r="E267" s="208"/>
      <c r="F267" s="207"/>
      <c r="G267" s="207"/>
      <c r="H267" s="207"/>
      <c r="I267" s="207"/>
      <c r="J267" s="207"/>
      <c r="K267" s="209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  <c r="AE267" s="207"/>
      <c r="AF267" s="207"/>
      <c r="AG267" s="207"/>
      <c r="AH267" s="207"/>
      <c r="AI267" s="207"/>
      <c r="AJ267" s="203"/>
      <c r="AK267" s="203"/>
      <c r="AL267" s="203"/>
    </row>
    <row r="268" ht="15.75" customHeight="1">
      <c r="A268" s="207"/>
      <c r="B268" s="207"/>
      <c r="C268" s="207"/>
      <c r="D268" s="207"/>
      <c r="E268" s="208"/>
      <c r="F268" s="207"/>
      <c r="G268" s="207"/>
      <c r="H268" s="207"/>
      <c r="I268" s="207"/>
      <c r="J268" s="207"/>
      <c r="K268" s="209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  <c r="AE268" s="207"/>
      <c r="AF268" s="207"/>
      <c r="AG268" s="207"/>
      <c r="AH268" s="207"/>
      <c r="AI268" s="207"/>
      <c r="AJ268" s="203"/>
      <c r="AK268" s="203"/>
      <c r="AL268" s="203"/>
    </row>
    <row r="269" ht="15.75" customHeight="1">
      <c r="A269" s="207"/>
      <c r="B269" s="207"/>
      <c r="C269" s="207"/>
      <c r="D269" s="207"/>
      <c r="E269" s="208"/>
      <c r="F269" s="207"/>
      <c r="G269" s="207"/>
      <c r="H269" s="207"/>
      <c r="I269" s="207"/>
      <c r="J269" s="207"/>
      <c r="K269" s="209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  <c r="AG269" s="207"/>
      <c r="AH269" s="207"/>
      <c r="AI269" s="207"/>
      <c r="AJ269" s="203"/>
      <c r="AK269" s="203"/>
      <c r="AL269" s="203"/>
    </row>
    <row r="270" ht="15.75" customHeight="1">
      <c r="A270" s="207"/>
      <c r="B270" s="207"/>
      <c r="C270" s="207"/>
      <c r="D270" s="207"/>
      <c r="E270" s="208"/>
      <c r="F270" s="207"/>
      <c r="G270" s="207"/>
      <c r="H270" s="207"/>
      <c r="I270" s="207"/>
      <c r="J270" s="207"/>
      <c r="K270" s="209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  <c r="AE270" s="207"/>
      <c r="AF270" s="207"/>
      <c r="AG270" s="207"/>
      <c r="AH270" s="207"/>
      <c r="AI270" s="207"/>
      <c r="AJ270" s="203"/>
      <c r="AK270" s="203"/>
      <c r="AL270" s="203"/>
    </row>
    <row r="271" ht="15.75" customHeight="1">
      <c r="A271" s="207"/>
      <c r="B271" s="207"/>
      <c r="C271" s="207"/>
      <c r="D271" s="207"/>
      <c r="E271" s="208"/>
      <c r="F271" s="207"/>
      <c r="G271" s="207"/>
      <c r="H271" s="207"/>
      <c r="I271" s="207"/>
      <c r="J271" s="207"/>
      <c r="K271" s="209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7"/>
      <c r="AD271" s="207"/>
      <c r="AE271" s="207"/>
      <c r="AF271" s="207"/>
      <c r="AG271" s="207"/>
      <c r="AH271" s="207"/>
      <c r="AI271" s="207"/>
      <c r="AJ271" s="203"/>
      <c r="AK271" s="203"/>
      <c r="AL271" s="203"/>
    </row>
    <row r="272" ht="15.75" customHeight="1">
      <c r="A272" s="207"/>
      <c r="B272" s="207"/>
      <c r="C272" s="207"/>
      <c r="D272" s="207"/>
      <c r="E272" s="208"/>
      <c r="F272" s="207"/>
      <c r="G272" s="207"/>
      <c r="H272" s="207"/>
      <c r="I272" s="207"/>
      <c r="J272" s="207"/>
      <c r="K272" s="209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  <c r="AE272" s="207"/>
      <c r="AF272" s="207"/>
      <c r="AG272" s="207"/>
      <c r="AH272" s="207"/>
      <c r="AI272" s="207"/>
      <c r="AJ272" s="203"/>
      <c r="AK272" s="203"/>
      <c r="AL272" s="203"/>
    </row>
    <row r="273" ht="15.75" customHeight="1">
      <c r="A273" s="207"/>
      <c r="B273" s="207"/>
      <c r="C273" s="207"/>
      <c r="D273" s="207"/>
      <c r="E273" s="208"/>
      <c r="F273" s="207"/>
      <c r="G273" s="207"/>
      <c r="H273" s="207"/>
      <c r="I273" s="207"/>
      <c r="J273" s="207"/>
      <c r="K273" s="209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  <c r="AE273" s="207"/>
      <c r="AF273" s="207"/>
      <c r="AG273" s="207"/>
      <c r="AH273" s="207"/>
      <c r="AI273" s="207"/>
      <c r="AJ273" s="203"/>
      <c r="AK273" s="203"/>
      <c r="AL273" s="203"/>
    </row>
    <row r="274" ht="15.75" customHeight="1">
      <c r="A274" s="207"/>
      <c r="B274" s="207"/>
      <c r="C274" s="207"/>
      <c r="D274" s="207"/>
      <c r="E274" s="208"/>
      <c r="F274" s="207"/>
      <c r="G274" s="207"/>
      <c r="H274" s="207"/>
      <c r="I274" s="207"/>
      <c r="J274" s="207"/>
      <c r="K274" s="209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  <c r="AE274" s="207"/>
      <c r="AF274" s="207"/>
      <c r="AG274" s="207"/>
      <c r="AH274" s="207"/>
      <c r="AI274" s="207"/>
      <c r="AJ274" s="203"/>
      <c r="AK274" s="203"/>
      <c r="AL274" s="203"/>
    </row>
    <row r="275" ht="15.75" customHeight="1">
      <c r="A275" s="207"/>
      <c r="B275" s="207"/>
      <c r="C275" s="207"/>
      <c r="D275" s="207"/>
      <c r="E275" s="208"/>
      <c r="F275" s="207"/>
      <c r="G275" s="207"/>
      <c r="H275" s="207"/>
      <c r="I275" s="207"/>
      <c r="J275" s="207"/>
      <c r="K275" s="209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  <c r="AE275" s="207"/>
      <c r="AF275" s="207"/>
      <c r="AG275" s="207"/>
      <c r="AH275" s="207"/>
      <c r="AI275" s="207"/>
      <c r="AJ275" s="203"/>
      <c r="AK275" s="203"/>
      <c r="AL275" s="203"/>
    </row>
    <row r="276" ht="15.75" customHeight="1">
      <c r="A276" s="207"/>
      <c r="B276" s="207"/>
      <c r="C276" s="207"/>
      <c r="D276" s="207"/>
      <c r="E276" s="208"/>
      <c r="F276" s="207"/>
      <c r="G276" s="207"/>
      <c r="H276" s="207"/>
      <c r="I276" s="207"/>
      <c r="J276" s="207"/>
      <c r="K276" s="209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  <c r="AG276" s="207"/>
      <c r="AH276" s="207"/>
      <c r="AI276" s="207"/>
      <c r="AJ276" s="203"/>
      <c r="AK276" s="203"/>
      <c r="AL276" s="203"/>
    </row>
    <row r="277" ht="15.75" customHeight="1">
      <c r="A277" s="207"/>
      <c r="B277" s="207"/>
      <c r="C277" s="207"/>
      <c r="D277" s="207"/>
      <c r="E277" s="208"/>
      <c r="F277" s="207"/>
      <c r="G277" s="207"/>
      <c r="H277" s="207"/>
      <c r="I277" s="207"/>
      <c r="J277" s="207"/>
      <c r="K277" s="209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7"/>
      <c r="AD277" s="207"/>
      <c r="AE277" s="207"/>
      <c r="AF277" s="207"/>
      <c r="AG277" s="207"/>
      <c r="AH277" s="207"/>
      <c r="AI277" s="207"/>
      <c r="AJ277" s="203"/>
      <c r="AK277" s="203"/>
      <c r="AL277" s="203"/>
    </row>
    <row r="278" ht="15.75" customHeight="1">
      <c r="A278" s="207"/>
      <c r="B278" s="207"/>
      <c r="C278" s="207"/>
      <c r="D278" s="207"/>
      <c r="E278" s="208"/>
      <c r="F278" s="207"/>
      <c r="G278" s="207"/>
      <c r="H278" s="207"/>
      <c r="I278" s="207"/>
      <c r="J278" s="207"/>
      <c r="K278" s="209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  <c r="AE278" s="207"/>
      <c r="AF278" s="207"/>
      <c r="AG278" s="207"/>
      <c r="AH278" s="207"/>
      <c r="AI278" s="207"/>
      <c r="AJ278" s="203"/>
      <c r="AK278" s="203"/>
      <c r="AL278" s="203"/>
    </row>
    <row r="279" ht="15.75" customHeight="1">
      <c r="A279" s="207"/>
      <c r="B279" s="207"/>
      <c r="C279" s="207"/>
      <c r="D279" s="207"/>
      <c r="E279" s="208"/>
      <c r="F279" s="207"/>
      <c r="G279" s="207"/>
      <c r="H279" s="207"/>
      <c r="I279" s="207"/>
      <c r="J279" s="207"/>
      <c r="K279" s="209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  <c r="AE279" s="207"/>
      <c r="AF279" s="207"/>
      <c r="AG279" s="207"/>
      <c r="AH279" s="207"/>
      <c r="AI279" s="207"/>
      <c r="AJ279" s="203"/>
      <c r="AK279" s="203"/>
      <c r="AL279" s="203"/>
    </row>
    <row r="280" ht="15.75" customHeight="1">
      <c r="A280" s="207"/>
      <c r="B280" s="207"/>
      <c r="C280" s="207"/>
      <c r="D280" s="207"/>
      <c r="E280" s="208"/>
      <c r="F280" s="207"/>
      <c r="G280" s="207"/>
      <c r="H280" s="207"/>
      <c r="I280" s="207"/>
      <c r="J280" s="207"/>
      <c r="K280" s="209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7"/>
      <c r="AH280" s="207"/>
      <c r="AI280" s="207"/>
      <c r="AJ280" s="203"/>
      <c r="AK280" s="203"/>
      <c r="AL280" s="203"/>
    </row>
    <row r="281" ht="15.75" customHeight="1">
      <c r="A281" s="207"/>
      <c r="B281" s="207"/>
      <c r="C281" s="207"/>
      <c r="D281" s="207"/>
      <c r="E281" s="208"/>
      <c r="F281" s="207"/>
      <c r="G281" s="207"/>
      <c r="H281" s="207"/>
      <c r="I281" s="207"/>
      <c r="J281" s="207"/>
      <c r="K281" s="209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7"/>
      <c r="AD281" s="207"/>
      <c r="AE281" s="207"/>
      <c r="AF281" s="207"/>
      <c r="AG281" s="207"/>
      <c r="AH281" s="207"/>
      <c r="AI281" s="207"/>
      <c r="AJ281" s="203"/>
      <c r="AK281" s="203"/>
      <c r="AL281" s="203"/>
    </row>
    <row r="282" ht="15.75" customHeight="1">
      <c r="A282" s="207"/>
      <c r="B282" s="207"/>
      <c r="C282" s="207"/>
      <c r="D282" s="207"/>
      <c r="E282" s="208"/>
      <c r="F282" s="207"/>
      <c r="G282" s="207"/>
      <c r="H282" s="207"/>
      <c r="I282" s="207"/>
      <c r="J282" s="207"/>
      <c r="K282" s="209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  <c r="AG282" s="207"/>
      <c r="AH282" s="207"/>
      <c r="AI282" s="207"/>
      <c r="AJ282" s="203"/>
      <c r="AK282" s="203"/>
      <c r="AL282" s="203"/>
    </row>
    <row r="283" ht="15.75" customHeight="1">
      <c r="A283" s="207"/>
      <c r="B283" s="207"/>
      <c r="C283" s="207"/>
      <c r="D283" s="207"/>
      <c r="E283" s="208"/>
      <c r="F283" s="207"/>
      <c r="G283" s="207"/>
      <c r="H283" s="207"/>
      <c r="I283" s="207"/>
      <c r="J283" s="207"/>
      <c r="K283" s="209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  <c r="AE283" s="207"/>
      <c r="AF283" s="207"/>
      <c r="AG283" s="207"/>
      <c r="AH283" s="207"/>
      <c r="AI283" s="207"/>
      <c r="AJ283" s="203"/>
      <c r="AK283" s="203"/>
      <c r="AL283" s="203"/>
    </row>
    <row r="284" ht="15.75" customHeight="1">
      <c r="A284" s="207"/>
      <c r="B284" s="207"/>
      <c r="C284" s="207"/>
      <c r="D284" s="207"/>
      <c r="E284" s="208"/>
      <c r="F284" s="207"/>
      <c r="G284" s="207"/>
      <c r="H284" s="207"/>
      <c r="I284" s="207"/>
      <c r="J284" s="207"/>
      <c r="K284" s="209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  <c r="AE284" s="207"/>
      <c r="AF284" s="207"/>
      <c r="AG284" s="207"/>
      <c r="AH284" s="207"/>
      <c r="AI284" s="207"/>
      <c r="AJ284" s="203"/>
      <c r="AK284" s="203"/>
      <c r="AL284" s="203"/>
    </row>
    <row r="285" ht="15.75" customHeight="1">
      <c r="A285" s="207"/>
      <c r="B285" s="207"/>
      <c r="C285" s="207"/>
      <c r="D285" s="207"/>
      <c r="E285" s="208"/>
      <c r="F285" s="207"/>
      <c r="G285" s="207"/>
      <c r="H285" s="207"/>
      <c r="I285" s="207"/>
      <c r="J285" s="207"/>
      <c r="K285" s="209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7"/>
      <c r="AD285" s="207"/>
      <c r="AE285" s="207"/>
      <c r="AF285" s="207"/>
      <c r="AG285" s="207"/>
      <c r="AH285" s="207"/>
      <c r="AI285" s="207"/>
      <c r="AJ285" s="203"/>
      <c r="AK285" s="203"/>
      <c r="AL285" s="203"/>
    </row>
    <row r="286" ht="15.75" customHeight="1">
      <c r="A286" s="207"/>
      <c r="B286" s="207"/>
      <c r="C286" s="207"/>
      <c r="D286" s="207"/>
      <c r="E286" s="208"/>
      <c r="F286" s="207"/>
      <c r="G286" s="207"/>
      <c r="H286" s="207"/>
      <c r="I286" s="207"/>
      <c r="J286" s="207"/>
      <c r="K286" s="209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  <c r="AG286" s="207"/>
      <c r="AH286" s="207"/>
      <c r="AI286" s="207"/>
      <c r="AJ286" s="203"/>
      <c r="AK286" s="203"/>
      <c r="AL286" s="203"/>
    </row>
    <row r="287" ht="15.75" customHeight="1">
      <c r="A287" s="207"/>
      <c r="B287" s="207"/>
      <c r="C287" s="207"/>
      <c r="D287" s="207"/>
      <c r="E287" s="207"/>
      <c r="F287" s="207"/>
      <c r="G287" s="207"/>
      <c r="H287" s="207"/>
      <c r="I287" s="207"/>
      <c r="J287" s="207"/>
      <c r="K287" s="209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7"/>
      <c r="AD287" s="207"/>
      <c r="AE287" s="207"/>
      <c r="AF287" s="207"/>
      <c r="AG287" s="207"/>
      <c r="AH287" s="207"/>
      <c r="AI287" s="207"/>
      <c r="AJ287" s="203"/>
      <c r="AK287" s="203"/>
      <c r="AL287" s="203"/>
    </row>
    <row r="288" ht="15.75" customHeight="1">
      <c r="A288" s="207"/>
      <c r="B288" s="207"/>
      <c r="C288" s="207"/>
      <c r="D288" s="207"/>
      <c r="E288" s="207"/>
      <c r="F288" s="207"/>
      <c r="G288" s="207"/>
      <c r="H288" s="207"/>
      <c r="I288" s="207"/>
      <c r="J288" s="207"/>
      <c r="K288" s="209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7"/>
      <c r="AD288" s="207"/>
      <c r="AE288" s="207"/>
      <c r="AF288" s="207"/>
      <c r="AG288" s="207"/>
      <c r="AH288" s="207"/>
      <c r="AI288" s="207"/>
      <c r="AJ288" s="203"/>
      <c r="AK288" s="203"/>
      <c r="AL288" s="203"/>
    </row>
    <row r="289" ht="15.75" customHeight="1">
      <c r="A289" s="207"/>
      <c r="B289" s="207"/>
      <c r="C289" s="207"/>
      <c r="D289" s="207"/>
      <c r="E289" s="207"/>
      <c r="F289" s="207"/>
      <c r="G289" s="207"/>
      <c r="H289" s="207"/>
      <c r="I289" s="207"/>
      <c r="J289" s="207"/>
      <c r="K289" s="209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7"/>
      <c r="AD289" s="207"/>
      <c r="AE289" s="207"/>
      <c r="AF289" s="207"/>
      <c r="AG289" s="207"/>
      <c r="AH289" s="207"/>
      <c r="AI289" s="207"/>
      <c r="AJ289" s="203"/>
      <c r="AK289" s="203"/>
      <c r="AL289" s="203"/>
    </row>
    <row r="290" ht="15.75" customHeight="1">
      <c r="A290" s="207"/>
      <c r="B290" s="207"/>
      <c r="C290" s="207"/>
      <c r="D290" s="207"/>
      <c r="E290" s="207"/>
      <c r="F290" s="207"/>
      <c r="G290" s="207"/>
      <c r="H290" s="207"/>
      <c r="I290" s="207"/>
      <c r="J290" s="207"/>
      <c r="K290" s="209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7"/>
      <c r="AD290" s="207"/>
      <c r="AE290" s="207"/>
      <c r="AF290" s="207"/>
      <c r="AG290" s="207"/>
      <c r="AH290" s="207"/>
      <c r="AI290" s="207"/>
      <c r="AJ290" s="203"/>
      <c r="AK290" s="203"/>
      <c r="AL290" s="203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G12:G14"/>
    <mergeCell ref="D18:D19"/>
    <mergeCell ref="E18:E19"/>
    <mergeCell ref="F18:F19"/>
    <mergeCell ref="J18:J19"/>
    <mergeCell ref="F46:F47"/>
    <mergeCell ref="G46:G47"/>
    <mergeCell ref="I46:I47"/>
    <mergeCell ref="G48:G51"/>
    <mergeCell ref="D54:F54"/>
    <mergeCell ref="A61:C61"/>
    <mergeCell ref="A62:C62"/>
    <mergeCell ref="G16:G23"/>
    <mergeCell ref="G25:G31"/>
    <mergeCell ref="G37:G39"/>
    <mergeCell ref="G42:G45"/>
    <mergeCell ref="C46:C47"/>
    <mergeCell ref="D46:D47"/>
    <mergeCell ref="E46:E47"/>
  </mergeCells>
  <printOptions/>
  <pageMargins bottom="0.4096133751306165" footer="0.0" header="0.0" left="0.2633228840125392" right="0.2362204724409449" top="0.1755485893416928"/>
  <pageSetup fitToHeight="0" paperSize="5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9.13"/>
    <col customWidth="1" min="3" max="3" width="58.13"/>
    <col customWidth="1" min="4" max="4" width="11.63"/>
    <col customWidth="1" min="5" max="5" width="11.75"/>
    <col customWidth="1" min="6" max="6" width="12.75"/>
    <col customWidth="1" min="7" max="7" width="29.88"/>
    <col customWidth="1" min="8" max="8" width="10.38"/>
    <col customWidth="1" min="9" max="10" width="7.63"/>
    <col customWidth="1" min="11" max="11" width="6.25"/>
    <col customWidth="1" hidden="1" min="12" max="14" width="8.38"/>
    <col customWidth="1" hidden="1" min="15" max="16" width="7.63"/>
    <col customWidth="1" hidden="1" min="17" max="17" width="11.38"/>
    <col customWidth="1" hidden="1" min="18" max="19" width="7.63"/>
    <col customWidth="1" hidden="1" min="20" max="20" width="10.25"/>
    <col customWidth="1" hidden="1" min="21" max="21" width="9.25"/>
    <col customWidth="1" hidden="1" min="22" max="22" width="7.63"/>
    <col customWidth="1" hidden="1" min="23" max="23" width="9.5"/>
    <col customWidth="1" hidden="1" min="24" max="24" width="9.88"/>
    <col customWidth="1" hidden="1" min="25" max="25" width="11.25"/>
    <col customWidth="1" hidden="1" min="26" max="37" width="12.63"/>
  </cols>
  <sheetData>
    <row r="1" ht="15.75" customHeight="1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2"/>
      <c r="AJ1" s="203"/>
      <c r="AK1" s="203"/>
      <c r="AL1" s="203"/>
    </row>
    <row r="2" ht="15.75" customHeight="1">
      <c r="A2" s="204" t="s">
        <v>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2"/>
      <c r="AJ2" s="203"/>
      <c r="AK2" s="203"/>
      <c r="AL2" s="203"/>
    </row>
    <row r="3" ht="15.75" customHeight="1">
      <c r="A3" s="205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2"/>
      <c r="AJ3" s="203"/>
      <c r="AK3" s="203"/>
      <c r="AL3" s="203"/>
    </row>
    <row r="4" ht="15.75" customHeight="1">
      <c r="A4" s="206" t="s">
        <v>2</v>
      </c>
      <c r="B4" s="207"/>
      <c r="C4" s="207"/>
      <c r="D4" s="207"/>
      <c r="E4" s="208"/>
      <c r="F4" s="207"/>
      <c r="G4" s="207"/>
      <c r="H4" s="207"/>
      <c r="I4" s="207"/>
      <c r="J4" s="207"/>
      <c r="K4" s="209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3"/>
      <c r="AK4" s="203"/>
      <c r="AL4" s="203"/>
    </row>
    <row r="5" ht="15.75" customHeight="1">
      <c r="A5" s="207"/>
      <c r="B5" s="207"/>
      <c r="C5" s="207"/>
      <c r="D5" s="207"/>
      <c r="E5" s="208"/>
      <c r="F5" s="210"/>
      <c r="G5" s="207"/>
      <c r="H5" s="207"/>
      <c r="I5" s="207"/>
      <c r="J5" s="207"/>
      <c r="K5" s="209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3"/>
      <c r="AK5" s="203"/>
      <c r="AL5" s="203"/>
    </row>
    <row r="6" ht="15.75" customHeight="1">
      <c r="A6" s="206" t="s">
        <v>3</v>
      </c>
      <c r="B6" s="207"/>
      <c r="C6" s="207"/>
      <c r="D6" s="207"/>
      <c r="E6" s="208"/>
      <c r="F6" s="210"/>
      <c r="G6" s="207"/>
      <c r="H6" s="207"/>
      <c r="I6" s="207"/>
      <c r="J6" s="207"/>
      <c r="K6" s="209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3"/>
      <c r="AK6" s="203"/>
      <c r="AL6" s="203"/>
    </row>
    <row r="7" ht="15.75" customHeight="1">
      <c r="A7" s="211" t="s">
        <v>4</v>
      </c>
      <c r="B7" s="212"/>
      <c r="C7" s="212"/>
      <c r="D7" s="212"/>
      <c r="E7" s="213"/>
      <c r="F7" s="214"/>
      <c r="G7" s="212"/>
      <c r="H7" s="212"/>
      <c r="I7" s="212"/>
      <c r="J7" s="212"/>
      <c r="K7" s="215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03"/>
      <c r="AK7" s="203"/>
      <c r="AL7" s="203"/>
    </row>
    <row r="8" ht="22.5" customHeight="1">
      <c r="A8" s="216" t="s">
        <v>5</v>
      </c>
      <c r="B8" s="217" t="s">
        <v>6</v>
      </c>
      <c r="C8" s="218" t="s">
        <v>7</v>
      </c>
      <c r="D8" s="219" t="s">
        <v>8</v>
      </c>
      <c r="E8" s="218" t="s">
        <v>9</v>
      </c>
      <c r="F8" s="220" t="s">
        <v>10</v>
      </c>
      <c r="G8" s="217" t="s">
        <v>11</v>
      </c>
      <c r="H8" s="217" t="s">
        <v>12</v>
      </c>
      <c r="I8" s="221" t="s">
        <v>13</v>
      </c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222"/>
      <c r="AI8" s="223"/>
      <c r="AJ8" s="224"/>
      <c r="AK8" s="224"/>
      <c r="AL8" s="225"/>
    </row>
    <row r="9" ht="15.75" customHeight="1">
      <c r="A9" s="23"/>
      <c r="B9" s="226"/>
      <c r="C9" s="226"/>
      <c r="D9" s="227" t="s">
        <v>14</v>
      </c>
      <c r="E9" s="226"/>
      <c r="F9" s="226"/>
      <c r="G9" s="226"/>
      <c r="H9" s="226"/>
      <c r="I9" s="228" t="s">
        <v>15</v>
      </c>
      <c r="J9" s="228" t="s">
        <v>16</v>
      </c>
      <c r="K9" s="228" t="s">
        <v>17</v>
      </c>
      <c r="L9" s="229" t="s">
        <v>18</v>
      </c>
      <c r="M9" s="229" t="s">
        <v>19</v>
      </c>
      <c r="N9" s="229" t="s">
        <v>20</v>
      </c>
      <c r="O9" s="229" t="s">
        <v>21</v>
      </c>
      <c r="P9" s="229" t="s">
        <v>22</v>
      </c>
      <c r="Q9" s="229" t="s">
        <v>23</v>
      </c>
      <c r="R9" s="229" t="s">
        <v>24</v>
      </c>
      <c r="S9" s="229" t="s">
        <v>25</v>
      </c>
      <c r="T9" s="229" t="s">
        <v>26</v>
      </c>
      <c r="U9" s="229" t="s">
        <v>27</v>
      </c>
      <c r="V9" s="229" t="s">
        <v>28</v>
      </c>
      <c r="W9" s="229" t="s">
        <v>29</v>
      </c>
      <c r="X9" s="229" t="s">
        <v>30</v>
      </c>
      <c r="Y9" s="229" t="s">
        <v>31</v>
      </c>
      <c r="Z9" s="229" t="s">
        <v>32</v>
      </c>
      <c r="AA9" s="229" t="s">
        <v>33</v>
      </c>
      <c r="AB9" s="229" t="s">
        <v>34</v>
      </c>
      <c r="AC9" s="229" t="s">
        <v>35</v>
      </c>
      <c r="AD9" s="229" t="s">
        <v>36</v>
      </c>
      <c r="AE9" s="229" t="s">
        <v>37</v>
      </c>
      <c r="AF9" s="229" t="s">
        <v>38</v>
      </c>
      <c r="AG9" s="229" t="s">
        <v>39</v>
      </c>
      <c r="AH9" s="229" t="s">
        <v>40</v>
      </c>
      <c r="AI9" s="230" t="s">
        <v>41</v>
      </c>
      <c r="AJ9" s="231" t="s">
        <v>39</v>
      </c>
      <c r="AK9" s="231" t="s">
        <v>40</v>
      </c>
      <c r="AL9" s="231" t="s">
        <v>41</v>
      </c>
    </row>
    <row r="10" ht="15.75" customHeight="1">
      <c r="A10" s="232" t="s">
        <v>42</v>
      </c>
      <c r="B10" s="233" t="s">
        <v>43</v>
      </c>
      <c r="C10" s="234" t="s">
        <v>44</v>
      </c>
      <c r="D10" s="235" t="s">
        <v>45</v>
      </c>
      <c r="E10" s="234" t="s">
        <v>46</v>
      </c>
      <c r="F10" s="235" t="s">
        <v>47</v>
      </c>
      <c r="G10" s="233" t="s">
        <v>48</v>
      </c>
      <c r="H10" s="233" t="s">
        <v>49</v>
      </c>
      <c r="I10" s="233" t="s">
        <v>50</v>
      </c>
      <c r="J10" s="233" t="s">
        <v>51</v>
      </c>
      <c r="K10" s="233" t="s">
        <v>52</v>
      </c>
      <c r="L10" s="233" t="s">
        <v>53</v>
      </c>
      <c r="M10" s="233" t="s">
        <v>54</v>
      </c>
      <c r="N10" s="233" t="s">
        <v>55</v>
      </c>
      <c r="O10" s="233" t="s">
        <v>56</v>
      </c>
      <c r="P10" s="233" t="s">
        <v>57</v>
      </c>
      <c r="Q10" s="233" t="s">
        <v>58</v>
      </c>
      <c r="R10" s="233" t="s">
        <v>59</v>
      </c>
      <c r="S10" s="233" t="s">
        <v>60</v>
      </c>
      <c r="T10" s="233" t="s">
        <v>61</v>
      </c>
      <c r="U10" s="233" t="s">
        <v>62</v>
      </c>
      <c r="V10" s="233" t="s">
        <v>63</v>
      </c>
      <c r="W10" s="233" t="s">
        <v>64</v>
      </c>
      <c r="X10" s="233" t="s">
        <v>65</v>
      </c>
      <c r="Y10" s="233" t="s">
        <v>66</v>
      </c>
      <c r="Z10" s="233" t="s">
        <v>67</v>
      </c>
      <c r="AA10" s="233" t="s">
        <v>68</v>
      </c>
      <c r="AB10" s="233" t="s">
        <v>69</v>
      </c>
      <c r="AC10" s="233" t="s">
        <v>70</v>
      </c>
      <c r="AD10" s="233" t="s">
        <v>71</v>
      </c>
      <c r="AE10" s="233" t="s">
        <v>72</v>
      </c>
      <c r="AF10" s="233" t="s">
        <v>73</v>
      </c>
      <c r="AG10" s="233" t="s">
        <v>74</v>
      </c>
      <c r="AH10" s="233" t="s">
        <v>75</v>
      </c>
      <c r="AI10" s="236" t="s">
        <v>76</v>
      </c>
      <c r="AJ10" s="237" t="s">
        <v>74</v>
      </c>
      <c r="AK10" s="237" t="s">
        <v>75</v>
      </c>
      <c r="AL10" s="237" t="s">
        <v>76</v>
      </c>
    </row>
    <row r="11" ht="15.75" customHeight="1">
      <c r="A11" s="238"/>
      <c r="B11" s="177"/>
      <c r="C11" s="239" t="s">
        <v>77</v>
      </c>
      <c r="D11" s="177"/>
      <c r="E11" s="240"/>
      <c r="F11" s="241"/>
      <c r="G11" s="177"/>
      <c r="H11" s="177"/>
      <c r="I11" s="177"/>
      <c r="J11" s="177"/>
      <c r="K11" s="242"/>
      <c r="L11" s="177"/>
      <c r="M11" s="177"/>
      <c r="N11" s="177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4"/>
      <c r="AJ11" s="245"/>
      <c r="AK11" s="245"/>
      <c r="AL11" s="246"/>
    </row>
    <row r="12" ht="15.75" customHeight="1">
      <c r="A12" s="105"/>
      <c r="B12" s="153"/>
      <c r="C12" s="77" t="s">
        <v>78</v>
      </c>
      <c r="D12" s="82" t="s">
        <v>79</v>
      </c>
      <c r="E12" s="107">
        <v>50000.0</v>
      </c>
      <c r="F12" s="108">
        <v>50000.0</v>
      </c>
      <c r="G12" s="155" t="s">
        <v>80</v>
      </c>
      <c r="H12" s="82"/>
      <c r="I12" s="83"/>
      <c r="J12" s="84">
        <v>1.0</v>
      </c>
      <c r="K12" s="85"/>
      <c r="L12" s="86"/>
      <c r="M12" s="83"/>
      <c r="N12" s="87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6"/>
      <c r="AJ12" s="88"/>
      <c r="AK12" s="89"/>
      <c r="AL12" s="90"/>
    </row>
    <row r="13" ht="15.75" customHeight="1">
      <c r="A13" s="105"/>
      <c r="B13" s="153"/>
      <c r="C13" s="247" t="s">
        <v>81</v>
      </c>
      <c r="D13" s="82"/>
      <c r="E13" s="107"/>
      <c r="F13" s="108"/>
      <c r="G13" s="66"/>
      <c r="H13" s="82"/>
      <c r="I13" s="83"/>
      <c r="J13" s="84"/>
      <c r="K13" s="85"/>
      <c r="L13" s="86"/>
      <c r="M13" s="83"/>
      <c r="N13" s="87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6"/>
      <c r="AJ13" s="88"/>
      <c r="AK13" s="89"/>
      <c r="AL13" s="90"/>
    </row>
    <row r="14" ht="15.75" customHeight="1">
      <c r="A14" s="105"/>
      <c r="B14" s="153"/>
      <c r="C14" s="77" t="s">
        <v>82</v>
      </c>
      <c r="D14" s="82" t="s">
        <v>79</v>
      </c>
      <c r="E14" s="107">
        <v>500000.0</v>
      </c>
      <c r="F14" s="108">
        <v>500000.0</v>
      </c>
      <c r="G14" s="81"/>
      <c r="H14" s="82"/>
      <c r="I14" s="83"/>
      <c r="J14" s="84"/>
      <c r="K14" s="85">
        <v>1.0</v>
      </c>
      <c r="L14" s="86"/>
      <c r="M14" s="83"/>
      <c r="N14" s="87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6"/>
      <c r="AJ14" s="88"/>
      <c r="AK14" s="89"/>
      <c r="AL14" s="90"/>
    </row>
    <row r="15" ht="15.75" customHeight="1">
      <c r="A15" s="105"/>
      <c r="B15" s="106"/>
      <c r="C15" s="247" t="s">
        <v>83</v>
      </c>
      <c r="D15" s="82"/>
      <c r="E15" s="107"/>
      <c r="F15" s="108"/>
      <c r="G15" s="248"/>
      <c r="H15" s="82"/>
      <c r="I15" s="83"/>
      <c r="J15" s="84"/>
      <c r="K15" s="85"/>
      <c r="L15" s="86"/>
      <c r="M15" s="83"/>
      <c r="N15" s="87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6"/>
      <c r="AJ15" s="88"/>
      <c r="AK15" s="89"/>
      <c r="AL15" s="90"/>
    </row>
    <row r="16" ht="15.75" customHeight="1">
      <c r="A16" s="105"/>
      <c r="B16" s="153"/>
      <c r="C16" s="77" t="s">
        <v>84</v>
      </c>
      <c r="D16" s="82" t="s">
        <v>85</v>
      </c>
      <c r="E16" s="107">
        <v>2100.0</v>
      </c>
      <c r="F16" s="108">
        <v>21000.0</v>
      </c>
      <c r="G16" s="155" t="s">
        <v>80</v>
      </c>
      <c r="H16" s="82"/>
      <c r="I16" s="109"/>
      <c r="J16" s="109">
        <v>10.0</v>
      </c>
      <c r="K16" s="85"/>
      <c r="L16" s="86"/>
      <c r="M16" s="83"/>
      <c r="N16" s="87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6"/>
      <c r="AJ16" s="88"/>
      <c r="AK16" s="89"/>
      <c r="AL16" s="90"/>
    </row>
    <row r="17" ht="15.75" customHeight="1">
      <c r="A17" s="105"/>
      <c r="B17" s="153"/>
      <c r="C17" s="77" t="s">
        <v>86</v>
      </c>
      <c r="D17" s="82" t="s">
        <v>87</v>
      </c>
      <c r="E17" s="107">
        <v>1900.0</v>
      </c>
      <c r="F17" s="108">
        <v>19000.0</v>
      </c>
      <c r="G17" s="66"/>
      <c r="H17" s="82"/>
      <c r="I17" s="109"/>
      <c r="J17" s="109">
        <v>10.0</v>
      </c>
      <c r="K17" s="85"/>
      <c r="L17" s="86"/>
      <c r="M17" s="83"/>
      <c r="N17" s="87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6"/>
      <c r="AJ17" s="88"/>
      <c r="AK17" s="89"/>
      <c r="AL17" s="90"/>
    </row>
    <row r="18" ht="15.75" customHeight="1">
      <c r="A18" s="105"/>
      <c r="B18" s="153"/>
      <c r="C18" s="77" t="s">
        <v>88</v>
      </c>
      <c r="D18" s="155" t="s">
        <v>79</v>
      </c>
      <c r="E18" s="249">
        <v>30000.0</v>
      </c>
      <c r="F18" s="250">
        <v>30000.0</v>
      </c>
      <c r="G18" s="66"/>
      <c r="H18" s="82"/>
      <c r="I18" s="109"/>
      <c r="J18" s="251">
        <v>1.0</v>
      </c>
      <c r="K18" s="85"/>
      <c r="L18" s="86"/>
      <c r="M18" s="83"/>
      <c r="N18" s="87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6"/>
      <c r="AJ18" s="88"/>
      <c r="AK18" s="89"/>
      <c r="AL18" s="90"/>
    </row>
    <row r="19" ht="15.75" customHeight="1">
      <c r="A19" s="105"/>
      <c r="B19" s="153"/>
      <c r="C19" s="77" t="s">
        <v>89</v>
      </c>
      <c r="D19" s="81"/>
      <c r="E19" s="97"/>
      <c r="F19" s="81"/>
      <c r="G19" s="66"/>
      <c r="H19" s="82"/>
      <c r="I19" s="109"/>
      <c r="J19" s="81"/>
      <c r="K19" s="85"/>
      <c r="L19" s="86"/>
      <c r="M19" s="83"/>
      <c r="N19" s="87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6"/>
      <c r="AJ19" s="88"/>
      <c r="AK19" s="89"/>
      <c r="AL19" s="90"/>
    </row>
    <row r="20" ht="15.75" customHeight="1">
      <c r="A20" s="105"/>
      <c r="B20" s="153"/>
      <c r="C20" s="77" t="s">
        <v>90</v>
      </c>
      <c r="D20" s="82" t="s">
        <v>91</v>
      </c>
      <c r="E20" s="107">
        <v>900.0</v>
      </c>
      <c r="F20" s="108">
        <f t="shared" ref="F20:F21" si="1">E20*10</f>
        <v>9000</v>
      </c>
      <c r="G20" s="66"/>
      <c r="H20" s="82"/>
      <c r="I20" s="252"/>
      <c r="J20" s="109">
        <v>10.0</v>
      </c>
      <c r="K20" s="85"/>
      <c r="L20" s="86"/>
      <c r="M20" s="83"/>
      <c r="N20" s="87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6"/>
      <c r="AJ20" s="88"/>
      <c r="AK20" s="89"/>
      <c r="AL20" s="90"/>
    </row>
    <row r="21" ht="15.75" customHeight="1">
      <c r="A21" s="105"/>
      <c r="B21" s="106"/>
      <c r="C21" s="77" t="s">
        <v>92</v>
      </c>
      <c r="D21" s="82" t="s">
        <v>93</v>
      </c>
      <c r="E21" s="107">
        <v>600.0</v>
      </c>
      <c r="F21" s="108">
        <f t="shared" si="1"/>
        <v>6000</v>
      </c>
      <c r="G21" s="66"/>
      <c r="H21" s="82"/>
      <c r="I21" s="252"/>
      <c r="J21" s="109">
        <v>10.0</v>
      </c>
      <c r="K21" s="85"/>
      <c r="L21" s="86"/>
      <c r="M21" s="83"/>
      <c r="N21" s="87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6"/>
      <c r="AJ21" s="88"/>
      <c r="AK21" s="89"/>
      <c r="AL21" s="90"/>
    </row>
    <row r="22" ht="15.75" customHeight="1">
      <c r="A22" s="105"/>
      <c r="B22" s="106"/>
      <c r="C22" s="77" t="s">
        <v>94</v>
      </c>
      <c r="D22" s="82" t="s">
        <v>95</v>
      </c>
      <c r="E22" s="253">
        <v>1500.0</v>
      </c>
      <c r="F22" s="108">
        <v>7500.0</v>
      </c>
      <c r="G22" s="66"/>
      <c r="H22" s="82"/>
      <c r="I22" s="252"/>
      <c r="J22" s="109">
        <v>5.0</v>
      </c>
      <c r="K22" s="85"/>
      <c r="L22" s="86"/>
      <c r="M22" s="83"/>
      <c r="N22" s="87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6"/>
      <c r="AJ22" s="88"/>
      <c r="AK22" s="89"/>
      <c r="AL22" s="90"/>
    </row>
    <row r="23" ht="15.75" customHeight="1">
      <c r="A23" s="105"/>
      <c r="B23" s="106"/>
      <c r="C23" s="77" t="s">
        <v>96</v>
      </c>
      <c r="D23" s="82" t="s">
        <v>91</v>
      </c>
      <c r="E23" s="107">
        <v>550.0</v>
      </c>
      <c r="F23" s="108">
        <f>E23*10</f>
        <v>5500</v>
      </c>
      <c r="G23" s="81"/>
      <c r="H23" s="82"/>
      <c r="I23" s="252"/>
      <c r="J23" s="109">
        <v>10.0</v>
      </c>
      <c r="K23" s="85"/>
      <c r="L23" s="86"/>
      <c r="M23" s="86"/>
      <c r="N23" s="87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6"/>
      <c r="AJ23" s="88"/>
      <c r="AK23" s="89"/>
      <c r="AL23" s="90"/>
    </row>
    <row r="24" ht="15.75" customHeight="1">
      <c r="A24" s="105"/>
      <c r="B24" s="106"/>
      <c r="C24" s="247" t="s">
        <v>97</v>
      </c>
      <c r="D24" s="82"/>
      <c r="E24" s="107"/>
      <c r="F24" s="108"/>
      <c r="G24" s="82"/>
      <c r="H24" s="82"/>
      <c r="I24" s="83"/>
      <c r="J24" s="109"/>
      <c r="K24" s="85"/>
      <c r="L24" s="86"/>
      <c r="M24" s="86"/>
      <c r="N24" s="87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6"/>
      <c r="AJ24" s="88"/>
      <c r="AK24" s="89"/>
      <c r="AL24" s="90"/>
    </row>
    <row r="25" ht="15.75" customHeight="1">
      <c r="A25" s="105"/>
      <c r="B25" s="106"/>
      <c r="C25" s="254" t="s">
        <v>98</v>
      </c>
      <c r="D25" s="125" t="s">
        <v>99</v>
      </c>
      <c r="E25" s="107">
        <v>2000.0</v>
      </c>
      <c r="F25" s="107">
        <f t="shared" ref="F25:F27" si="2">E25*5</f>
        <v>10000</v>
      </c>
      <c r="G25" s="155" t="s">
        <v>80</v>
      </c>
      <c r="H25" s="82"/>
      <c r="I25" s="252"/>
      <c r="J25" s="109">
        <v>5.0</v>
      </c>
      <c r="K25" s="85"/>
      <c r="L25" s="86"/>
      <c r="M25" s="86"/>
      <c r="N25" s="87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6"/>
      <c r="AJ25" s="88"/>
      <c r="AK25" s="89"/>
      <c r="AL25" s="90"/>
    </row>
    <row r="26" ht="15.75" customHeight="1">
      <c r="A26" s="105"/>
      <c r="B26" s="106"/>
      <c r="C26" s="254" t="s">
        <v>100</v>
      </c>
      <c r="D26" s="125" t="s">
        <v>99</v>
      </c>
      <c r="E26" s="107">
        <v>2000.0</v>
      </c>
      <c r="F26" s="107">
        <f t="shared" si="2"/>
        <v>10000</v>
      </c>
      <c r="G26" s="66"/>
      <c r="H26" s="82"/>
      <c r="I26" s="252"/>
      <c r="J26" s="109">
        <v>5.0</v>
      </c>
      <c r="K26" s="85"/>
      <c r="L26" s="86"/>
      <c r="M26" s="86"/>
      <c r="N26" s="87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6"/>
      <c r="AJ26" s="88"/>
      <c r="AK26" s="89"/>
      <c r="AL26" s="90"/>
    </row>
    <row r="27" ht="15.75" customHeight="1">
      <c r="A27" s="105"/>
      <c r="B27" s="106"/>
      <c r="C27" s="77" t="s">
        <v>101</v>
      </c>
      <c r="D27" s="125" t="s">
        <v>99</v>
      </c>
      <c r="E27" s="107">
        <v>600.0</v>
      </c>
      <c r="F27" s="126">
        <f t="shared" si="2"/>
        <v>3000</v>
      </c>
      <c r="G27" s="66"/>
      <c r="H27" s="82"/>
      <c r="I27" s="252"/>
      <c r="J27" s="109">
        <v>5.0</v>
      </c>
      <c r="K27" s="85"/>
      <c r="L27" s="86"/>
      <c r="M27" s="86"/>
      <c r="N27" s="87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6"/>
      <c r="AJ27" s="88"/>
      <c r="AK27" s="89"/>
      <c r="AL27" s="90"/>
    </row>
    <row r="28" ht="15.75" customHeight="1">
      <c r="A28" s="105"/>
      <c r="B28" s="106"/>
      <c r="C28" s="77" t="s">
        <v>102</v>
      </c>
      <c r="D28" s="82" t="s">
        <v>103</v>
      </c>
      <c r="E28" s="107">
        <v>15000.0</v>
      </c>
      <c r="F28" s="108">
        <v>15000.0</v>
      </c>
      <c r="G28" s="66"/>
      <c r="H28" s="82"/>
      <c r="I28" s="83"/>
      <c r="J28" s="109">
        <v>50.0</v>
      </c>
      <c r="K28" s="85"/>
      <c r="L28" s="86"/>
      <c r="M28" s="86"/>
      <c r="N28" s="87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6"/>
      <c r="AJ28" s="88"/>
      <c r="AK28" s="89"/>
      <c r="AL28" s="90"/>
    </row>
    <row r="29" ht="15.75" customHeight="1">
      <c r="A29" s="105"/>
      <c r="B29" s="106"/>
      <c r="C29" s="77" t="s">
        <v>104</v>
      </c>
      <c r="D29" s="125" t="s">
        <v>79</v>
      </c>
      <c r="E29" s="107">
        <v>90000.0</v>
      </c>
      <c r="F29" s="126">
        <v>90000.0</v>
      </c>
      <c r="G29" s="66"/>
      <c r="H29" s="82"/>
      <c r="I29" s="83"/>
      <c r="J29" s="109">
        <v>1.0</v>
      </c>
      <c r="K29" s="85"/>
      <c r="L29" s="86"/>
      <c r="M29" s="86"/>
      <c r="N29" s="87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6"/>
      <c r="AJ29" s="88"/>
      <c r="AK29" s="89"/>
      <c r="AL29" s="90"/>
    </row>
    <row r="30" ht="15.75" customHeight="1">
      <c r="A30" s="105"/>
      <c r="B30" s="106"/>
      <c r="C30" s="77" t="s">
        <v>105</v>
      </c>
      <c r="D30" s="125" t="s">
        <v>79</v>
      </c>
      <c r="E30" s="107">
        <v>90000.0</v>
      </c>
      <c r="F30" s="126">
        <v>90000.0</v>
      </c>
      <c r="G30" s="66"/>
      <c r="H30" s="82"/>
      <c r="I30" s="83"/>
      <c r="J30" s="109">
        <v>1.0</v>
      </c>
      <c r="K30" s="85"/>
      <c r="L30" s="86"/>
      <c r="M30" s="86"/>
      <c r="N30" s="87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6"/>
      <c r="AJ30" s="88"/>
      <c r="AK30" s="89"/>
      <c r="AL30" s="90"/>
    </row>
    <row r="31" ht="15.75" customHeight="1">
      <c r="A31" s="105"/>
      <c r="B31" s="106"/>
      <c r="C31" s="77" t="s">
        <v>106</v>
      </c>
      <c r="D31" s="255" t="s">
        <v>79</v>
      </c>
      <c r="E31" s="256">
        <v>85000.0</v>
      </c>
      <c r="F31" s="151">
        <v>85000.0</v>
      </c>
      <c r="G31" s="81"/>
      <c r="H31" s="83"/>
      <c r="I31" s="83"/>
      <c r="J31" s="257">
        <v>1.0</v>
      </c>
      <c r="K31" s="85"/>
      <c r="L31" s="83"/>
      <c r="M31" s="83"/>
      <c r="N31" s="87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8"/>
      <c r="AK31" s="89"/>
      <c r="AL31" s="90"/>
    </row>
    <row r="32" ht="15.75" customHeight="1">
      <c r="A32" s="105"/>
      <c r="B32" s="106"/>
      <c r="C32" s="247" t="s">
        <v>107</v>
      </c>
      <c r="D32" s="177"/>
      <c r="E32" s="240"/>
      <c r="F32" s="241"/>
      <c r="G32" s="83"/>
      <c r="H32" s="83"/>
      <c r="I32" s="83"/>
      <c r="J32" s="258"/>
      <c r="K32" s="85"/>
      <c r="L32" s="83"/>
      <c r="M32" s="83"/>
      <c r="N32" s="87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8"/>
      <c r="AK32" s="89"/>
      <c r="AL32" s="90"/>
    </row>
    <row r="33" ht="15.75" customHeight="1">
      <c r="A33" s="105"/>
      <c r="B33" s="149"/>
      <c r="C33" s="77" t="s">
        <v>108</v>
      </c>
      <c r="D33" s="259" t="s">
        <v>79</v>
      </c>
      <c r="E33" s="154">
        <v>70000.0</v>
      </c>
      <c r="F33" s="108">
        <v>70000.0</v>
      </c>
      <c r="G33" s="248" t="s">
        <v>109</v>
      </c>
      <c r="H33" s="82"/>
      <c r="I33" s="136"/>
      <c r="J33" s="137">
        <v>1.0</v>
      </c>
      <c r="K33" s="138"/>
      <c r="L33" s="139"/>
      <c r="M33" s="139"/>
      <c r="N33" s="140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86"/>
      <c r="AJ33" s="88"/>
      <c r="AK33" s="89"/>
      <c r="AL33" s="90"/>
    </row>
    <row r="34" ht="15.75" customHeight="1">
      <c r="A34" s="105"/>
      <c r="B34" s="149"/>
      <c r="C34" s="247" t="s">
        <v>110</v>
      </c>
      <c r="D34" s="259"/>
      <c r="E34" s="154"/>
      <c r="F34" s="108"/>
      <c r="G34" s="82"/>
      <c r="H34" s="82"/>
      <c r="I34" s="136"/>
      <c r="J34" s="137"/>
      <c r="K34" s="138"/>
      <c r="L34" s="139"/>
      <c r="M34" s="139"/>
      <c r="N34" s="140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86"/>
      <c r="AJ34" s="88"/>
      <c r="AK34" s="89"/>
      <c r="AL34" s="90"/>
    </row>
    <row r="35" ht="15.75" customHeight="1">
      <c r="A35" s="105"/>
      <c r="B35" s="149"/>
      <c r="C35" s="150" t="s">
        <v>111</v>
      </c>
      <c r="D35" s="137" t="s">
        <v>112</v>
      </c>
      <c r="E35" s="151">
        <v>45000.0</v>
      </c>
      <c r="F35" s="152">
        <v>45000.0</v>
      </c>
      <c r="G35" s="82" t="s">
        <v>109</v>
      </c>
      <c r="H35" s="82"/>
      <c r="I35" s="137">
        <v>1.0</v>
      </c>
      <c r="J35" s="137">
        <v>1.0</v>
      </c>
      <c r="K35" s="138"/>
      <c r="L35" s="139"/>
      <c r="M35" s="139"/>
      <c r="N35" s="140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86"/>
      <c r="AJ35" s="88"/>
      <c r="AK35" s="89"/>
      <c r="AL35" s="90"/>
    </row>
    <row r="36" ht="15.75" customHeight="1">
      <c r="A36" s="105"/>
      <c r="B36" s="153"/>
      <c r="C36" s="247" t="s">
        <v>113</v>
      </c>
      <c r="D36" s="259"/>
      <c r="E36" s="154"/>
      <c r="F36" s="108"/>
      <c r="G36" s="82"/>
      <c r="H36" s="82"/>
      <c r="I36" s="136"/>
      <c r="J36" s="109"/>
      <c r="K36" s="138"/>
      <c r="L36" s="139"/>
      <c r="M36" s="139"/>
      <c r="N36" s="140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86"/>
      <c r="AJ36" s="88"/>
      <c r="AK36" s="89"/>
      <c r="AL36" s="90"/>
    </row>
    <row r="37" ht="15.75" customHeight="1">
      <c r="A37" s="105"/>
      <c r="B37" s="153"/>
      <c r="C37" s="77" t="s">
        <v>114</v>
      </c>
      <c r="D37" s="137" t="s">
        <v>79</v>
      </c>
      <c r="E37" s="154">
        <v>40000.0</v>
      </c>
      <c r="F37" s="108">
        <v>40000.0</v>
      </c>
      <c r="G37" s="155" t="s">
        <v>109</v>
      </c>
      <c r="H37" s="82"/>
      <c r="I37" s="136"/>
      <c r="J37" s="109">
        <v>1.0</v>
      </c>
      <c r="K37" s="138"/>
      <c r="L37" s="139"/>
      <c r="M37" s="139"/>
      <c r="N37" s="140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86"/>
      <c r="AJ37" s="88"/>
      <c r="AK37" s="89"/>
      <c r="AL37" s="90"/>
    </row>
    <row r="38" ht="15.75" customHeight="1">
      <c r="A38" s="105"/>
      <c r="B38" s="106"/>
      <c r="C38" s="77" t="s">
        <v>115</v>
      </c>
      <c r="D38" s="137" t="s">
        <v>79</v>
      </c>
      <c r="E38" s="154">
        <v>5000.0</v>
      </c>
      <c r="F38" s="108">
        <v>5000.0</v>
      </c>
      <c r="G38" s="66"/>
      <c r="H38" s="82"/>
      <c r="I38" s="136"/>
      <c r="J38" s="109">
        <v>1.0</v>
      </c>
      <c r="K38" s="138"/>
      <c r="L38" s="139"/>
      <c r="M38" s="139"/>
      <c r="N38" s="140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86"/>
      <c r="AJ38" s="88"/>
      <c r="AK38" s="89"/>
      <c r="AL38" s="90"/>
    </row>
    <row r="39" ht="15.75" customHeight="1">
      <c r="A39" s="105"/>
      <c r="B39" s="106"/>
      <c r="C39" s="77" t="s">
        <v>116</v>
      </c>
      <c r="D39" s="137" t="s">
        <v>79</v>
      </c>
      <c r="E39" s="154">
        <v>40000.0</v>
      </c>
      <c r="F39" s="108">
        <v>40000.0</v>
      </c>
      <c r="G39" s="81"/>
      <c r="H39" s="82"/>
      <c r="I39" s="136"/>
      <c r="J39" s="109">
        <v>1.0</v>
      </c>
      <c r="K39" s="138"/>
      <c r="L39" s="139"/>
      <c r="M39" s="139"/>
      <c r="N39" s="140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86"/>
      <c r="AJ39" s="88"/>
      <c r="AK39" s="89"/>
      <c r="AL39" s="90"/>
    </row>
    <row r="40" ht="15.75" customHeight="1">
      <c r="A40" s="105"/>
      <c r="B40" s="106"/>
      <c r="C40" s="77"/>
      <c r="D40" s="259"/>
      <c r="E40" s="107"/>
      <c r="F40" s="108"/>
      <c r="G40" s="82"/>
      <c r="H40" s="82"/>
      <c r="I40" s="136"/>
      <c r="J40" s="109"/>
      <c r="K40" s="138"/>
      <c r="L40" s="139"/>
      <c r="M40" s="139"/>
      <c r="N40" s="140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86"/>
      <c r="AJ40" s="88"/>
      <c r="AK40" s="89"/>
      <c r="AL40" s="90"/>
    </row>
    <row r="41" ht="15.75" customHeight="1">
      <c r="A41" s="105"/>
      <c r="B41" s="106"/>
      <c r="C41" s="247" t="s">
        <v>117</v>
      </c>
      <c r="D41" s="177"/>
      <c r="E41" s="240"/>
      <c r="F41" s="241"/>
      <c r="G41" s="83"/>
      <c r="H41" s="83"/>
      <c r="I41" s="83"/>
      <c r="J41" s="258"/>
      <c r="K41" s="85"/>
      <c r="L41" s="83"/>
      <c r="M41" s="83"/>
      <c r="N41" s="87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8"/>
      <c r="AK41" s="89"/>
      <c r="AL41" s="90"/>
    </row>
    <row r="42" ht="15.75" customHeight="1">
      <c r="A42" s="105"/>
      <c r="B42" s="106"/>
      <c r="C42" s="77" t="s">
        <v>118</v>
      </c>
      <c r="D42" s="125" t="s">
        <v>79</v>
      </c>
      <c r="E42" s="107">
        <v>20000.0</v>
      </c>
      <c r="F42" s="126">
        <v>20000.0</v>
      </c>
      <c r="G42" s="155" t="s">
        <v>109</v>
      </c>
      <c r="H42" s="82"/>
      <c r="I42" s="83"/>
      <c r="J42" s="84">
        <v>1.0</v>
      </c>
      <c r="K42" s="85"/>
      <c r="L42" s="86"/>
      <c r="M42" s="86"/>
      <c r="N42" s="87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6"/>
      <c r="AJ42" s="88"/>
      <c r="AK42" s="89"/>
      <c r="AL42" s="90"/>
    </row>
    <row r="43" ht="15.75" customHeight="1">
      <c r="A43" s="105"/>
      <c r="B43" s="260"/>
      <c r="C43" s="77" t="s">
        <v>159</v>
      </c>
      <c r="D43" s="125" t="s">
        <v>79</v>
      </c>
      <c r="E43" s="107">
        <v>30000.0</v>
      </c>
      <c r="F43" s="107">
        <v>30000.0</v>
      </c>
      <c r="G43" s="66"/>
      <c r="H43" s="82"/>
      <c r="I43" s="83"/>
      <c r="J43" s="85"/>
      <c r="K43" s="84"/>
      <c r="L43" s="86"/>
      <c r="M43" s="83"/>
      <c r="N43" s="87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6"/>
      <c r="AJ43" s="88"/>
      <c r="AK43" s="89"/>
      <c r="AL43" s="90"/>
    </row>
    <row r="44" ht="15.75" customHeight="1">
      <c r="A44" s="105"/>
      <c r="B44" s="106"/>
      <c r="C44" s="77" t="s">
        <v>119</v>
      </c>
      <c r="D44" s="125" t="s">
        <v>79</v>
      </c>
      <c r="E44" s="107">
        <v>50000.0</v>
      </c>
      <c r="F44" s="126">
        <v>50000.0</v>
      </c>
      <c r="G44" s="66"/>
      <c r="H44" s="82"/>
      <c r="I44" s="83"/>
      <c r="J44" s="85">
        <v>1.0</v>
      </c>
      <c r="K44" s="84"/>
      <c r="L44" s="86"/>
      <c r="M44" s="83"/>
      <c r="N44" s="87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6"/>
      <c r="AJ44" s="88"/>
      <c r="AK44" s="89"/>
      <c r="AL44" s="90"/>
    </row>
    <row r="45" ht="15.75" customHeight="1">
      <c r="A45" s="105"/>
      <c r="B45" s="106"/>
      <c r="C45" s="77" t="s">
        <v>120</v>
      </c>
      <c r="D45" s="125" t="s">
        <v>79</v>
      </c>
      <c r="E45" s="107">
        <v>50000.0</v>
      </c>
      <c r="F45" s="126">
        <v>50000.0</v>
      </c>
      <c r="G45" s="166"/>
      <c r="H45" s="82"/>
      <c r="I45" s="83"/>
      <c r="J45" s="85">
        <v>1.0</v>
      </c>
      <c r="K45" s="84"/>
      <c r="L45" s="86"/>
      <c r="M45" s="83"/>
      <c r="N45" s="87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6"/>
      <c r="AJ45" s="88"/>
      <c r="AK45" s="89"/>
      <c r="AL45" s="90"/>
    </row>
    <row r="46" ht="15.75" customHeight="1">
      <c r="A46" s="105"/>
      <c r="B46" s="106"/>
      <c r="C46" s="261" t="s">
        <v>121</v>
      </c>
      <c r="D46" s="262" t="s">
        <v>79</v>
      </c>
      <c r="E46" s="249">
        <v>160000.0</v>
      </c>
      <c r="F46" s="263">
        <v>160000.0</v>
      </c>
      <c r="G46" s="155" t="s">
        <v>109</v>
      </c>
      <c r="H46" s="82"/>
      <c r="I46" s="264">
        <v>1.0</v>
      </c>
      <c r="J46" s="257"/>
      <c r="K46" s="84"/>
      <c r="L46" s="86"/>
      <c r="M46" s="83"/>
      <c r="N46" s="87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6"/>
      <c r="AJ46" s="88"/>
      <c r="AK46" s="89"/>
      <c r="AL46" s="90"/>
    </row>
    <row r="47" ht="15.75" customHeight="1">
      <c r="A47" s="105"/>
      <c r="B47" s="106"/>
      <c r="C47" s="97"/>
      <c r="D47" s="97"/>
      <c r="E47" s="97"/>
      <c r="F47" s="97"/>
      <c r="G47" s="166"/>
      <c r="H47" s="82"/>
      <c r="I47" s="81"/>
      <c r="J47" s="257"/>
      <c r="K47" s="84"/>
      <c r="L47" s="86"/>
      <c r="M47" s="83"/>
      <c r="N47" s="87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6"/>
      <c r="AJ47" s="88"/>
      <c r="AK47" s="89"/>
      <c r="AL47" s="90"/>
    </row>
    <row r="48" ht="15.75" customHeight="1">
      <c r="A48" s="105"/>
      <c r="B48" s="106"/>
      <c r="C48" s="77" t="s">
        <v>122</v>
      </c>
      <c r="D48" s="82" t="s">
        <v>79</v>
      </c>
      <c r="E48" s="107">
        <v>10000.0</v>
      </c>
      <c r="F48" s="108">
        <v>10000.0</v>
      </c>
      <c r="G48" s="265" t="s">
        <v>123</v>
      </c>
      <c r="H48" s="82"/>
      <c r="I48" s="83"/>
      <c r="J48" s="85">
        <v>1.0</v>
      </c>
      <c r="K48" s="84"/>
      <c r="L48" s="86"/>
      <c r="M48" s="83"/>
      <c r="N48" s="87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6"/>
      <c r="AJ48" s="88"/>
      <c r="AK48" s="89"/>
      <c r="AL48" s="90"/>
    </row>
    <row r="49" ht="15.75" customHeight="1">
      <c r="A49" s="105"/>
      <c r="B49" s="106"/>
      <c r="C49" s="77" t="s">
        <v>124</v>
      </c>
      <c r="D49" s="82" t="s">
        <v>79</v>
      </c>
      <c r="E49" s="107">
        <v>30000.0</v>
      </c>
      <c r="F49" s="108">
        <v>30000.0</v>
      </c>
      <c r="G49" s="169"/>
      <c r="H49" s="82"/>
      <c r="I49" s="83"/>
      <c r="J49" s="85">
        <v>1.0</v>
      </c>
      <c r="K49" s="84"/>
      <c r="L49" s="86"/>
      <c r="M49" s="83"/>
      <c r="N49" s="87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6"/>
      <c r="AJ49" s="88"/>
      <c r="AK49" s="89"/>
      <c r="AL49" s="90"/>
    </row>
    <row r="50" ht="15.75" customHeight="1">
      <c r="A50" s="105"/>
      <c r="B50" s="106"/>
      <c r="C50" s="77" t="s">
        <v>125</v>
      </c>
      <c r="D50" s="82" t="s">
        <v>79</v>
      </c>
      <c r="E50" s="107">
        <v>30000.0</v>
      </c>
      <c r="F50" s="108">
        <v>30000.0</v>
      </c>
      <c r="G50" s="169"/>
      <c r="H50" s="82"/>
      <c r="I50" s="83"/>
      <c r="J50" s="85">
        <v>1.0</v>
      </c>
      <c r="K50" s="84"/>
      <c r="L50" s="86"/>
      <c r="M50" s="83"/>
      <c r="N50" s="87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6"/>
      <c r="AJ50" s="88"/>
      <c r="AK50" s="89"/>
      <c r="AL50" s="90"/>
    </row>
    <row r="51" ht="15.75" customHeight="1">
      <c r="A51" s="105"/>
      <c r="B51" s="106"/>
      <c r="C51" s="266" t="s">
        <v>126</v>
      </c>
      <c r="D51" s="267" t="s">
        <v>79</v>
      </c>
      <c r="E51" s="268">
        <v>35000.0</v>
      </c>
      <c r="F51" s="269">
        <v>35000.0</v>
      </c>
      <c r="G51" s="97"/>
      <c r="H51" s="270"/>
      <c r="I51" s="271">
        <v>1.0</v>
      </c>
      <c r="J51" s="252"/>
      <c r="K51" s="84"/>
      <c r="L51" s="86"/>
      <c r="M51" s="83"/>
      <c r="N51" s="87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6"/>
      <c r="AJ51" s="88"/>
      <c r="AK51" s="89"/>
      <c r="AL51" s="90"/>
    </row>
    <row r="52" ht="15.75" customHeight="1">
      <c r="A52" s="272"/>
      <c r="B52" s="177"/>
      <c r="C52" s="177"/>
      <c r="D52" s="177"/>
      <c r="E52" s="240"/>
      <c r="F52" s="240"/>
      <c r="G52" s="177"/>
      <c r="H52" s="177"/>
      <c r="I52" s="177"/>
      <c r="J52" s="177"/>
      <c r="K52" s="242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89"/>
      <c r="AK52" s="89"/>
      <c r="AL52" s="90"/>
    </row>
    <row r="53" ht="15.75" customHeight="1">
      <c r="A53" s="207"/>
      <c r="B53" s="207"/>
      <c r="C53" s="207"/>
      <c r="D53" s="207"/>
      <c r="E53" s="208"/>
      <c r="F53" s="208"/>
      <c r="G53" s="207"/>
      <c r="H53" s="207"/>
      <c r="I53" s="207"/>
      <c r="J53" s="207"/>
      <c r="K53" s="209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89"/>
      <c r="AK53" s="181"/>
      <c r="AL53" s="182"/>
    </row>
    <row r="54" ht="15.75" customHeight="1">
      <c r="A54" s="273" t="s">
        <v>127</v>
      </c>
      <c r="B54" s="207"/>
      <c r="C54" s="207"/>
      <c r="D54" s="274">
        <f>SUM(F12:F52)</f>
        <v>1566000</v>
      </c>
      <c r="E54" s="275"/>
      <c r="F54" s="276"/>
      <c r="G54" s="207"/>
      <c r="H54" s="207"/>
      <c r="I54" s="207"/>
      <c r="J54" s="207"/>
      <c r="K54" s="209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89"/>
      <c r="AK54" s="181"/>
      <c r="AL54" s="182"/>
    </row>
    <row r="55" ht="15.75" customHeight="1">
      <c r="A55" s="207"/>
      <c r="B55" s="207"/>
      <c r="C55" s="207"/>
      <c r="D55" s="207"/>
      <c r="E55" s="208"/>
      <c r="F55" s="210"/>
      <c r="G55" s="207"/>
      <c r="H55" s="207"/>
      <c r="I55" s="207"/>
      <c r="J55" s="20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10"/>
      <c r="AI55" s="207"/>
      <c r="AJ55" s="89"/>
      <c r="AK55" s="181"/>
      <c r="AL55" s="182"/>
    </row>
    <row r="56" ht="15.75" customHeight="1">
      <c r="A56" s="278" t="s">
        <v>128</v>
      </c>
      <c r="B56" s="207"/>
      <c r="C56" s="207"/>
      <c r="D56" s="207"/>
      <c r="E56" s="208"/>
      <c r="F56" s="210"/>
      <c r="G56" s="207"/>
      <c r="H56" s="207"/>
      <c r="I56" s="207"/>
      <c r="J56" s="207"/>
      <c r="K56" s="209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89"/>
      <c r="AK56" s="181"/>
      <c r="AL56" s="182"/>
    </row>
    <row r="57" ht="15.75" customHeight="1">
      <c r="A57" s="207"/>
      <c r="B57" s="207"/>
      <c r="C57" s="207"/>
      <c r="D57" s="207"/>
      <c r="E57" s="208"/>
      <c r="F57" s="210"/>
      <c r="G57" s="207"/>
      <c r="H57" s="207"/>
      <c r="I57" s="207"/>
      <c r="J57" s="207"/>
      <c r="K57" s="209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89"/>
      <c r="AK57" s="181"/>
      <c r="AL57" s="182"/>
    </row>
    <row r="58" ht="15.75" customHeight="1">
      <c r="A58" s="279" t="s">
        <v>129</v>
      </c>
      <c r="B58" s="207"/>
      <c r="C58" s="207"/>
      <c r="D58" s="279" t="s">
        <v>130</v>
      </c>
      <c r="E58" s="208"/>
      <c r="F58" s="210"/>
      <c r="G58" s="279" t="s">
        <v>131</v>
      </c>
      <c r="H58" s="207"/>
      <c r="I58" s="279" t="s">
        <v>132</v>
      </c>
      <c r="K58" s="209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89"/>
      <c r="AK58" s="181"/>
      <c r="AL58" s="182"/>
    </row>
    <row r="59" ht="15.75" customHeight="1">
      <c r="A59" s="207"/>
      <c r="B59" s="207"/>
      <c r="C59" s="207"/>
      <c r="D59" s="207"/>
      <c r="E59" s="208"/>
      <c r="F59" s="210"/>
      <c r="G59" s="207"/>
      <c r="H59" s="207"/>
      <c r="I59" s="207"/>
      <c r="K59" s="209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89"/>
      <c r="AK59" s="181"/>
      <c r="AL59" s="182"/>
    </row>
    <row r="60" ht="15.75" customHeight="1">
      <c r="A60" s="207"/>
      <c r="B60" s="207"/>
      <c r="C60" s="207"/>
      <c r="D60" s="207"/>
      <c r="E60" s="208"/>
      <c r="F60" s="210"/>
      <c r="G60" s="207"/>
      <c r="H60" s="207"/>
      <c r="I60" s="207"/>
      <c r="K60" s="209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89"/>
      <c r="AK60" s="181"/>
      <c r="AL60" s="182"/>
    </row>
    <row r="61" ht="15.75" customHeight="1">
      <c r="A61" s="280" t="s">
        <v>133</v>
      </c>
      <c r="B61" s="201"/>
      <c r="C61" s="202"/>
      <c r="D61" s="279" t="s">
        <v>134</v>
      </c>
      <c r="E61" s="208"/>
      <c r="F61" s="210"/>
      <c r="G61" s="279" t="s">
        <v>135</v>
      </c>
      <c r="H61" s="207"/>
      <c r="I61" s="279" t="s">
        <v>136</v>
      </c>
      <c r="K61" s="209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89"/>
      <c r="AK61" s="181"/>
      <c r="AL61" s="182"/>
    </row>
    <row r="62" ht="15.75" customHeight="1">
      <c r="A62" s="281" t="s">
        <v>137</v>
      </c>
      <c r="B62" s="201"/>
      <c r="C62" s="202"/>
      <c r="D62" s="282" t="s">
        <v>138</v>
      </c>
      <c r="E62" s="208"/>
      <c r="F62" s="210"/>
      <c r="G62" s="282" t="s">
        <v>139</v>
      </c>
      <c r="H62" s="207"/>
      <c r="I62" s="282" t="s">
        <v>140</v>
      </c>
      <c r="K62" s="209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89"/>
      <c r="AK62" s="181"/>
      <c r="AL62" s="182"/>
    </row>
    <row r="63" ht="15.75" customHeight="1">
      <c r="A63" s="207"/>
      <c r="B63" s="207"/>
      <c r="C63" s="207"/>
      <c r="D63" s="207"/>
      <c r="E63" s="208"/>
      <c r="F63" s="210"/>
      <c r="G63" s="207"/>
      <c r="H63" s="207"/>
      <c r="I63" s="207"/>
      <c r="K63" s="209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89"/>
      <c r="AK63" s="181"/>
      <c r="AL63" s="182"/>
    </row>
    <row r="64" ht="15.75" customHeight="1">
      <c r="A64" s="282" t="s">
        <v>141</v>
      </c>
      <c r="B64" s="207"/>
      <c r="C64" s="207"/>
      <c r="D64" s="282" t="s">
        <v>142</v>
      </c>
      <c r="E64" s="208"/>
      <c r="F64" s="210"/>
      <c r="G64" s="282" t="s">
        <v>142</v>
      </c>
      <c r="H64" s="207"/>
      <c r="I64" s="282" t="s">
        <v>142</v>
      </c>
      <c r="K64" s="209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89"/>
      <c r="AK64" s="181"/>
      <c r="AL64" s="182"/>
    </row>
    <row r="65" ht="15.75" customHeight="1">
      <c r="A65" s="207"/>
      <c r="B65" s="207"/>
      <c r="C65" s="207"/>
      <c r="D65" s="207"/>
      <c r="E65" s="208"/>
      <c r="F65" s="208"/>
      <c r="G65" s="207"/>
      <c r="H65" s="207"/>
      <c r="I65" s="207"/>
      <c r="J65" s="207"/>
      <c r="K65" s="209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89"/>
      <c r="AK65" s="181"/>
      <c r="AL65" s="182"/>
    </row>
    <row r="66" ht="15.75" customHeight="1">
      <c r="A66" s="207"/>
      <c r="B66" s="207"/>
      <c r="C66" s="207"/>
      <c r="D66" s="207"/>
      <c r="E66" s="208"/>
      <c r="F66" s="208"/>
      <c r="G66" s="207"/>
      <c r="H66" s="207"/>
      <c r="I66" s="207"/>
      <c r="J66" s="207"/>
      <c r="K66" s="209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89"/>
      <c r="AK66" s="181"/>
      <c r="AL66" s="182"/>
    </row>
    <row r="67" ht="15.75" customHeight="1">
      <c r="A67" s="207"/>
      <c r="B67" s="207"/>
      <c r="C67" s="207"/>
      <c r="D67" s="207"/>
      <c r="E67" s="208"/>
      <c r="F67" s="208"/>
      <c r="G67" s="207"/>
      <c r="H67" s="207"/>
      <c r="I67" s="207"/>
      <c r="J67" s="207"/>
      <c r="K67" s="209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89"/>
      <c r="AK67" s="181"/>
      <c r="AL67" s="182"/>
    </row>
    <row r="68" ht="15.75" customHeight="1">
      <c r="A68" s="207"/>
      <c r="B68" s="207"/>
      <c r="C68" s="207"/>
      <c r="D68" s="207"/>
      <c r="E68" s="208"/>
      <c r="F68" s="208"/>
      <c r="G68" s="207"/>
      <c r="H68" s="207"/>
      <c r="I68" s="207"/>
      <c r="J68" s="207"/>
      <c r="K68" s="209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89"/>
      <c r="AK68" s="181"/>
      <c r="AL68" s="182"/>
    </row>
    <row r="69" ht="15.75" customHeight="1">
      <c r="A69" s="207"/>
      <c r="B69" s="207"/>
      <c r="C69" s="207"/>
      <c r="D69" s="207"/>
      <c r="E69" s="208"/>
      <c r="F69" s="208"/>
      <c r="G69" s="207"/>
      <c r="H69" s="207"/>
      <c r="I69" s="207"/>
      <c r="J69" s="207"/>
      <c r="K69" s="209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89"/>
      <c r="AK69" s="181"/>
      <c r="AL69" s="182"/>
    </row>
    <row r="70" ht="15.75" customHeight="1">
      <c r="A70" s="207"/>
      <c r="B70" s="207"/>
      <c r="C70" s="207"/>
      <c r="D70" s="207"/>
      <c r="E70" s="208"/>
      <c r="F70" s="208"/>
      <c r="G70" s="207"/>
      <c r="H70" s="207"/>
      <c r="I70" s="207"/>
      <c r="J70" s="207"/>
      <c r="K70" s="209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89"/>
      <c r="AK70" s="181"/>
      <c r="AL70" s="182"/>
    </row>
    <row r="71" ht="15.75" customHeight="1">
      <c r="A71" s="207"/>
      <c r="B71" s="207"/>
      <c r="C71" s="207"/>
      <c r="D71" s="207"/>
      <c r="E71" s="208"/>
      <c r="F71" s="208"/>
      <c r="G71" s="207"/>
      <c r="H71" s="207"/>
      <c r="I71" s="207"/>
      <c r="J71" s="207"/>
      <c r="K71" s="209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89"/>
      <c r="AK71" s="181"/>
      <c r="AL71" s="182"/>
    </row>
    <row r="72" ht="15.75" customHeight="1">
      <c r="A72" s="207"/>
      <c r="B72" s="207"/>
      <c r="C72" s="207"/>
      <c r="D72" s="207"/>
      <c r="E72" s="208"/>
      <c r="F72" s="208"/>
      <c r="G72" s="207"/>
      <c r="H72" s="207"/>
      <c r="I72" s="207"/>
      <c r="J72" s="207"/>
      <c r="K72" s="209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89"/>
      <c r="AK72" s="181"/>
      <c r="AL72" s="182"/>
    </row>
    <row r="73" ht="15.75" customHeight="1">
      <c r="A73" s="207"/>
      <c r="B73" s="207"/>
      <c r="C73" s="207"/>
      <c r="D73" s="207"/>
      <c r="E73" s="208"/>
      <c r="F73" s="208"/>
      <c r="G73" s="207"/>
      <c r="H73" s="207"/>
      <c r="I73" s="207"/>
      <c r="J73" s="207"/>
      <c r="K73" s="209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89"/>
      <c r="AK73" s="181"/>
      <c r="AL73" s="182"/>
    </row>
    <row r="74" ht="15.75" customHeight="1">
      <c r="A74" s="207"/>
      <c r="B74" s="207"/>
      <c r="C74" s="207"/>
      <c r="D74" s="207"/>
      <c r="E74" s="208"/>
      <c r="F74" s="208"/>
      <c r="G74" s="207"/>
      <c r="H74" s="207"/>
      <c r="I74" s="207"/>
      <c r="J74" s="207"/>
      <c r="K74" s="209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83"/>
      <c r="AK74" s="284"/>
      <c r="AL74" s="182"/>
    </row>
    <row r="75" ht="15.75" customHeight="1">
      <c r="A75" s="207"/>
      <c r="B75" s="207"/>
      <c r="C75" s="207"/>
      <c r="D75" s="207"/>
      <c r="E75" s="208"/>
      <c r="F75" s="210"/>
      <c r="G75" s="207"/>
      <c r="H75" s="207"/>
      <c r="I75" s="207"/>
      <c r="J75" s="207"/>
      <c r="K75" s="209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3"/>
      <c r="AK75" s="203"/>
      <c r="AL75" s="203"/>
    </row>
    <row r="76" ht="15.75" customHeight="1">
      <c r="A76" s="207"/>
      <c r="B76" s="207"/>
      <c r="C76" s="207"/>
      <c r="D76" s="285"/>
      <c r="E76" s="285"/>
      <c r="F76" s="285"/>
      <c r="G76" s="207"/>
      <c r="H76" s="207"/>
      <c r="I76" s="207"/>
      <c r="J76" s="207"/>
      <c r="K76" s="209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3"/>
      <c r="AK76" s="203"/>
      <c r="AL76" s="203"/>
    </row>
    <row r="77" ht="15.75" customHeight="1">
      <c r="A77" s="207"/>
      <c r="B77" s="207"/>
      <c r="C77" s="207"/>
      <c r="D77" s="207"/>
      <c r="E77" s="208"/>
      <c r="F77" s="210"/>
      <c r="G77" s="207"/>
      <c r="H77" s="207"/>
      <c r="I77" s="207"/>
      <c r="J77" s="207"/>
      <c r="K77" s="277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3"/>
      <c r="AK77" s="203"/>
      <c r="AL77" s="203"/>
    </row>
    <row r="78" ht="15.75" customHeight="1">
      <c r="A78" s="207"/>
      <c r="B78" s="207"/>
      <c r="C78" s="207"/>
      <c r="D78" s="207"/>
      <c r="E78" s="208"/>
      <c r="F78" s="210"/>
      <c r="G78" s="207"/>
      <c r="H78" s="207"/>
      <c r="I78" s="207"/>
      <c r="J78" s="207"/>
      <c r="K78" s="209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3"/>
      <c r="AK78" s="203"/>
      <c r="AL78" s="203"/>
    </row>
    <row r="79" ht="15.75" customHeight="1">
      <c r="A79" s="207"/>
      <c r="B79" s="207"/>
      <c r="C79" s="207"/>
      <c r="D79" s="286">
        <v>500000.0</v>
      </c>
      <c r="E79" s="203"/>
      <c r="F79" s="210"/>
      <c r="G79" s="207"/>
      <c r="H79" s="207"/>
      <c r="I79" s="207"/>
      <c r="J79" s="207"/>
      <c r="K79" s="209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3"/>
      <c r="AK79" s="203"/>
      <c r="AL79" s="203"/>
    </row>
    <row r="80" ht="15.75" customHeight="1">
      <c r="A80" s="207"/>
      <c r="B80" s="207"/>
      <c r="C80" s="207"/>
      <c r="D80" s="208">
        <v>250000.0</v>
      </c>
      <c r="E80" s="208">
        <v>90000.0</v>
      </c>
      <c r="F80" s="208">
        <v>90000.0</v>
      </c>
      <c r="G80" s="210" t="s">
        <v>144</v>
      </c>
      <c r="H80" s="207"/>
      <c r="I80" s="207"/>
      <c r="J80" s="207"/>
      <c r="K80" s="209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3"/>
      <c r="AK80" s="203"/>
      <c r="AL80" s="203"/>
    </row>
    <row r="81" ht="15.75" customHeight="1">
      <c r="A81" s="207"/>
      <c r="B81" s="207"/>
      <c r="C81" s="207"/>
      <c r="D81" s="208">
        <v>90000.0</v>
      </c>
      <c r="E81" s="208">
        <v>17500.0</v>
      </c>
      <c r="F81" s="208">
        <v>17500.0</v>
      </c>
      <c r="G81" s="210" t="s">
        <v>145</v>
      </c>
      <c r="H81" s="207"/>
      <c r="I81" s="207"/>
      <c r="J81" s="207"/>
      <c r="K81" s="209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3"/>
      <c r="AK81" s="203"/>
      <c r="AL81" s="203"/>
    </row>
    <row r="82" ht="15.75" customHeight="1">
      <c r="A82" s="207"/>
      <c r="B82" s="207"/>
      <c r="C82" s="207"/>
      <c r="D82" s="208">
        <v>15000.0</v>
      </c>
      <c r="E82" s="208">
        <v>15000.0</v>
      </c>
      <c r="F82" s="208">
        <v>15000.0</v>
      </c>
      <c r="G82" s="210" t="s">
        <v>146</v>
      </c>
      <c r="H82" s="207"/>
      <c r="I82" s="207"/>
      <c r="J82" s="207"/>
      <c r="K82" s="209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03"/>
      <c r="AK82" s="203"/>
      <c r="AL82" s="203"/>
    </row>
    <row r="83" ht="15.75" customHeight="1">
      <c r="A83" s="207"/>
      <c r="B83" s="207"/>
      <c r="C83" s="207"/>
      <c r="D83" s="208">
        <v>20000.0</v>
      </c>
      <c r="E83" s="208">
        <v>20000.0</v>
      </c>
      <c r="F83" s="208">
        <v>20000.0</v>
      </c>
      <c r="G83" s="210" t="s">
        <v>147</v>
      </c>
      <c r="H83" s="207"/>
      <c r="I83" s="207"/>
      <c r="J83" s="207"/>
      <c r="K83" s="209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03"/>
      <c r="AK83" s="203"/>
      <c r="AL83" s="203"/>
    </row>
    <row r="84" ht="15.0" customHeight="1">
      <c r="A84" s="207"/>
      <c r="B84" s="207"/>
      <c r="C84" s="207"/>
      <c r="D84" s="208">
        <v>17500.0</v>
      </c>
      <c r="E84" s="208">
        <v>50000.0</v>
      </c>
      <c r="F84" s="208">
        <v>250000.0</v>
      </c>
      <c r="G84" s="210" t="s">
        <v>148</v>
      </c>
      <c r="H84" s="207"/>
      <c r="I84" s="207"/>
      <c r="J84" s="207"/>
      <c r="K84" s="209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3"/>
      <c r="AK84" s="203"/>
      <c r="AL84" s="203"/>
    </row>
    <row r="85" ht="15.75" customHeight="1">
      <c r="A85" s="207"/>
      <c r="B85" s="207"/>
      <c r="C85" s="207"/>
      <c r="D85" s="208"/>
      <c r="E85" s="208">
        <v>160000.0</v>
      </c>
      <c r="F85" s="208">
        <v>107500.0</v>
      </c>
      <c r="G85" s="210" t="s">
        <v>149</v>
      </c>
      <c r="H85" s="207"/>
      <c r="I85" s="207"/>
      <c r="J85" s="207"/>
      <c r="K85" s="209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3"/>
      <c r="AK85" s="203"/>
      <c r="AL85" s="203"/>
    </row>
    <row r="86" ht="15.75" customHeight="1">
      <c r="A86" s="207"/>
      <c r="B86" s="207"/>
      <c r="C86" s="207"/>
      <c r="D86" s="208"/>
      <c r="E86" s="208">
        <v>35000.0</v>
      </c>
      <c r="F86" s="208"/>
      <c r="G86" s="210"/>
      <c r="H86" s="207"/>
      <c r="I86" s="207"/>
      <c r="J86" s="207"/>
      <c r="K86" s="209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03"/>
      <c r="AK86" s="203"/>
      <c r="AL86" s="203"/>
    </row>
    <row r="87" ht="15.75" customHeight="1">
      <c r="A87" s="207"/>
      <c r="B87" s="207"/>
      <c r="C87" s="207"/>
      <c r="D87" s="208"/>
      <c r="E87" s="208">
        <v>30000.0</v>
      </c>
      <c r="F87" s="208"/>
      <c r="G87" s="207"/>
      <c r="H87" s="207"/>
      <c r="I87" s="207"/>
      <c r="J87" s="207"/>
      <c r="K87" s="209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3"/>
      <c r="AK87" s="203"/>
      <c r="AL87" s="203"/>
    </row>
    <row r="88" ht="15.75" customHeight="1">
      <c r="A88" s="207"/>
      <c r="B88" s="207"/>
      <c r="C88" s="207"/>
      <c r="D88" s="286">
        <f>SUM(D80:D87)</f>
        <v>392500</v>
      </c>
      <c r="E88" s="287">
        <f>SUM(E79:E87)</f>
        <v>417500</v>
      </c>
      <c r="F88" s="287">
        <f>SUM(F80:F87)</f>
        <v>500000</v>
      </c>
      <c r="G88" s="207"/>
      <c r="H88" s="207"/>
      <c r="I88" s="207"/>
      <c r="J88" s="207"/>
      <c r="K88" s="209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3"/>
      <c r="AK88" s="203"/>
      <c r="AL88" s="203"/>
    </row>
    <row r="89" ht="15.75" customHeight="1">
      <c r="A89" s="207"/>
      <c r="B89" s="207"/>
      <c r="C89" s="207"/>
      <c r="D89" s="208"/>
      <c r="E89" s="203"/>
      <c r="F89" s="210"/>
      <c r="G89" s="207"/>
      <c r="H89" s="207"/>
      <c r="I89" s="207"/>
      <c r="J89" s="207"/>
      <c r="K89" s="209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03"/>
      <c r="AK89" s="203"/>
      <c r="AL89" s="203"/>
    </row>
    <row r="90" ht="15.75" customHeight="1">
      <c r="A90" s="207"/>
      <c r="B90" s="207"/>
      <c r="C90" s="207"/>
      <c r="D90" s="208">
        <f>D79-D88</f>
        <v>107500</v>
      </c>
      <c r="E90" s="203"/>
      <c r="F90" s="210"/>
      <c r="G90" s="207"/>
      <c r="H90" s="207"/>
      <c r="I90" s="207"/>
      <c r="J90" s="207"/>
      <c r="K90" s="209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3"/>
      <c r="AK90" s="203"/>
      <c r="AL90" s="203"/>
    </row>
    <row r="91" ht="15.75" customHeight="1">
      <c r="A91" s="207"/>
      <c r="B91" s="207"/>
      <c r="C91" s="207"/>
      <c r="D91" s="207"/>
      <c r="E91" s="208"/>
      <c r="F91" s="210"/>
      <c r="G91" s="207"/>
      <c r="H91" s="207"/>
      <c r="I91" s="207"/>
      <c r="J91" s="207"/>
      <c r="K91" s="209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03"/>
      <c r="AK91" s="203"/>
      <c r="AL91" s="203"/>
    </row>
    <row r="92" ht="15.75" customHeight="1">
      <c r="A92" s="207"/>
      <c r="B92" s="207"/>
      <c r="C92" s="207"/>
      <c r="D92" s="207"/>
      <c r="E92" s="208"/>
      <c r="F92" s="210"/>
      <c r="G92" s="207"/>
      <c r="H92" s="207"/>
      <c r="I92" s="207"/>
      <c r="J92" s="207"/>
      <c r="K92" s="209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03"/>
      <c r="AK92" s="203"/>
      <c r="AL92" s="203"/>
    </row>
    <row r="93" ht="15.75" customHeight="1">
      <c r="A93" s="207"/>
      <c r="B93" s="207"/>
      <c r="C93" s="207"/>
      <c r="D93" s="207"/>
      <c r="E93" s="208"/>
      <c r="F93" s="210"/>
      <c r="G93" s="207"/>
      <c r="H93" s="207"/>
      <c r="I93" s="207"/>
      <c r="J93" s="207"/>
      <c r="K93" s="209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3"/>
      <c r="AK93" s="203"/>
      <c r="AL93" s="203"/>
    </row>
    <row r="94" ht="15.75" customHeight="1">
      <c r="A94" s="207"/>
      <c r="B94" s="207"/>
      <c r="C94" s="207"/>
      <c r="D94" s="207"/>
      <c r="E94" s="208"/>
      <c r="F94" s="210"/>
      <c r="G94" s="207"/>
      <c r="H94" s="207"/>
      <c r="I94" s="207"/>
      <c r="J94" s="207"/>
      <c r="K94" s="209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3"/>
      <c r="AK94" s="203"/>
      <c r="AL94" s="203"/>
    </row>
    <row r="95" ht="15.75" customHeight="1">
      <c r="A95" s="207"/>
      <c r="B95" s="207"/>
      <c r="C95" s="207"/>
      <c r="D95" s="207"/>
      <c r="E95" s="208"/>
      <c r="F95" s="210"/>
      <c r="G95" s="207"/>
      <c r="H95" s="207"/>
      <c r="I95" s="207"/>
      <c r="J95" s="207"/>
      <c r="K95" s="209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3"/>
      <c r="AK95" s="203"/>
      <c r="AL95" s="203"/>
    </row>
    <row r="96" ht="15.75" customHeight="1">
      <c r="A96" s="207"/>
      <c r="B96" s="207"/>
      <c r="C96" s="207"/>
      <c r="D96" s="207"/>
      <c r="E96" s="208"/>
      <c r="F96" s="207"/>
      <c r="G96" s="207"/>
      <c r="H96" s="207"/>
      <c r="I96" s="207"/>
      <c r="J96" s="207"/>
      <c r="K96" s="209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3"/>
      <c r="AK96" s="203"/>
      <c r="AL96" s="203"/>
    </row>
    <row r="97" ht="15.75" customHeight="1">
      <c r="A97" s="207"/>
      <c r="B97" s="207"/>
      <c r="C97" s="207"/>
      <c r="D97" s="207"/>
      <c r="E97" s="208"/>
      <c r="F97" s="207"/>
      <c r="G97" s="207"/>
      <c r="H97" s="207"/>
      <c r="I97" s="207"/>
      <c r="J97" s="207"/>
      <c r="K97" s="209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3"/>
      <c r="AK97" s="203"/>
      <c r="AL97" s="203"/>
    </row>
    <row r="98" ht="15.75" customHeight="1">
      <c r="A98" s="207"/>
      <c r="B98" s="207"/>
      <c r="C98" s="207"/>
      <c r="D98" s="207"/>
      <c r="E98" s="208"/>
      <c r="F98" s="207"/>
      <c r="G98" s="207"/>
      <c r="H98" s="207"/>
      <c r="I98" s="207"/>
      <c r="J98" s="207"/>
      <c r="K98" s="209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3"/>
      <c r="AK98" s="203"/>
      <c r="AL98" s="203"/>
    </row>
    <row r="99" ht="15.75" customHeight="1">
      <c r="A99" s="207"/>
      <c r="B99" s="207"/>
      <c r="C99" s="207"/>
      <c r="D99" s="207"/>
      <c r="E99" s="208"/>
      <c r="F99" s="207"/>
      <c r="G99" s="207"/>
      <c r="H99" s="207"/>
      <c r="I99" s="207"/>
      <c r="J99" s="207"/>
      <c r="K99" s="209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3"/>
      <c r="AK99" s="203"/>
      <c r="AL99" s="203"/>
    </row>
    <row r="100" ht="15.75" customHeight="1">
      <c r="A100" s="207"/>
      <c r="B100" s="207"/>
      <c r="C100" s="207"/>
      <c r="D100" s="207"/>
      <c r="E100" s="208"/>
      <c r="F100" s="207"/>
      <c r="G100" s="207"/>
      <c r="H100" s="207"/>
      <c r="I100" s="207"/>
      <c r="J100" s="207"/>
      <c r="K100" s="209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3"/>
      <c r="AK100" s="203"/>
      <c r="AL100" s="203"/>
    </row>
    <row r="101" ht="15.75" customHeight="1">
      <c r="A101" s="207"/>
      <c r="B101" s="207"/>
      <c r="C101" s="207"/>
      <c r="D101" s="207"/>
      <c r="E101" s="208"/>
      <c r="F101" s="207"/>
      <c r="G101" s="207"/>
      <c r="H101" s="207"/>
      <c r="I101" s="207"/>
      <c r="J101" s="207"/>
      <c r="K101" s="209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3"/>
      <c r="AK101" s="203"/>
      <c r="AL101" s="203"/>
    </row>
    <row r="102" ht="15.75" customHeight="1">
      <c r="A102" s="207"/>
      <c r="B102" s="207"/>
      <c r="C102" s="207"/>
      <c r="D102" s="207"/>
      <c r="E102" s="208"/>
      <c r="F102" s="207"/>
      <c r="G102" s="207"/>
      <c r="H102" s="207"/>
      <c r="I102" s="207"/>
      <c r="J102" s="207"/>
      <c r="K102" s="209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3"/>
      <c r="AK102" s="203"/>
      <c r="AL102" s="203"/>
    </row>
    <row r="103" ht="15.75" customHeight="1">
      <c r="A103" s="207"/>
      <c r="B103" s="207"/>
      <c r="C103" s="207"/>
      <c r="D103" s="207"/>
      <c r="E103" s="208"/>
      <c r="F103" s="207"/>
      <c r="G103" s="207"/>
      <c r="H103" s="207"/>
      <c r="I103" s="207"/>
      <c r="J103" s="207"/>
      <c r="K103" s="209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3"/>
      <c r="AK103" s="203"/>
      <c r="AL103" s="203"/>
    </row>
    <row r="104" ht="15.75" customHeight="1">
      <c r="A104" s="207"/>
      <c r="B104" s="207"/>
      <c r="C104" s="207"/>
      <c r="D104" s="207"/>
      <c r="E104" s="208"/>
      <c r="F104" s="207"/>
      <c r="G104" s="207"/>
      <c r="H104" s="207"/>
      <c r="I104" s="207"/>
      <c r="J104" s="207"/>
      <c r="K104" s="209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3"/>
      <c r="AK104" s="203"/>
      <c r="AL104" s="203"/>
    </row>
    <row r="105" ht="15.75" customHeight="1">
      <c r="A105" s="207"/>
      <c r="B105" s="207"/>
      <c r="C105" s="207"/>
      <c r="D105" s="207"/>
      <c r="E105" s="208"/>
      <c r="F105" s="207"/>
      <c r="G105" s="207"/>
      <c r="H105" s="207"/>
      <c r="I105" s="207"/>
      <c r="J105" s="207"/>
      <c r="K105" s="209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3"/>
      <c r="AK105" s="203"/>
      <c r="AL105" s="203"/>
    </row>
    <row r="106" ht="15.75" customHeight="1">
      <c r="A106" s="207"/>
      <c r="B106" s="207"/>
      <c r="C106" s="207"/>
      <c r="D106" s="207"/>
      <c r="E106" s="208"/>
      <c r="F106" s="207"/>
      <c r="G106" s="207"/>
      <c r="H106" s="207"/>
      <c r="I106" s="207"/>
      <c r="J106" s="207"/>
      <c r="K106" s="209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3"/>
      <c r="AK106" s="203"/>
      <c r="AL106" s="203"/>
    </row>
    <row r="107" ht="15.75" customHeight="1">
      <c r="A107" s="207"/>
      <c r="B107" s="207"/>
      <c r="C107" s="207"/>
      <c r="D107" s="207"/>
      <c r="E107" s="208"/>
      <c r="F107" s="207"/>
      <c r="G107" s="207"/>
      <c r="H107" s="207"/>
      <c r="I107" s="207"/>
      <c r="J107" s="207"/>
      <c r="K107" s="209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3"/>
      <c r="AK107" s="203"/>
      <c r="AL107" s="203"/>
    </row>
    <row r="108" ht="15.75" customHeight="1">
      <c r="A108" s="207"/>
      <c r="B108" s="207"/>
      <c r="C108" s="207"/>
      <c r="D108" s="207"/>
      <c r="E108" s="208"/>
      <c r="F108" s="207"/>
      <c r="G108" s="207"/>
      <c r="H108" s="207"/>
      <c r="I108" s="207"/>
      <c r="J108" s="207"/>
      <c r="K108" s="209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3"/>
      <c r="AK108" s="203"/>
      <c r="AL108" s="203"/>
    </row>
    <row r="109" ht="15.75" customHeight="1">
      <c r="A109" s="207"/>
      <c r="B109" s="207"/>
      <c r="C109" s="207"/>
      <c r="D109" s="207"/>
      <c r="E109" s="208"/>
      <c r="F109" s="207"/>
      <c r="G109" s="207"/>
      <c r="H109" s="207"/>
      <c r="I109" s="207"/>
      <c r="J109" s="207"/>
      <c r="K109" s="209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3"/>
      <c r="AK109" s="203"/>
      <c r="AL109" s="203"/>
    </row>
    <row r="110" ht="15.75" customHeight="1">
      <c r="A110" s="207"/>
      <c r="B110" s="207"/>
      <c r="C110" s="207"/>
      <c r="D110" s="207"/>
      <c r="E110" s="208"/>
      <c r="F110" s="207"/>
      <c r="G110" s="207"/>
      <c r="H110" s="207"/>
      <c r="I110" s="207"/>
      <c r="J110" s="207"/>
      <c r="K110" s="209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3"/>
      <c r="AK110" s="203"/>
      <c r="AL110" s="203"/>
    </row>
    <row r="111" ht="15.75" customHeight="1">
      <c r="A111" s="207"/>
      <c r="B111" s="207"/>
      <c r="C111" s="207"/>
      <c r="D111" s="207"/>
      <c r="E111" s="208"/>
      <c r="F111" s="207"/>
      <c r="G111" s="207"/>
      <c r="H111" s="207"/>
      <c r="I111" s="207"/>
      <c r="J111" s="207"/>
      <c r="K111" s="209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3"/>
      <c r="AK111" s="203"/>
      <c r="AL111" s="203"/>
    </row>
    <row r="112" ht="15.75" customHeight="1">
      <c r="A112" s="207"/>
      <c r="B112" s="207"/>
      <c r="C112" s="207"/>
      <c r="D112" s="207"/>
      <c r="E112" s="208"/>
      <c r="F112" s="207"/>
      <c r="G112" s="207"/>
      <c r="H112" s="207"/>
      <c r="I112" s="207"/>
      <c r="J112" s="207"/>
      <c r="K112" s="209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3"/>
      <c r="AK112" s="203"/>
      <c r="AL112" s="203"/>
    </row>
    <row r="113" ht="15.75" customHeight="1">
      <c r="A113" s="207"/>
      <c r="B113" s="207"/>
      <c r="C113" s="207"/>
      <c r="D113" s="207"/>
      <c r="E113" s="208"/>
      <c r="F113" s="207"/>
      <c r="G113" s="207"/>
      <c r="H113" s="207"/>
      <c r="I113" s="207"/>
      <c r="J113" s="207"/>
      <c r="K113" s="209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3"/>
      <c r="AK113" s="203"/>
      <c r="AL113" s="203"/>
    </row>
    <row r="114" ht="15.75" customHeight="1">
      <c r="A114" s="207"/>
      <c r="B114" s="207"/>
      <c r="C114" s="207"/>
      <c r="D114" s="207"/>
      <c r="E114" s="208"/>
      <c r="F114" s="207"/>
      <c r="G114" s="207"/>
      <c r="H114" s="207"/>
      <c r="I114" s="207"/>
      <c r="J114" s="207"/>
      <c r="K114" s="209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3"/>
      <c r="AK114" s="203"/>
      <c r="AL114" s="203"/>
    </row>
    <row r="115" ht="15.75" customHeight="1">
      <c r="A115" s="207"/>
      <c r="B115" s="207"/>
      <c r="C115" s="207"/>
      <c r="D115" s="207"/>
      <c r="E115" s="208"/>
      <c r="F115" s="207"/>
      <c r="G115" s="207"/>
      <c r="H115" s="207"/>
      <c r="I115" s="207"/>
      <c r="J115" s="207"/>
      <c r="K115" s="209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3"/>
      <c r="AK115" s="203"/>
      <c r="AL115" s="203"/>
    </row>
    <row r="116" ht="15.75" customHeight="1">
      <c r="A116" s="207"/>
      <c r="B116" s="207"/>
      <c r="C116" s="207"/>
      <c r="D116" s="207"/>
      <c r="E116" s="208"/>
      <c r="F116" s="207"/>
      <c r="G116" s="207"/>
      <c r="H116" s="207"/>
      <c r="I116" s="207"/>
      <c r="J116" s="207"/>
      <c r="K116" s="209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3"/>
      <c r="AK116" s="203"/>
      <c r="AL116" s="203"/>
    </row>
    <row r="117" ht="15.75" customHeight="1">
      <c r="A117" s="207"/>
      <c r="B117" s="207"/>
      <c r="C117" s="207"/>
      <c r="D117" s="207"/>
      <c r="E117" s="208"/>
      <c r="F117" s="207"/>
      <c r="G117" s="207"/>
      <c r="H117" s="207"/>
      <c r="I117" s="207"/>
      <c r="J117" s="207"/>
      <c r="K117" s="209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3"/>
      <c r="AK117" s="203"/>
      <c r="AL117" s="203"/>
    </row>
    <row r="118" ht="15.75" customHeight="1">
      <c r="A118" s="207"/>
      <c r="B118" s="207"/>
      <c r="C118" s="207"/>
      <c r="D118" s="207"/>
      <c r="E118" s="208"/>
      <c r="F118" s="207"/>
      <c r="G118" s="207"/>
      <c r="H118" s="207"/>
      <c r="I118" s="207"/>
      <c r="J118" s="207"/>
      <c r="K118" s="209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3"/>
      <c r="AK118" s="203"/>
      <c r="AL118" s="203"/>
    </row>
    <row r="119" ht="15.75" customHeight="1">
      <c r="A119" s="207"/>
      <c r="B119" s="207"/>
      <c r="C119" s="207"/>
      <c r="D119" s="207"/>
      <c r="E119" s="208"/>
      <c r="F119" s="207"/>
      <c r="G119" s="207"/>
      <c r="H119" s="207"/>
      <c r="I119" s="207"/>
      <c r="J119" s="207"/>
      <c r="K119" s="209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3"/>
      <c r="AK119" s="203"/>
      <c r="AL119" s="203"/>
    </row>
    <row r="120" ht="15.75" customHeight="1">
      <c r="A120" s="207"/>
      <c r="B120" s="207"/>
      <c r="C120" s="207"/>
      <c r="D120" s="207"/>
      <c r="E120" s="208"/>
      <c r="F120" s="207"/>
      <c r="G120" s="207"/>
      <c r="H120" s="207"/>
      <c r="I120" s="207"/>
      <c r="J120" s="207"/>
      <c r="K120" s="209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03"/>
      <c r="AK120" s="203"/>
      <c r="AL120" s="203"/>
    </row>
    <row r="121" ht="15.75" customHeight="1">
      <c r="A121" s="207"/>
      <c r="B121" s="207"/>
      <c r="C121" s="207"/>
      <c r="D121" s="207"/>
      <c r="E121" s="208"/>
      <c r="F121" s="207"/>
      <c r="G121" s="207"/>
      <c r="H121" s="207"/>
      <c r="I121" s="207"/>
      <c r="J121" s="207"/>
      <c r="K121" s="209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03"/>
      <c r="AK121" s="203"/>
      <c r="AL121" s="203"/>
    </row>
    <row r="122" ht="15.75" customHeight="1">
      <c r="A122" s="207"/>
      <c r="B122" s="207"/>
      <c r="C122" s="207"/>
      <c r="D122" s="207"/>
      <c r="E122" s="208"/>
      <c r="F122" s="207"/>
      <c r="G122" s="207"/>
      <c r="H122" s="207"/>
      <c r="I122" s="207"/>
      <c r="J122" s="207"/>
      <c r="K122" s="209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3"/>
      <c r="AK122" s="203"/>
      <c r="AL122" s="203"/>
    </row>
    <row r="123" ht="15.75" customHeight="1">
      <c r="A123" s="207"/>
      <c r="B123" s="207"/>
      <c r="C123" s="207"/>
      <c r="D123" s="207"/>
      <c r="E123" s="208"/>
      <c r="F123" s="207"/>
      <c r="G123" s="207"/>
      <c r="H123" s="207"/>
      <c r="I123" s="207"/>
      <c r="J123" s="207"/>
      <c r="K123" s="209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3"/>
      <c r="AK123" s="203"/>
      <c r="AL123" s="203"/>
    </row>
    <row r="124" ht="15.75" customHeight="1">
      <c r="A124" s="207"/>
      <c r="B124" s="207"/>
      <c r="C124" s="207"/>
      <c r="D124" s="207"/>
      <c r="E124" s="208"/>
      <c r="F124" s="207"/>
      <c r="G124" s="207"/>
      <c r="H124" s="207"/>
      <c r="I124" s="207"/>
      <c r="J124" s="207"/>
      <c r="K124" s="209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3"/>
      <c r="AK124" s="203"/>
      <c r="AL124" s="203"/>
    </row>
    <row r="125" ht="15.75" customHeight="1">
      <c r="A125" s="207"/>
      <c r="B125" s="207"/>
      <c r="C125" s="207"/>
      <c r="D125" s="207"/>
      <c r="E125" s="208"/>
      <c r="F125" s="207"/>
      <c r="G125" s="207"/>
      <c r="H125" s="207"/>
      <c r="I125" s="207"/>
      <c r="J125" s="207"/>
      <c r="K125" s="209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3"/>
      <c r="AK125" s="203"/>
      <c r="AL125" s="203"/>
    </row>
    <row r="126" ht="15.75" customHeight="1">
      <c r="A126" s="207"/>
      <c r="B126" s="207"/>
      <c r="C126" s="207"/>
      <c r="D126" s="207"/>
      <c r="E126" s="208"/>
      <c r="F126" s="207"/>
      <c r="G126" s="207"/>
      <c r="H126" s="207"/>
      <c r="I126" s="207"/>
      <c r="J126" s="207"/>
      <c r="K126" s="209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3"/>
      <c r="AK126" s="203"/>
      <c r="AL126" s="203"/>
    </row>
    <row r="127" ht="15.75" customHeight="1">
      <c r="A127" s="207"/>
      <c r="B127" s="207"/>
      <c r="C127" s="207"/>
      <c r="D127" s="207"/>
      <c r="E127" s="208"/>
      <c r="F127" s="207"/>
      <c r="G127" s="207"/>
      <c r="H127" s="207"/>
      <c r="I127" s="207"/>
      <c r="J127" s="207"/>
      <c r="K127" s="209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03"/>
      <c r="AK127" s="203"/>
      <c r="AL127" s="203"/>
    </row>
    <row r="128" ht="15.75" customHeight="1">
      <c r="A128" s="207"/>
      <c r="B128" s="207"/>
      <c r="C128" s="207"/>
      <c r="D128" s="207"/>
      <c r="E128" s="208"/>
      <c r="F128" s="207"/>
      <c r="G128" s="207"/>
      <c r="H128" s="207"/>
      <c r="I128" s="207"/>
      <c r="J128" s="207"/>
      <c r="K128" s="209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03"/>
      <c r="AK128" s="203"/>
      <c r="AL128" s="203"/>
    </row>
    <row r="129" ht="15.75" customHeight="1">
      <c r="A129" s="207"/>
      <c r="B129" s="207"/>
      <c r="C129" s="207"/>
      <c r="D129" s="207"/>
      <c r="E129" s="208"/>
      <c r="F129" s="207"/>
      <c r="G129" s="207"/>
      <c r="H129" s="207"/>
      <c r="I129" s="207"/>
      <c r="J129" s="207"/>
      <c r="K129" s="209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3"/>
      <c r="AK129" s="203"/>
      <c r="AL129" s="203"/>
    </row>
    <row r="130" ht="15.75" customHeight="1">
      <c r="A130" s="207"/>
      <c r="B130" s="207"/>
      <c r="C130" s="207"/>
      <c r="D130" s="207"/>
      <c r="E130" s="208"/>
      <c r="F130" s="207"/>
      <c r="G130" s="207"/>
      <c r="H130" s="207"/>
      <c r="I130" s="207"/>
      <c r="J130" s="207"/>
      <c r="K130" s="209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03"/>
      <c r="AK130" s="203"/>
      <c r="AL130" s="203"/>
    </row>
    <row r="131" ht="15.75" customHeight="1">
      <c r="A131" s="207"/>
      <c r="B131" s="207"/>
      <c r="C131" s="207"/>
      <c r="D131" s="207"/>
      <c r="E131" s="208"/>
      <c r="F131" s="207"/>
      <c r="G131" s="207"/>
      <c r="H131" s="207"/>
      <c r="I131" s="207"/>
      <c r="J131" s="207"/>
      <c r="K131" s="209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03"/>
      <c r="AK131" s="203"/>
      <c r="AL131" s="203"/>
    </row>
    <row r="132" ht="15.75" customHeight="1">
      <c r="A132" s="207"/>
      <c r="B132" s="207"/>
      <c r="C132" s="207"/>
      <c r="D132" s="207"/>
      <c r="E132" s="208"/>
      <c r="F132" s="207"/>
      <c r="G132" s="207"/>
      <c r="H132" s="207"/>
      <c r="I132" s="207"/>
      <c r="J132" s="207"/>
      <c r="K132" s="209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3"/>
      <c r="AK132" s="203"/>
      <c r="AL132" s="203"/>
    </row>
    <row r="133" ht="15.75" customHeight="1">
      <c r="A133" s="207"/>
      <c r="B133" s="207"/>
      <c r="C133" s="207"/>
      <c r="D133" s="207"/>
      <c r="E133" s="208"/>
      <c r="F133" s="207"/>
      <c r="G133" s="207"/>
      <c r="H133" s="207"/>
      <c r="I133" s="207"/>
      <c r="J133" s="207"/>
      <c r="K133" s="209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03"/>
      <c r="AK133" s="203"/>
      <c r="AL133" s="203"/>
    </row>
    <row r="134" ht="15.75" customHeight="1">
      <c r="A134" s="207"/>
      <c r="B134" s="207"/>
      <c r="C134" s="207"/>
      <c r="D134" s="207"/>
      <c r="E134" s="208"/>
      <c r="F134" s="207"/>
      <c r="G134" s="207"/>
      <c r="H134" s="207"/>
      <c r="I134" s="207"/>
      <c r="J134" s="207"/>
      <c r="K134" s="209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03"/>
      <c r="AK134" s="203"/>
      <c r="AL134" s="203"/>
    </row>
    <row r="135" ht="15.75" customHeight="1">
      <c r="A135" s="207"/>
      <c r="B135" s="207"/>
      <c r="C135" s="207"/>
      <c r="D135" s="207"/>
      <c r="E135" s="208"/>
      <c r="F135" s="207"/>
      <c r="G135" s="207"/>
      <c r="H135" s="207"/>
      <c r="I135" s="207"/>
      <c r="J135" s="207"/>
      <c r="K135" s="209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3"/>
      <c r="AK135" s="203"/>
      <c r="AL135" s="203"/>
    </row>
    <row r="136" ht="15.75" customHeight="1">
      <c r="A136" s="207"/>
      <c r="B136" s="207"/>
      <c r="C136" s="207"/>
      <c r="D136" s="207"/>
      <c r="E136" s="208"/>
      <c r="F136" s="207"/>
      <c r="G136" s="207"/>
      <c r="H136" s="207"/>
      <c r="I136" s="207"/>
      <c r="J136" s="207"/>
      <c r="K136" s="209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03"/>
      <c r="AK136" s="203"/>
      <c r="AL136" s="203"/>
    </row>
    <row r="137" ht="15.75" customHeight="1">
      <c r="A137" s="207"/>
      <c r="B137" s="207"/>
      <c r="C137" s="207"/>
      <c r="D137" s="207"/>
      <c r="E137" s="208"/>
      <c r="F137" s="207"/>
      <c r="G137" s="207"/>
      <c r="H137" s="207"/>
      <c r="I137" s="207"/>
      <c r="J137" s="207"/>
      <c r="K137" s="209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3"/>
      <c r="AK137" s="203"/>
      <c r="AL137" s="203"/>
    </row>
    <row r="138" ht="15.75" customHeight="1">
      <c r="A138" s="207"/>
      <c r="B138" s="207"/>
      <c r="C138" s="207"/>
      <c r="D138" s="207"/>
      <c r="E138" s="208"/>
      <c r="F138" s="207"/>
      <c r="G138" s="207"/>
      <c r="H138" s="207"/>
      <c r="I138" s="207"/>
      <c r="J138" s="207"/>
      <c r="K138" s="209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03"/>
      <c r="AK138" s="203"/>
      <c r="AL138" s="203"/>
    </row>
    <row r="139" ht="15.75" customHeight="1">
      <c r="A139" s="207"/>
      <c r="B139" s="207"/>
      <c r="C139" s="207"/>
      <c r="D139" s="207"/>
      <c r="E139" s="208"/>
      <c r="F139" s="207"/>
      <c r="G139" s="207"/>
      <c r="H139" s="207"/>
      <c r="I139" s="207"/>
      <c r="J139" s="207"/>
      <c r="K139" s="209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3"/>
      <c r="AK139" s="203"/>
      <c r="AL139" s="203"/>
    </row>
    <row r="140" ht="15.75" customHeight="1">
      <c r="A140" s="207"/>
      <c r="B140" s="207"/>
      <c r="C140" s="207"/>
      <c r="D140" s="207"/>
      <c r="E140" s="208"/>
      <c r="F140" s="207"/>
      <c r="G140" s="207"/>
      <c r="H140" s="207"/>
      <c r="I140" s="207"/>
      <c r="J140" s="207"/>
      <c r="K140" s="209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03"/>
      <c r="AK140" s="203"/>
      <c r="AL140" s="203"/>
    </row>
    <row r="141" ht="15.75" customHeight="1">
      <c r="A141" s="207"/>
      <c r="B141" s="207"/>
      <c r="C141" s="207"/>
      <c r="D141" s="207"/>
      <c r="E141" s="208"/>
      <c r="F141" s="207"/>
      <c r="G141" s="207"/>
      <c r="H141" s="207"/>
      <c r="I141" s="207"/>
      <c r="J141" s="207"/>
      <c r="K141" s="209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03"/>
      <c r="AK141" s="203"/>
      <c r="AL141" s="203"/>
    </row>
    <row r="142" ht="15.75" customHeight="1">
      <c r="A142" s="207"/>
      <c r="B142" s="207"/>
      <c r="C142" s="207"/>
      <c r="D142" s="207"/>
      <c r="E142" s="208"/>
      <c r="F142" s="207"/>
      <c r="G142" s="207"/>
      <c r="H142" s="207"/>
      <c r="I142" s="207"/>
      <c r="J142" s="207"/>
      <c r="K142" s="209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03"/>
      <c r="AK142" s="203"/>
      <c r="AL142" s="203"/>
    </row>
    <row r="143" ht="15.75" customHeight="1">
      <c r="A143" s="207"/>
      <c r="B143" s="207"/>
      <c r="C143" s="207"/>
      <c r="D143" s="207"/>
      <c r="E143" s="208"/>
      <c r="F143" s="207"/>
      <c r="G143" s="207"/>
      <c r="H143" s="207"/>
      <c r="I143" s="207"/>
      <c r="J143" s="207"/>
      <c r="K143" s="209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03"/>
      <c r="AK143" s="203"/>
      <c r="AL143" s="203"/>
    </row>
    <row r="144" ht="15.75" customHeight="1">
      <c r="A144" s="207"/>
      <c r="B144" s="207"/>
      <c r="C144" s="207"/>
      <c r="D144" s="207"/>
      <c r="E144" s="208"/>
      <c r="F144" s="207"/>
      <c r="G144" s="207"/>
      <c r="H144" s="207"/>
      <c r="I144" s="207"/>
      <c r="J144" s="207"/>
      <c r="K144" s="209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03"/>
      <c r="AK144" s="203"/>
      <c r="AL144" s="203"/>
    </row>
    <row r="145" ht="15.75" customHeight="1">
      <c r="A145" s="207"/>
      <c r="B145" s="207"/>
      <c r="C145" s="207"/>
      <c r="D145" s="207"/>
      <c r="E145" s="208"/>
      <c r="F145" s="207"/>
      <c r="G145" s="207"/>
      <c r="H145" s="207"/>
      <c r="I145" s="207"/>
      <c r="J145" s="207"/>
      <c r="K145" s="209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3"/>
      <c r="AK145" s="203"/>
      <c r="AL145" s="203"/>
    </row>
    <row r="146" ht="15.75" customHeight="1">
      <c r="A146" s="207"/>
      <c r="B146" s="207"/>
      <c r="C146" s="207"/>
      <c r="D146" s="207"/>
      <c r="E146" s="208"/>
      <c r="F146" s="207"/>
      <c r="G146" s="207"/>
      <c r="H146" s="207"/>
      <c r="I146" s="207"/>
      <c r="J146" s="207"/>
      <c r="K146" s="209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3"/>
      <c r="AK146" s="203"/>
      <c r="AL146" s="203"/>
    </row>
    <row r="147" ht="15.75" customHeight="1">
      <c r="A147" s="207"/>
      <c r="B147" s="207"/>
      <c r="C147" s="207"/>
      <c r="D147" s="207"/>
      <c r="E147" s="208"/>
      <c r="F147" s="207"/>
      <c r="G147" s="207"/>
      <c r="H147" s="207"/>
      <c r="I147" s="207"/>
      <c r="J147" s="207"/>
      <c r="K147" s="209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03"/>
      <c r="AK147" s="203"/>
      <c r="AL147" s="203"/>
    </row>
    <row r="148" ht="15.75" customHeight="1">
      <c r="A148" s="207"/>
      <c r="B148" s="207"/>
      <c r="C148" s="207"/>
      <c r="D148" s="207"/>
      <c r="E148" s="208"/>
      <c r="F148" s="207"/>
      <c r="G148" s="207"/>
      <c r="H148" s="207"/>
      <c r="I148" s="207"/>
      <c r="J148" s="207"/>
      <c r="K148" s="209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03"/>
      <c r="AK148" s="203"/>
      <c r="AL148" s="203"/>
    </row>
    <row r="149" ht="15.75" customHeight="1">
      <c r="A149" s="207"/>
      <c r="B149" s="207"/>
      <c r="C149" s="207"/>
      <c r="D149" s="207"/>
      <c r="E149" s="208"/>
      <c r="F149" s="207"/>
      <c r="G149" s="207"/>
      <c r="H149" s="207"/>
      <c r="I149" s="207"/>
      <c r="J149" s="207"/>
      <c r="K149" s="209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03"/>
      <c r="AK149" s="203"/>
      <c r="AL149" s="203"/>
    </row>
    <row r="150" ht="15.75" customHeight="1">
      <c r="A150" s="207"/>
      <c r="B150" s="207"/>
      <c r="C150" s="207"/>
      <c r="D150" s="207"/>
      <c r="E150" s="208"/>
      <c r="F150" s="207"/>
      <c r="G150" s="207"/>
      <c r="H150" s="207"/>
      <c r="I150" s="207"/>
      <c r="J150" s="207"/>
      <c r="K150" s="209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03"/>
      <c r="AK150" s="203"/>
      <c r="AL150" s="203"/>
    </row>
    <row r="151" ht="15.75" customHeight="1">
      <c r="A151" s="207"/>
      <c r="B151" s="207"/>
      <c r="C151" s="207"/>
      <c r="D151" s="207"/>
      <c r="E151" s="208"/>
      <c r="F151" s="207"/>
      <c r="G151" s="207"/>
      <c r="H151" s="207"/>
      <c r="I151" s="207"/>
      <c r="J151" s="207"/>
      <c r="K151" s="209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03"/>
      <c r="AK151" s="203"/>
      <c r="AL151" s="203"/>
    </row>
    <row r="152" ht="15.75" customHeight="1">
      <c r="A152" s="207"/>
      <c r="B152" s="207"/>
      <c r="C152" s="207"/>
      <c r="D152" s="207"/>
      <c r="E152" s="208"/>
      <c r="F152" s="207"/>
      <c r="G152" s="207"/>
      <c r="H152" s="207"/>
      <c r="I152" s="207"/>
      <c r="J152" s="207"/>
      <c r="K152" s="209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03"/>
      <c r="AK152" s="203"/>
      <c r="AL152" s="203"/>
    </row>
    <row r="153" ht="15.75" customHeight="1">
      <c r="A153" s="207"/>
      <c r="B153" s="207"/>
      <c r="C153" s="207"/>
      <c r="D153" s="207"/>
      <c r="E153" s="208"/>
      <c r="F153" s="207"/>
      <c r="G153" s="207"/>
      <c r="H153" s="207"/>
      <c r="I153" s="207"/>
      <c r="J153" s="207"/>
      <c r="K153" s="209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03"/>
      <c r="AK153" s="203"/>
      <c r="AL153" s="203"/>
    </row>
    <row r="154" ht="15.75" customHeight="1">
      <c r="A154" s="207"/>
      <c r="B154" s="207"/>
      <c r="C154" s="207"/>
      <c r="D154" s="207"/>
      <c r="E154" s="208"/>
      <c r="F154" s="207"/>
      <c r="G154" s="207"/>
      <c r="H154" s="207"/>
      <c r="I154" s="207"/>
      <c r="J154" s="207"/>
      <c r="K154" s="209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03"/>
      <c r="AK154" s="203"/>
      <c r="AL154" s="203"/>
    </row>
    <row r="155" ht="15.75" customHeight="1">
      <c r="A155" s="207"/>
      <c r="B155" s="207"/>
      <c r="C155" s="207"/>
      <c r="D155" s="207"/>
      <c r="E155" s="208"/>
      <c r="F155" s="207"/>
      <c r="G155" s="207"/>
      <c r="H155" s="207"/>
      <c r="I155" s="207"/>
      <c r="J155" s="207"/>
      <c r="K155" s="209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03"/>
      <c r="AK155" s="203"/>
      <c r="AL155" s="203"/>
    </row>
    <row r="156" ht="15.75" customHeight="1">
      <c r="A156" s="207"/>
      <c r="B156" s="207"/>
      <c r="C156" s="207"/>
      <c r="D156" s="207"/>
      <c r="E156" s="208"/>
      <c r="F156" s="207"/>
      <c r="G156" s="207"/>
      <c r="H156" s="207"/>
      <c r="I156" s="207"/>
      <c r="J156" s="207"/>
      <c r="K156" s="209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03"/>
      <c r="AK156" s="203"/>
      <c r="AL156" s="203"/>
    </row>
    <row r="157" ht="15.75" customHeight="1">
      <c r="A157" s="207"/>
      <c r="B157" s="207"/>
      <c r="C157" s="207"/>
      <c r="D157" s="207"/>
      <c r="E157" s="208"/>
      <c r="F157" s="207"/>
      <c r="G157" s="207"/>
      <c r="H157" s="207"/>
      <c r="I157" s="207"/>
      <c r="J157" s="207"/>
      <c r="K157" s="209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03"/>
      <c r="AK157" s="203"/>
      <c r="AL157" s="203"/>
    </row>
    <row r="158" ht="15.75" customHeight="1">
      <c r="A158" s="207"/>
      <c r="B158" s="207"/>
      <c r="C158" s="207"/>
      <c r="D158" s="207"/>
      <c r="E158" s="208"/>
      <c r="F158" s="207"/>
      <c r="G158" s="207"/>
      <c r="H158" s="207"/>
      <c r="I158" s="207"/>
      <c r="J158" s="207"/>
      <c r="K158" s="209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03"/>
      <c r="AK158" s="203"/>
      <c r="AL158" s="203"/>
    </row>
    <row r="159" ht="15.75" customHeight="1">
      <c r="A159" s="207"/>
      <c r="B159" s="207"/>
      <c r="C159" s="207"/>
      <c r="D159" s="207"/>
      <c r="E159" s="208"/>
      <c r="F159" s="207"/>
      <c r="G159" s="207"/>
      <c r="H159" s="207"/>
      <c r="I159" s="207"/>
      <c r="J159" s="207"/>
      <c r="K159" s="209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03"/>
      <c r="AK159" s="203"/>
      <c r="AL159" s="203"/>
    </row>
    <row r="160" ht="15.75" customHeight="1">
      <c r="A160" s="207"/>
      <c r="B160" s="207"/>
      <c r="C160" s="207"/>
      <c r="D160" s="207"/>
      <c r="E160" s="208"/>
      <c r="F160" s="207"/>
      <c r="G160" s="207"/>
      <c r="H160" s="207"/>
      <c r="I160" s="207"/>
      <c r="J160" s="207"/>
      <c r="K160" s="209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03"/>
      <c r="AK160" s="203"/>
      <c r="AL160" s="203"/>
    </row>
    <row r="161" ht="15.75" customHeight="1">
      <c r="A161" s="207"/>
      <c r="B161" s="207"/>
      <c r="C161" s="207"/>
      <c r="D161" s="207"/>
      <c r="E161" s="208"/>
      <c r="F161" s="207"/>
      <c r="G161" s="207"/>
      <c r="H161" s="207"/>
      <c r="I161" s="207"/>
      <c r="J161" s="207"/>
      <c r="K161" s="209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03"/>
      <c r="AK161" s="203"/>
      <c r="AL161" s="203"/>
    </row>
    <row r="162" ht="15.75" customHeight="1">
      <c r="A162" s="207"/>
      <c r="B162" s="207"/>
      <c r="C162" s="207"/>
      <c r="D162" s="207"/>
      <c r="E162" s="208"/>
      <c r="F162" s="207"/>
      <c r="G162" s="207"/>
      <c r="H162" s="207"/>
      <c r="I162" s="207"/>
      <c r="J162" s="207"/>
      <c r="K162" s="209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203"/>
      <c r="AK162" s="203"/>
      <c r="AL162" s="203"/>
    </row>
    <row r="163" ht="15.75" customHeight="1">
      <c r="A163" s="207"/>
      <c r="B163" s="207"/>
      <c r="C163" s="207"/>
      <c r="D163" s="207"/>
      <c r="E163" s="208"/>
      <c r="F163" s="207"/>
      <c r="G163" s="207"/>
      <c r="H163" s="207"/>
      <c r="I163" s="207"/>
      <c r="J163" s="207"/>
      <c r="K163" s="209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203"/>
      <c r="AK163" s="203"/>
      <c r="AL163" s="203"/>
    </row>
    <row r="164" ht="15.75" customHeight="1">
      <c r="A164" s="207"/>
      <c r="B164" s="207"/>
      <c r="C164" s="207"/>
      <c r="D164" s="207"/>
      <c r="E164" s="208"/>
      <c r="F164" s="207"/>
      <c r="G164" s="207"/>
      <c r="H164" s="207"/>
      <c r="I164" s="207"/>
      <c r="J164" s="207"/>
      <c r="K164" s="209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03"/>
      <c r="AK164" s="203"/>
      <c r="AL164" s="203"/>
    </row>
    <row r="165" ht="15.75" customHeight="1">
      <c r="A165" s="207"/>
      <c r="B165" s="207"/>
      <c r="C165" s="207"/>
      <c r="D165" s="207"/>
      <c r="E165" s="208"/>
      <c r="F165" s="207"/>
      <c r="G165" s="207"/>
      <c r="H165" s="207"/>
      <c r="I165" s="207"/>
      <c r="J165" s="207"/>
      <c r="K165" s="209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03"/>
      <c r="AK165" s="203"/>
      <c r="AL165" s="203"/>
    </row>
    <row r="166" ht="15.75" customHeight="1">
      <c r="A166" s="207"/>
      <c r="B166" s="207"/>
      <c r="C166" s="207"/>
      <c r="D166" s="207"/>
      <c r="E166" s="208"/>
      <c r="F166" s="207"/>
      <c r="G166" s="207"/>
      <c r="H166" s="207"/>
      <c r="I166" s="207"/>
      <c r="J166" s="207"/>
      <c r="K166" s="209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203"/>
      <c r="AK166" s="203"/>
      <c r="AL166" s="203"/>
    </row>
    <row r="167" ht="15.75" customHeight="1">
      <c r="A167" s="207"/>
      <c r="B167" s="207"/>
      <c r="C167" s="207"/>
      <c r="D167" s="207"/>
      <c r="E167" s="208"/>
      <c r="F167" s="207"/>
      <c r="G167" s="207"/>
      <c r="H167" s="207"/>
      <c r="I167" s="207"/>
      <c r="J167" s="207"/>
      <c r="K167" s="209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03"/>
      <c r="AK167" s="203"/>
      <c r="AL167" s="203"/>
    </row>
    <row r="168" ht="15.75" customHeight="1">
      <c r="A168" s="207"/>
      <c r="B168" s="207"/>
      <c r="C168" s="207"/>
      <c r="D168" s="207"/>
      <c r="E168" s="208"/>
      <c r="F168" s="207"/>
      <c r="G168" s="207"/>
      <c r="H168" s="207"/>
      <c r="I168" s="207"/>
      <c r="J168" s="207"/>
      <c r="K168" s="209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03"/>
      <c r="AK168" s="203"/>
      <c r="AL168" s="203"/>
    </row>
    <row r="169" ht="15.75" customHeight="1">
      <c r="A169" s="207"/>
      <c r="B169" s="207"/>
      <c r="C169" s="207"/>
      <c r="D169" s="207"/>
      <c r="E169" s="208"/>
      <c r="F169" s="207"/>
      <c r="G169" s="207"/>
      <c r="H169" s="207"/>
      <c r="I169" s="207"/>
      <c r="J169" s="207"/>
      <c r="K169" s="209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03"/>
      <c r="AK169" s="203"/>
      <c r="AL169" s="203"/>
    </row>
    <row r="170" ht="15.75" customHeight="1">
      <c r="A170" s="207"/>
      <c r="B170" s="207"/>
      <c r="C170" s="207"/>
      <c r="D170" s="207"/>
      <c r="E170" s="208"/>
      <c r="F170" s="207"/>
      <c r="G170" s="207"/>
      <c r="H170" s="207"/>
      <c r="I170" s="207"/>
      <c r="J170" s="207"/>
      <c r="K170" s="209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03"/>
      <c r="AK170" s="203"/>
      <c r="AL170" s="203"/>
    </row>
    <row r="171" ht="15.75" customHeight="1">
      <c r="A171" s="207"/>
      <c r="B171" s="207"/>
      <c r="C171" s="207"/>
      <c r="D171" s="207"/>
      <c r="E171" s="208"/>
      <c r="F171" s="207"/>
      <c r="G171" s="207"/>
      <c r="H171" s="207"/>
      <c r="I171" s="207"/>
      <c r="J171" s="207"/>
      <c r="K171" s="209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03"/>
      <c r="AK171" s="203"/>
      <c r="AL171" s="203"/>
    </row>
    <row r="172" ht="15.75" customHeight="1">
      <c r="A172" s="207"/>
      <c r="B172" s="207"/>
      <c r="C172" s="207"/>
      <c r="D172" s="207"/>
      <c r="E172" s="208"/>
      <c r="F172" s="207"/>
      <c r="G172" s="207"/>
      <c r="H172" s="207"/>
      <c r="I172" s="207"/>
      <c r="J172" s="207"/>
      <c r="K172" s="209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03"/>
      <c r="AK172" s="203"/>
      <c r="AL172" s="203"/>
    </row>
    <row r="173" ht="15.75" customHeight="1">
      <c r="A173" s="207"/>
      <c r="B173" s="207"/>
      <c r="C173" s="207"/>
      <c r="D173" s="207"/>
      <c r="E173" s="208"/>
      <c r="F173" s="207"/>
      <c r="G173" s="207"/>
      <c r="H173" s="207"/>
      <c r="I173" s="207"/>
      <c r="J173" s="207"/>
      <c r="K173" s="209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03"/>
      <c r="AK173" s="203"/>
      <c r="AL173" s="203"/>
    </row>
    <row r="174" ht="15.75" customHeight="1">
      <c r="A174" s="207"/>
      <c r="B174" s="207"/>
      <c r="C174" s="207"/>
      <c r="D174" s="207"/>
      <c r="E174" s="208"/>
      <c r="F174" s="207"/>
      <c r="G174" s="207"/>
      <c r="H174" s="207"/>
      <c r="I174" s="207"/>
      <c r="J174" s="207"/>
      <c r="K174" s="209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03"/>
      <c r="AK174" s="203"/>
      <c r="AL174" s="203"/>
    </row>
    <row r="175" ht="15.75" customHeight="1">
      <c r="A175" s="207"/>
      <c r="B175" s="207"/>
      <c r="C175" s="207"/>
      <c r="D175" s="207"/>
      <c r="E175" s="208"/>
      <c r="F175" s="207"/>
      <c r="G175" s="207"/>
      <c r="H175" s="207"/>
      <c r="I175" s="207"/>
      <c r="J175" s="207"/>
      <c r="K175" s="209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3"/>
      <c r="AK175" s="203"/>
      <c r="AL175" s="203"/>
    </row>
    <row r="176" ht="15.75" customHeight="1">
      <c r="A176" s="207"/>
      <c r="B176" s="207"/>
      <c r="C176" s="207"/>
      <c r="D176" s="207"/>
      <c r="E176" s="208"/>
      <c r="F176" s="207"/>
      <c r="G176" s="207"/>
      <c r="H176" s="207"/>
      <c r="I176" s="207"/>
      <c r="J176" s="207"/>
      <c r="K176" s="209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203"/>
      <c r="AK176" s="203"/>
      <c r="AL176" s="203"/>
    </row>
    <row r="177" ht="15.75" customHeight="1">
      <c r="A177" s="207"/>
      <c r="B177" s="207"/>
      <c r="C177" s="207"/>
      <c r="D177" s="207"/>
      <c r="E177" s="208"/>
      <c r="F177" s="207"/>
      <c r="G177" s="207"/>
      <c r="H177" s="207"/>
      <c r="I177" s="207"/>
      <c r="J177" s="207"/>
      <c r="K177" s="209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03"/>
      <c r="AK177" s="203"/>
      <c r="AL177" s="203"/>
    </row>
    <row r="178" ht="15.75" customHeight="1">
      <c r="A178" s="207"/>
      <c r="B178" s="207"/>
      <c r="C178" s="207"/>
      <c r="D178" s="207"/>
      <c r="E178" s="208"/>
      <c r="F178" s="207"/>
      <c r="G178" s="207"/>
      <c r="H178" s="207"/>
      <c r="I178" s="207"/>
      <c r="J178" s="207"/>
      <c r="K178" s="209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03"/>
      <c r="AK178" s="203"/>
      <c r="AL178" s="203"/>
    </row>
    <row r="179" ht="15.75" customHeight="1">
      <c r="A179" s="207"/>
      <c r="B179" s="207"/>
      <c r="C179" s="207"/>
      <c r="D179" s="207"/>
      <c r="E179" s="208"/>
      <c r="F179" s="207"/>
      <c r="G179" s="207"/>
      <c r="H179" s="207"/>
      <c r="I179" s="207"/>
      <c r="J179" s="207"/>
      <c r="K179" s="209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3"/>
      <c r="AK179" s="203"/>
      <c r="AL179" s="203"/>
    </row>
    <row r="180" ht="15.75" customHeight="1">
      <c r="A180" s="207"/>
      <c r="B180" s="207"/>
      <c r="C180" s="207"/>
      <c r="D180" s="207"/>
      <c r="E180" s="208"/>
      <c r="F180" s="207"/>
      <c r="G180" s="207"/>
      <c r="H180" s="207"/>
      <c r="I180" s="207"/>
      <c r="J180" s="207"/>
      <c r="K180" s="209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03"/>
      <c r="AK180" s="203"/>
      <c r="AL180" s="203"/>
    </row>
    <row r="181" ht="15.75" customHeight="1">
      <c r="A181" s="207"/>
      <c r="B181" s="207"/>
      <c r="C181" s="207"/>
      <c r="D181" s="207"/>
      <c r="E181" s="208"/>
      <c r="F181" s="207"/>
      <c r="G181" s="207"/>
      <c r="H181" s="207"/>
      <c r="I181" s="207"/>
      <c r="J181" s="207"/>
      <c r="K181" s="209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3"/>
      <c r="AK181" s="203"/>
      <c r="AL181" s="203"/>
    </row>
    <row r="182" ht="15.75" customHeight="1">
      <c r="A182" s="207"/>
      <c r="B182" s="207"/>
      <c r="C182" s="207"/>
      <c r="D182" s="207"/>
      <c r="E182" s="208"/>
      <c r="F182" s="207"/>
      <c r="G182" s="207"/>
      <c r="H182" s="207"/>
      <c r="I182" s="207"/>
      <c r="J182" s="207"/>
      <c r="K182" s="209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07"/>
      <c r="AG182" s="207"/>
      <c r="AH182" s="207"/>
      <c r="AI182" s="207"/>
      <c r="AJ182" s="203"/>
      <c r="AK182" s="203"/>
      <c r="AL182" s="203"/>
    </row>
    <row r="183" ht="15.75" customHeight="1">
      <c r="A183" s="207"/>
      <c r="B183" s="207"/>
      <c r="C183" s="207"/>
      <c r="D183" s="207"/>
      <c r="E183" s="208"/>
      <c r="F183" s="207"/>
      <c r="G183" s="207"/>
      <c r="H183" s="207"/>
      <c r="I183" s="207"/>
      <c r="J183" s="207"/>
      <c r="K183" s="209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03"/>
      <c r="AK183" s="203"/>
      <c r="AL183" s="203"/>
    </row>
    <row r="184" ht="15.75" customHeight="1">
      <c r="A184" s="207"/>
      <c r="B184" s="207"/>
      <c r="C184" s="207"/>
      <c r="D184" s="207"/>
      <c r="E184" s="208"/>
      <c r="F184" s="207"/>
      <c r="G184" s="207"/>
      <c r="H184" s="207"/>
      <c r="I184" s="207"/>
      <c r="J184" s="207"/>
      <c r="K184" s="209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07"/>
      <c r="AG184" s="207"/>
      <c r="AH184" s="207"/>
      <c r="AI184" s="207"/>
      <c r="AJ184" s="203"/>
      <c r="AK184" s="203"/>
      <c r="AL184" s="203"/>
    </row>
    <row r="185" ht="15.75" customHeight="1">
      <c r="A185" s="207"/>
      <c r="B185" s="207"/>
      <c r="C185" s="207"/>
      <c r="D185" s="207"/>
      <c r="E185" s="208"/>
      <c r="F185" s="207"/>
      <c r="G185" s="207"/>
      <c r="H185" s="207"/>
      <c r="I185" s="207"/>
      <c r="J185" s="207"/>
      <c r="K185" s="209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03"/>
      <c r="AK185" s="203"/>
      <c r="AL185" s="203"/>
    </row>
    <row r="186" ht="15.75" customHeight="1">
      <c r="A186" s="207"/>
      <c r="B186" s="207"/>
      <c r="C186" s="207"/>
      <c r="D186" s="207"/>
      <c r="E186" s="208"/>
      <c r="F186" s="207"/>
      <c r="G186" s="207"/>
      <c r="H186" s="207"/>
      <c r="I186" s="207"/>
      <c r="J186" s="207"/>
      <c r="K186" s="209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07"/>
      <c r="AG186" s="207"/>
      <c r="AH186" s="207"/>
      <c r="AI186" s="207"/>
      <c r="AJ186" s="203"/>
      <c r="AK186" s="203"/>
      <c r="AL186" s="203"/>
    </row>
    <row r="187" ht="15.75" customHeight="1">
      <c r="A187" s="207"/>
      <c r="B187" s="207"/>
      <c r="C187" s="207"/>
      <c r="D187" s="207"/>
      <c r="E187" s="208"/>
      <c r="F187" s="207"/>
      <c r="G187" s="207"/>
      <c r="H187" s="207"/>
      <c r="I187" s="207"/>
      <c r="J187" s="207"/>
      <c r="K187" s="209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03"/>
      <c r="AK187" s="203"/>
      <c r="AL187" s="203"/>
    </row>
    <row r="188" ht="15.75" customHeight="1">
      <c r="A188" s="207"/>
      <c r="B188" s="207"/>
      <c r="C188" s="207"/>
      <c r="D188" s="207"/>
      <c r="E188" s="208"/>
      <c r="F188" s="207"/>
      <c r="G188" s="207"/>
      <c r="H188" s="207"/>
      <c r="I188" s="207"/>
      <c r="J188" s="207"/>
      <c r="K188" s="209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03"/>
      <c r="AK188" s="203"/>
      <c r="AL188" s="203"/>
    </row>
    <row r="189" ht="15.75" customHeight="1">
      <c r="A189" s="207"/>
      <c r="B189" s="207"/>
      <c r="C189" s="207"/>
      <c r="D189" s="207"/>
      <c r="E189" s="208"/>
      <c r="F189" s="207"/>
      <c r="G189" s="207"/>
      <c r="H189" s="207"/>
      <c r="I189" s="207"/>
      <c r="J189" s="207"/>
      <c r="K189" s="209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03"/>
      <c r="AK189" s="203"/>
      <c r="AL189" s="203"/>
    </row>
    <row r="190" ht="15.75" customHeight="1">
      <c r="A190" s="207"/>
      <c r="B190" s="207"/>
      <c r="C190" s="207"/>
      <c r="D190" s="207"/>
      <c r="E190" s="208"/>
      <c r="F190" s="207"/>
      <c r="G190" s="207"/>
      <c r="H190" s="207"/>
      <c r="I190" s="207"/>
      <c r="J190" s="207"/>
      <c r="K190" s="209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07"/>
      <c r="AG190" s="207"/>
      <c r="AH190" s="207"/>
      <c r="AI190" s="207"/>
      <c r="AJ190" s="203"/>
      <c r="AK190" s="203"/>
      <c r="AL190" s="203"/>
    </row>
    <row r="191" ht="15.75" customHeight="1">
      <c r="A191" s="207"/>
      <c r="B191" s="207"/>
      <c r="C191" s="207"/>
      <c r="D191" s="207"/>
      <c r="E191" s="208"/>
      <c r="F191" s="207"/>
      <c r="G191" s="207"/>
      <c r="H191" s="207"/>
      <c r="I191" s="207"/>
      <c r="J191" s="207"/>
      <c r="K191" s="209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03"/>
      <c r="AK191" s="203"/>
      <c r="AL191" s="203"/>
    </row>
    <row r="192" ht="15.75" customHeight="1">
      <c r="A192" s="207"/>
      <c r="B192" s="207"/>
      <c r="C192" s="207"/>
      <c r="D192" s="207"/>
      <c r="E192" s="208"/>
      <c r="F192" s="207"/>
      <c r="G192" s="207"/>
      <c r="H192" s="207"/>
      <c r="I192" s="207"/>
      <c r="J192" s="207"/>
      <c r="K192" s="209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03"/>
      <c r="AK192" s="203"/>
      <c r="AL192" s="203"/>
    </row>
    <row r="193" ht="15.75" customHeight="1">
      <c r="A193" s="207"/>
      <c r="B193" s="207"/>
      <c r="C193" s="207"/>
      <c r="D193" s="207"/>
      <c r="E193" s="208"/>
      <c r="F193" s="207"/>
      <c r="G193" s="207"/>
      <c r="H193" s="207"/>
      <c r="I193" s="207"/>
      <c r="J193" s="207"/>
      <c r="K193" s="209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03"/>
      <c r="AK193" s="203"/>
      <c r="AL193" s="203"/>
    </row>
    <row r="194" ht="15.75" customHeight="1">
      <c r="A194" s="207"/>
      <c r="B194" s="207"/>
      <c r="C194" s="207"/>
      <c r="D194" s="207"/>
      <c r="E194" s="208"/>
      <c r="F194" s="207"/>
      <c r="G194" s="207"/>
      <c r="H194" s="207"/>
      <c r="I194" s="207"/>
      <c r="J194" s="207"/>
      <c r="K194" s="209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03"/>
      <c r="AK194" s="203"/>
      <c r="AL194" s="203"/>
    </row>
    <row r="195" ht="15.75" customHeight="1">
      <c r="A195" s="207"/>
      <c r="B195" s="207"/>
      <c r="C195" s="207"/>
      <c r="D195" s="207"/>
      <c r="E195" s="208"/>
      <c r="F195" s="207"/>
      <c r="G195" s="207"/>
      <c r="H195" s="207"/>
      <c r="I195" s="207"/>
      <c r="J195" s="207"/>
      <c r="K195" s="209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3"/>
      <c r="AK195" s="203"/>
      <c r="AL195" s="203"/>
    </row>
    <row r="196" ht="15.75" customHeight="1">
      <c r="A196" s="207"/>
      <c r="B196" s="207"/>
      <c r="C196" s="207"/>
      <c r="D196" s="207"/>
      <c r="E196" s="208"/>
      <c r="F196" s="207"/>
      <c r="G196" s="207"/>
      <c r="H196" s="207"/>
      <c r="I196" s="207"/>
      <c r="J196" s="207"/>
      <c r="K196" s="209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07"/>
      <c r="AG196" s="207"/>
      <c r="AH196" s="207"/>
      <c r="AI196" s="207"/>
      <c r="AJ196" s="203"/>
      <c r="AK196" s="203"/>
      <c r="AL196" s="203"/>
    </row>
    <row r="197" ht="15.75" customHeight="1">
      <c r="A197" s="207"/>
      <c r="B197" s="207"/>
      <c r="C197" s="207"/>
      <c r="D197" s="207"/>
      <c r="E197" s="208"/>
      <c r="F197" s="207"/>
      <c r="G197" s="207"/>
      <c r="H197" s="207"/>
      <c r="I197" s="207"/>
      <c r="J197" s="207"/>
      <c r="K197" s="209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03"/>
      <c r="AK197" s="203"/>
      <c r="AL197" s="203"/>
    </row>
    <row r="198" ht="15.75" customHeight="1">
      <c r="A198" s="207"/>
      <c r="B198" s="207"/>
      <c r="C198" s="207"/>
      <c r="D198" s="207"/>
      <c r="E198" s="208"/>
      <c r="F198" s="207"/>
      <c r="G198" s="207"/>
      <c r="H198" s="207"/>
      <c r="I198" s="207"/>
      <c r="J198" s="207"/>
      <c r="K198" s="209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03"/>
      <c r="AK198" s="203"/>
      <c r="AL198" s="203"/>
    </row>
    <row r="199" ht="15.75" customHeight="1">
      <c r="A199" s="207"/>
      <c r="B199" s="207"/>
      <c r="C199" s="207"/>
      <c r="D199" s="207"/>
      <c r="E199" s="208"/>
      <c r="F199" s="207"/>
      <c r="G199" s="207"/>
      <c r="H199" s="207"/>
      <c r="I199" s="207"/>
      <c r="J199" s="207"/>
      <c r="K199" s="209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3"/>
      <c r="AK199" s="203"/>
      <c r="AL199" s="203"/>
    </row>
    <row r="200" ht="15.75" customHeight="1">
      <c r="A200" s="207"/>
      <c r="B200" s="207"/>
      <c r="C200" s="207"/>
      <c r="D200" s="207"/>
      <c r="E200" s="208"/>
      <c r="F200" s="207"/>
      <c r="G200" s="207"/>
      <c r="H200" s="207"/>
      <c r="I200" s="207"/>
      <c r="J200" s="207"/>
      <c r="K200" s="209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03"/>
      <c r="AK200" s="203"/>
      <c r="AL200" s="203"/>
    </row>
    <row r="201" ht="15.75" customHeight="1">
      <c r="A201" s="207"/>
      <c r="B201" s="207"/>
      <c r="C201" s="207"/>
      <c r="D201" s="207"/>
      <c r="E201" s="208"/>
      <c r="F201" s="207"/>
      <c r="G201" s="207"/>
      <c r="H201" s="207"/>
      <c r="I201" s="207"/>
      <c r="J201" s="207"/>
      <c r="K201" s="209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03"/>
      <c r="AK201" s="203"/>
      <c r="AL201" s="203"/>
    </row>
    <row r="202" ht="15.75" customHeight="1">
      <c r="A202" s="207"/>
      <c r="B202" s="207"/>
      <c r="C202" s="207"/>
      <c r="D202" s="207"/>
      <c r="E202" s="208"/>
      <c r="F202" s="207"/>
      <c r="G202" s="207"/>
      <c r="H202" s="207"/>
      <c r="I202" s="207"/>
      <c r="J202" s="207"/>
      <c r="K202" s="209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03"/>
      <c r="AK202" s="203"/>
      <c r="AL202" s="203"/>
    </row>
    <row r="203" ht="15.75" customHeight="1">
      <c r="A203" s="207"/>
      <c r="B203" s="207"/>
      <c r="C203" s="207"/>
      <c r="D203" s="207"/>
      <c r="E203" s="208"/>
      <c r="F203" s="207"/>
      <c r="G203" s="207"/>
      <c r="H203" s="207"/>
      <c r="I203" s="207"/>
      <c r="J203" s="207"/>
      <c r="K203" s="209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07"/>
      <c r="AG203" s="207"/>
      <c r="AH203" s="207"/>
      <c r="AI203" s="207"/>
      <c r="AJ203" s="203"/>
      <c r="AK203" s="203"/>
      <c r="AL203" s="203"/>
    </row>
    <row r="204" ht="15.75" customHeight="1">
      <c r="A204" s="207"/>
      <c r="B204" s="207"/>
      <c r="C204" s="207"/>
      <c r="D204" s="207"/>
      <c r="E204" s="208"/>
      <c r="F204" s="207"/>
      <c r="G204" s="207"/>
      <c r="H204" s="207"/>
      <c r="I204" s="207"/>
      <c r="J204" s="207"/>
      <c r="K204" s="209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7"/>
      <c r="AD204" s="207"/>
      <c r="AE204" s="207"/>
      <c r="AF204" s="207"/>
      <c r="AG204" s="207"/>
      <c r="AH204" s="207"/>
      <c r="AI204" s="207"/>
      <c r="AJ204" s="203"/>
      <c r="AK204" s="203"/>
      <c r="AL204" s="203"/>
    </row>
    <row r="205" ht="15.75" customHeight="1">
      <c r="A205" s="207"/>
      <c r="B205" s="207"/>
      <c r="C205" s="207"/>
      <c r="D205" s="207"/>
      <c r="E205" s="208"/>
      <c r="F205" s="207"/>
      <c r="G205" s="207"/>
      <c r="H205" s="207"/>
      <c r="I205" s="207"/>
      <c r="J205" s="207"/>
      <c r="K205" s="209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07"/>
      <c r="AG205" s="207"/>
      <c r="AH205" s="207"/>
      <c r="AI205" s="207"/>
      <c r="AJ205" s="203"/>
      <c r="AK205" s="203"/>
      <c r="AL205" s="203"/>
    </row>
    <row r="206" ht="15.75" customHeight="1">
      <c r="A206" s="207"/>
      <c r="B206" s="207"/>
      <c r="C206" s="207"/>
      <c r="D206" s="207"/>
      <c r="E206" s="208"/>
      <c r="F206" s="207"/>
      <c r="G206" s="207"/>
      <c r="H206" s="207"/>
      <c r="I206" s="207"/>
      <c r="J206" s="207"/>
      <c r="K206" s="209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03"/>
      <c r="AK206" s="203"/>
      <c r="AL206" s="203"/>
    </row>
    <row r="207" ht="15.75" customHeight="1">
      <c r="A207" s="207"/>
      <c r="B207" s="207"/>
      <c r="C207" s="207"/>
      <c r="D207" s="207"/>
      <c r="E207" s="208"/>
      <c r="F207" s="207"/>
      <c r="G207" s="207"/>
      <c r="H207" s="207"/>
      <c r="I207" s="207"/>
      <c r="J207" s="207"/>
      <c r="K207" s="209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03"/>
      <c r="AK207" s="203"/>
      <c r="AL207" s="203"/>
    </row>
    <row r="208" ht="15.75" customHeight="1">
      <c r="A208" s="207"/>
      <c r="B208" s="207"/>
      <c r="C208" s="207"/>
      <c r="D208" s="207"/>
      <c r="E208" s="208"/>
      <c r="F208" s="207"/>
      <c r="G208" s="207"/>
      <c r="H208" s="207"/>
      <c r="I208" s="207"/>
      <c r="J208" s="207"/>
      <c r="K208" s="209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07"/>
      <c r="AG208" s="207"/>
      <c r="AH208" s="207"/>
      <c r="AI208" s="207"/>
      <c r="AJ208" s="203"/>
      <c r="AK208" s="203"/>
      <c r="AL208" s="203"/>
    </row>
    <row r="209" ht="15.75" customHeight="1">
      <c r="A209" s="207"/>
      <c r="B209" s="207"/>
      <c r="C209" s="207"/>
      <c r="D209" s="207"/>
      <c r="E209" s="208"/>
      <c r="F209" s="207"/>
      <c r="G209" s="207"/>
      <c r="H209" s="207"/>
      <c r="I209" s="207"/>
      <c r="J209" s="207"/>
      <c r="K209" s="209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07"/>
      <c r="AG209" s="207"/>
      <c r="AH209" s="207"/>
      <c r="AI209" s="207"/>
      <c r="AJ209" s="203"/>
      <c r="AK209" s="203"/>
      <c r="AL209" s="203"/>
    </row>
    <row r="210" ht="15.75" customHeight="1">
      <c r="A210" s="207"/>
      <c r="B210" s="207"/>
      <c r="C210" s="207"/>
      <c r="D210" s="207"/>
      <c r="E210" s="208"/>
      <c r="F210" s="207"/>
      <c r="G210" s="207"/>
      <c r="H210" s="207"/>
      <c r="I210" s="207"/>
      <c r="J210" s="207"/>
      <c r="K210" s="209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07"/>
      <c r="AG210" s="207"/>
      <c r="AH210" s="207"/>
      <c r="AI210" s="207"/>
      <c r="AJ210" s="203"/>
      <c r="AK210" s="203"/>
      <c r="AL210" s="203"/>
    </row>
    <row r="211" ht="15.75" customHeight="1">
      <c r="A211" s="207"/>
      <c r="B211" s="207"/>
      <c r="C211" s="207"/>
      <c r="D211" s="207"/>
      <c r="E211" s="208"/>
      <c r="F211" s="207"/>
      <c r="G211" s="207"/>
      <c r="H211" s="207"/>
      <c r="I211" s="207"/>
      <c r="J211" s="207"/>
      <c r="K211" s="209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03"/>
      <c r="AK211" s="203"/>
      <c r="AL211" s="203"/>
    </row>
    <row r="212" ht="15.75" customHeight="1">
      <c r="A212" s="207"/>
      <c r="B212" s="207"/>
      <c r="C212" s="207"/>
      <c r="D212" s="207"/>
      <c r="E212" s="208"/>
      <c r="F212" s="207"/>
      <c r="G212" s="207"/>
      <c r="H212" s="207"/>
      <c r="I212" s="207"/>
      <c r="J212" s="207"/>
      <c r="K212" s="209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07"/>
      <c r="AG212" s="207"/>
      <c r="AH212" s="207"/>
      <c r="AI212" s="207"/>
      <c r="AJ212" s="203"/>
      <c r="AK212" s="203"/>
      <c r="AL212" s="203"/>
    </row>
    <row r="213" ht="15.75" customHeight="1">
      <c r="A213" s="207"/>
      <c r="B213" s="207"/>
      <c r="C213" s="207"/>
      <c r="D213" s="207"/>
      <c r="E213" s="208"/>
      <c r="F213" s="207"/>
      <c r="G213" s="207"/>
      <c r="H213" s="207"/>
      <c r="I213" s="207"/>
      <c r="J213" s="207"/>
      <c r="K213" s="209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03"/>
      <c r="AK213" s="203"/>
      <c r="AL213" s="203"/>
    </row>
    <row r="214" ht="15.75" customHeight="1">
      <c r="A214" s="207"/>
      <c r="B214" s="207"/>
      <c r="C214" s="207"/>
      <c r="D214" s="207"/>
      <c r="E214" s="208"/>
      <c r="F214" s="207"/>
      <c r="G214" s="207"/>
      <c r="H214" s="207"/>
      <c r="I214" s="207"/>
      <c r="J214" s="207"/>
      <c r="K214" s="209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7"/>
      <c r="AD214" s="207"/>
      <c r="AE214" s="207"/>
      <c r="AF214" s="207"/>
      <c r="AG214" s="207"/>
      <c r="AH214" s="207"/>
      <c r="AI214" s="207"/>
      <c r="AJ214" s="203"/>
      <c r="AK214" s="203"/>
      <c r="AL214" s="203"/>
    </row>
    <row r="215" ht="15.75" customHeight="1">
      <c r="A215" s="207"/>
      <c r="B215" s="207"/>
      <c r="C215" s="207"/>
      <c r="D215" s="207"/>
      <c r="E215" s="208"/>
      <c r="F215" s="207"/>
      <c r="G215" s="207"/>
      <c r="H215" s="207"/>
      <c r="I215" s="207"/>
      <c r="J215" s="207"/>
      <c r="K215" s="209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07"/>
      <c r="AG215" s="207"/>
      <c r="AH215" s="207"/>
      <c r="AI215" s="207"/>
      <c r="AJ215" s="203"/>
      <c r="AK215" s="203"/>
      <c r="AL215" s="203"/>
    </row>
    <row r="216" ht="15.75" customHeight="1">
      <c r="A216" s="207"/>
      <c r="B216" s="207"/>
      <c r="C216" s="207"/>
      <c r="D216" s="207"/>
      <c r="E216" s="208"/>
      <c r="F216" s="207"/>
      <c r="G216" s="207"/>
      <c r="H216" s="207"/>
      <c r="I216" s="207"/>
      <c r="J216" s="207"/>
      <c r="K216" s="209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07"/>
      <c r="AG216" s="207"/>
      <c r="AH216" s="207"/>
      <c r="AI216" s="207"/>
      <c r="AJ216" s="203"/>
      <c r="AK216" s="203"/>
      <c r="AL216" s="203"/>
    </row>
    <row r="217" ht="15.75" customHeight="1">
      <c r="A217" s="207"/>
      <c r="B217" s="207"/>
      <c r="C217" s="207"/>
      <c r="D217" s="207"/>
      <c r="E217" s="208"/>
      <c r="F217" s="207"/>
      <c r="G217" s="207"/>
      <c r="H217" s="207"/>
      <c r="I217" s="207"/>
      <c r="J217" s="207"/>
      <c r="K217" s="209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07"/>
      <c r="AG217" s="207"/>
      <c r="AH217" s="207"/>
      <c r="AI217" s="207"/>
      <c r="AJ217" s="203"/>
      <c r="AK217" s="203"/>
      <c r="AL217" s="203"/>
    </row>
    <row r="218" ht="15.75" customHeight="1">
      <c r="A218" s="207"/>
      <c r="B218" s="207"/>
      <c r="C218" s="207"/>
      <c r="D218" s="207"/>
      <c r="E218" s="208"/>
      <c r="F218" s="207"/>
      <c r="G218" s="207"/>
      <c r="H218" s="207"/>
      <c r="I218" s="207"/>
      <c r="J218" s="207"/>
      <c r="K218" s="209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03"/>
      <c r="AK218" s="203"/>
      <c r="AL218" s="203"/>
    </row>
    <row r="219" ht="15.75" customHeight="1">
      <c r="A219" s="207"/>
      <c r="B219" s="207"/>
      <c r="C219" s="207"/>
      <c r="D219" s="207"/>
      <c r="E219" s="208"/>
      <c r="F219" s="207"/>
      <c r="G219" s="207"/>
      <c r="H219" s="207"/>
      <c r="I219" s="207"/>
      <c r="J219" s="207"/>
      <c r="K219" s="209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7"/>
      <c r="AD219" s="207"/>
      <c r="AE219" s="207"/>
      <c r="AF219" s="207"/>
      <c r="AG219" s="207"/>
      <c r="AH219" s="207"/>
      <c r="AI219" s="207"/>
      <c r="AJ219" s="203"/>
      <c r="AK219" s="203"/>
      <c r="AL219" s="203"/>
    </row>
    <row r="220" ht="15.75" customHeight="1">
      <c r="A220" s="207"/>
      <c r="B220" s="207"/>
      <c r="C220" s="207"/>
      <c r="D220" s="207"/>
      <c r="E220" s="208"/>
      <c r="F220" s="207"/>
      <c r="G220" s="207"/>
      <c r="H220" s="207"/>
      <c r="I220" s="207"/>
      <c r="J220" s="207"/>
      <c r="K220" s="209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03"/>
      <c r="AK220" s="203"/>
      <c r="AL220" s="203"/>
    </row>
    <row r="221" ht="15.75" customHeight="1">
      <c r="A221" s="207"/>
      <c r="B221" s="207"/>
      <c r="C221" s="207"/>
      <c r="D221" s="207"/>
      <c r="E221" s="208"/>
      <c r="F221" s="207"/>
      <c r="G221" s="207"/>
      <c r="H221" s="207"/>
      <c r="I221" s="207"/>
      <c r="J221" s="207"/>
      <c r="K221" s="209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07"/>
      <c r="AG221" s="207"/>
      <c r="AH221" s="207"/>
      <c r="AI221" s="207"/>
      <c r="AJ221" s="203"/>
      <c r="AK221" s="203"/>
      <c r="AL221" s="203"/>
    </row>
    <row r="222" ht="15.75" customHeight="1">
      <c r="A222" s="207"/>
      <c r="B222" s="207"/>
      <c r="C222" s="207"/>
      <c r="D222" s="207"/>
      <c r="E222" s="208"/>
      <c r="F222" s="207"/>
      <c r="G222" s="207"/>
      <c r="H222" s="207"/>
      <c r="I222" s="207"/>
      <c r="J222" s="207"/>
      <c r="K222" s="209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03"/>
      <c r="AK222" s="203"/>
      <c r="AL222" s="203"/>
    </row>
    <row r="223" ht="15.75" customHeight="1">
      <c r="A223" s="207"/>
      <c r="B223" s="207"/>
      <c r="C223" s="207"/>
      <c r="D223" s="207"/>
      <c r="E223" s="208"/>
      <c r="F223" s="207"/>
      <c r="G223" s="207"/>
      <c r="H223" s="207"/>
      <c r="I223" s="207"/>
      <c r="J223" s="207"/>
      <c r="K223" s="209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7"/>
      <c r="AD223" s="207"/>
      <c r="AE223" s="207"/>
      <c r="AF223" s="207"/>
      <c r="AG223" s="207"/>
      <c r="AH223" s="207"/>
      <c r="AI223" s="207"/>
      <c r="AJ223" s="203"/>
      <c r="AK223" s="203"/>
      <c r="AL223" s="203"/>
    </row>
    <row r="224" ht="15.75" customHeight="1">
      <c r="A224" s="207"/>
      <c r="B224" s="207"/>
      <c r="C224" s="207"/>
      <c r="D224" s="207"/>
      <c r="E224" s="208"/>
      <c r="F224" s="207"/>
      <c r="G224" s="207"/>
      <c r="H224" s="207"/>
      <c r="I224" s="207"/>
      <c r="J224" s="207"/>
      <c r="K224" s="209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07"/>
      <c r="AG224" s="207"/>
      <c r="AH224" s="207"/>
      <c r="AI224" s="207"/>
      <c r="AJ224" s="203"/>
      <c r="AK224" s="203"/>
      <c r="AL224" s="203"/>
    </row>
    <row r="225" ht="15.75" customHeight="1">
      <c r="A225" s="207"/>
      <c r="B225" s="207"/>
      <c r="C225" s="207"/>
      <c r="D225" s="207"/>
      <c r="E225" s="208"/>
      <c r="F225" s="207"/>
      <c r="G225" s="207"/>
      <c r="H225" s="207"/>
      <c r="I225" s="207"/>
      <c r="J225" s="207"/>
      <c r="K225" s="209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07"/>
      <c r="AG225" s="207"/>
      <c r="AH225" s="207"/>
      <c r="AI225" s="207"/>
      <c r="AJ225" s="203"/>
      <c r="AK225" s="203"/>
      <c r="AL225" s="203"/>
    </row>
    <row r="226" ht="15.75" customHeight="1">
      <c r="A226" s="207"/>
      <c r="B226" s="207"/>
      <c r="C226" s="207"/>
      <c r="D226" s="207"/>
      <c r="E226" s="208"/>
      <c r="F226" s="207"/>
      <c r="G226" s="207"/>
      <c r="H226" s="207"/>
      <c r="I226" s="207"/>
      <c r="J226" s="207"/>
      <c r="K226" s="209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7"/>
      <c r="AD226" s="207"/>
      <c r="AE226" s="207"/>
      <c r="AF226" s="207"/>
      <c r="AG226" s="207"/>
      <c r="AH226" s="207"/>
      <c r="AI226" s="207"/>
      <c r="AJ226" s="203"/>
      <c r="AK226" s="203"/>
      <c r="AL226" s="203"/>
    </row>
    <row r="227" ht="15.75" customHeight="1">
      <c r="A227" s="207"/>
      <c r="B227" s="207"/>
      <c r="C227" s="207"/>
      <c r="D227" s="207"/>
      <c r="E227" s="208"/>
      <c r="F227" s="207"/>
      <c r="G227" s="207"/>
      <c r="H227" s="207"/>
      <c r="I227" s="207"/>
      <c r="J227" s="207"/>
      <c r="K227" s="209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07"/>
      <c r="AG227" s="207"/>
      <c r="AH227" s="207"/>
      <c r="AI227" s="207"/>
      <c r="AJ227" s="203"/>
      <c r="AK227" s="203"/>
      <c r="AL227" s="203"/>
    </row>
    <row r="228" ht="15.75" customHeight="1">
      <c r="A228" s="207"/>
      <c r="B228" s="207"/>
      <c r="C228" s="207"/>
      <c r="D228" s="207"/>
      <c r="E228" s="208"/>
      <c r="F228" s="207"/>
      <c r="G228" s="207"/>
      <c r="H228" s="207"/>
      <c r="I228" s="207"/>
      <c r="J228" s="207"/>
      <c r="K228" s="209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03"/>
      <c r="AK228" s="203"/>
      <c r="AL228" s="203"/>
    </row>
    <row r="229" ht="15.75" customHeight="1">
      <c r="A229" s="207"/>
      <c r="B229" s="207"/>
      <c r="C229" s="207"/>
      <c r="D229" s="207"/>
      <c r="E229" s="208"/>
      <c r="F229" s="207"/>
      <c r="G229" s="207"/>
      <c r="H229" s="207"/>
      <c r="I229" s="207"/>
      <c r="J229" s="207"/>
      <c r="K229" s="209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7"/>
      <c r="AD229" s="207"/>
      <c r="AE229" s="207"/>
      <c r="AF229" s="207"/>
      <c r="AG229" s="207"/>
      <c r="AH229" s="207"/>
      <c r="AI229" s="207"/>
      <c r="AJ229" s="203"/>
      <c r="AK229" s="203"/>
      <c r="AL229" s="203"/>
    </row>
    <row r="230" ht="15.75" customHeight="1">
      <c r="A230" s="207"/>
      <c r="B230" s="207"/>
      <c r="C230" s="207"/>
      <c r="D230" s="207"/>
      <c r="E230" s="208"/>
      <c r="F230" s="207"/>
      <c r="G230" s="207"/>
      <c r="H230" s="207"/>
      <c r="I230" s="207"/>
      <c r="J230" s="207"/>
      <c r="K230" s="209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03"/>
      <c r="AK230" s="203"/>
      <c r="AL230" s="203"/>
    </row>
    <row r="231" ht="15.75" customHeight="1">
      <c r="A231" s="207"/>
      <c r="B231" s="207"/>
      <c r="C231" s="207"/>
      <c r="D231" s="207"/>
      <c r="E231" s="208"/>
      <c r="F231" s="207"/>
      <c r="G231" s="207"/>
      <c r="H231" s="207"/>
      <c r="I231" s="207"/>
      <c r="J231" s="207"/>
      <c r="K231" s="209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07"/>
      <c r="AG231" s="207"/>
      <c r="AH231" s="207"/>
      <c r="AI231" s="207"/>
      <c r="AJ231" s="203"/>
      <c r="AK231" s="203"/>
      <c r="AL231" s="203"/>
    </row>
    <row r="232" ht="15.75" customHeight="1">
      <c r="A232" s="207"/>
      <c r="B232" s="207"/>
      <c r="C232" s="207"/>
      <c r="D232" s="207"/>
      <c r="E232" s="208"/>
      <c r="F232" s="207"/>
      <c r="G232" s="207"/>
      <c r="H232" s="207"/>
      <c r="I232" s="207"/>
      <c r="J232" s="207"/>
      <c r="K232" s="209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03"/>
      <c r="AK232" s="203"/>
      <c r="AL232" s="203"/>
    </row>
    <row r="233" ht="15.75" customHeight="1">
      <c r="A233" s="207"/>
      <c r="B233" s="207"/>
      <c r="C233" s="207"/>
      <c r="D233" s="207"/>
      <c r="E233" s="208"/>
      <c r="F233" s="207"/>
      <c r="G233" s="207"/>
      <c r="H233" s="207"/>
      <c r="I233" s="207"/>
      <c r="J233" s="207"/>
      <c r="K233" s="209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07"/>
      <c r="AG233" s="207"/>
      <c r="AH233" s="207"/>
      <c r="AI233" s="207"/>
      <c r="AJ233" s="203"/>
      <c r="AK233" s="203"/>
      <c r="AL233" s="203"/>
    </row>
    <row r="234" ht="15.75" customHeight="1">
      <c r="A234" s="207"/>
      <c r="B234" s="207"/>
      <c r="C234" s="207"/>
      <c r="D234" s="207"/>
      <c r="E234" s="208"/>
      <c r="F234" s="207"/>
      <c r="G234" s="207"/>
      <c r="H234" s="207"/>
      <c r="I234" s="207"/>
      <c r="J234" s="207"/>
      <c r="K234" s="209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07"/>
      <c r="AG234" s="207"/>
      <c r="AH234" s="207"/>
      <c r="AI234" s="207"/>
      <c r="AJ234" s="203"/>
      <c r="AK234" s="203"/>
      <c r="AL234" s="203"/>
    </row>
    <row r="235" ht="15.75" customHeight="1">
      <c r="A235" s="207"/>
      <c r="B235" s="207"/>
      <c r="C235" s="207"/>
      <c r="D235" s="207"/>
      <c r="E235" s="208"/>
      <c r="F235" s="207"/>
      <c r="G235" s="207"/>
      <c r="H235" s="207"/>
      <c r="I235" s="207"/>
      <c r="J235" s="207"/>
      <c r="K235" s="209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03"/>
      <c r="AK235" s="203"/>
      <c r="AL235" s="203"/>
    </row>
    <row r="236" ht="15.75" customHeight="1">
      <c r="A236" s="207"/>
      <c r="B236" s="207"/>
      <c r="C236" s="207"/>
      <c r="D236" s="207"/>
      <c r="E236" s="208"/>
      <c r="F236" s="207"/>
      <c r="G236" s="207"/>
      <c r="H236" s="207"/>
      <c r="I236" s="207"/>
      <c r="J236" s="207"/>
      <c r="K236" s="209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03"/>
      <c r="AK236" s="203"/>
      <c r="AL236" s="203"/>
    </row>
    <row r="237" ht="15.75" customHeight="1">
      <c r="A237" s="207"/>
      <c r="B237" s="207"/>
      <c r="C237" s="207"/>
      <c r="D237" s="207"/>
      <c r="E237" s="208"/>
      <c r="F237" s="207"/>
      <c r="G237" s="207"/>
      <c r="H237" s="207"/>
      <c r="I237" s="207"/>
      <c r="J237" s="207"/>
      <c r="K237" s="209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07"/>
      <c r="AG237" s="207"/>
      <c r="AH237" s="207"/>
      <c r="AI237" s="207"/>
      <c r="AJ237" s="203"/>
      <c r="AK237" s="203"/>
      <c r="AL237" s="203"/>
    </row>
    <row r="238" ht="15.75" customHeight="1">
      <c r="A238" s="207"/>
      <c r="B238" s="207"/>
      <c r="C238" s="207"/>
      <c r="D238" s="207"/>
      <c r="E238" s="208"/>
      <c r="F238" s="207"/>
      <c r="G238" s="207"/>
      <c r="H238" s="207"/>
      <c r="I238" s="207"/>
      <c r="J238" s="207"/>
      <c r="K238" s="209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03"/>
      <c r="AK238" s="203"/>
      <c r="AL238" s="203"/>
    </row>
    <row r="239" ht="15.75" customHeight="1">
      <c r="A239" s="207"/>
      <c r="B239" s="207"/>
      <c r="C239" s="207"/>
      <c r="D239" s="207"/>
      <c r="E239" s="208"/>
      <c r="F239" s="207"/>
      <c r="G239" s="207"/>
      <c r="H239" s="207"/>
      <c r="I239" s="207"/>
      <c r="J239" s="207"/>
      <c r="K239" s="209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03"/>
      <c r="AK239" s="203"/>
      <c r="AL239" s="203"/>
    </row>
    <row r="240" ht="15.75" customHeight="1">
      <c r="A240" s="207"/>
      <c r="B240" s="207"/>
      <c r="C240" s="207"/>
      <c r="D240" s="207"/>
      <c r="E240" s="208"/>
      <c r="F240" s="207"/>
      <c r="G240" s="207"/>
      <c r="H240" s="207"/>
      <c r="I240" s="207"/>
      <c r="J240" s="207"/>
      <c r="K240" s="209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7"/>
      <c r="AD240" s="207"/>
      <c r="AE240" s="207"/>
      <c r="AF240" s="207"/>
      <c r="AG240" s="207"/>
      <c r="AH240" s="207"/>
      <c r="AI240" s="207"/>
      <c r="AJ240" s="203"/>
      <c r="AK240" s="203"/>
      <c r="AL240" s="203"/>
    </row>
    <row r="241" ht="15.75" customHeight="1">
      <c r="A241" s="207"/>
      <c r="B241" s="207"/>
      <c r="C241" s="207"/>
      <c r="D241" s="207"/>
      <c r="E241" s="208"/>
      <c r="F241" s="207"/>
      <c r="G241" s="207"/>
      <c r="H241" s="207"/>
      <c r="I241" s="207"/>
      <c r="J241" s="207"/>
      <c r="K241" s="209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07"/>
      <c r="AG241" s="207"/>
      <c r="AH241" s="207"/>
      <c r="AI241" s="207"/>
      <c r="AJ241" s="203"/>
      <c r="AK241" s="203"/>
      <c r="AL241" s="203"/>
    </row>
    <row r="242" ht="15.75" customHeight="1">
      <c r="A242" s="207"/>
      <c r="B242" s="207"/>
      <c r="C242" s="207"/>
      <c r="D242" s="207"/>
      <c r="E242" s="208"/>
      <c r="F242" s="207"/>
      <c r="G242" s="207"/>
      <c r="H242" s="207"/>
      <c r="I242" s="207"/>
      <c r="J242" s="207"/>
      <c r="K242" s="209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03"/>
      <c r="AK242" s="203"/>
      <c r="AL242" s="203"/>
    </row>
    <row r="243" ht="15.75" customHeight="1">
      <c r="A243" s="207"/>
      <c r="B243" s="207"/>
      <c r="C243" s="207"/>
      <c r="D243" s="207"/>
      <c r="E243" s="208"/>
      <c r="F243" s="207"/>
      <c r="G243" s="207"/>
      <c r="H243" s="207"/>
      <c r="I243" s="207"/>
      <c r="J243" s="207"/>
      <c r="K243" s="209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07"/>
      <c r="AG243" s="207"/>
      <c r="AH243" s="207"/>
      <c r="AI243" s="207"/>
      <c r="AJ243" s="203"/>
      <c r="AK243" s="203"/>
      <c r="AL243" s="203"/>
    </row>
    <row r="244" ht="15.75" customHeight="1">
      <c r="A244" s="207"/>
      <c r="B244" s="207"/>
      <c r="C244" s="207"/>
      <c r="D244" s="207"/>
      <c r="E244" s="208"/>
      <c r="F244" s="207"/>
      <c r="G244" s="207"/>
      <c r="H244" s="207"/>
      <c r="I244" s="207"/>
      <c r="J244" s="207"/>
      <c r="K244" s="209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07"/>
      <c r="AG244" s="207"/>
      <c r="AH244" s="207"/>
      <c r="AI244" s="207"/>
      <c r="AJ244" s="203"/>
      <c r="AK244" s="203"/>
      <c r="AL244" s="203"/>
    </row>
    <row r="245" ht="15.75" customHeight="1">
      <c r="A245" s="207"/>
      <c r="B245" s="207"/>
      <c r="C245" s="207"/>
      <c r="D245" s="207"/>
      <c r="E245" s="208"/>
      <c r="F245" s="207"/>
      <c r="G245" s="207"/>
      <c r="H245" s="207"/>
      <c r="I245" s="207"/>
      <c r="J245" s="207"/>
      <c r="K245" s="209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7"/>
      <c r="AD245" s="207"/>
      <c r="AE245" s="207"/>
      <c r="AF245" s="207"/>
      <c r="AG245" s="207"/>
      <c r="AH245" s="207"/>
      <c r="AI245" s="207"/>
      <c r="AJ245" s="203"/>
      <c r="AK245" s="203"/>
      <c r="AL245" s="203"/>
    </row>
    <row r="246" ht="15.75" customHeight="1">
      <c r="A246" s="207"/>
      <c r="B246" s="207"/>
      <c r="C246" s="207"/>
      <c r="D246" s="207"/>
      <c r="E246" s="208"/>
      <c r="F246" s="207"/>
      <c r="G246" s="207"/>
      <c r="H246" s="207"/>
      <c r="I246" s="207"/>
      <c r="J246" s="207"/>
      <c r="K246" s="209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7"/>
      <c r="AD246" s="207"/>
      <c r="AE246" s="207"/>
      <c r="AF246" s="207"/>
      <c r="AG246" s="207"/>
      <c r="AH246" s="207"/>
      <c r="AI246" s="207"/>
      <c r="AJ246" s="203"/>
      <c r="AK246" s="203"/>
      <c r="AL246" s="203"/>
    </row>
    <row r="247" ht="15.75" customHeight="1">
      <c r="A247" s="207"/>
      <c r="B247" s="207"/>
      <c r="C247" s="207"/>
      <c r="D247" s="207"/>
      <c r="E247" s="208"/>
      <c r="F247" s="207"/>
      <c r="G247" s="207"/>
      <c r="H247" s="207"/>
      <c r="I247" s="207"/>
      <c r="J247" s="207"/>
      <c r="K247" s="209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7"/>
      <c r="AD247" s="207"/>
      <c r="AE247" s="207"/>
      <c r="AF247" s="207"/>
      <c r="AG247" s="207"/>
      <c r="AH247" s="207"/>
      <c r="AI247" s="207"/>
      <c r="AJ247" s="203"/>
      <c r="AK247" s="203"/>
      <c r="AL247" s="203"/>
    </row>
    <row r="248" ht="15.75" customHeight="1">
      <c r="A248" s="207"/>
      <c r="B248" s="207"/>
      <c r="C248" s="207"/>
      <c r="D248" s="207"/>
      <c r="E248" s="208"/>
      <c r="F248" s="207"/>
      <c r="G248" s="207"/>
      <c r="H248" s="207"/>
      <c r="I248" s="207"/>
      <c r="J248" s="207"/>
      <c r="K248" s="209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  <c r="AG248" s="207"/>
      <c r="AH248" s="207"/>
      <c r="AI248" s="207"/>
      <c r="AJ248" s="203"/>
      <c r="AK248" s="203"/>
      <c r="AL248" s="203"/>
    </row>
    <row r="249" ht="15.75" customHeight="1">
      <c r="A249" s="207"/>
      <c r="B249" s="207"/>
      <c r="C249" s="207"/>
      <c r="D249" s="207"/>
      <c r="E249" s="208"/>
      <c r="F249" s="207"/>
      <c r="G249" s="207"/>
      <c r="H249" s="207"/>
      <c r="I249" s="207"/>
      <c r="J249" s="207"/>
      <c r="K249" s="209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  <c r="AE249" s="207"/>
      <c r="AF249" s="207"/>
      <c r="AG249" s="207"/>
      <c r="AH249" s="207"/>
      <c r="AI249" s="207"/>
      <c r="AJ249" s="203"/>
      <c r="AK249" s="203"/>
      <c r="AL249" s="203"/>
    </row>
    <row r="250" ht="15.75" customHeight="1">
      <c r="A250" s="207"/>
      <c r="B250" s="207"/>
      <c r="C250" s="207"/>
      <c r="D250" s="207"/>
      <c r="E250" s="208"/>
      <c r="F250" s="207"/>
      <c r="G250" s="207"/>
      <c r="H250" s="207"/>
      <c r="I250" s="207"/>
      <c r="J250" s="207"/>
      <c r="K250" s="209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  <c r="AG250" s="207"/>
      <c r="AH250" s="207"/>
      <c r="AI250" s="207"/>
      <c r="AJ250" s="203"/>
      <c r="AK250" s="203"/>
      <c r="AL250" s="203"/>
    </row>
    <row r="251" ht="15.75" customHeight="1">
      <c r="A251" s="207"/>
      <c r="B251" s="207"/>
      <c r="C251" s="207"/>
      <c r="D251" s="207"/>
      <c r="E251" s="208"/>
      <c r="F251" s="207"/>
      <c r="G251" s="207"/>
      <c r="H251" s="207"/>
      <c r="I251" s="207"/>
      <c r="J251" s="207"/>
      <c r="K251" s="209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7"/>
      <c r="AD251" s="207"/>
      <c r="AE251" s="207"/>
      <c r="AF251" s="207"/>
      <c r="AG251" s="207"/>
      <c r="AH251" s="207"/>
      <c r="AI251" s="207"/>
      <c r="AJ251" s="203"/>
      <c r="AK251" s="203"/>
      <c r="AL251" s="203"/>
    </row>
    <row r="252" ht="15.75" customHeight="1">
      <c r="A252" s="207"/>
      <c r="B252" s="207"/>
      <c r="C252" s="207"/>
      <c r="D252" s="207"/>
      <c r="E252" s="208"/>
      <c r="F252" s="207"/>
      <c r="G252" s="207"/>
      <c r="H252" s="207"/>
      <c r="I252" s="207"/>
      <c r="J252" s="207"/>
      <c r="K252" s="209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  <c r="AE252" s="207"/>
      <c r="AF252" s="207"/>
      <c r="AG252" s="207"/>
      <c r="AH252" s="207"/>
      <c r="AI252" s="207"/>
      <c r="AJ252" s="203"/>
      <c r="AK252" s="203"/>
      <c r="AL252" s="203"/>
    </row>
    <row r="253" ht="15.75" customHeight="1">
      <c r="A253" s="207"/>
      <c r="B253" s="207"/>
      <c r="C253" s="207"/>
      <c r="D253" s="207"/>
      <c r="E253" s="208"/>
      <c r="F253" s="207"/>
      <c r="G253" s="207"/>
      <c r="H253" s="207"/>
      <c r="I253" s="207"/>
      <c r="J253" s="207"/>
      <c r="K253" s="209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  <c r="AE253" s="207"/>
      <c r="AF253" s="207"/>
      <c r="AG253" s="207"/>
      <c r="AH253" s="207"/>
      <c r="AI253" s="207"/>
      <c r="AJ253" s="203"/>
      <c r="AK253" s="203"/>
      <c r="AL253" s="203"/>
    </row>
    <row r="254" ht="15.75" customHeight="1">
      <c r="A254" s="207"/>
      <c r="B254" s="207"/>
      <c r="C254" s="207"/>
      <c r="D254" s="207"/>
      <c r="E254" s="208"/>
      <c r="F254" s="207"/>
      <c r="G254" s="207"/>
      <c r="H254" s="207"/>
      <c r="I254" s="207"/>
      <c r="J254" s="207"/>
      <c r="K254" s="209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7"/>
      <c r="AD254" s="207"/>
      <c r="AE254" s="207"/>
      <c r="AF254" s="207"/>
      <c r="AG254" s="207"/>
      <c r="AH254" s="207"/>
      <c r="AI254" s="207"/>
      <c r="AJ254" s="203"/>
      <c r="AK254" s="203"/>
      <c r="AL254" s="203"/>
    </row>
    <row r="255" ht="15.75" customHeight="1">
      <c r="A255" s="207"/>
      <c r="B255" s="207"/>
      <c r="C255" s="207"/>
      <c r="D255" s="207"/>
      <c r="E255" s="208"/>
      <c r="F255" s="207"/>
      <c r="G255" s="207"/>
      <c r="H255" s="207"/>
      <c r="I255" s="207"/>
      <c r="J255" s="207"/>
      <c r="K255" s="209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  <c r="AG255" s="207"/>
      <c r="AH255" s="207"/>
      <c r="AI255" s="207"/>
      <c r="AJ255" s="203"/>
      <c r="AK255" s="203"/>
      <c r="AL255" s="203"/>
    </row>
    <row r="256" ht="15.75" customHeight="1">
      <c r="A256" s="207"/>
      <c r="B256" s="207"/>
      <c r="C256" s="207"/>
      <c r="D256" s="207"/>
      <c r="E256" s="208"/>
      <c r="F256" s="207"/>
      <c r="G256" s="207"/>
      <c r="H256" s="207"/>
      <c r="I256" s="207"/>
      <c r="J256" s="207"/>
      <c r="K256" s="209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207"/>
      <c r="AG256" s="207"/>
      <c r="AH256" s="207"/>
      <c r="AI256" s="207"/>
      <c r="AJ256" s="203"/>
      <c r="AK256" s="203"/>
      <c r="AL256" s="203"/>
    </row>
    <row r="257" ht="15.75" customHeight="1">
      <c r="A257" s="207"/>
      <c r="B257" s="207"/>
      <c r="C257" s="207"/>
      <c r="D257" s="207"/>
      <c r="E257" s="208"/>
      <c r="F257" s="207"/>
      <c r="G257" s="207"/>
      <c r="H257" s="207"/>
      <c r="I257" s="207"/>
      <c r="J257" s="207"/>
      <c r="K257" s="209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  <c r="AE257" s="207"/>
      <c r="AF257" s="207"/>
      <c r="AG257" s="207"/>
      <c r="AH257" s="207"/>
      <c r="AI257" s="207"/>
      <c r="AJ257" s="203"/>
      <c r="AK257" s="203"/>
      <c r="AL257" s="203"/>
    </row>
    <row r="258" ht="15.75" customHeight="1">
      <c r="A258" s="207"/>
      <c r="B258" s="207"/>
      <c r="C258" s="207"/>
      <c r="D258" s="207"/>
      <c r="E258" s="208"/>
      <c r="F258" s="207"/>
      <c r="G258" s="207"/>
      <c r="H258" s="207"/>
      <c r="I258" s="207"/>
      <c r="J258" s="207"/>
      <c r="K258" s="209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7"/>
      <c r="AD258" s="207"/>
      <c r="AE258" s="207"/>
      <c r="AF258" s="207"/>
      <c r="AG258" s="207"/>
      <c r="AH258" s="207"/>
      <c r="AI258" s="207"/>
      <c r="AJ258" s="203"/>
      <c r="AK258" s="203"/>
      <c r="AL258" s="203"/>
    </row>
    <row r="259" ht="15.75" customHeight="1">
      <c r="A259" s="207"/>
      <c r="B259" s="207"/>
      <c r="C259" s="207"/>
      <c r="D259" s="207"/>
      <c r="E259" s="208"/>
      <c r="F259" s="207"/>
      <c r="G259" s="207"/>
      <c r="H259" s="207"/>
      <c r="I259" s="207"/>
      <c r="J259" s="207"/>
      <c r="K259" s="209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  <c r="AE259" s="207"/>
      <c r="AF259" s="207"/>
      <c r="AG259" s="207"/>
      <c r="AH259" s="207"/>
      <c r="AI259" s="207"/>
      <c r="AJ259" s="203"/>
      <c r="AK259" s="203"/>
      <c r="AL259" s="203"/>
    </row>
    <row r="260" ht="15.75" customHeight="1">
      <c r="A260" s="207"/>
      <c r="B260" s="207"/>
      <c r="C260" s="207"/>
      <c r="D260" s="207"/>
      <c r="E260" s="208"/>
      <c r="F260" s="207"/>
      <c r="G260" s="207"/>
      <c r="H260" s="207"/>
      <c r="I260" s="207"/>
      <c r="J260" s="207"/>
      <c r="K260" s="209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07"/>
      <c r="AG260" s="207"/>
      <c r="AH260" s="207"/>
      <c r="AI260" s="207"/>
      <c r="AJ260" s="203"/>
      <c r="AK260" s="203"/>
      <c r="AL260" s="203"/>
    </row>
    <row r="261" ht="15.75" customHeight="1">
      <c r="A261" s="207"/>
      <c r="B261" s="207"/>
      <c r="C261" s="207"/>
      <c r="D261" s="207"/>
      <c r="E261" s="208"/>
      <c r="F261" s="207"/>
      <c r="G261" s="207"/>
      <c r="H261" s="207"/>
      <c r="I261" s="207"/>
      <c r="J261" s="207"/>
      <c r="K261" s="209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07"/>
      <c r="AG261" s="207"/>
      <c r="AH261" s="207"/>
      <c r="AI261" s="207"/>
      <c r="AJ261" s="203"/>
      <c r="AK261" s="203"/>
      <c r="AL261" s="203"/>
    </row>
    <row r="262" ht="15.75" customHeight="1">
      <c r="A262" s="207"/>
      <c r="B262" s="207"/>
      <c r="C262" s="207"/>
      <c r="D262" s="207"/>
      <c r="E262" s="208"/>
      <c r="F262" s="207"/>
      <c r="G262" s="207"/>
      <c r="H262" s="207"/>
      <c r="I262" s="207"/>
      <c r="J262" s="207"/>
      <c r="K262" s="209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  <c r="AG262" s="207"/>
      <c r="AH262" s="207"/>
      <c r="AI262" s="207"/>
      <c r="AJ262" s="203"/>
      <c r="AK262" s="203"/>
      <c r="AL262" s="203"/>
    </row>
    <row r="263" ht="15.75" customHeight="1">
      <c r="A263" s="207"/>
      <c r="B263" s="207"/>
      <c r="C263" s="207"/>
      <c r="D263" s="207"/>
      <c r="E263" s="208"/>
      <c r="F263" s="207"/>
      <c r="G263" s="207"/>
      <c r="H263" s="207"/>
      <c r="I263" s="207"/>
      <c r="J263" s="207"/>
      <c r="K263" s="209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  <c r="AG263" s="207"/>
      <c r="AH263" s="207"/>
      <c r="AI263" s="207"/>
      <c r="AJ263" s="203"/>
      <c r="AK263" s="203"/>
      <c r="AL263" s="203"/>
    </row>
    <row r="264" ht="15.75" customHeight="1">
      <c r="A264" s="207"/>
      <c r="B264" s="207"/>
      <c r="C264" s="207"/>
      <c r="D264" s="207"/>
      <c r="E264" s="208"/>
      <c r="F264" s="207"/>
      <c r="G264" s="207"/>
      <c r="H264" s="207"/>
      <c r="I264" s="207"/>
      <c r="J264" s="207"/>
      <c r="K264" s="209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07"/>
      <c r="AG264" s="207"/>
      <c r="AH264" s="207"/>
      <c r="AI264" s="207"/>
      <c r="AJ264" s="203"/>
      <c r="AK264" s="203"/>
      <c r="AL264" s="203"/>
    </row>
    <row r="265" ht="15.75" customHeight="1">
      <c r="A265" s="207"/>
      <c r="B265" s="207"/>
      <c r="C265" s="207"/>
      <c r="D265" s="207"/>
      <c r="E265" s="208"/>
      <c r="F265" s="207"/>
      <c r="G265" s="207"/>
      <c r="H265" s="207"/>
      <c r="I265" s="207"/>
      <c r="J265" s="207"/>
      <c r="K265" s="209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  <c r="AE265" s="207"/>
      <c r="AF265" s="207"/>
      <c r="AG265" s="207"/>
      <c r="AH265" s="207"/>
      <c r="AI265" s="207"/>
      <c r="AJ265" s="203"/>
      <c r="AK265" s="203"/>
      <c r="AL265" s="203"/>
    </row>
    <row r="266" ht="15.75" customHeight="1">
      <c r="A266" s="207"/>
      <c r="B266" s="207"/>
      <c r="C266" s="207"/>
      <c r="D266" s="207"/>
      <c r="E266" s="208"/>
      <c r="F266" s="207"/>
      <c r="G266" s="207"/>
      <c r="H266" s="207"/>
      <c r="I266" s="207"/>
      <c r="J266" s="207"/>
      <c r="K266" s="209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  <c r="AG266" s="207"/>
      <c r="AH266" s="207"/>
      <c r="AI266" s="207"/>
      <c r="AJ266" s="203"/>
      <c r="AK266" s="203"/>
      <c r="AL266" s="203"/>
    </row>
    <row r="267" ht="15.75" customHeight="1">
      <c r="A267" s="207"/>
      <c r="B267" s="207"/>
      <c r="C267" s="207"/>
      <c r="D267" s="207"/>
      <c r="E267" s="208"/>
      <c r="F267" s="207"/>
      <c r="G267" s="207"/>
      <c r="H267" s="207"/>
      <c r="I267" s="207"/>
      <c r="J267" s="207"/>
      <c r="K267" s="209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  <c r="AE267" s="207"/>
      <c r="AF267" s="207"/>
      <c r="AG267" s="207"/>
      <c r="AH267" s="207"/>
      <c r="AI267" s="207"/>
      <c r="AJ267" s="203"/>
      <c r="AK267" s="203"/>
      <c r="AL267" s="203"/>
    </row>
    <row r="268" ht="15.75" customHeight="1">
      <c r="A268" s="207"/>
      <c r="B268" s="207"/>
      <c r="C268" s="207"/>
      <c r="D268" s="207"/>
      <c r="E268" s="208"/>
      <c r="F268" s="207"/>
      <c r="G268" s="207"/>
      <c r="H268" s="207"/>
      <c r="I268" s="207"/>
      <c r="J268" s="207"/>
      <c r="K268" s="209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  <c r="AE268" s="207"/>
      <c r="AF268" s="207"/>
      <c r="AG268" s="207"/>
      <c r="AH268" s="207"/>
      <c r="AI268" s="207"/>
      <c r="AJ268" s="203"/>
      <c r="AK268" s="203"/>
      <c r="AL268" s="203"/>
    </row>
    <row r="269" ht="15.75" customHeight="1">
      <c r="A269" s="207"/>
      <c r="B269" s="207"/>
      <c r="C269" s="207"/>
      <c r="D269" s="207"/>
      <c r="E269" s="208"/>
      <c r="F269" s="207"/>
      <c r="G269" s="207"/>
      <c r="H269" s="207"/>
      <c r="I269" s="207"/>
      <c r="J269" s="207"/>
      <c r="K269" s="209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  <c r="AG269" s="207"/>
      <c r="AH269" s="207"/>
      <c r="AI269" s="207"/>
      <c r="AJ269" s="203"/>
      <c r="AK269" s="203"/>
      <c r="AL269" s="203"/>
    </row>
    <row r="270" ht="15.75" customHeight="1">
      <c r="A270" s="207"/>
      <c r="B270" s="207"/>
      <c r="C270" s="207"/>
      <c r="D270" s="207"/>
      <c r="E270" s="208"/>
      <c r="F270" s="207"/>
      <c r="G270" s="207"/>
      <c r="H270" s="207"/>
      <c r="I270" s="207"/>
      <c r="J270" s="207"/>
      <c r="K270" s="209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  <c r="AE270" s="207"/>
      <c r="AF270" s="207"/>
      <c r="AG270" s="207"/>
      <c r="AH270" s="207"/>
      <c r="AI270" s="207"/>
      <c r="AJ270" s="203"/>
      <c r="AK270" s="203"/>
      <c r="AL270" s="203"/>
    </row>
    <row r="271" ht="15.75" customHeight="1">
      <c r="A271" s="207"/>
      <c r="B271" s="207"/>
      <c r="C271" s="207"/>
      <c r="D271" s="207"/>
      <c r="E271" s="208"/>
      <c r="F271" s="207"/>
      <c r="G271" s="207"/>
      <c r="H271" s="207"/>
      <c r="I271" s="207"/>
      <c r="J271" s="207"/>
      <c r="K271" s="209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7"/>
      <c r="AD271" s="207"/>
      <c r="AE271" s="207"/>
      <c r="AF271" s="207"/>
      <c r="AG271" s="207"/>
      <c r="AH271" s="207"/>
      <c r="AI271" s="207"/>
      <c r="AJ271" s="203"/>
      <c r="AK271" s="203"/>
      <c r="AL271" s="203"/>
    </row>
    <row r="272" ht="15.75" customHeight="1">
      <c r="A272" s="207"/>
      <c r="B272" s="207"/>
      <c r="C272" s="207"/>
      <c r="D272" s="207"/>
      <c r="E272" s="208"/>
      <c r="F272" s="207"/>
      <c r="G272" s="207"/>
      <c r="H272" s="207"/>
      <c r="I272" s="207"/>
      <c r="J272" s="207"/>
      <c r="K272" s="209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  <c r="AE272" s="207"/>
      <c r="AF272" s="207"/>
      <c r="AG272" s="207"/>
      <c r="AH272" s="207"/>
      <c r="AI272" s="207"/>
      <c r="AJ272" s="203"/>
      <c r="AK272" s="203"/>
      <c r="AL272" s="203"/>
    </row>
    <row r="273" ht="15.75" customHeight="1">
      <c r="A273" s="207"/>
      <c r="B273" s="207"/>
      <c r="C273" s="207"/>
      <c r="D273" s="207"/>
      <c r="E273" s="208"/>
      <c r="F273" s="207"/>
      <c r="G273" s="207"/>
      <c r="H273" s="207"/>
      <c r="I273" s="207"/>
      <c r="J273" s="207"/>
      <c r="K273" s="209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  <c r="AE273" s="207"/>
      <c r="AF273" s="207"/>
      <c r="AG273" s="207"/>
      <c r="AH273" s="207"/>
      <c r="AI273" s="207"/>
      <c r="AJ273" s="203"/>
      <c r="AK273" s="203"/>
      <c r="AL273" s="203"/>
    </row>
    <row r="274" ht="15.75" customHeight="1">
      <c r="A274" s="207"/>
      <c r="B274" s="207"/>
      <c r="C274" s="207"/>
      <c r="D274" s="207"/>
      <c r="E274" s="208"/>
      <c r="F274" s="207"/>
      <c r="G274" s="207"/>
      <c r="H274" s="207"/>
      <c r="I274" s="207"/>
      <c r="J274" s="207"/>
      <c r="K274" s="209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  <c r="AE274" s="207"/>
      <c r="AF274" s="207"/>
      <c r="AG274" s="207"/>
      <c r="AH274" s="207"/>
      <c r="AI274" s="207"/>
      <c r="AJ274" s="203"/>
      <c r="AK274" s="203"/>
      <c r="AL274" s="203"/>
    </row>
    <row r="275" ht="15.75" customHeight="1">
      <c r="A275" s="207"/>
      <c r="B275" s="207"/>
      <c r="C275" s="207"/>
      <c r="D275" s="207"/>
      <c r="E275" s="208"/>
      <c r="F275" s="207"/>
      <c r="G275" s="207"/>
      <c r="H275" s="207"/>
      <c r="I275" s="207"/>
      <c r="J275" s="207"/>
      <c r="K275" s="209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  <c r="AE275" s="207"/>
      <c r="AF275" s="207"/>
      <c r="AG275" s="207"/>
      <c r="AH275" s="207"/>
      <c r="AI275" s="207"/>
      <c r="AJ275" s="203"/>
      <c r="AK275" s="203"/>
      <c r="AL275" s="203"/>
    </row>
    <row r="276" ht="15.75" customHeight="1">
      <c r="A276" s="207"/>
      <c r="B276" s="207"/>
      <c r="C276" s="207"/>
      <c r="D276" s="207"/>
      <c r="E276" s="208"/>
      <c r="F276" s="207"/>
      <c r="G276" s="207"/>
      <c r="H276" s="207"/>
      <c r="I276" s="207"/>
      <c r="J276" s="207"/>
      <c r="K276" s="209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  <c r="AG276" s="207"/>
      <c r="AH276" s="207"/>
      <c r="AI276" s="207"/>
      <c r="AJ276" s="203"/>
      <c r="AK276" s="203"/>
      <c r="AL276" s="203"/>
    </row>
    <row r="277" ht="15.75" customHeight="1">
      <c r="A277" s="207"/>
      <c r="B277" s="207"/>
      <c r="C277" s="207"/>
      <c r="D277" s="207"/>
      <c r="E277" s="208"/>
      <c r="F277" s="207"/>
      <c r="G277" s="207"/>
      <c r="H277" s="207"/>
      <c r="I277" s="207"/>
      <c r="J277" s="207"/>
      <c r="K277" s="209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7"/>
      <c r="AD277" s="207"/>
      <c r="AE277" s="207"/>
      <c r="AF277" s="207"/>
      <c r="AG277" s="207"/>
      <c r="AH277" s="207"/>
      <c r="AI277" s="207"/>
      <c r="AJ277" s="203"/>
      <c r="AK277" s="203"/>
      <c r="AL277" s="203"/>
    </row>
    <row r="278" ht="15.75" customHeight="1">
      <c r="A278" s="207"/>
      <c r="B278" s="207"/>
      <c r="C278" s="207"/>
      <c r="D278" s="207"/>
      <c r="E278" s="208"/>
      <c r="F278" s="207"/>
      <c r="G278" s="207"/>
      <c r="H278" s="207"/>
      <c r="I278" s="207"/>
      <c r="J278" s="207"/>
      <c r="K278" s="209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  <c r="AE278" s="207"/>
      <c r="AF278" s="207"/>
      <c r="AG278" s="207"/>
      <c r="AH278" s="207"/>
      <c r="AI278" s="207"/>
      <c r="AJ278" s="203"/>
      <c r="AK278" s="203"/>
      <c r="AL278" s="203"/>
    </row>
    <row r="279" ht="15.75" customHeight="1">
      <c r="A279" s="207"/>
      <c r="B279" s="207"/>
      <c r="C279" s="207"/>
      <c r="D279" s="207"/>
      <c r="E279" s="208"/>
      <c r="F279" s="207"/>
      <c r="G279" s="207"/>
      <c r="H279" s="207"/>
      <c r="I279" s="207"/>
      <c r="J279" s="207"/>
      <c r="K279" s="209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  <c r="AE279" s="207"/>
      <c r="AF279" s="207"/>
      <c r="AG279" s="207"/>
      <c r="AH279" s="207"/>
      <c r="AI279" s="207"/>
      <c r="AJ279" s="203"/>
      <c r="AK279" s="203"/>
      <c r="AL279" s="203"/>
    </row>
    <row r="280" ht="15.75" customHeight="1">
      <c r="A280" s="207"/>
      <c r="B280" s="207"/>
      <c r="C280" s="207"/>
      <c r="D280" s="207"/>
      <c r="E280" s="208"/>
      <c r="F280" s="207"/>
      <c r="G280" s="207"/>
      <c r="H280" s="207"/>
      <c r="I280" s="207"/>
      <c r="J280" s="207"/>
      <c r="K280" s="209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7"/>
      <c r="AH280" s="207"/>
      <c r="AI280" s="207"/>
      <c r="AJ280" s="203"/>
      <c r="AK280" s="203"/>
      <c r="AL280" s="203"/>
    </row>
    <row r="281" ht="15.75" customHeight="1">
      <c r="A281" s="207"/>
      <c r="B281" s="207"/>
      <c r="C281" s="207"/>
      <c r="D281" s="207"/>
      <c r="E281" s="208"/>
      <c r="F281" s="207"/>
      <c r="G281" s="207"/>
      <c r="H281" s="207"/>
      <c r="I281" s="207"/>
      <c r="J281" s="207"/>
      <c r="K281" s="209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7"/>
      <c r="AD281" s="207"/>
      <c r="AE281" s="207"/>
      <c r="AF281" s="207"/>
      <c r="AG281" s="207"/>
      <c r="AH281" s="207"/>
      <c r="AI281" s="207"/>
      <c r="AJ281" s="203"/>
      <c r="AK281" s="203"/>
      <c r="AL281" s="203"/>
    </row>
    <row r="282" ht="15.75" customHeight="1">
      <c r="A282" s="207"/>
      <c r="B282" s="207"/>
      <c r="C282" s="207"/>
      <c r="D282" s="207"/>
      <c r="E282" s="208"/>
      <c r="F282" s="207"/>
      <c r="G282" s="207"/>
      <c r="H282" s="207"/>
      <c r="I282" s="207"/>
      <c r="J282" s="207"/>
      <c r="K282" s="209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  <c r="AG282" s="207"/>
      <c r="AH282" s="207"/>
      <c r="AI282" s="207"/>
      <c r="AJ282" s="203"/>
      <c r="AK282" s="203"/>
      <c r="AL282" s="203"/>
    </row>
    <row r="283" ht="15.75" customHeight="1">
      <c r="A283" s="207"/>
      <c r="B283" s="207"/>
      <c r="C283" s="207"/>
      <c r="D283" s="207"/>
      <c r="E283" s="208"/>
      <c r="F283" s="207"/>
      <c r="G283" s="207"/>
      <c r="H283" s="207"/>
      <c r="I283" s="207"/>
      <c r="J283" s="207"/>
      <c r="K283" s="209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  <c r="AE283" s="207"/>
      <c r="AF283" s="207"/>
      <c r="AG283" s="207"/>
      <c r="AH283" s="207"/>
      <c r="AI283" s="207"/>
      <c r="AJ283" s="203"/>
      <c r="AK283" s="203"/>
      <c r="AL283" s="203"/>
    </row>
    <row r="284" ht="15.75" customHeight="1">
      <c r="A284" s="207"/>
      <c r="B284" s="207"/>
      <c r="C284" s="207"/>
      <c r="D284" s="207"/>
      <c r="E284" s="208"/>
      <c r="F284" s="207"/>
      <c r="G284" s="207"/>
      <c r="H284" s="207"/>
      <c r="I284" s="207"/>
      <c r="J284" s="207"/>
      <c r="K284" s="209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  <c r="AE284" s="207"/>
      <c r="AF284" s="207"/>
      <c r="AG284" s="207"/>
      <c r="AH284" s="207"/>
      <c r="AI284" s="207"/>
      <c r="AJ284" s="203"/>
      <c r="AK284" s="203"/>
      <c r="AL284" s="203"/>
    </row>
    <row r="285" ht="15.75" customHeight="1">
      <c r="A285" s="207"/>
      <c r="B285" s="207"/>
      <c r="C285" s="207"/>
      <c r="D285" s="207"/>
      <c r="E285" s="208"/>
      <c r="F285" s="207"/>
      <c r="G285" s="207"/>
      <c r="H285" s="207"/>
      <c r="I285" s="207"/>
      <c r="J285" s="207"/>
      <c r="K285" s="209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7"/>
      <c r="AD285" s="207"/>
      <c r="AE285" s="207"/>
      <c r="AF285" s="207"/>
      <c r="AG285" s="207"/>
      <c r="AH285" s="207"/>
      <c r="AI285" s="207"/>
      <c r="AJ285" s="203"/>
      <c r="AK285" s="203"/>
      <c r="AL285" s="203"/>
    </row>
    <row r="286" ht="15.75" customHeight="1">
      <c r="A286" s="207"/>
      <c r="B286" s="207"/>
      <c r="C286" s="207"/>
      <c r="D286" s="207"/>
      <c r="E286" s="208"/>
      <c r="F286" s="207"/>
      <c r="G286" s="207"/>
      <c r="H286" s="207"/>
      <c r="I286" s="207"/>
      <c r="J286" s="207"/>
      <c r="K286" s="209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  <c r="AG286" s="207"/>
      <c r="AH286" s="207"/>
      <c r="AI286" s="207"/>
      <c r="AJ286" s="203"/>
      <c r="AK286" s="203"/>
      <c r="AL286" s="203"/>
    </row>
    <row r="287" ht="15.75" customHeight="1">
      <c r="A287" s="207"/>
      <c r="B287" s="207"/>
      <c r="C287" s="207"/>
      <c r="D287" s="207"/>
      <c r="E287" s="207"/>
      <c r="F287" s="207"/>
      <c r="G287" s="207"/>
      <c r="H287" s="207"/>
      <c r="I287" s="207"/>
      <c r="J287" s="207"/>
      <c r="K287" s="209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7"/>
      <c r="AD287" s="207"/>
      <c r="AE287" s="207"/>
      <c r="AF287" s="207"/>
      <c r="AG287" s="207"/>
      <c r="AH287" s="207"/>
      <c r="AI287" s="207"/>
      <c r="AJ287" s="203"/>
      <c r="AK287" s="203"/>
      <c r="AL287" s="203"/>
    </row>
    <row r="288" ht="15.75" customHeight="1">
      <c r="A288" s="207"/>
      <c r="B288" s="207"/>
      <c r="C288" s="207"/>
      <c r="D288" s="207"/>
      <c r="E288" s="207"/>
      <c r="F288" s="207"/>
      <c r="G288" s="207"/>
      <c r="H288" s="207"/>
      <c r="I288" s="207"/>
      <c r="J288" s="207"/>
      <c r="K288" s="209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7"/>
      <c r="AD288" s="207"/>
      <c r="AE288" s="207"/>
      <c r="AF288" s="207"/>
      <c r="AG288" s="207"/>
      <c r="AH288" s="207"/>
      <c r="AI288" s="207"/>
      <c r="AJ288" s="203"/>
      <c r="AK288" s="203"/>
      <c r="AL288" s="203"/>
    </row>
    <row r="289" ht="15.75" customHeight="1">
      <c r="A289" s="207"/>
      <c r="B289" s="207"/>
      <c r="C289" s="207"/>
      <c r="D289" s="207"/>
      <c r="E289" s="207"/>
      <c r="F289" s="207"/>
      <c r="G289" s="207"/>
      <c r="H289" s="207"/>
      <c r="I289" s="207"/>
      <c r="J289" s="207"/>
      <c r="K289" s="209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7"/>
      <c r="AD289" s="207"/>
      <c r="AE289" s="207"/>
      <c r="AF289" s="207"/>
      <c r="AG289" s="207"/>
      <c r="AH289" s="207"/>
      <c r="AI289" s="207"/>
      <c r="AJ289" s="203"/>
      <c r="AK289" s="203"/>
      <c r="AL289" s="203"/>
    </row>
    <row r="290" ht="15.75" customHeight="1">
      <c r="A290" s="207"/>
      <c r="B290" s="207"/>
      <c r="C290" s="207"/>
      <c r="D290" s="207"/>
      <c r="E290" s="207"/>
      <c r="F290" s="207"/>
      <c r="G290" s="207"/>
      <c r="H290" s="207"/>
      <c r="I290" s="207"/>
      <c r="J290" s="207"/>
      <c r="K290" s="209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7"/>
      <c r="AD290" s="207"/>
      <c r="AE290" s="207"/>
      <c r="AF290" s="207"/>
      <c r="AG290" s="207"/>
      <c r="AH290" s="207"/>
      <c r="AI290" s="207"/>
      <c r="AJ290" s="203"/>
      <c r="AK290" s="203"/>
      <c r="AL290" s="203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G12:G14"/>
    <mergeCell ref="D18:D19"/>
    <mergeCell ref="E18:E19"/>
    <mergeCell ref="F18:F19"/>
    <mergeCell ref="J18:J19"/>
    <mergeCell ref="F46:F47"/>
    <mergeCell ref="G46:G47"/>
    <mergeCell ref="I46:I47"/>
    <mergeCell ref="G48:G51"/>
    <mergeCell ref="D54:F54"/>
    <mergeCell ref="A61:C61"/>
    <mergeCell ref="A62:C62"/>
    <mergeCell ref="G16:G23"/>
    <mergeCell ref="G25:G31"/>
    <mergeCell ref="G37:G39"/>
    <mergeCell ref="G42:G45"/>
    <mergeCell ref="C46:C47"/>
    <mergeCell ref="D46:D47"/>
    <mergeCell ref="E46:E47"/>
  </mergeCells>
  <printOptions/>
  <pageMargins bottom="0.4096133751306165" footer="0.0" header="0.0" left="0.2633228840125392" right="0.2362204724409449" top="0.1755485893416928"/>
  <pageSetup fitToHeight="0" paperSize="5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9.13"/>
    <col customWidth="1" min="3" max="3" width="50.63"/>
    <col customWidth="1" min="4" max="4" width="11.63"/>
    <col customWidth="1" min="5" max="5" width="11.75"/>
    <col customWidth="1" min="6" max="6" width="12.75"/>
    <col customWidth="1" min="7" max="7" width="29.88"/>
    <col customWidth="1" min="8" max="8" width="10.38"/>
    <col customWidth="1" min="9" max="10" width="7.63"/>
    <col customWidth="1" min="11" max="11" width="6.25"/>
    <col customWidth="1" hidden="1" min="12" max="14" width="8.38"/>
    <col customWidth="1" hidden="1" min="15" max="16" width="7.63"/>
    <col customWidth="1" hidden="1" min="17" max="17" width="11.38"/>
    <col customWidth="1" hidden="1" min="18" max="19" width="7.63"/>
    <col customWidth="1" hidden="1" min="20" max="20" width="10.25"/>
    <col customWidth="1" hidden="1" min="21" max="21" width="9.25"/>
    <col customWidth="1" hidden="1" min="22" max="22" width="7.63"/>
    <col customWidth="1" hidden="1" min="23" max="23" width="9.5"/>
    <col customWidth="1" hidden="1" min="24" max="24" width="9.88"/>
    <col customWidth="1" hidden="1" min="25" max="25" width="11.25"/>
    <col customWidth="1" hidden="1" min="26" max="37" width="12.63"/>
    <col customWidth="1" min="38" max="38" width="10.75"/>
  </cols>
  <sheetData>
    <row r="1" ht="15.75" customHeight="1">
      <c r="A1" s="3"/>
      <c r="B1" s="3"/>
      <c r="C1" s="288"/>
      <c r="D1" s="289" t="s">
        <v>160</v>
      </c>
      <c r="E1" s="288"/>
      <c r="F1" s="28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290"/>
      <c r="AK1" s="290"/>
      <c r="AL1" s="290"/>
    </row>
    <row r="2" ht="15.75" customHeight="1">
      <c r="A2" s="3" t="s">
        <v>1</v>
      </c>
      <c r="AJ2" s="203"/>
      <c r="AK2" s="203"/>
      <c r="AL2" s="20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203"/>
      <c r="AK3" s="203"/>
      <c r="AL3" s="203"/>
    </row>
    <row r="4" ht="15.75" customHeight="1">
      <c r="A4" s="4"/>
      <c r="AJ4" s="203"/>
      <c r="AK4" s="203"/>
      <c r="AL4" s="203"/>
    </row>
    <row r="5" ht="15.75" customHeight="1">
      <c r="A5" s="5" t="s">
        <v>2</v>
      </c>
      <c r="B5" s="291"/>
      <c r="C5" s="207"/>
      <c r="D5" s="207"/>
      <c r="E5" s="208"/>
      <c r="F5" s="207"/>
      <c r="G5" s="209"/>
      <c r="H5" s="207"/>
      <c r="I5" s="207"/>
      <c r="J5" s="207"/>
      <c r="K5" s="209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3"/>
      <c r="AK5" s="203"/>
      <c r="AL5" s="203"/>
    </row>
    <row r="6" ht="15.75" customHeight="1">
      <c r="A6" s="4"/>
      <c r="B6" s="291"/>
      <c r="C6" s="207"/>
      <c r="D6" s="207"/>
      <c r="E6" s="208"/>
      <c r="F6" s="210"/>
      <c r="G6" s="209"/>
      <c r="H6" s="207"/>
      <c r="I6" s="207"/>
      <c r="J6" s="207"/>
      <c r="K6" s="209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3"/>
      <c r="AK6" s="203"/>
      <c r="AL6" s="203"/>
    </row>
    <row r="7" ht="15.75" customHeight="1">
      <c r="A7" s="5" t="s">
        <v>3</v>
      </c>
      <c r="B7" s="291"/>
      <c r="C7" s="207"/>
      <c r="D7" s="207"/>
      <c r="E7" s="208"/>
      <c r="F7" s="210"/>
      <c r="G7" s="209"/>
      <c r="H7" s="207"/>
      <c r="I7" s="207"/>
      <c r="J7" s="207"/>
      <c r="K7" s="209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3"/>
      <c r="AK7" s="203"/>
      <c r="AL7" s="203"/>
    </row>
    <row r="8" ht="15.75" customHeight="1">
      <c r="A8" s="292" t="s">
        <v>4</v>
      </c>
      <c r="B8" s="291"/>
      <c r="C8" s="207"/>
      <c r="D8" s="207"/>
      <c r="E8" s="208"/>
      <c r="F8" s="210"/>
      <c r="G8" s="209"/>
      <c r="H8" s="207"/>
      <c r="I8" s="207"/>
      <c r="J8" s="207"/>
      <c r="K8" s="209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3"/>
      <c r="AK8" s="203"/>
      <c r="AL8" s="203"/>
    </row>
    <row r="9" ht="33.75" customHeight="1">
      <c r="A9" s="293" t="s">
        <v>5</v>
      </c>
      <c r="B9" s="294" t="s">
        <v>6</v>
      </c>
      <c r="C9" s="295" t="s">
        <v>7</v>
      </c>
      <c r="D9" s="296" t="s">
        <v>8</v>
      </c>
      <c r="E9" s="295" t="s">
        <v>9</v>
      </c>
      <c r="F9" s="297" t="s">
        <v>10</v>
      </c>
      <c r="G9" s="298" t="s">
        <v>11</v>
      </c>
      <c r="H9" s="298" t="s">
        <v>12</v>
      </c>
      <c r="I9" s="299" t="s">
        <v>13</v>
      </c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301"/>
      <c r="AJ9" s="224"/>
      <c r="AK9" s="224"/>
      <c r="AL9" s="225"/>
    </row>
    <row r="10" ht="27.0" customHeight="1">
      <c r="A10" s="302"/>
      <c r="B10" s="303"/>
      <c r="C10" s="304"/>
      <c r="D10" s="305" t="s">
        <v>14</v>
      </c>
      <c r="E10" s="304"/>
      <c r="F10" s="304"/>
      <c r="G10" s="304"/>
      <c r="H10" s="304"/>
      <c r="I10" s="306" t="s">
        <v>15</v>
      </c>
      <c r="J10" s="306" t="s">
        <v>16</v>
      </c>
      <c r="K10" s="306" t="s">
        <v>17</v>
      </c>
      <c r="L10" s="307" t="s">
        <v>18</v>
      </c>
      <c r="M10" s="307" t="s">
        <v>19</v>
      </c>
      <c r="N10" s="307" t="s">
        <v>20</v>
      </c>
      <c r="O10" s="307" t="s">
        <v>21</v>
      </c>
      <c r="P10" s="307" t="s">
        <v>22</v>
      </c>
      <c r="Q10" s="307" t="s">
        <v>23</v>
      </c>
      <c r="R10" s="307" t="s">
        <v>24</v>
      </c>
      <c r="S10" s="307" t="s">
        <v>25</v>
      </c>
      <c r="T10" s="307" t="s">
        <v>26</v>
      </c>
      <c r="U10" s="307" t="s">
        <v>27</v>
      </c>
      <c r="V10" s="307" t="s">
        <v>28</v>
      </c>
      <c r="W10" s="307" t="s">
        <v>29</v>
      </c>
      <c r="X10" s="307" t="s">
        <v>30</v>
      </c>
      <c r="Y10" s="307" t="s">
        <v>31</v>
      </c>
      <c r="Z10" s="307" t="s">
        <v>32</v>
      </c>
      <c r="AA10" s="307" t="s">
        <v>33</v>
      </c>
      <c r="AB10" s="307" t="s">
        <v>34</v>
      </c>
      <c r="AC10" s="307" t="s">
        <v>35</v>
      </c>
      <c r="AD10" s="307" t="s">
        <v>36</v>
      </c>
      <c r="AE10" s="307" t="s">
        <v>37</v>
      </c>
      <c r="AF10" s="307" t="s">
        <v>38</v>
      </c>
      <c r="AG10" s="307" t="s">
        <v>39</v>
      </c>
      <c r="AH10" s="307" t="s">
        <v>40</v>
      </c>
      <c r="AI10" s="308" t="s">
        <v>41</v>
      </c>
      <c r="AJ10" s="309" t="s">
        <v>39</v>
      </c>
      <c r="AK10" s="309" t="s">
        <v>40</v>
      </c>
      <c r="AL10" s="309" t="s">
        <v>41</v>
      </c>
    </row>
    <row r="11" ht="21.0" customHeight="1">
      <c r="A11" s="310" t="s">
        <v>42</v>
      </c>
      <c r="B11" s="311" t="s">
        <v>43</v>
      </c>
      <c r="C11" s="312" t="s">
        <v>44</v>
      </c>
      <c r="D11" s="313" t="s">
        <v>45</v>
      </c>
      <c r="E11" s="312" t="s">
        <v>46</v>
      </c>
      <c r="F11" s="313" t="s">
        <v>47</v>
      </c>
      <c r="G11" s="314" t="s">
        <v>48</v>
      </c>
      <c r="H11" s="314" t="s">
        <v>49</v>
      </c>
      <c r="I11" s="314" t="s">
        <v>50</v>
      </c>
      <c r="J11" s="314" t="s">
        <v>51</v>
      </c>
      <c r="K11" s="314" t="s">
        <v>52</v>
      </c>
      <c r="L11" s="314" t="s">
        <v>53</v>
      </c>
      <c r="M11" s="314" t="s">
        <v>54</v>
      </c>
      <c r="N11" s="314" t="s">
        <v>55</v>
      </c>
      <c r="O11" s="314" t="s">
        <v>56</v>
      </c>
      <c r="P11" s="314" t="s">
        <v>57</v>
      </c>
      <c r="Q11" s="314" t="s">
        <v>58</v>
      </c>
      <c r="R11" s="314" t="s">
        <v>59</v>
      </c>
      <c r="S11" s="314" t="s">
        <v>60</v>
      </c>
      <c r="T11" s="314" t="s">
        <v>61</v>
      </c>
      <c r="U11" s="314" t="s">
        <v>62</v>
      </c>
      <c r="V11" s="314" t="s">
        <v>63</v>
      </c>
      <c r="W11" s="314" t="s">
        <v>64</v>
      </c>
      <c r="X11" s="314" t="s">
        <v>65</v>
      </c>
      <c r="Y11" s="314" t="s">
        <v>66</v>
      </c>
      <c r="Z11" s="314" t="s">
        <v>67</v>
      </c>
      <c r="AA11" s="314" t="s">
        <v>68</v>
      </c>
      <c r="AB11" s="314" t="s">
        <v>69</v>
      </c>
      <c r="AC11" s="314" t="s">
        <v>70</v>
      </c>
      <c r="AD11" s="314" t="s">
        <v>71</v>
      </c>
      <c r="AE11" s="314" t="s">
        <v>72</v>
      </c>
      <c r="AF11" s="314" t="s">
        <v>73</v>
      </c>
      <c r="AG11" s="314" t="s">
        <v>74</v>
      </c>
      <c r="AH11" s="314" t="s">
        <v>75</v>
      </c>
      <c r="AI11" s="314" t="s">
        <v>76</v>
      </c>
      <c r="AJ11" s="315" t="s">
        <v>74</v>
      </c>
      <c r="AK11" s="315" t="s">
        <v>75</v>
      </c>
      <c r="AL11" s="316" t="s">
        <v>76</v>
      </c>
    </row>
    <row r="12" ht="21.0" customHeight="1">
      <c r="A12" s="317"/>
      <c r="B12" s="318"/>
      <c r="C12" s="319" t="s">
        <v>77</v>
      </c>
      <c r="D12" s="320"/>
      <c r="E12" s="321"/>
      <c r="F12" s="322"/>
      <c r="G12" s="323"/>
      <c r="H12" s="320"/>
      <c r="I12" s="320"/>
      <c r="J12" s="320"/>
      <c r="K12" s="318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4"/>
      <c r="AK12" s="324"/>
      <c r="AL12" s="325"/>
    </row>
    <row r="13" ht="21.0" customHeight="1">
      <c r="A13" s="326"/>
      <c r="B13" s="327"/>
      <c r="C13" s="328" t="s">
        <v>78</v>
      </c>
      <c r="D13" s="82" t="s">
        <v>79</v>
      </c>
      <c r="E13" s="329">
        <v>50000.0</v>
      </c>
      <c r="F13" s="108">
        <v>50000.0</v>
      </c>
      <c r="G13" s="248" t="s">
        <v>80</v>
      </c>
      <c r="H13" s="82"/>
      <c r="I13" s="83"/>
      <c r="J13" s="84">
        <v>1.0</v>
      </c>
      <c r="K13" s="85"/>
      <c r="L13" s="86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6"/>
      <c r="AJ13" s="89"/>
      <c r="AK13" s="89"/>
      <c r="AL13" s="90"/>
    </row>
    <row r="14" ht="21.0" customHeight="1">
      <c r="A14" s="317"/>
      <c r="B14" s="318"/>
      <c r="C14" s="319" t="s">
        <v>81</v>
      </c>
      <c r="D14" s="320"/>
      <c r="E14" s="321"/>
      <c r="F14" s="322"/>
      <c r="G14" s="323"/>
      <c r="H14" s="320"/>
      <c r="I14" s="320"/>
      <c r="J14" s="320"/>
      <c r="K14" s="318"/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4"/>
      <c r="AK14" s="324"/>
      <c r="AL14" s="325"/>
    </row>
    <row r="15" ht="21.0" customHeight="1">
      <c r="A15" s="326"/>
      <c r="B15" s="330"/>
      <c r="C15" s="328" t="s">
        <v>161</v>
      </c>
      <c r="D15" s="82" t="s">
        <v>79</v>
      </c>
      <c r="E15" s="329">
        <v>624000.0</v>
      </c>
      <c r="F15" s="108">
        <v>624000.0</v>
      </c>
      <c r="G15" s="248" t="s">
        <v>80</v>
      </c>
      <c r="H15" s="82"/>
      <c r="I15" s="84"/>
      <c r="J15" s="84"/>
      <c r="K15" s="84">
        <v>1.0</v>
      </c>
      <c r="L15" s="86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6"/>
      <c r="AJ15" s="89"/>
      <c r="AK15" s="89"/>
      <c r="AL15" s="90"/>
    </row>
    <row r="16" ht="21.0" customHeight="1">
      <c r="A16" s="317"/>
      <c r="B16" s="318"/>
      <c r="C16" s="319" t="s">
        <v>162</v>
      </c>
      <c r="D16" s="320"/>
      <c r="E16" s="321"/>
      <c r="F16" s="322"/>
      <c r="G16" s="323"/>
      <c r="H16" s="320"/>
      <c r="I16" s="320"/>
      <c r="J16" s="320"/>
      <c r="K16" s="318"/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4"/>
      <c r="AK16" s="324"/>
      <c r="AL16" s="325"/>
    </row>
    <row r="17" ht="21.0" customHeight="1">
      <c r="A17" s="331"/>
      <c r="B17" s="332"/>
      <c r="C17" s="333" t="s">
        <v>163</v>
      </c>
      <c r="D17" s="334" t="s">
        <v>79</v>
      </c>
      <c r="E17" s="335">
        <v>100000.0</v>
      </c>
      <c r="F17" s="335">
        <v>100000.0</v>
      </c>
      <c r="G17" s="336" t="s">
        <v>80</v>
      </c>
      <c r="H17" s="334"/>
      <c r="I17" s="337"/>
      <c r="J17" s="337"/>
      <c r="K17" s="337">
        <v>1.0</v>
      </c>
      <c r="L17" s="338"/>
      <c r="M17" s="339"/>
      <c r="N17" s="339"/>
      <c r="O17" s="339"/>
      <c r="P17" s="339"/>
      <c r="Q17" s="339"/>
      <c r="R17" s="339"/>
      <c r="S17" s="339"/>
      <c r="T17" s="339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8"/>
      <c r="AJ17" s="340"/>
      <c r="AK17" s="340"/>
      <c r="AL17" s="341"/>
    </row>
    <row r="18" ht="21.0" customHeight="1">
      <c r="A18" s="317"/>
      <c r="B18" s="318"/>
      <c r="C18" s="319" t="s">
        <v>164</v>
      </c>
      <c r="D18" s="320"/>
      <c r="E18" s="321"/>
      <c r="F18" s="322"/>
      <c r="G18" s="323"/>
      <c r="H18" s="320"/>
      <c r="I18" s="320"/>
      <c r="J18" s="320"/>
      <c r="K18" s="318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4"/>
      <c r="AK18" s="324"/>
      <c r="AL18" s="325"/>
    </row>
    <row r="19" ht="21.0" customHeight="1">
      <c r="A19" s="326"/>
      <c r="B19" s="330"/>
      <c r="C19" s="328" t="s">
        <v>165</v>
      </c>
      <c r="D19" s="82" t="s">
        <v>79</v>
      </c>
      <c r="E19" s="329">
        <v>15000.0</v>
      </c>
      <c r="F19" s="329">
        <v>15000.0</v>
      </c>
      <c r="G19" s="248" t="s">
        <v>80</v>
      </c>
      <c r="H19" s="82"/>
      <c r="I19" s="84"/>
      <c r="J19" s="84"/>
      <c r="K19" s="84">
        <v>1.0</v>
      </c>
      <c r="L19" s="86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6"/>
      <c r="AJ19" s="89"/>
      <c r="AK19" s="89"/>
      <c r="AL19" s="90"/>
    </row>
    <row r="20" ht="21.0" customHeight="1">
      <c r="A20" s="317"/>
      <c r="B20" s="318"/>
      <c r="C20" s="319" t="s">
        <v>166</v>
      </c>
      <c r="D20" s="320"/>
      <c r="E20" s="321"/>
      <c r="F20" s="322"/>
      <c r="G20" s="323"/>
      <c r="H20" s="320"/>
      <c r="I20" s="320"/>
      <c r="J20" s="320"/>
      <c r="K20" s="318"/>
      <c r="L20" s="320"/>
      <c r="M20" s="320"/>
      <c r="N20" s="320"/>
      <c r="O20" s="320"/>
      <c r="P20" s="320"/>
      <c r="Q20" s="320"/>
      <c r="R20" s="320"/>
      <c r="S20" s="320"/>
      <c r="T20" s="320"/>
      <c r="U20" s="320"/>
      <c r="V20" s="320"/>
      <c r="W20" s="320"/>
      <c r="X20" s="320"/>
      <c r="Y20" s="320"/>
      <c r="Z20" s="320"/>
      <c r="AA20" s="320"/>
      <c r="AB20" s="320"/>
      <c r="AC20" s="320"/>
      <c r="AD20" s="320"/>
      <c r="AE20" s="320"/>
      <c r="AF20" s="320"/>
      <c r="AG20" s="320"/>
      <c r="AH20" s="320"/>
      <c r="AI20" s="320"/>
      <c r="AJ20" s="324"/>
      <c r="AK20" s="324"/>
      <c r="AL20" s="325"/>
    </row>
    <row r="21" ht="21.0" customHeight="1">
      <c r="A21" s="326"/>
      <c r="B21" s="330"/>
      <c r="C21" s="328" t="s">
        <v>167</v>
      </c>
      <c r="D21" s="82" t="s">
        <v>79</v>
      </c>
      <c r="E21" s="329">
        <v>10000.0</v>
      </c>
      <c r="F21" s="329">
        <v>10000.0</v>
      </c>
      <c r="G21" s="248" t="s">
        <v>80</v>
      </c>
      <c r="H21" s="82"/>
      <c r="I21" s="84"/>
      <c r="J21" s="84"/>
      <c r="K21" s="84">
        <v>1.0</v>
      </c>
      <c r="L21" s="86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6"/>
      <c r="AJ21" s="89"/>
      <c r="AK21" s="89"/>
      <c r="AL21" s="90"/>
    </row>
    <row r="22" ht="21.0" customHeight="1">
      <c r="A22" s="317"/>
      <c r="B22" s="318"/>
      <c r="C22" s="319" t="s">
        <v>83</v>
      </c>
      <c r="D22" s="320"/>
      <c r="E22" s="321"/>
      <c r="F22" s="322"/>
      <c r="G22" s="323"/>
      <c r="H22" s="320"/>
      <c r="I22" s="320"/>
      <c r="J22" s="320"/>
      <c r="K22" s="318"/>
      <c r="L22" s="320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20"/>
      <c r="AD22" s="320"/>
      <c r="AE22" s="320"/>
      <c r="AF22" s="320"/>
      <c r="AG22" s="320"/>
      <c r="AH22" s="320"/>
      <c r="AI22" s="320"/>
      <c r="AJ22" s="324"/>
      <c r="AK22" s="324"/>
      <c r="AL22" s="325"/>
    </row>
    <row r="23" ht="21.0" customHeight="1">
      <c r="A23" s="326"/>
      <c r="B23" s="327"/>
      <c r="C23" s="328" t="s">
        <v>88</v>
      </c>
      <c r="D23" s="155" t="s">
        <v>79</v>
      </c>
      <c r="E23" s="342">
        <v>30000.0</v>
      </c>
      <c r="F23" s="250">
        <v>30000.0</v>
      </c>
      <c r="G23" s="155" t="s">
        <v>80</v>
      </c>
      <c r="H23" s="82"/>
      <c r="I23" s="84"/>
      <c r="J23" s="84">
        <v>1.0</v>
      </c>
      <c r="K23" s="84"/>
      <c r="L23" s="86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6"/>
      <c r="AJ23" s="89"/>
      <c r="AK23" s="89"/>
      <c r="AL23" s="90"/>
    </row>
    <row r="24" ht="21.0" customHeight="1">
      <c r="A24" s="326"/>
      <c r="B24" s="327"/>
      <c r="C24" s="328" t="s">
        <v>89</v>
      </c>
      <c r="D24" s="81"/>
      <c r="E24" s="81"/>
      <c r="F24" s="81"/>
      <c r="G24" s="81"/>
      <c r="H24" s="82"/>
      <c r="I24" s="84"/>
      <c r="J24" s="84"/>
      <c r="K24" s="84"/>
      <c r="L24" s="86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6"/>
      <c r="AJ24" s="89"/>
      <c r="AK24" s="89"/>
      <c r="AL24" s="90"/>
    </row>
    <row r="25" ht="21.0" customHeight="1">
      <c r="A25" s="317"/>
      <c r="B25" s="318"/>
      <c r="C25" s="319" t="s">
        <v>97</v>
      </c>
      <c r="D25" s="320"/>
      <c r="E25" s="321"/>
      <c r="F25" s="322"/>
      <c r="G25" s="323"/>
      <c r="H25" s="320"/>
      <c r="I25" s="320"/>
      <c r="J25" s="320"/>
      <c r="K25" s="318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  <c r="AC25" s="320"/>
      <c r="AD25" s="320"/>
      <c r="AE25" s="320"/>
      <c r="AF25" s="320"/>
      <c r="AG25" s="320"/>
      <c r="AH25" s="320"/>
      <c r="AI25" s="320"/>
      <c r="AJ25" s="324"/>
      <c r="AK25" s="324"/>
      <c r="AL25" s="325"/>
    </row>
    <row r="26" ht="21.0" customHeight="1">
      <c r="A26" s="326"/>
      <c r="B26" s="330"/>
      <c r="C26" s="254" t="s">
        <v>98</v>
      </c>
      <c r="D26" s="82" t="s">
        <v>99</v>
      </c>
      <c r="E26" s="329">
        <v>2000.0</v>
      </c>
      <c r="F26" s="329">
        <f t="shared" ref="F26:F28" si="1">E26*5</f>
        <v>10000</v>
      </c>
      <c r="G26" s="155" t="s">
        <v>80</v>
      </c>
      <c r="H26" s="82"/>
      <c r="I26" s="84"/>
      <c r="J26" s="84">
        <v>5.0</v>
      </c>
      <c r="K26" s="84"/>
      <c r="L26" s="86"/>
      <c r="M26" s="86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6"/>
      <c r="AJ26" s="89"/>
      <c r="AK26" s="89"/>
      <c r="AL26" s="90"/>
    </row>
    <row r="27" ht="21.0" customHeight="1">
      <c r="A27" s="326"/>
      <c r="B27" s="330"/>
      <c r="C27" s="254" t="s">
        <v>100</v>
      </c>
      <c r="D27" s="82" t="s">
        <v>99</v>
      </c>
      <c r="E27" s="329">
        <v>2000.0</v>
      </c>
      <c r="F27" s="329">
        <f t="shared" si="1"/>
        <v>10000</v>
      </c>
      <c r="G27" s="66"/>
      <c r="H27" s="82"/>
      <c r="I27" s="84"/>
      <c r="J27" s="84">
        <v>5.0</v>
      </c>
      <c r="K27" s="84"/>
      <c r="L27" s="86"/>
      <c r="M27" s="86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6"/>
      <c r="AJ27" s="89"/>
      <c r="AK27" s="89"/>
      <c r="AL27" s="90"/>
    </row>
    <row r="28" ht="21.0" customHeight="1">
      <c r="A28" s="326"/>
      <c r="B28" s="330"/>
      <c r="C28" s="328" t="s">
        <v>101</v>
      </c>
      <c r="D28" s="82" t="s">
        <v>99</v>
      </c>
      <c r="E28" s="329">
        <v>600.0</v>
      </c>
      <c r="F28" s="108">
        <f t="shared" si="1"/>
        <v>3000</v>
      </c>
      <c r="G28" s="66"/>
      <c r="H28" s="82"/>
      <c r="I28" s="84"/>
      <c r="J28" s="84">
        <v>5.0</v>
      </c>
      <c r="K28" s="84"/>
      <c r="L28" s="86"/>
      <c r="M28" s="86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6"/>
      <c r="AJ28" s="89"/>
      <c r="AK28" s="89"/>
      <c r="AL28" s="90"/>
    </row>
    <row r="29" ht="21.0" customHeight="1">
      <c r="A29" s="326"/>
      <c r="B29" s="330"/>
      <c r="C29" s="328" t="s">
        <v>102</v>
      </c>
      <c r="D29" s="82" t="s">
        <v>103</v>
      </c>
      <c r="E29" s="329">
        <v>15000.0</v>
      </c>
      <c r="F29" s="108">
        <v>15000.0</v>
      </c>
      <c r="G29" s="81"/>
      <c r="H29" s="82"/>
      <c r="I29" s="84"/>
      <c r="J29" s="84">
        <v>50.0</v>
      </c>
      <c r="K29" s="84"/>
      <c r="L29" s="86"/>
      <c r="M29" s="86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6"/>
      <c r="AJ29" s="89"/>
      <c r="AK29" s="89"/>
      <c r="AL29" s="90"/>
    </row>
    <row r="30" ht="21.0" customHeight="1">
      <c r="A30" s="326"/>
      <c r="B30" s="330"/>
      <c r="C30" s="328" t="s">
        <v>168</v>
      </c>
      <c r="D30" s="109" t="s">
        <v>79</v>
      </c>
      <c r="E30" s="343">
        <v>5000.0</v>
      </c>
      <c r="F30" s="343">
        <v>5000.0</v>
      </c>
      <c r="G30" s="155" t="s">
        <v>169</v>
      </c>
      <c r="H30" s="83"/>
      <c r="I30" s="84"/>
      <c r="J30" s="84"/>
      <c r="K30" s="84">
        <v>1.0</v>
      </c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9"/>
      <c r="AK30" s="89"/>
      <c r="AL30" s="90"/>
    </row>
    <row r="31" ht="21.0" customHeight="1">
      <c r="A31" s="326"/>
      <c r="B31" s="330"/>
      <c r="C31" s="328" t="s">
        <v>170</v>
      </c>
      <c r="D31" s="109" t="s">
        <v>79</v>
      </c>
      <c r="E31" s="343">
        <v>7000.0</v>
      </c>
      <c r="F31" s="343">
        <v>7000.0</v>
      </c>
      <c r="G31" s="81"/>
      <c r="H31" s="83"/>
      <c r="I31" s="84"/>
      <c r="J31" s="84"/>
      <c r="K31" s="84">
        <v>1.0</v>
      </c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9"/>
      <c r="AK31" s="89"/>
      <c r="AL31" s="90"/>
    </row>
    <row r="32" ht="21.0" customHeight="1">
      <c r="A32" s="326"/>
      <c r="B32" s="330"/>
      <c r="C32" s="344" t="s">
        <v>171</v>
      </c>
      <c r="D32" s="345" t="s">
        <v>172</v>
      </c>
      <c r="E32" s="346">
        <v>85.0</v>
      </c>
      <c r="F32" s="346">
        <v>42500.0</v>
      </c>
      <c r="G32" s="135" t="s">
        <v>80</v>
      </c>
      <c r="H32" s="347"/>
      <c r="I32" s="84"/>
      <c r="J32" s="84"/>
      <c r="K32" s="84">
        <v>500.0</v>
      </c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7"/>
      <c r="AD32" s="347"/>
      <c r="AE32" s="347"/>
      <c r="AF32" s="347"/>
      <c r="AG32" s="347"/>
      <c r="AH32" s="347"/>
      <c r="AI32" s="347"/>
      <c r="AJ32" s="192"/>
      <c r="AK32" s="192"/>
      <c r="AL32" s="348"/>
    </row>
    <row r="33" ht="21.0" customHeight="1">
      <c r="A33" s="317"/>
      <c r="B33" s="318"/>
      <c r="C33" s="319" t="s">
        <v>107</v>
      </c>
      <c r="D33" s="320"/>
      <c r="E33" s="321"/>
      <c r="F33" s="322"/>
      <c r="G33" s="323"/>
      <c r="H33" s="320"/>
      <c r="I33" s="320"/>
      <c r="J33" s="320"/>
      <c r="K33" s="318"/>
      <c r="L33" s="320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4"/>
      <c r="AK33" s="324"/>
      <c r="AL33" s="325"/>
    </row>
    <row r="34" ht="21.0" customHeight="1">
      <c r="A34" s="326"/>
      <c r="B34" s="349"/>
      <c r="C34" s="328" t="s">
        <v>108</v>
      </c>
      <c r="D34" s="259" t="s">
        <v>79</v>
      </c>
      <c r="E34" s="350">
        <v>170000.0</v>
      </c>
      <c r="F34" s="108">
        <v>170000.0</v>
      </c>
      <c r="G34" s="135" t="s">
        <v>80</v>
      </c>
      <c r="H34" s="82"/>
      <c r="I34" s="84"/>
      <c r="J34" s="84">
        <v>1.0</v>
      </c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351"/>
    </row>
    <row r="35" ht="21.0" customHeight="1">
      <c r="A35" s="317"/>
      <c r="B35" s="318"/>
      <c r="C35" s="319" t="s">
        <v>110</v>
      </c>
      <c r="D35" s="320"/>
      <c r="E35" s="321"/>
      <c r="F35" s="322"/>
      <c r="G35" s="323"/>
      <c r="H35" s="320"/>
      <c r="I35" s="320"/>
      <c r="J35" s="320"/>
      <c r="K35" s="318"/>
      <c r="L35" s="320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Z35" s="320"/>
      <c r="AA35" s="320"/>
      <c r="AB35" s="320"/>
      <c r="AC35" s="320"/>
      <c r="AD35" s="320"/>
      <c r="AE35" s="320"/>
      <c r="AF35" s="320"/>
      <c r="AG35" s="320"/>
      <c r="AH35" s="320"/>
      <c r="AI35" s="320"/>
      <c r="AJ35" s="324"/>
      <c r="AK35" s="324"/>
      <c r="AL35" s="325"/>
    </row>
    <row r="36" ht="21.0" customHeight="1">
      <c r="A36" s="326"/>
      <c r="B36" s="349"/>
      <c r="C36" s="352" t="s">
        <v>111</v>
      </c>
      <c r="D36" s="137" t="s">
        <v>79</v>
      </c>
      <c r="E36" s="353">
        <v>45000.0</v>
      </c>
      <c r="F36" s="152">
        <v>45000.0</v>
      </c>
      <c r="G36" s="135" t="s">
        <v>80</v>
      </c>
      <c r="H36" s="82"/>
      <c r="I36" s="84"/>
      <c r="J36" s="84">
        <v>1.0</v>
      </c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351"/>
    </row>
    <row r="37" ht="21.0" customHeight="1">
      <c r="A37" s="317"/>
      <c r="B37" s="318"/>
      <c r="C37" s="319" t="s">
        <v>113</v>
      </c>
      <c r="D37" s="320"/>
      <c r="E37" s="321"/>
      <c r="F37" s="322"/>
      <c r="G37" s="323"/>
      <c r="H37" s="320"/>
      <c r="I37" s="320"/>
      <c r="J37" s="320"/>
      <c r="K37" s="318"/>
      <c r="L37" s="320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0"/>
      <c r="AD37" s="320"/>
      <c r="AE37" s="320"/>
      <c r="AF37" s="320"/>
      <c r="AG37" s="320"/>
      <c r="AH37" s="320"/>
      <c r="AI37" s="320"/>
      <c r="AJ37" s="324"/>
      <c r="AK37" s="324"/>
      <c r="AL37" s="325"/>
    </row>
    <row r="38" ht="21.0" customHeight="1">
      <c r="A38" s="326"/>
      <c r="B38" s="327"/>
      <c r="C38" s="328" t="s">
        <v>114</v>
      </c>
      <c r="D38" s="137" t="s">
        <v>79</v>
      </c>
      <c r="E38" s="350">
        <v>40000.0</v>
      </c>
      <c r="F38" s="108">
        <v>40000.0</v>
      </c>
      <c r="G38" s="160" t="s">
        <v>80</v>
      </c>
      <c r="H38" s="82"/>
      <c r="I38" s="84"/>
      <c r="J38" s="84">
        <v>1.0</v>
      </c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351"/>
    </row>
    <row r="39" ht="21.0" customHeight="1">
      <c r="A39" s="326"/>
      <c r="B39" s="330"/>
      <c r="C39" s="328" t="s">
        <v>115</v>
      </c>
      <c r="D39" s="137" t="s">
        <v>79</v>
      </c>
      <c r="E39" s="350">
        <v>5000.0</v>
      </c>
      <c r="F39" s="108">
        <v>5000.0</v>
      </c>
      <c r="G39" s="66"/>
      <c r="H39" s="82"/>
      <c r="I39" s="84"/>
      <c r="J39" s="84">
        <v>1.0</v>
      </c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351"/>
    </row>
    <row r="40" ht="21.0" customHeight="1">
      <c r="A40" s="326"/>
      <c r="B40" s="330"/>
      <c r="C40" s="328" t="s">
        <v>116</v>
      </c>
      <c r="D40" s="137" t="s">
        <v>79</v>
      </c>
      <c r="E40" s="350">
        <v>40000.0</v>
      </c>
      <c r="F40" s="108">
        <v>40000.0</v>
      </c>
      <c r="G40" s="81"/>
      <c r="H40" s="82"/>
      <c r="I40" s="84"/>
      <c r="J40" s="84">
        <v>1.0</v>
      </c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351"/>
    </row>
    <row r="41" ht="21.0" customHeight="1">
      <c r="A41" s="317"/>
      <c r="B41" s="318"/>
      <c r="C41" s="319" t="s">
        <v>117</v>
      </c>
      <c r="D41" s="320"/>
      <c r="E41" s="321"/>
      <c r="F41" s="322"/>
      <c r="G41" s="323"/>
      <c r="H41" s="320"/>
      <c r="I41" s="320"/>
      <c r="J41" s="320"/>
      <c r="K41" s="318"/>
      <c r="L41" s="320"/>
      <c r="M41" s="320"/>
      <c r="N41" s="320"/>
      <c r="O41" s="320"/>
      <c r="P41" s="320"/>
      <c r="Q41" s="320"/>
      <c r="R41" s="320"/>
      <c r="S41" s="320"/>
      <c r="T41" s="320"/>
      <c r="U41" s="320"/>
      <c r="V41" s="320"/>
      <c r="W41" s="320"/>
      <c r="X41" s="320"/>
      <c r="Y41" s="320"/>
      <c r="Z41" s="320"/>
      <c r="AA41" s="320"/>
      <c r="AB41" s="320"/>
      <c r="AC41" s="320"/>
      <c r="AD41" s="320"/>
      <c r="AE41" s="320"/>
      <c r="AF41" s="320"/>
      <c r="AG41" s="320"/>
      <c r="AH41" s="320"/>
      <c r="AI41" s="320"/>
      <c r="AJ41" s="324"/>
      <c r="AK41" s="324"/>
      <c r="AL41" s="325"/>
    </row>
    <row r="42" ht="21.0" customHeight="1">
      <c r="A42" s="326"/>
      <c r="B42" s="330"/>
      <c r="C42" s="328" t="s">
        <v>118</v>
      </c>
      <c r="D42" s="82" t="s">
        <v>79</v>
      </c>
      <c r="E42" s="329">
        <v>20000.0</v>
      </c>
      <c r="F42" s="108">
        <v>20000.0</v>
      </c>
      <c r="G42" s="160" t="s">
        <v>80</v>
      </c>
      <c r="H42" s="82"/>
      <c r="I42" s="84"/>
      <c r="J42" s="84">
        <v>1.0</v>
      </c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351"/>
    </row>
    <row r="43" ht="21.0" customHeight="1">
      <c r="A43" s="326"/>
      <c r="B43" s="330"/>
      <c r="C43" s="328" t="s">
        <v>159</v>
      </c>
      <c r="D43" s="82" t="s">
        <v>79</v>
      </c>
      <c r="E43" s="329">
        <v>30000.0</v>
      </c>
      <c r="F43" s="329">
        <v>30000.0</v>
      </c>
      <c r="G43" s="66"/>
      <c r="H43" s="82"/>
      <c r="I43" s="84"/>
      <c r="J43" s="84"/>
      <c r="K43" s="84">
        <v>1.0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351"/>
    </row>
    <row r="44" ht="21.0" customHeight="1">
      <c r="A44" s="326"/>
      <c r="B44" s="330"/>
      <c r="C44" s="328" t="s">
        <v>105</v>
      </c>
      <c r="D44" s="82" t="s">
        <v>79</v>
      </c>
      <c r="E44" s="329">
        <v>95000.0</v>
      </c>
      <c r="F44" s="329">
        <v>95000.0</v>
      </c>
      <c r="G44" s="81"/>
      <c r="H44" s="82" t="s">
        <v>173</v>
      </c>
      <c r="I44" s="84"/>
      <c r="J44" s="84">
        <v>1.0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351"/>
    </row>
    <row r="45" ht="21.0" customHeight="1">
      <c r="A45" s="317"/>
      <c r="B45" s="318"/>
      <c r="C45" s="319" t="s">
        <v>174</v>
      </c>
      <c r="D45" s="320"/>
      <c r="E45" s="321"/>
      <c r="F45" s="322"/>
      <c r="G45" s="323"/>
      <c r="H45" s="320"/>
      <c r="I45" s="320"/>
      <c r="J45" s="320"/>
      <c r="K45" s="318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4"/>
      <c r="AK45" s="324"/>
      <c r="AL45" s="325"/>
    </row>
    <row r="46" ht="21.0" customHeight="1">
      <c r="A46" s="326"/>
      <c r="B46" s="330"/>
      <c r="C46" s="352" t="s">
        <v>175</v>
      </c>
      <c r="D46" s="248" t="s">
        <v>79</v>
      </c>
      <c r="E46" s="354">
        <v>300000.0</v>
      </c>
      <c r="F46" s="354">
        <v>300000.0</v>
      </c>
      <c r="G46" s="160" t="s">
        <v>80</v>
      </c>
      <c r="H46" s="82"/>
      <c r="I46" s="84"/>
      <c r="J46" s="84">
        <v>1.0</v>
      </c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351"/>
    </row>
    <row r="47" ht="21.0" customHeight="1">
      <c r="A47" s="326"/>
      <c r="B47" s="330"/>
      <c r="C47" s="352" t="s">
        <v>121</v>
      </c>
      <c r="D47" s="248" t="s">
        <v>79</v>
      </c>
      <c r="E47" s="354">
        <v>80000.0</v>
      </c>
      <c r="F47" s="354">
        <v>80000.0</v>
      </c>
      <c r="G47" s="66"/>
      <c r="H47" s="82" t="s">
        <v>176</v>
      </c>
      <c r="I47" s="84">
        <v>1.0</v>
      </c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351"/>
    </row>
    <row r="48" ht="21.0" customHeight="1">
      <c r="A48" s="355"/>
      <c r="B48" s="356"/>
      <c r="C48" s="357" t="s">
        <v>119</v>
      </c>
      <c r="D48" s="358" t="s">
        <v>79</v>
      </c>
      <c r="E48" s="359">
        <v>40000.0</v>
      </c>
      <c r="F48" s="360">
        <v>40000.0</v>
      </c>
      <c r="G48" s="361"/>
      <c r="H48" s="358" t="s">
        <v>176</v>
      </c>
      <c r="I48" s="362"/>
      <c r="J48" s="363">
        <v>1.0</v>
      </c>
      <c r="K48" s="364"/>
      <c r="L48" s="365"/>
      <c r="M48" s="366"/>
      <c r="N48" s="366"/>
      <c r="O48" s="366"/>
      <c r="P48" s="366"/>
      <c r="Q48" s="366"/>
      <c r="R48" s="366"/>
      <c r="S48" s="366"/>
      <c r="T48" s="366"/>
      <c r="U48" s="366"/>
      <c r="V48" s="366"/>
      <c r="W48" s="366"/>
      <c r="X48" s="366"/>
      <c r="Y48" s="366"/>
      <c r="Z48" s="366"/>
      <c r="AA48" s="366"/>
      <c r="AB48" s="366"/>
      <c r="AC48" s="366"/>
      <c r="AD48" s="366"/>
      <c r="AE48" s="366"/>
      <c r="AF48" s="366"/>
      <c r="AG48" s="366"/>
      <c r="AH48" s="366"/>
      <c r="AI48" s="365"/>
      <c r="AJ48" s="283"/>
      <c r="AK48" s="283"/>
      <c r="AL48" s="367"/>
    </row>
    <row r="49" ht="15.75" customHeight="1">
      <c r="A49" s="4"/>
      <c r="B49" s="291"/>
      <c r="C49" s="207"/>
      <c r="D49" s="207"/>
      <c r="E49" s="208"/>
      <c r="F49" s="208"/>
      <c r="G49" s="209"/>
      <c r="H49" s="207"/>
      <c r="I49" s="207"/>
      <c r="J49" s="207"/>
      <c r="K49" s="209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368"/>
      <c r="AK49" s="369"/>
      <c r="AL49" s="182"/>
    </row>
    <row r="50" ht="15.75" customHeight="1">
      <c r="A50" s="183" t="s">
        <v>127</v>
      </c>
      <c r="B50" s="291"/>
      <c r="C50" s="207"/>
      <c r="D50" s="274">
        <f>SUM(F13:F48)</f>
        <v>1786500</v>
      </c>
      <c r="E50" s="275"/>
      <c r="F50" s="276"/>
      <c r="G50" s="209"/>
      <c r="H50" s="207"/>
      <c r="I50" s="207"/>
      <c r="J50" s="207"/>
      <c r="K50" s="209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89"/>
      <c r="AK50" s="181"/>
      <c r="AL50" s="182"/>
    </row>
    <row r="51" ht="15.75" customHeight="1">
      <c r="A51" s="4"/>
      <c r="B51" s="291"/>
      <c r="C51" s="207"/>
      <c r="D51" s="207"/>
      <c r="E51" s="208"/>
      <c r="F51" s="210"/>
      <c r="G51" s="209"/>
      <c r="H51" s="207"/>
      <c r="I51" s="207"/>
      <c r="J51" s="20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10"/>
      <c r="AI51" s="207"/>
      <c r="AJ51" s="89"/>
      <c r="AK51" s="181"/>
      <c r="AL51" s="182"/>
    </row>
    <row r="52" ht="15.75" customHeight="1">
      <c r="A52" s="188" t="s">
        <v>128</v>
      </c>
      <c r="B52" s="291"/>
      <c r="C52" s="207"/>
      <c r="D52" s="207"/>
      <c r="E52" s="208"/>
      <c r="F52" s="210"/>
      <c r="G52" s="209"/>
      <c r="H52" s="207"/>
      <c r="I52" s="207"/>
      <c r="J52" s="207"/>
      <c r="K52" s="209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89"/>
      <c r="AK52" s="181"/>
      <c r="AL52" s="182"/>
    </row>
    <row r="53" ht="15.75" customHeight="1">
      <c r="A53" s="4"/>
      <c r="B53" s="291"/>
      <c r="C53" s="207"/>
      <c r="D53" s="207"/>
      <c r="E53" s="208"/>
      <c r="F53" s="210"/>
      <c r="G53" s="209"/>
      <c r="H53" s="207"/>
      <c r="I53" s="207"/>
      <c r="J53" s="207"/>
      <c r="K53" s="209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89"/>
      <c r="AK53" s="181"/>
      <c r="AL53" s="182"/>
    </row>
    <row r="54" ht="15.75" customHeight="1">
      <c r="A54" s="189" t="s">
        <v>129</v>
      </c>
      <c r="B54" s="291"/>
      <c r="C54" s="207"/>
      <c r="D54" s="279" t="s">
        <v>130</v>
      </c>
      <c r="E54" s="208"/>
      <c r="F54" s="210"/>
      <c r="G54" s="370" t="s">
        <v>131</v>
      </c>
      <c r="H54" s="207"/>
      <c r="I54" s="279" t="s">
        <v>132</v>
      </c>
      <c r="K54" s="209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89"/>
      <c r="AK54" s="181"/>
      <c r="AL54" s="182"/>
    </row>
    <row r="55" ht="15.75" customHeight="1">
      <c r="A55" s="4"/>
      <c r="B55" s="291"/>
      <c r="C55" s="207"/>
      <c r="D55" s="207"/>
      <c r="E55" s="208"/>
      <c r="F55" s="210"/>
      <c r="G55" s="209"/>
      <c r="H55" s="207"/>
      <c r="I55" s="207"/>
      <c r="K55" s="209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89"/>
      <c r="AK55" s="181"/>
      <c r="AL55" s="182"/>
    </row>
    <row r="56" ht="15.75" customHeight="1">
      <c r="A56" s="4"/>
      <c r="B56" s="291"/>
      <c r="C56" s="207"/>
      <c r="D56" s="207"/>
      <c r="E56" s="208"/>
      <c r="F56" s="210"/>
      <c r="G56" s="209"/>
      <c r="H56" s="207"/>
      <c r="I56" s="207"/>
      <c r="K56" s="209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89"/>
      <c r="AK56" s="181"/>
      <c r="AL56" s="182"/>
    </row>
    <row r="57" ht="15.75" customHeight="1">
      <c r="A57" s="190" t="s">
        <v>133</v>
      </c>
      <c r="D57" s="279" t="s">
        <v>134</v>
      </c>
      <c r="E57" s="208"/>
      <c r="F57" s="210"/>
      <c r="G57" s="370" t="s">
        <v>135</v>
      </c>
      <c r="H57" s="207"/>
      <c r="I57" s="279" t="s">
        <v>136</v>
      </c>
      <c r="K57" s="209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89"/>
      <c r="AK57" s="181"/>
      <c r="AL57" s="182"/>
    </row>
    <row r="58" ht="15.75" customHeight="1">
      <c r="A58" s="191" t="s">
        <v>137</v>
      </c>
      <c r="D58" s="282" t="s">
        <v>138</v>
      </c>
      <c r="E58" s="208"/>
      <c r="F58" s="210"/>
      <c r="G58" s="371" t="s">
        <v>139</v>
      </c>
      <c r="H58" s="207"/>
      <c r="I58" s="282" t="s">
        <v>140</v>
      </c>
      <c r="K58" s="209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89"/>
      <c r="AK58" s="181"/>
      <c r="AL58" s="182"/>
    </row>
    <row r="59" ht="15.75" customHeight="1">
      <c r="A59" s="4"/>
      <c r="B59" s="291"/>
      <c r="C59" s="207"/>
      <c r="D59" s="207"/>
      <c r="E59" s="208"/>
      <c r="F59" s="210"/>
      <c r="G59" s="209"/>
      <c r="H59" s="207"/>
      <c r="I59" s="207"/>
      <c r="K59" s="209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89"/>
      <c r="AK59" s="181"/>
      <c r="AL59" s="182"/>
    </row>
    <row r="60" ht="15.75" customHeight="1">
      <c r="A60" s="191" t="s">
        <v>141</v>
      </c>
      <c r="B60" s="291"/>
      <c r="C60" s="207"/>
      <c r="D60" s="282" t="s">
        <v>142</v>
      </c>
      <c r="E60" s="208"/>
      <c r="F60" s="210"/>
      <c r="G60" s="371" t="s">
        <v>142</v>
      </c>
      <c r="H60" s="207"/>
      <c r="I60" s="282" t="s">
        <v>142</v>
      </c>
      <c r="K60" s="209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89"/>
      <c r="AK60" s="181"/>
      <c r="AL60" s="182"/>
    </row>
    <row r="61" ht="15.75" customHeight="1">
      <c r="A61" s="4"/>
      <c r="B61" s="291"/>
      <c r="C61" s="207"/>
      <c r="D61" s="207"/>
      <c r="E61" s="208"/>
      <c r="F61" s="208"/>
      <c r="G61" s="209"/>
      <c r="H61" s="207"/>
      <c r="I61" s="207"/>
      <c r="K61" s="209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89"/>
      <c r="AK61" s="181"/>
      <c r="AL61" s="182"/>
    </row>
    <row r="62" ht="15.75" customHeight="1">
      <c r="A62" s="4"/>
      <c r="B62" s="291"/>
      <c r="C62" s="207"/>
      <c r="D62" s="207"/>
      <c r="E62" s="208"/>
      <c r="F62" s="208"/>
      <c r="G62" s="209"/>
      <c r="H62" s="207"/>
      <c r="I62" s="207"/>
      <c r="J62" s="207"/>
      <c r="K62" s="209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89"/>
      <c r="AK62" s="181"/>
      <c r="AL62" s="182"/>
    </row>
    <row r="63" ht="15.75" customHeight="1">
      <c r="A63" s="4"/>
      <c r="B63" s="291"/>
      <c r="C63" s="207"/>
      <c r="D63" s="207"/>
      <c r="E63" s="208"/>
      <c r="F63" s="208"/>
      <c r="G63" s="209"/>
      <c r="H63" s="207"/>
      <c r="I63" s="207"/>
      <c r="J63" s="207"/>
      <c r="K63" s="209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89"/>
      <c r="AK63" s="181"/>
      <c r="AL63" s="182"/>
    </row>
    <row r="64" ht="15.75" customHeight="1">
      <c r="A64" s="4"/>
      <c r="B64" s="291"/>
      <c r="C64" s="207"/>
      <c r="D64" s="207"/>
      <c r="E64" s="208"/>
      <c r="F64" s="208"/>
      <c r="G64" s="209"/>
      <c r="H64" s="207"/>
      <c r="I64" s="207"/>
      <c r="J64" s="207"/>
      <c r="K64" s="209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89"/>
      <c r="AK64" s="181"/>
      <c r="AL64" s="182"/>
    </row>
    <row r="65" ht="15.75" customHeight="1">
      <c r="A65" s="4"/>
      <c r="B65" s="291"/>
      <c r="C65" s="207"/>
      <c r="D65" s="207"/>
      <c r="E65" s="208"/>
      <c r="F65" s="208"/>
      <c r="G65" s="209"/>
      <c r="H65" s="207"/>
      <c r="I65" s="207"/>
      <c r="J65" s="207"/>
      <c r="K65" s="209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89"/>
      <c r="AK65" s="181"/>
      <c r="AL65" s="182"/>
    </row>
    <row r="66" ht="15.75" customHeight="1">
      <c r="A66" s="4"/>
      <c r="B66" s="291"/>
      <c r="C66" s="207"/>
      <c r="D66" s="207"/>
      <c r="E66" s="208"/>
      <c r="F66" s="208"/>
      <c r="G66" s="209"/>
      <c r="H66" s="207"/>
      <c r="I66" s="207"/>
      <c r="J66" s="207"/>
      <c r="K66" s="209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89"/>
      <c r="AK66" s="181"/>
      <c r="AL66" s="182"/>
    </row>
    <row r="67" ht="15.75" customHeight="1">
      <c r="A67" s="4"/>
      <c r="B67" s="291"/>
      <c r="C67" s="207"/>
      <c r="D67" s="207"/>
      <c r="E67" s="208"/>
      <c r="F67" s="208"/>
      <c r="G67" s="209"/>
      <c r="H67" s="207"/>
      <c r="I67" s="207"/>
      <c r="J67" s="207"/>
      <c r="K67" s="209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89"/>
      <c r="AK67" s="181"/>
      <c r="AL67" s="182"/>
    </row>
    <row r="68" ht="15.75" customHeight="1">
      <c r="A68" s="4"/>
      <c r="B68" s="291"/>
      <c r="C68" s="207"/>
      <c r="D68" s="207"/>
      <c r="E68" s="208"/>
      <c r="F68" s="208"/>
      <c r="G68" s="209"/>
      <c r="H68" s="207"/>
      <c r="I68" s="207"/>
      <c r="J68" s="207"/>
      <c r="K68" s="209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89"/>
      <c r="AK68" s="181"/>
      <c r="AL68" s="182"/>
    </row>
    <row r="69" ht="15.75" customHeight="1">
      <c r="A69" s="4"/>
      <c r="B69" s="291"/>
      <c r="C69" s="207"/>
      <c r="D69" s="207"/>
      <c r="E69" s="208"/>
      <c r="F69" s="208"/>
      <c r="G69" s="209"/>
      <c r="H69" s="207"/>
      <c r="I69" s="207"/>
      <c r="J69" s="207"/>
      <c r="K69" s="209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89"/>
      <c r="AK69" s="181"/>
      <c r="AL69" s="182"/>
    </row>
    <row r="70" ht="15.75" customHeight="1">
      <c r="A70" s="4"/>
      <c r="B70" s="291"/>
      <c r="C70" s="207"/>
      <c r="D70" s="207"/>
      <c r="E70" s="208"/>
      <c r="F70" s="208"/>
      <c r="G70" s="209"/>
      <c r="H70" s="207"/>
      <c r="I70" s="207"/>
      <c r="J70" s="207"/>
      <c r="K70" s="209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83"/>
      <c r="AK70" s="284"/>
      <c r="AL70" s="182"/>
    </row>
    <row r="71" ht="15.75" customHeight="1">
      <c r="A71" s="4"/>
      <c r="B71" s="291"/>
      <c r="C71" s="207"/>
      <c r="D71" s="207"/>
      <c r="E71" s="208"/>
      <c r="F71" s="210"/>
      <c r="G71" s="209"/>
      <c r="H71" s="207"/>
      <c r="I71" s="207"/>
      <c r="J71" s="207"/>
      <c r="K71" s="209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3"/>
      <c r="AK71" s="203"/>
      <c r="AL71" s="203"/>
    </row>
    <row r="72" ht="15.75" customHeight="1">
      <c r="A72" s="4"/>
      <c r="B72" s="291"/>
      <c r="C72" s="207"/>
      <c r="D72" s="285"/>
      <c r="E72" s="285"/>
      <c r="F72" s="285"/>
      <c r="G72" s="209"/>
      <c r="H72" s="207"/>
      <c r="I72" s="207"/>
      <c r="J72" s="207"/>
      <c r="K72" s="209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3"/>
      <c r="AK72" s="203"/>
      <c r="AL72" s="203"/>
    </row>
    <row r="73" ht="15.75" customHeight="1">
      <c r="A73" s="4"/>
      <c r="B73" s="291"/>
      <c r="C73" s="207"/>
      <c r="D73" s="207"/>
      <c r="E73" s="208"/>
      <c r="F73" s="210"/>
      <c r="G73" s="209"/>
      <c r="H73" s="207"/>
      <c r="I73" s="207"/>
      <c r="J73" s="207"/>
      <c r="K73" s="277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3"/>
      <c r="AK73" s="203"/>
      <c r="AL73" s="203"/>
    </row>
    <row r="74" ht="15.75" hidden="1" customHeight="1">
      <c r="A74" s="4"/>
      <c r="B74" s="291"/>
      <c r="C74" s="207"/>
      <c r="D74" s="207"/>
      <c r="E74" s="208"/>
      <c r="F74" s="210"/>
      <c r="G74" s="209"/>
      <c r="H74" s="207"/>
      <c r="I74" s="207"/>
      <c r="J74" s="207"/>
      <c r="K74" s="209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03"/>
      <c r="AK74" s="203"/>
      <c r="AL74" s="203"/>
    </row>
    <row r="75" ht="15.75" hidden="1" customHeight="1">
      <c r="A75" s="4"/>
      <c r="B75" s="291"/>
      <c r="C75" s="207"/>
      <c r="D75" s="286">
        <v>500000.0</v>
      </c>
      <c r="E75" s="203"/>
      <c r="F75" s="210"/>
      <c r="G75" s="209"/>
      <c r="H75" s="207"/>
      <c r="I75" s="207"/>
      <c r="J75" s="207"/>
      <c r="K75" s="209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3"/>
      <c r="AK75" s="203"/>
      <c r="AL75" s="203"/>
    </row>
    <row r="76" ht="15.75" hidden="1" customHeight="1">
      <c r="A76" s="4"/>
      <c r="B76" s="291"/>
      <c r="C76" s="207"/>
      <c r="D76" s="208">
        <v>250000.0</v>
      </c>
      <c r="E76" s="208">
        <v>90000.0</v>
      </c>
      <c r="F76" s="208">
        <v>90000.0</v>
      </c>
      <c r="G76" s="277" t="s">
        <v>144</v>
      </c>
      <c r="H76" s="207"/>
      <c r="I76" s="207"/>
      <c r="J76" s="207"/>
      <c r="K76" s="209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3"/>
      <c r="AK76" s="203"/>
      <c r="AL76" s="203"/>
    </row>
    <row r="77" ht="15.75" hidden="1" customHeight="1">
      <c r="A77" s="4"/>
      <c r="B77" s="291"/>
      <c r="C77" s="207"/>
      <c r="D77" s="208">
        <v>90000.0</v>
      </c>
      <c r="E77" s="208">
        <v>17500.0</v>
      </c>
      <c r="F77" s="208">
        <v>17500.0</v>
      </c>
      <c r="G77" s="277" t="s">
        <v>145</v>
      </c>
      <c r="H77" s="207"/>
      <c r="I77" s="207"/>
      <c r="J77" s="207"/>
      <c r="K77" s="209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3"/>
      <c r="AK77" s="203"/>
      <c r="AL77" s="203"/>
    </row>
    <row r="78" ht="15.75" hidden="1" customHeight="1">
      <c r="A78" s="4"/>
      <c r="B78" s="291"/>
      <c r="C78" s="207"/>
      <c r="D78" s="208">
        <v>15000.0</v>
      </c>
      <c r="E78" s="208">
        <v>15000.0</v>
      </c>
      <c r="F78" s="208">
        <v>15000.0</v>
      </c>
      <c r="G78" s="277" t="s">
        <v>146</v>
      </c>
      <c r="H78" s="207"/>
      <c r="I78" s="207"/>
      <c r="J78" s="207"/>
      <c r="K78" s="209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3"/>
      <c r="AK78" s="203"/>
      <c r="AL78" s="203"/>
    </row>
    <row r="79" ht="15.75" hidden="1" customHeight="1">
      <c r="A79" s="4"/>
      <c r="B79" s="291"/>
      <c r="C79" s="207"/>
      <c r="D79" s="208">
        <v>20000.0</v>
      </c>
      <c r="E79" s="208">
        <v>20000.0</v>
      </c>
      <c r="F79" s="208">
        <v>20000.0</v>
      </c>
      <c r="G79" s="277" t="s">
        <v>147</v>
      </c>
      <c r="H79" s="207"/>
      <c r="I79" s="207"/>
      <c r="J79" s="207"/>
      <c r="K79" s="209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3"/>
      <c r="AK79" s="203"/>
      <c r="AL79" s="203"/>
    </row>
    <row r="80" ht="15.0" hidden="1" customHeight="1">
      <c r="A80" s="4"/>
      <c r="B80" s="291"/>
      <c r="C80" s="207"/>
      <c r="D80" s="208">
        <v>17500.0</v>
      </c>
      <c r="E80" s="208">
        <v>50000.0</v>
      </c>
      <c r="F80" s="208">
        <v>250000.0</v>
      </c>
      <c r="G80" s="277" t="s">
        <v>148</v>
      </c>
      <c r="H80" s="207"/>
      <c r="I80" s="207"/>
      <c r="J80" s="207"/>
      <c r="K80" s="209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207"/>
      <c r="AE80" s="207"/>
      <c r="AF80" s="207"/>
      <c r="AG80" s="207"/>
      <c r="AH80" s="207"/>
      <c r="AI80" s="207"/>
      <c r="AJ80" s="203"/>
      <c r="AK80" s="203"/>
      <c r="AL80" s="203"/>
    </row>
    <row r="81" ht="15.75" hidden="1" customHeight="1">
      <c r="A81" s="4"/>
      <c r="B81" s="291"/>
      <c r="C81" s="207"/>
      <c r="D81" s="208"/>
      <c r="E81" s="208">
        <v>160000.0</v>
      </c>
      <c r="F81" s="208">
        <v>107500.0</v>
      </c>
      <c r="G81" s="277" t="s">
        <v>149</v>
      </c>
      <c r="H81" s="207"/>
      <c r="I81" s="207"/>
      <c r="J81" s="207"/>
      <c r="K81" s="209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3"/>
      <c r="AK81" s="203"/>
      <c r="AL81" s="203"/>
    </row>
    <row r="82" ht="15.75" hidden="1" customHeight="1">
      <c r="A82" s="4"/>
      <c r="B82" s="291"/>
      <c r="C82" s="207"/>
      <c r="D82" s="208"/>
      <c r="E82" s="208">
        <v>35000.0</v>
      </c>
      <c r="F82" s="208"/>
      <c r="G82" s="277"/>
      <c r="H82" s="207"/>
      <c r="I82" s="207"/>
      <c r="J82" s="207"/>
      <c r="K82" s="209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  <c r="AB82" s="207"/>
      <c r="AC82" s="207"/>
      <c r="AD82" s="207"/>
      <c r="AE82" s="207"/>
      <c r="AF82" s="207"/>
      <c r="AG82" s="207"/>
      <c r="AH82" s="207"/>
      <c r="AI82" s="207"/>
      <c r="AJ82" s="203"/>
      <c r="AK82" s="203"/>
      <c r="AL82" s="203"/>
    </row>
    <row r="83" ht="15.75" hidden="1" customHeight="1">
      <c r="A83" s="4"/>
      <c r="B83" s="291"/>
      <c r="C83" s="207"/>
      <c r="D83" s="208"/>
      <c r="E83" s="208">
        <v>30000.0</v>
      </c>
      <c r="F83" s="208"/>
      <c r="G83" s="209"/>
      <c r="H83" s="207"/>
      <c r="I83" s="207"/>
      <c r="J83" s="207"/>
      <c r="K83" s="209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03"/>
      <c r="AK83" s="203"/>
      <c r="AL83" s="203"/>
    </row>
    <row r="84" ht="15.75" hidden="1" customHeight="1">
      <c r="A84" s="4"/>
      <c r="B84" s="291"/>
      <c r="C84" s="207"/>
      <c r="D84" s="286">
        <f>SUM(D76:D83)</f>
        <v>392500</v>
      </c>
      <c r="E84" s="287">
        <f>SUM(E75:E83)</f>
        <v>417500</v>
      </c>
      <c r="F84" s="287">
        <f>SUM(F76:F83)</f>
        <v>500000</v>
      </c>
      <c r="G84" s="209"/>
      <c r="H84" s="207"/>
      <c r="I84" s="207"/>
      <c r="J84" s="207"/>
      <c r="K84" s="209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3"/>
      <c r="AK84" s="203"/>
      <c r="AL84" s="203"/>
    </row>
    <row r="85" ht="15.75" hidden="1" customHeight="1">
      <c r="A85" s="4"/>
      <c r="B85" s="291"/>
      <c r="C85" s="207"/>
      <c r="D85" s="208"/>
      <c r="E85" s="203"/>
      <c r="F85" s="210"/>
      <c r="G85" s="209"/>
      <c r="H85" s="207"/>
      <c r="I85" s="207"/>
      <c r="J85" s="207"/>
      <c r="K85" s="209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3"/>
      <c r="AK85" s="203"/>
      <c r="AL85" s="203"/>
    </row>
    <row r="86" ht="15.75" hidden="1" customHeight="1">
      <c r="A86" s="4"/>
      <c r="B86" s="291"/>
      <c r="C86" s="207"/>
      <c r="D86" s="208">
        <f>D75-D84</f>
        <v>107500</v>
      </c>
      <c r="E86" s="203"/>
      <c r="F86" s="210"/>
      <c r="G86" s="209"/>
      <c r="H86" s="207"/>
      <c r="I86" s="207"/>
      <c r="J86" s="207"/>
      <c r="K86" s="209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03"/>
      <c r="AK86" s="203"/>
      <c r="AL86" s="203"/>
    </row>
    <row r="87" ht="15.75" hidden="1" customHeight="1">
      <c r="A87" s="4"/>
      <c r="B87" s="291"/>
      <c r="C87" s="207"/>
      <c r="D87" s="207"/>
      <c r="E87" s="208"/>
      <c r="F87" s="210"/>
      <c r="G87" s="209"/>
      <c r="H87" s="207"/>
      <c r="I87" s="207"/>
      <c r="J87" s="207"/>
      <c r="K87" s="209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3"/>
      <c r="AK87" s="203"/>
      <c r="AL87" s="203"/>
    </row>
    <row r="88" ht="15.75" customHeight="1">
      <c r="A88" s="4"/>
      <c r="B88" s="291"/>
      <c r="C88" s="207"/>
      <c r="D88" s="207"/>
      <c r="E88" s="208"/>
      <c r="F88" s="210"/>
      <c r="G88" s="209"/>
      <c r="H88" s="207"/>
      <c r="I88" s="207"/>
      <c r="J88" s="207"/>
      <c r="K88" s="209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3"/>
      <c r="AK88" s="203"/>
      <c r="AL88" s="203"/>
    </row>
    <row r="89" ht="15.75" customHeight="1">
      <c r="A89" s="4"/>
      <c r="B89" s="291"/>
      <c r="C89" s="207"/>
      <c r="D89" s="207"/>
      <c r="E89" s="208"/>
      <c r="F89" s="210"/>
      <c r="G89" s="209"/>
      <c r="H89" s="207"/>
      <c r="I89" s="207"/>
      <c r="J89" s="207"/>
      <c r="K89" s="209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03"/>
      <c r="AK89" s="203"/>
      <c r="AL89" s="203"/>
    </row>
    <row r="90" ht="15.75" customHeight="1">
      <c r="A90" s="4"/>
      <c r="B90" s="291"/>
      <c r="C90" s="207"/>
      <c r="D90" s="207"/>
      <c r="E90" s="208"/>
      <c r="F90" s="210"/>
      <c r="G90" s="209"/>
      <c r="H90" s="207"/>
      <c r="I90" s="207"/>
      <c r="J90" s="207"/>
      <c r="K90" s="209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3"/>
      <c r="AK90" s="203"/>
      <c r="AL90" s="203"/>
    </row>
    <row r="91" ht="15.75" customHeight="1">
      <c r="A91" s="4"/>
      <c r="B91" s="291"/>
      <c r="C91" s="207"/>
      <c r="D91" s="207"/>
      <c r="E91" s="208"/>
      <c r="F91" s="210"/>
      <c r="G91" s="209"/>
      <c r="H91" s="207"/>
      <c r="I91" s="207"/>
      <c r="J91" s="207"/>
      <c r="K91" s="209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03"/>
      <c r="AK91" s="203"/>
      <c r="AL91" s="203"/>
    </row>
    <row r="92" ht="15.75" customHeight="1">
      <c r="A92" s="4"/>
      <c r="B92" s="291"/>
      <c r="C92" s="207"/>
      <c r="D92" s="207"/>
      <c r="E92" s="208"/>
      <c r="F92" s="207"/>
      <c r="G92" s="209"/>
      <c r="H92" s="207"/>
      <c r="I92" s="207"/>
      <c r="J92" s="207"/>
      <c r="K92" s="209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03"/>
      <c r="AK92" s="203"/>
      <c r="AL92" s="203"/>
    </row>
    <row r="93" ht="15.75" customHeight="1">
      <c r="A93" s="4"/>
      <c r="B93" s="291"/>
      <c r="C93" s="207"/>
      <c r="D93" s="207"/>
      <c r="E93" s="208"/>
      <c r="F93" s="207"/>
      <c r="G93" s="209"/>
      <c r="H93" s="207"/>
      <c r="I93" s="207"/>
      <c r="J93" s="207"/>
      <c r="K93" s="209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3"/>
      <c r="AK93" s="203"/>
      <c r="AL93" s="203"/>
    </row>
    <row r="94" ht="15.75" customHeight="1">
      <c r="A94" s="4"/>
      <c r="B94" s="291"/>
      <c r="C94" s="207"/>
      <c r="D94" s="207"/>
      <c r="E94" s="208"/>
      <c r="F94" s="207"/>
      <c r="G94" s="209"/>
      <c r="H94" s="207"/>
      <c r="I94" s="207"/>
      <c r="J94" s="207"/>
      <c r="K94" s="209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3"/>
      <c r="AK94" s="203"/>
      <c r="AL94" s="203"/>
    </row>
    <row r="95" ht="15.75" customHeight="1">
      <c r="A95" s="4"/>
      <c r="B95" s="291"/>
      <c r="C95" s="207"/>
      <c r="D95" s="207"/>
      <c r="E95" s="208"/>
      <c r="F95" s="207"/>
      <c r="G95" s="209"/>
      <c r="H95" s="207"/>
      <c r="I95" s="207"/>
      <c r="J95" s="207"/>
      <c r="K95" s="209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3"/>
      <c r="AK95" s="203"/>
      <c r="AL95" s="203"/>
    </row>
    <row r="96" ht="15.75" customHeight="1">
      <c r="A96" s="4"/>
      <c r="B96" s="291"/>
      <c r="C96" s="207"/>
      <c r="D96" s="207"/>
      <c r="E96" s="208"/>
      <c r="F96" s="207"/>
      <c r="G96" s="209"/>
      <c r="H96" s="207"/>
      <c r="I96" s="207"/>
      <c r="J96" s="207"/>
      <c r="K96" s="209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3"/>
      <c r="AK96" s="203"/>
      <c r="AL96" s="203"/>
    </row>
    <row r="97" ht="15.75" customHeight="1">
      <c r="A97" s="4"/>
      <c r="B97" s="291"/>
      <c r="C97" s="207"/>
      <c r="D97" s="207"/>
      <c r="E97" s="208"/>
      <c r="F97" s="207"/>
      <c r="G97" s="209"/>
      <c r="H97" s="207"/>
      <c r="I97" s="207"/>
      <c r="J97" s="207"/>
      <c r="K97" s="209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3"/>
      <c r="AK97" s="203"/>
      <c r="AL97" s="203"/>
    </row>
    <row r="98" ht="15.75" customHeight="1">
      <c r="A98" s="4"/>
      <c r="B98" s="291"/>
      <c r="C98" s="207"/>
      <c r="D98" s="207"/>
      <c r="E98" s="208"/>
      <c r="F98" s="207"/>
      <c r="G98" s="209"/>
      <c r="H98" s="207"/>
      <c r="I98" s="207"/>
      <c r="J98" s="207"/>
      <c r="K98" s="209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3"/>
      <c r="AK98" s="203"/>
      <c r="AL98" s="203"/>
    </row>
    <row r="99" ht="15.75" customHeight="1">
      <c r="A99" s="4"/>
      <c r="B99" s="291"/>
      <c r="C99" s="207"/>
      <c r="D99" s="207"/>
      <c r="E99" s="208"/>
      <c r="F99" s="207"/>
      <c r="G99" s="209"/>
      <c r="H99" s="207"/>
      <c r="I99" s="207"/>
      <c r="J99" s="207"/>
      <c r="K99" s="209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3"/>
      <c r="AK99" s="203"/>
      <c r="AL99" s="203"/>
    </row>
    <row r="100" ht="15.75" customHeight="1">
      <c r="A100" s="4"/>
      <c r="B100" s="291"/>
      <c r="C100" s="207"/>
      <c r="D100" s="207"/>
      <c r="E100" s="208"/>
      <c r="F100" s="207"/>
      <c r="G100" s="209"/>
      <c r="H100" s="207"/>
      <c r="I100" s="207"/>
      <c r="J100" s="207"/>
      <c r="K100" s="209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3"/>
      <c r="AK100" s="203"/>
      <c r="AL100" s="203"/>
    </row>
    <row r="101" ht="15.75" customHeight="1">
      <c r="A101" s="4"/>
      <c r="B101" s="291"/>
      <c r="C101" s="207"/>
      <c r="D101" s="207"/>
      <c r="E101" s="208"/>
      <c r="F101" s="207"/>
      <c r="G101" s="209"/>
      <c r="H101" s="207"/>
      <c r="I101" s="207"/>
      <c r="J101" s="207"/>
      <c r="K101" s="209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3"/>
      <c r="AK101" s="203"/>
      <c r="AL101" s="203"/>
    </row>
    <row r="102" ht="15.75" customHeight="1">
      <c r="A102" s="4"/>
      <c r="B102" s="291"/>
      <c r="C102" s="207"/>
      <c r="D102" s="207"/>
      <c r="E102" s="208"/>
      <c r="F102" s="207"/>
      <c r="G102" s="209"/>
      <c r="H102" s="207"/>
      <c r="I102" s="207"/>
      <c r="J102" s="207"/>
      <c r="K102" s="209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3"/>
      <c r="AK102" s="203"/>
      <c r="AL102" s="203"/>
    </row>
    <row r="103" ht="15.75" customHeight="1">
      <c r="A103" s="4"/>
      <c r="B103" s="291"/>
      <c r="C103" s="207"/>
      <c r="D103" s="207"/>
      <c r="E103" s="208"/>
      <c r="F103" s="207"/>
      <c r="G103" s="209"/>
      <c r="H103" s="207"/>
      <c r="I103" s="207"/>
      <c r="J103" s="207"/>
      <c r="K103" s="209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3"/>
      <c r="AK103" s="203"/>
      <c r="AL103" s="203"/>
    </row>
    <row r="104" ht="15.75" customHeight="1">
      <c r="A104" s="4"/>
      <c r="B104" s="291"/>
      <c r="C104" s="207"/>
      <c r="D104" s="207"/>
      <c r="E104" s="208"/>
      <c r="F104" s="207"/>
      <c r="G104" s="209"/>
      <c r="H104" s="207"/>
      <c r="I104" s="207"/>
      <c r="J104" s="207"/>
      <c r="K104" s="209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3"/>
      <c r="AK104" s="203"/>
      <c r="AL104" s="203"/>
    </row>
    <row r="105" ht="15.75" customHeight="1">
      <c r="A105" s="4"/>
      <c r="B105" s="291"/>
      <c r="C105" s="207"/>
      <c r="D105" s="207"/>
      <c r="E105" s="208"/>
      <c r="F105" s="207"/>
      <c r="G105" s="209"/>
      <c r="H105" s="207"/>
      <c r="I105" s="207"/>
      <c r="J105" s="207"/>
      <c r="K105" s="209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3"/>
      <c r="AK105" s="203"/>
      <c r="AL105" s="203"/>
    </row>
    <row r="106" ht="15.75" customHeight="1">
      <c r="A106" s="4"/>
      <c r="B106" s="291"/>
      <c r="C106" s="207"/>
      <c r="D106" s="207"/>
      <c r="E106" s="208"/>
      <c r="F106" s="207"/>
      <c r="G106" s="209"/>
      <c r="H106" s="207"/>
      <c r="I106" s="207"/>
      <c r="J106" s="207"/>
      <c r="K106" s="209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3"/>
      <c r="AK106" s="203"/>
      <c r="AL106" s="203"/>
    </row>
    <row r="107" ht="15.75" customHeight="1">
      <c r="A107" s="4"/>
      <c r="B107" s="291"/>
      <c r="C107" s="207"/>
      <c r="D107" s="207"/>
      <c r="E107" s="208"/>
      <c r="F107" s="207"/>
      <c r="G107" s="209"/>
      <c r="H107" s="207"/>
      <c r="I107" s="207"/>
      <c r="J107" s="207"/>
      <c r="K107" s="209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3"/>
      <c r="AK107" s="203"/>
      <c r="AL107" s="203"/>
    </row>
    <row r="108" ht="15.75" customHeight="1">
      <c r="A108" s="4"/>
      <c r="B108" s="291"/>
      <c r="C108" s="207"/>
      <c r="D108" s="207"/>
      <c r="E108" s="208"/>
      <c r="F108" s="207"/>
      <c r="G108" s="209"/>
      <c r="H108" s="207"/>
      <c r="I108" s="207"/>
      <c r="J108" s="207"/>
      <c r="K108" s="209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3"/>
      <c r="AK108" s="203"/>
      <c r="AL108" s="203"/>
    </row>
    <row r="109" ht="15.75" customHeight="1">
      <c r="A109" s="4"/>
      <c r="B109" s="291"/>
      <c r="C109" s="207"/>
      <c r="D109" s="207"/>
      <c r="E109" s="208"/>
      <c r="F109" s="207"/>
      <c r="G109" s="209"/>
      <c r="H109" s="207"/>
      <c r="I109" s="207"/>
      <c r="J109" s="207"/>
      <c r="K109" s="209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3"/>
      <c r="AK109" s="203"/>
      <c r="AL109" s="203"/>
    </row>
    <row r="110" ht="15.75" customHeight="1">
      <c r="A110" s="4"/>
      <c r="B110" s="291"/>
      <c r="C110" s="207"/>
      <c r="D110" s="207"/>
      <c r="E110" s="208"/>
      <c r="F110" s="207"/>
      <c r="G110" s="209"/>
      <c r="H110" s="207"/>
      <c r="I110" s="207"/>
      <c r="J110" s="207"/>
      <c r="K110" s="209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3"/>
      <c r="AK110" s="203"/>
      <c r="AL110" s="203"/>
    </row>
    <row r="111" ht="15.75" customHeight="1">
      <c r="A111" s="4"/>
      <c r="B111" s="291"/>
      <c r="C111" s="207"/>
      <c r="D111" s="207"/>
      <c r="E111" s="208"/>
      <c r="F111" s="207"/>
      <c r="G111" s="209"/>
      <c r="H111" s="207"/>
      <c r="I111" s="207"/>
      <c r="J111" s="207"/>
      <c r="K111" s="209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3"/>
      <c r="AK111" s="203"/>
      <c r="AL111" s="203"/>
    </row>
    <row r="112" ht="15.75" customHeight="1">
      <c r="A112" s="4"/>
      <c r="B112" s="291"/>
      <c r="C112" s="207"/>
      <c r="D112" s="207"/>
      <c r="E112" s="208"/>
      <c r="F112" s="207"/>
      <c r="G112" s="209"/>
      <c r="H112" s="207"/>
      <c r="I112" s="207"/>
      <c r="J112" s="207"/>
      <c r="K112" s="209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3"/>
      <c r="AK112" s="203"/>
      <c r="AL112" s="203"/>
    </row>
    <row r="113" ht="15.75" customHeight="1">
      <c r="A113" s="4"/>
      <c r="B113" s="291"/>
      <c r="C113" s="207"/>
      <c r="D113" s="207"/>
      <c r="E113" s="208"/>
      <c r="F113" s="207"/>
      <c r="G113" s="209"/>
      <c r="H113" s="207"/>
      <c r="I113" s="207"/>
      <c r="J113" s="207"/>
      <c r="K113" s="209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3"/>
      <c r="AK113" s="203"/>
      <c r="AL113" s="203"/>
    </row>
    <row r="114" ht="15.75" customHeight="1">
      <c r="A114" s="4"/>
      <c r="B114" s="291"/>
      <c r="C114" s="207"/>
      <c r="D114" s="207"/>
      <c r="E114" s="208"/>
      <c r="F114" s="207"/>
      <c r="G114" s="209"/>
      <c r="H114" s="207"/>
      <c r="I114" s="207"/>
      <c r="J114" s="207"/>
      <c r="K114" s="209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3"/>
      <c r="AK114" s="203"/>
      <c r="AL114" s="203"/>
    </row>
    <row r="115" ht="15.75" customHeight="1">
      <c r="A115" s="4"/>
      <c r="B115" s="291"/>
      <c r="C115" s="207"/>
      <c r="D115" s="207"/>
      <c r="E115" s="208"/>
      <c r="F115" s="207"/>
      <c r="G115" s="209"/>
      <c r="H115" s="207"/>
      <c r="I115" s="207"/>
      <c r="J115" s="207"/>
      <c r="K115" s="209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3"/>
      <c r="AK115" s="203"/>
      <c r="AL115" s="203"/>
    </row>
    <row r="116" ht="15.75" customHeight="1">
      <c r="A116" s="4"/>
      <c r="B116" s="291"/>
      <c r="C116" s="207"/>
      <c r="D116" s="207"/>
      <c r="E116" s="208"/>
      <c r="F116" s="207"/>
      <c r="G116" s="209"/>
      <c r="H116" s="207"/>
      <c r="I116" s="207"/>
      <c r="J116" s="207"/>
      <c r="K116" s="209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3"/>
      <c r="AK116" s="203"/>
      <c r="AL116" s="203"/>
    </row>
    <row r="117" ht="15.75" customHeight="1">
      <c r="A117" s="4"/>
      <c r="B117" s="291"/>
      <c r="C117" s="207"/>
      <c r="D117" s="207"/>
      <c r="E117" s="208"/>
      <c r="F117" s="207"/>
      <c r="G117" s="209"/>
      <c r="H117" s="207"/>
      <c r="I117" s="207"/>
      <c r="J117" s="207"/>
      <c r="K117" s="209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3"/>
      <c r="AK117" s="203"/>
      <c r="AL117" s="203"/>
    </row>
    <row r="118" ht="15.75" customHeight="1">
      <c r="A118" s="4"/>
      <c r="B118" s="291"/>
      <c r="C118" s="207"/>
      <c r="D118" s="207"/>
      <c r="E118" s="208"/>
      <c r="F118" s="207"/>
      <c r="G118" s="209"/>
      <c r="H118" s="207"/>
      <c r="I118" s="207"/>
      <c r="J118" s="207"/>
      <c r="K118" s="209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3"/>
      <c r="AK118" s="203"/>
      <c r="AL118" s="203"/>
    </row>
    <row r="119" ht="15.75" customHeight="1">
      <c r="A119" s="4"/>
      <c r="B119" s="291"/>
      <c r="C119" s="207"/>
      <c r="D119" s="207"/>
      <c r="E119" s="208"/>
      <c r="F119" s="207"/>
      <c r="G119" s="209"/>
      <c r="H119" s="207"/>
      <c r="I119" s="207"/>
      <c r="J119" s="207"/>
      <c r="K119" s="209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3"/>
      <c r="AK119" s="203"/>
      <c r="AL119" s="203"/>
    </row>
    <row r="120" ht="15.75" customHeight="1">
      <c r="A120" s="4"/>
      <c r="B120" s="291"/>
      <c r="C120" s="207"/>
      <c r="D120" s="207"/>
      <c r="E120" s="208"/>
      <c r="F120" s="207"/>
      <c r="G120" s="209"/>
      <c r="H120" s="207"/>
      <c r="I120" s="207"/>
      <c r="J120" s="207"/>
      <c r="K120" s="209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7"/>
      <c r="AD120" s="207"/>
      <c r="AE120" s="207"/>
      <c r="AF120" s="207"/>
      <c r="AG120" s="207"/>
      <c r="AH120" s="207"/>
      <c r="AI120" s="207"/>
      <c r="AJ120" s="203"/>
      <c r="AK120" s="203"/>
      <c r="AL120" s="203"/>
    </row>
    <row r="121" ht="15.75" customHeight="1">
      <c r="A121" s="4"/>
      <c r="B121" s="291"/>
      <c r="C121" s="207"/>
      <c r="D121" s="207"/>
      <c r="E121" s="208"/>
      <c r="F121" s="207"/>
      <c r="G121" s="209"/>
      <c r="H121" s="207"/>
      <c r="I121" s="207"/>
      <c r="J121" s="207"/>
      <c r="K121" s="209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203"/>
      <c r="AK121" s="203"/>
      <c r="AL121" s="203"/>
    </row>
    <row r="122" ht="15.75" customHeight="1">
      <c r="A122" s="4"/>
      <c r="B122" s="291"/>
      <c r="C122" s="207"/>
      <c r="D122" s="207"/>
      <c r="E122" s="208"/>
      <c r="F122" s="207"/>
      <c r="G122" s="209"/>
      <c r="H122" s="207"/>
      <c r="I122" s="207"/>
      <c r="J122" s="207"/>
      <c r="K122" s="209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7"/>
      <c r="AD122" s="207"/>
      <c r="AE122" s="207"/>
      <c r="AF122" s="207"/>
      <c r="AG122" s="207"/>
      <c r="AH122" s="207"/>
      <c r="AI122" s="207"/>
      <c r="AJ122" s="203"/>
      <c r="AK122" s="203"/>
      <c r="AL122" s="203"/>
    </row>
    <row r="123" ht="15.75" customHeight="1">
      <c r="A123" s="4"/>
      <c r="B123" s="291"/>
      <c r="C123" s="207"/>
      <c r="D123" s="207"/>
      <c r="E123" s="208"/>
      <c r="F123" s="207"/>
      <c r="G123" s="209"/>
      <c r="H123" s="207"/>
      <c r="I123" s="207"/>
      <c r="J123" s="207"/>
      <c r="K123" s="209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3"/>
      <c r="AK123" s="203"/>
      <c r="AL123" s="203"/>
    </row>
    <row r="124" ht="15.75" customHeight="1">
      <c r="A124" s="4"/>
      <c r="B124" s="291"/>
      <c r="C124" s="207"/>
      <c r="D124" s="207"/>
      <c r="E124" s="208"/>
      <c r="F124" s="207"/>
      <c r="G124" s="209"/>
      <c r="H124" s="207"/>
      <c r="I124" s="207"/>
      <c r="J124" s="207"/>
      <c r="K124" s="209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7"/>
      <c r="AD124" s="207"/>
      <c r="AE124" s="207"/>
      <c r="AF124" s="207"/>
      <c r="AG124" s="207"/>
      <c r="AH124" s="207"/>
      <c r="AI124" s="207"/>
      <c r="AJ124" s="203"/>
      <c r="AK124" s="203"/>
      <c r="AL124" s="203"/>
    </row>
    <row r="125" ht="15.75" customHeight="1">
      <c r="A125" s="4"/>
      <c r="B125" s="291"/>
      <c r="C125" s="207"/>
      <c r="D125" s="207"/>
      <c r="E125" s="208"/>
      <c r="F125" s="207"/>
      <c r="G125" s="209"/>
      <c r="H125" s="207"/>
      <c r="I125" s="207"/>
      <c r="J125" s="207"/>
      <c r="K125" s="209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3"/>
      <c r="AK125" s="203"/>
      <c r="AL125" s="203"/>
    </row>
    <row r="126" ht="15.75" customHeight="1">
      <c r="A126" s="4"/>
      <c r="B126" s="291"/>
      <c r="C126" s="207"/>
      <c r="D126" s="207"/>
      <c r="E126" s="208"/>
      <c r="F126" s="207"/>
      <c r="G126" s="209"/>
      <c r="H126" s="207"/>
      <c r="I126" s="207"/>
      <c r="J126" s="207"/>
      <c r="K126" s="209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7"/>
      <c r="AD126" s="207"/>
      <c r="AE126" s="207"/>
      <c r="AF126" s="207"/>
      <c r="AG126" s="207"/>
      <c r="AH126" s="207"/>
      <c r="AI126" s="207"/>
      <c r="AJ126" s="203"/>
      <c r="AK126" s="203"/>
      <c r="AL126" s="203"/>
    </row>
    <row r="127" ht="15.75" customHeight="1">
      <c r="A127" s="4"/>
      <c r="B127" s="291"/>
      <c r="C127" s="207"/>
      <c r="D127" s="207"/>
      <c r="E127" s="208"/>
      <c r="F127" s="207"/>
      <c r="G127" s="209"/>
      <c r="H127" s="207"/>
      <c r="I127" s="207"/>
      <c r="J127" s="207"/>
      <c r="K127" s="209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03"/>
      <c r="AK127" s="203"/>
      <c r="AL127" s="203"/>
    </row>
    <row r="128" ht="15.75" customHeight="1">
      <c r="A128" s="4"/>
      <c r="B128" s="291"/>
      <c r="C128" s="207"/>
      <c r="D128" s="207"/>
      <c r="E128" s="208"/>
      <c r="F128" s="207"/>
      <c r="G128" s="209"/>
      <c r="H128" s="207"/>
      <c r="I128" s="207"/>
      <c r="J128" s="207"/>
      <c r="K128" s="209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7"/>
      <c r="AD128" s="207"/>
      <c r="AE128" s="207"/>
      <c r="AF128" s="207"/>
      <c r="AG128" s="207"/>
      <c r="AH128" s="207"/>
      <c r="AI128" s="207"/>
      <c r="AJ128" s="203"/>
      <c r="AK128" s="203"/>
      <c r="AL128" s="203"/>
    </row>
    <row r="129" ht="15.75" customHeight="1">
      <c r="A129" s="4"/>
      <c r="B129" s="291"/>
      <c r="C129" s="207"/>
      <c r="D129" s="207"/>
      <c r="E129" s="208"/>
      <c r="F129" s="207"/>
      <c r="G129" s="209"/>
      <c r="H129" s="207"/>
      <c r="I129" s="207"/>
      <c r="J129" s="207"/>
      <c r="K129" s="209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3"/>
      <c r="AK129" s="203"/>
      <c r="AL129" s="203"/>
    </row>
    <row r="130" ht="15.75" customHeight="1">
      <c r="A130" s="4"/>
      <c r="B130" s="291"/>
      <c r="C130" s="207"/>
      <c r="D130" s="207"/>
      <c r="E130" s="208"/>
      <c r="F130" s="207"/>
      <c r="G130" s="209"/>
      <c r="H130" s="207"/>
      <c r="I130" s="207"/>
      <c r="J130" s="207"/>
      <c r="K130" s="209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7"/>
      <c r="AD130" s="207"/>
      <c r="AE130" s="207"/>
      <c r="AF130" s="207"/>
      <c r="AG130" s="207"/>
      <c r="AH130" s="207"/>
      <c r="AI130" s="207"/>
      <c r="AJ130" s="203"/>
      <c r="AK130" s="203"/>
      <c r="AL130" s="203"/>
    </row>
    <row r="131" ht="15.75" customHeight="1">
      <c r="A131" s="4"/>
      <c r="B131" s="291"/>
      <c r="C131" s="207"/>
      <c r="D131" s="207"/>
      <c r="E131" s="208"/>
      <c r="F131" s="207"/>
      <c r="G131" s="209"/>
      <c r="H131" s="207"/>
      <c r="I131" s="207"/>
      <c r="J131" s="207"/>
      <c r="K131" s="209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/>
      <c r="AE131" s="207"/>
      <c r="AF131" s="207"/>
      <c r="AG131" s="207"/>
      <c r="AH131" s="207"/>
      <c r="AI131" s="207"/>
      <c r="AJ131" s="203"/>
      <c r="AK131" s="203"/>
      <c r="AL131" s="203"/>
    </row>
    <row r="132" ht="15.75" customHeight="1">
      <c r="A132" s="4"/>
      <c r="B132" s="291"/>
      <c r="C132" s="207"/>
      <c r="D132" s="207"/>
      <c r="E132" s="208"/>
      <c r="F132" s="207"/>
      <c r="G132" s="209"/>
      <c r="H132" s="207"/>
      <c r="I132" s="207"/>
      <c r="J132" s="207"/>
      <c r="K132" s="209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7"/>
      <c r="AD132" s="207"/>
      <c r="AE132" s="207"/>
      <c r="AF132" s="207"/>
      <c r="AG132" s="207"/>
      <c r="AH132" s="207"/>
      <c r="AI132" s="207"/>
      <c r="AJ132" s="203"/>
      <c r="AK132" s="203"/>
      <c r="AL132" s="203"/>
    </row>
    <row r="133" ht="15.75" customHeight="1">
      <c r="A133" s="4"/>
      <c r="B133" s="291"/>
      <c r="C133" s="207"/>
      <c r="D133" s="207"/>
      <c r="E133" s="208"/>
      <c r="F133" s="207"/>
      <c r="G133" s="209"/>
      <c r="H133" s="207"/>
      <c r="I133" s="207"/>
      <c r="J133" s="207"/>
      <c r="K133" s="209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03"/>
      <c r="AK133" s="203"/>
      <c r="AL133" s="203"/>
    </row>
    <row r="134" ht="15.75" customHeight="1">
      <c r="A134" s="4"/>
      <c r="B134" s="291"/>
      <c r="C134" s="207"/>
      <c r="D134" s="207"/>
      <c r="E134" s="208"/>
      <c r="F134" s="207"/>
      <c r="G134" s="209"/>
      <c r="H134" s="207"/>
      <c r="I134" s="207"/>
      <c r="J134" s="207"/>
      <c r="K134" s="209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7"/>
      <c r="AD134" s="207"/>
      <c r="AE134" s="207"/>
      <c r="AF134" s="207"/>
      <c r="AG134" s="207"/>
      <c r="AH134" s="207"/>
      <c r="AI134" s="207"/>
      <c r="AJ134" s="203"/>
      <c r="AK134" s="203"/>
      <c r="AL134" s="203"/>
    </row>
    <row r="135" ht="15.75" customHeight="1">
      <c r="A135" s="4"/>
      <c r="B135" s="291"/>
      <c r="C135" s="207"/>
      <c r="D135" s="207"/>
      <c r="E135" s="208"/>
      <c r="F135" s="207"/>
      <c r="G135" s="209"/>
      <c r="H135" s="207"/>
      <c r="I135" s="207"/>
      <c r="J135" s="207"/>
      <c r="K135" s="209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3"/>
      <c r="AK135" s="203"/>
      <c r="AL135" s="203"/>
    </row>
    <row r="136" ht="15.75" customHeight="1">
      <c r="A136" s="4"/>
      <c r="B136" s="291"/>
      <c r="C136" s="207"/>
      <c r="D136" s="207"/>
      <c r="E136" s="208"/>
      <c r="F136" s="207"/>
      <c r="G136" s="209"/>
      <c r="H136" s="207"/>
      <c r="I136" s="207"/>
      <c r="J136" s="207"/>
      <c r="K136" s="209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7"/>
      <c r="AD136" s="207"/>
      <c r="AE136" s="207"/>
      <c r="AF136" s="207"/>
      <c r="AG136" s="207"/>
      <c r="AH136" s="207"/>
      <c r="AI136" s="207"/>
      <c r="AJ136" s="203"/>
      <c r="AK136" s="203"/>
      <c r="AL136" s="203"/>
    </row>
    <row r="137" ht="15.75" customHeight="1">
      <c r="A137" s="4"/>
      <c r="B137" s="291"/>
      <c r="C137" s="207"/>
      <c r="D137" s="207"/>
      <c r="E137" s="208"/>
      <c r="F137" s="207"/>
      <c r="G137" s="209"/>
      <c r="H137" s="207"/>
      <c r="I137" s="207"/>
      <c r="J137" s="207"/>
      <c r="K137" s="209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3"/>
      <c r="AK137" s="203"/>
      <c r="AL137" s="203"/>
    </row>
    <row r="138" ht="15.75" customHeight="1">
      <c r="A138" s="4"/>
      <c r="B138" s="291"/>
      <c r="C138" s="207"/>
      <c r="D138" s="207"/>
      <c r="E138" s="208"/>
      <c r="F138" s="207"/>
      <c r="G138" s="209"/>
      <c r="H138" s="207"/>
      <c r="I138" s="207"/>
      <c r="J138" s="207"/>
      <c r="K138" s="209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7"/>
      <c r="AD138" s="207"/>
      <c r="AE138" s="207"/>
      <c r="AF138" s="207"/>
      <c r="AG138" s="207"/>
      <c r="AH138" s="207"/>
      <c r="AI138" s="207"/>
      <c r="AJ138" s="203"/>
      <c r="AK138" s="203"/>
      <c r="AL138" s="203"/>
    </row>
    <row r="139" ht="15.75" customHeight="1">
      <c r="A139" s="4"/>
      <c r="B139" s="291"/>
      <c r="C139" s="207"/>
      <c r="D139" s="207"/>
      <c r="E139" s="208"/>
      <c r="F139" s="207"/>
      <c r="G139" s="209"/>
      <c r="H139" s="207"/>
      <c r="I139" s="207"/>
      <c r="J139" s="207"/>
      <c r="K139" s="209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3"/>
      <c r="AK139" s="203"/>
      <c r="AL139" s="203"/>
    </row>
    <row r="140" ht="15.75" customHeight="1">
      <c r="A140" s="4"/>
      <c r="B140" s="291"/>
      <c r="C140" s="207"/>
      <c r="D140" s="207"/>
      <c r="E140" s="208"/>
      <c r="F140" s="207"/>
      <c r="G140" s="209"/>
      <c r="H140" s="207"/>
      <c r="I140" s="207"/>
      <c r="J140" s="207"/>
      <c r="K140" s="209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03"/>
      <c r="AK140" s="203"/>
      <c r="AL140" s="203"/>
    </row>
    <row r="141" ht="15.75" customHeight="1">
      <c r="A141" s="4"/>
      <c r="B141" s="291"/>
      <c r="C141" s="207"/>
      <c r="D141" s="207"/>
      <c r="E141" s="208"/>
      <c r="F141" s="207"/>
      <c r="G141" s="209"/>
      <c r="H141" s="207"/>
      <c r="I141" s="207"/>
      <c r="J141" s="207"/>
      <c r="K141" s="209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03"/>
      <c r="AK141" s="203"/>
      <c r="AL141" s="203"/>
    </row>
    <row r="142" ht="15.75" customHeight="1">
      <c r="A142" s="4"/>
      <c r="B142" s="291"/>
      <c r="C142" s="207"/>
      <c r="D142" s="207"/>
      <c r="E142" s="208"/>
      <c r="F142" s="207"/>
      <c r="G142" s="209"/>
      <c r="H142" s="207"/>
      <c r="I142" s="207"/>
      <c r="J142" s="207"/>
      <c r="K142" s="209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7"/>
      <c r="AD142" s="207"/>
      <c r="AE142" s="207"/>
      <c r="AF142" s="207"/>
      <c r="AG142" s="207"/>
      <c r="AH142" s="207"/>
      <c r="AI142" s="207"/>
      <c r="AJ142" s="203"/>
      <c r="AK142" s="203"/>
      <c r="AL142" s="203"/>
    </row>
    <row r="143" ht="15.75" customHeight="1">
      <c r="A143" s="4"/>
      <c r="B143" s="291"/>
      <c r="C143" s="207"/>
      <c r="D143" s="207"/>
      <c r="E143" s="208"/>
      <c r="F143" s="207"/>
      <c r="G143" s="209"/>
      <c r="H143" s="207"/>
      <c r="I143" s="207"/>
      <c r="J143" s="207"/>
      <c r="K143" s="209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03"/>
      <c r="AK143" s="203"/>
      <c r="AL143" s="203"/>
    </row>
    <row r="144" ht="15.75" customHeight="1">
      <c r="A144" s="4"/>
      <c r="B144" s="291"/>
      <c r="C144" s="207"/>
      <c r="D144" s="207"/>
      <c r="E144" s="208"/>
      <c r="F144" s="207"/>
      <c r="G144" s="209"/>
      <c r="H144" s="207"/>
      <c r="I144" s="207"/>
      <c r="J144" s="207"/>
      <c r="K144" s="209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7"/>
      <c r="AD144" s="207"/>
      <c r="AE144" s="207"/>
      <c r="AF144" s="207"/>
      <c r="AG144" s="207"/>
      <c r="AH144" s="207"/>
      <c r="AI144" s="207"/>
      <c r="AJ144" s="203"/>
      <c r="AK144" s="203"/>
      <c r="AL144" s="203"/>
    </row>
    <row r="145" ht="15.75" customHeight="1">
      <c r="A145" s="4"/>
      <c r="B145" s="291"/>
      <c r="C145" s="207"/>
      <c r="D145" s="207"/>
      <c r="E145" s="208"/>
      <c r="F145" s="207"/>
      <c r="G145" s="209"/>
      <c r="H145" s="207"/>
      <c r="I145" s="207"/>
      <c r="J145" s="207"/>
      <c r="K145" s="209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3"/>
      <c r="AK145" s="203"/>
      <c r="AL145" s="203"/>
    </row>
    <row r="146" ht="15.75" customHeight="1">
      <c r="A146" s="4"/>
      <c r="B146" s="291"/>
      <c r="C146" s="207"/>
      <c r="D146" s="207"/>
      <c r="E146" s="208"/>
      <c r="F146" s="207"/>
      <c r="G146" s="209"/>
      <c r="H146" s="207"/>
      <c r="I146" s="207"/>
      <c r="J146" s="207"/>
      <c r="K146" s="209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3"/>
      <c r="AK146" s="203"/>
      <c r="AL146" s="203"/>
    </row>
    <row r="147" ht="15.75" customHeight="1">
      <c r="A147" s="4"/>
      <c r="B147" s="291"/>
      <c r="C147" s="207"/>
      <c r="D147" s="207"/>
      <c r="E147" s="208"/>
      <c r="F147" s="207"/>
      <c r="G147" s="209"/>
      <c r="H147" s="207"/>
      <c r="I147" s="207"/>
      <c r="J147" s="207"/>
      <c r="K147" s="209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03"/>
      <c r="AK147" s="203"/>
      <c r="AL147" s="203"/>
    </row>
    <row r="148" ht="15.75" customHeight="1">
      <c r="A148" s="4"/>
      <c r="B148" s="291"/>
      <c r="C148" s="207"/>
      <c r="D148" s="207"/>
      <c r="E148" s="208"/>
      <c r="F148" s="207"/>
      <c r="G148" s="209"/>
      <c r="H148" s="207"/>
      <c r="I148" s="207"/>
      <c r="J148" s="207"/>
      <c r="K148" s="209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7"/>
      <c r="AD148" s="207"/>
      <c r="AE148" s="207"/>
      <c r="AF148" s="207"/>
      <c r="AG148" s="207"/>
      <c r="AH148" s="207"/>
      <c r="AI148" s="207"/>
      <c r="AJ148" s="203"/>
      <c r="AK148" s="203"/>
      <c r="AL148" s="203"/>
    </row>
    <row r="149" ht="15.75" customHeight="1">
      <c r="A149" s="4"/>
      <c r="B149" s="291"/>
      <c r="C149" s="207"/>
      <c r="D149" s="207"/>
      <c r="E149" s="208"/>
      <c r="F149" s="207"/>
      <c r="G149" s="209"/>
      <c r="H149" s="207"/>
      <c r="I149" s="207"/>
      <c r="J149" s="207"/>
      <c r="K149" s="209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03"/>
      <c r="AK149" s="203"/>
      <c r="AL149" s="203"/>
    </row>
    <row r="150" ht="15.75" customHeight="1">
      <c r="A150" s="4"/>
      <c r="B150" s="291"/>
      <c r="C150" s="207"/>
      <c r="D150" s="207"/>
      <c r="E150" s="208"/>
      <c r="F150" s="207"/>
      <c r="G150" s="209"/>
      <c r="H150" s="207"/>
      <c r="I150" s="207"/>
      <c r="J150" s="207"/>
      <c r="K150" s="209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7"/>
      <c r="AD150" s="207"/>
      <c r="AE150" s="207"/>
      <c r="AF150" s="207"/>
      <c r="AG150" s="207"/>
      <c r="AH150" s="207"/>
      <c r="AI150" s="207"/>
      <c r="AJ150" s="203"/>
      <c r="AK150" s="203"/>
      <c r="AL150" s="203"/>
    </row>
    <row r="151" ht="15.75" customHeight="1">
      <c r="A151" s="4"/>
      <c r="B151" s="291"/>
      <c r="C151" s="207"/>
      <c r="D151" s="207"/>
      <c r="E151" s="208"/>
      <c r="F151" s="207"/>
      <c r="G151" s="209"/>
      <c r="H151" s="207"/>
      <c r="I151" s="207"/>
      <c r="J151" s="207"/>
      <c r="K151" s="209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03"/>
      <c r="AK151" s="203"/>
      <c r="AL151" s="203"/>
    </row>
    <row r="152" ht="15.75" customHeight="1">
      <c r="A152" s="4"/>
      <c r="B152" s="291"/>
      <c r="C152" s="207"/>
      <c r="D152" s="207"/>
      <c r="E152" s="208"/>
      <c r="F152" s="207"/>
      <c r="G152" s="209"/>
      <c r="H152" s="207"/>
      <c r="I152" s="207"/>
      <c r="J152" s="207"/>
      <c r="K152" s="209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7"/>
      <c r="AD152" s="207"/>
      <c r="AE152" s="207"/>
      <c r="AF152" s="207"/>
      <c r="AG152" s="207"/>
      <c r="AH152" s="207"/>
      <c r="AI152" s="207"/>
      <c r="AJ152" s="203"/>
      <c r="AK152" s="203"/>
      <c r="AL152" s="203"/>
    </row>
    <row r="153" ht="15.75" customHeight="1">
      <c r="A153" s="4"/>
      <c r="B153" s="291"/>
      <c r="C153" s="207"/>
      <c r="D153" s="207"/>
      <c r="E153" s="208"/>
      <c r="F153" s="207"/>
      <c r="G153" s="209"/>
      <c r="H153" s="207"/>
      <c r="I153" s="207"/>
      <c r="J153" s="207"/>
      <c r="K153" s="209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7"/>
      <c r="AD153" s="207"/>
      <c r="AE153" s="207"/>
      <c r="AF153" s="207"/>
      <c r="AG153" s="207"/>
      <c r="AH153" s="207"/>
      <c r="AI153" s="207"/>
      <c r="AJ153" s="203"/>
      <c r="AK153" s="203"/>
      <c r="AL153" s="203"/>
    </row>
    <row r="154" ht="15.75" customHeight="1">
      <c r="A154" s="4"/>
      <c r="B154" s="291"/>
      <c r="C154" s="207"/>
      <c r="D154" s="207"/>
      <c r="E154" s="208"/>
      <c r="F154" s="207"/>
      <c r="G154" s="209"/>
      <c r="H154" s="207"/>
      <c r="I154" s="207"/>
      <c r="J154" s="207"/>
      <c r="K154" s="209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7"/>
      <c r="AD154" s="207"/>
      <c r="AE154" s="207"/>
      <c r="AF154" s="207"/>
      <c r="AG154" s="207"/>
      <c r="AH154" s="207"/>
      <c r="AI154" s="207"/>
      <c r="AJ154" s="203"/>
      <c r="AK154" s="203"/>
      <c r="AL154" s="203"/>
    </row>
    <row r="155" ht="15.75" customHeight="1">
      <c r="A155" s="4"/>
      <c r="B155" s="291"/>
      <c r="C155" s="207"/>
      <c r="D155" s="207"/>
      <c r="E155" s="208"/>
      <c r="F155" s="207"/>
      <c r="G155" s="209"/>
      <c r="H155" s="207"/>
      <c r="I155" s="207"/>
      <c r="J155" s="207"/>
      <c r="K155" s="209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03"/>
      <c r="AK155" s="203"/>
      <c r="AL155" s="203"/>
    </row>
    <row r="156" ht="15.75" customHeight="1">
      <c r="A156" s="4"/>
      <c r="B156" s="291"/>
      <c r="C156" s="207"/>
      <c r="D156" s="207"/>
      <c r="E156" s="208"/>
      <c r="F156" s="207"/>
      <c r="G156" s="209"/>
      <c r="H156" s="207"/>
      <c r="I156" s="207"/>
      <c r="J156" s="207"/>
      <c r="K156" s="209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7"/>
      <c r="AD156" s="207"/>
      <c r="AE156" s="207"/>
      <c r="AF156" s="207"/>
      <c r="AG156" s="207"/>
      <c r="AH156" s="207"/>
      <c r="AI156" s="207"/>
      <c r="AJ156" s="203"/>
      <c r="AK156" s="203"/>
      <c r="AL156" s="203"/>
    </row>
    <row r="157" ht="15.75" customHeight="1">
      <c r="A157" s="4"/>
      <c r="B157" s="291"/>
      <c r="C157" s="207"/>
      <c r="D157" s="207"/>
      <c r="E157" s="208"/>
      <c r="F157" s="207"/>
      <c r="G157" s="209"/>
      <c r="H157" s="207"/>
      <c r="I157" s="207"/>
      <c r="J157" s="207"/>
      <c r="K157" s="209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7"/>
      <c r="AD157" s="207"/>
      <c r="AE157" s="207"/>
      <c r="AF157" s="207"/>
      <c r="AG157" s="207"/>
      <c r="AH157" s="207"/>
      <c r="AI157" s="207"/>
      <c r="AJ157" s="203"/>
      <c r="AK157" s="203"/>
      <c r="AL157" s="203"/>
    </row>
    <row r="158" ht="15.75" customHeight="1">
      <c r="A158" s="4"/>
      <c r="B158" s="291"/>
      <c r="C158" s="207"/>
      <c r="D158" s="207"/>
      <c r="E158" s="208"/>
      <c r="F158" s="207"/>
      <c r="G158" s="209"/>
      <c r="H158" s="207"/>
      <c r="I158" s="207"/>
      <c r="J158" s="207"/>
      <c r="K158" s="209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7"/>
      <c r="AD158" s="207"/>
      <c r="AE158" s="207"/>
      <c r="AF158" s="207"/>
      <c r="AG158" s="207"/>
      <c r="AH158" s="207"/>
      <c r="AI158" s="207"/>
      <c r="AJ158" s="203"/>
      <c r="AK158" s="203"/>
      <c r="AL158" s="203"/>
    </row>
    <row r="159" ht="15.75" customHeight="1">
      <c r="A159" s="4"/>
      <c r="B159" s="291"/>
      <c r="C159" s="207"/>
      <c r="D159" s="207"/>
      <c r="E159" s="208"/>
      <c r="F159" s="207"/>
      <c r="G159" s="209"/>
      <c r="H159" s="207"/>
      <c r="I159" s="207"/>
      <c r="J159" s="207"/>
      <c r="K159" s="209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03"/>
      <c r="AK159" s="203"/>
      <c r="AL159" s="203"/>
    </row>
    <row r="160" ht="15.75" customHeight="1">
      <c r="A160" s="4"/>
      <c r="B160" s="291"/>
      <c r="C160" s="207"/>
      <c r="D160" s="207"/>
      <c r="E160" s="208"/>
      <c r="F160" s="207"/>
      <c r="G160" s="209"/>
      <c r="H160" s="207"/>
      <c r="I160" s="207"/>
      <c r="J160" s="207"/>
      <c r="K160" s="209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7"/>
      <c r="AD160" s="207"/>
      <c r="AE160" s="207"/>
      <c r="AF160" s="207"/>
      <c r="AG160" s="207"/>
      <c r="AH160" s="207"/>
      <c r="AI160" s="207"/>
      <c r="AJ160" s="203"/>
      <c r="AK160" s="203"/>
      <c r="AL160" s="203"/>
    </row>
    <row r="161" ht="15.75" customHeight="1">
      <c r="A161" s="4"/>
      <c r="B161" s="291"/>
      <c r="C161" s="207"/>
      <c r="D161" s="207"/>
      <c r="E161" s="208"/>
      <c r="F161" s="207"/>
      <c r="G161" s="209"/>
      <c r="H161" s="207"/>
      <c r="I161" s="207"/>
      <c r="J161" s="207"/>
      <c r="K161" s="209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03"/>
      <c r="AK161" s="203"/>
      <c r="AL161" s="203"/>
    </row>
    <row r="162" ht="15.75" customHeight="1">
      <c r="A162" s="4"/>
      <c r="B162" s="291"/>
      <c r="C162" s="207"/>
      <c r="D162" s="207"/>
      <c r="E162" s="208"/>
      <c r="F162" s="207"/>
      <c r="G162" s="209"/>
      <c r="H162" s="207"/>
      <c r="I162" s="207"/>
      <c r="J162" s="207"/>
      <c r="K162" s="209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7"/>
      <c r="AD162" s="207"/>
      <c r="AE162" s="207"/>
      <c r="AF162" s="207"/>
      <c r="AG162" s="207"/>
      <c r="AH162" s="207"/>
      <c r="AI162" s="207"/>
      <c r="AJ162" s="203"/>
      <c r="AK162" s="203"/>
      <c r="AL162" s="203"/>
    </row>
    <row r="163" ht="15.75" customHeight="1">
      <c r="A163" s="4"/>
      <c r="B163" s="291"/>
      <c r="C163" s="207"/>
      <c r="D163" s="207"/>
      <c r="E163" s="208"/>
      <c r="F163" s="207"/>
      <c r="G163" s="209"/>
      <c r="H163" s="207"/>
      <c r="I163" s="207"/>
      <c r="J163" s="207"/>
      <c r="K163" s="209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/>
      <c r="AE163" s="207"/>
      <c r="AF163" s="207"/>
      <c r="AG163" s="207"/>
      <c r="AH163" s="207"/>
      <c r="AI163" s="207"/>
      <c r="AJ163" s="203"/>
      <c r="AK163" s="203"/>
      <c r="AL163" s="203"/>
    </row>
    <row r="164" ht="15.75" customHeight="1">
      <c r="A164" s="4"/>
      <c r="B164" s="291"/>
      <c r="C164" s="207"/>
      <c r="D164" s="207"/>
      <c r="E164" s="208"/>
      <c r="F164" s="207"/>
      <c r="G164" s="209"/>
      <c r="H164" s="207"/>
      <c r="I164" s="207"/>
      <c r="J164" s="207"/>
      <c r="K164" s="209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7"/>
      <c r="AD164" s="207"/>
      <c r="AE164" s="207"/>
      <c r="AF164" s="207"/>
      <c r="AG164" s="207"/>
      <c r="AH164" s="207"/>
      <c r="AI164" s="207"/>
      <c r="AJ164" s="203"/>
      <c r="AK164" s="203"/>
      <c r="AL164" s="203"/>
    </row>
    <row r="165" ht="15.75" customHeight="1">
      <c r="A165" s="4"/>
      <c r="B165" s="291"/>
      <c r="C165" s="207"/>
      <c r="D165" s="207"/>
      <c r="E165" s="208"/>
      <c r="F165" s="207"/>
      <c r="G165" s="209"/>
      <c r="H165" s="207"/>
      <c r="I165" s="207"/>
      <c r="J165" s="207"/>
      <c r="K165" s="209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03"/>
      <c r="AK165" s="203"/>
      <c r="AL165" s="203"/>
    </row>
    <row r="166" ht="15.75" customHeight="1">
      <c r="A166" s="4"/>
      <c r="B166" s="291"/>
      <c r="C166" s="207"/>
      <c r="D166" s="207"/>
      <c r="E166" s="208"/>
      <c r="F166" s="207"/>
      <c r="G166" s="209"/>
      <c r="H166" s="207"/>
      <c r="I166" s="207"/>
      <c r="J166" s="207"/>
      <c r="K166" s="209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7"/>
      <c r="AD166" s="207"/>
      <c r="AE166" s="207"/>
      <c r="AF166" s="207"/>
      <c r="AG166" s="207"/>
      <c r="AH166" s="207"/>
      <c r="AI166" s="207"/>
      <c r="AJ166" s="203"/>
      <c r="AK166" s="203"/>
      <c r="AL166" s="203"/>
    </row>
    <row r="167" ht="15.75" customHeight="1">
      <c r="A167" s="4"/>
      <c r="B167" s="291"/>
      <c r="C167" s="207"/>
      <c r="D167" s="207"/>
      <c r="E167" s="208"/>
      <c r="F167" s="207"/>
      <c r="G167" s="209"/>
      <c r="H167" s="207"/>
      <c r="I167" s="207"/>
      <c r="J167" s="207"/>
      <c r="K167" s="209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03"/>
      <c r="AK167" s="203"/>
      <c r="AL167" s="203"/>
    </row>
    <row r="168" ht="15.75" customHeight="1">
      <c r="A168" s="4"/>
      <c r="B168" s="291"/>
      <c r="C168" s="207"/>
      <c r="D168" s="207"/>
      <c r="E168" s="208"/>
      <c r="F168" s="207"/>
      <c r="G168" s="209"/>
      <c r="H168" s="207"/>
      <c r="I168" s="207"/>
      <c r="J168" s="207"/>
      <c r="K168" s="209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7"/>
      <c r="AD168" s="207"/>
      <c r="AE168" s="207"/>
      <c r="AF168" s="207"/>
      <c r="AG168" s="207"/>
      <c r="AH168" s="207"/>
      <c r="AI168" s="207"/>
      <c r="AJ168" s="203"/>
      <c r="AK168" s="203"/>
      <c r="AL168" s="203"/>
    </row>
    <row r="169" ht="15.75" customHeight="1">
      <c r="A169" s="4"/>
      <c r="B169" s="291"/>
      <c r="C169" s="207"/>
      <c r="D169" s="207"/>
      <c r="E169" s="208"/>
      <c r="F169" s="207"/>
      <c r="G169" s="209"/>
      <c r="H169" s="207"/>
      <c r="I169" s="207"/>
      <c r="J169" s="207"/>
      <c r="K169" s="209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03"/>
      <c r="AK169" s="203"/>
      <c r="AL169" s="203"/>
    </row>
    <row r="170" ht="15.75" customHeight="1">
      <c r="A170" s="4"/>
      <c r="B170" s="291"/>
      <c r="C170" s="207"/>
      <c r="D170" s="207"/>
      <c r="E170" s="208"/>
      <c r="F170" s="207"/>
      <c r="G170" s="209"/>
      <c r="H170" s="207"/>
      <c r="I170" s="207"/>
      <c r="J170" s="207"/>
      <c r="K170" s="209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7"/>
      <c r="AD170" s="207"/>
      <c r="AE170" s="207"/>
      <c r="AF170" s="207"/>
      <c r="AG170" s="207"/>
      <c r="AH170" s="207"/>
      <c r="AI170" s="207"/>
      <c r="AJ170" s="203"/>
      <c r="AK170" s="203"/>
      <c r="AL170" s="203"/>
    </row>
    <row r="171" ht="15.75" customHeight="1">
      <c r="A171" s="4"/>
      <c r="B171" s="291"/>
      <c r="C171" s="207"/>
      <c r="D171" s="207"/>
      <c r="E171" s="208"/>
      <c r="F171" s="207"/>
      <c r="G171" s="209"/>
      <c r="H171" s="207"/>
      <c r="I171" s="207"/>
      <c r="J171" s="207"/>
      <c r="K171" s="209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03"/>
      <c r="AK171" s="203"/>
      <c r="AL171" s="203"/>
    </row>
    <row r="172" ht="15.75" customHeight="1">
      <c r="A172" s="4"/>
      <c r="B172" s="291"/>
      <c r="C172" s="207"/>
      <c r="D172" s="207"/>
      <c r="E172" s="208"/>
      <c r="F172" s="207"/>
      <c r="G172" s="209"/>
      <c r="H172" s="207"/>
      <c r="I172" s="207"/>
      <c r="J172" s="207"/>
      <c r="K172" s="209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7"/>
      <c r="AD172" s="207"/>
      <c r="AE172" s="207"/>
      <c r="AF172" s="207"/>
      <c r="AG172" s="207"/>
      <c r="AH172" s="207"/>
      <c r="AI172" s="207"/>
      <c r="AJ172" s="203"/>
      <c r="AK172" s="203"/>
      <c r="AL172" s="203"/>
    </row>
    <row r="173" ht="15.75" customHeight="1">
      <c r="A173" s="4"/>
      <c r="B173" s="291"/>
      <c r="C173" s="207"/>
      <c r="D173" s="207"/>
      <c r="E173" s="208"/>
      <c r="F173" s="207"/>
      <c r="G173" s="209"/>
      <c r="H173" s="207"/>
      <c r="I173" s="207"/>
      <c r="J173" s="207"/>
      <c r="K173" s="209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03"/>
      <c r="AK173" s="203"/>
      <c r="AL173" s="203"/>
    </row>
    <row r="174" ht="15.75" customHeight="1">
      <c r="A174" s="4"/>
      <c r="B174" s="291"/>
      <c r="C174" s="207"/>
      <c r="D174" s="207"/>
      <c r="E174" s="208"/>
      <c r="F174" s="207"/>
      <c r="G174" s="209"/>
      <c r="H174" s="207"/>
      <c r="I174" s="207"/>
      <c r="J174" s="207"/>
      <c r="K174" s="209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03"/>
      <c r="AK174" s="203"/>
      <c r="AL174" s="203"/>
    </row>
    <row r="175" ht="15.75" customHeight="1">
      <c r="A175" s="4"/>
      <c r="B175" s="291"/>
      <c r="C175" s="207"/>
      <c r="D175" s="207"/>
      <c r="E175" s="208"/>
      <c r="F175" s="207"/>
      <c r="G175" s="209"/>
      <c r="H175" s="207"/>
      <c r="I175" s="207"/>
      <c r="J175" s="207"/>
      <c r="K175" s="209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3"/>
      <c r="AK175" s="203"/>
      <c r="AL175" s="203"/>
    </row>
    <row r="176" ht="15.75" customHeight="1">
      <c r="A176" s="4"/>
      <c r="B176" s="291"/>
      <c r="C176" s="207"/>
      <c r="D176" s="207"/>
      <c r="E176" s="208"/>
      <c r="F176" s="207"/>
      <c r="G176" s="209"/>
      <c r="H176" s="207"/>
      <c r="I176" s="207"/>
      <c r="J176" s="207"/>
      <c r="K176" s="209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7"/>
      <c r="AD176" s="207"/>
      <c r="AE176" s="207"/>
      <c r="AF176" s="207"/>
      <c r="AG176" s="207"/>
      <c r="AH176" s="207"/>
      <c r="AI176" s="207"/>
      <c r="AJ176" s="203"/>
      <c r="AK176" s="203"/>
      <c r="AL176" s="203"/>
    </row>
    <row r="177" ht="15.75" customHeight="1">
      <c r="A177" s="4"/>
      <c r="B177" s="291"/>
      <c r="C177" s="207"/>
      <c r="D177" s="207"/>
      <c r="E177" s="208"/>
      <c r="F177" s="207"/>
      <c r="G177" s="209"/>
      <c r="H177" s="207"/>
      <c r="I177" s="207"/>
      <c r="J177" s="207"/>
      <c r="K177" s="209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03"/>
      <c r="AK177" s="203"/>
      <c r="AL177" s="203"/>
    </row>
    <row r="178" ht="15.75" customHeight="1">
      <c r="A178" s="4"/>
      <c r="B178" s="291"/>
      <c r="C178" s="207"/>
      <c r="D178" s="207"/>
      <c r="E178" s="208"/>
      <c r="F178" s="207"/>
      <c r="G178" s="209"/>
      <c r="H178" s="207"/>
      <c r="I178" s="207"/>
      <c r="J178" s="207"/>
      <c r="K178" s="209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  <c r="AF178" s="207"/>
      <c r="AG178" s="207"/>
      <c r="AH178" s="207"/>
      <c r="AI178" s="207"/>
      <c r="AJ178" s="203"/>
      <c r="AK178" s="203"/>
      <c r="AL178" s="203"/>
    </row>
    <row r="179" ht="15.75" customHeight="1">
      <c r="A179" s="4"/>
      <c r="B179" s="291"/>
      <c r="C179" s="207"/>
      <c r="D179" s="207"/>
      <c r="E179" s="208"/>
      <c r="F179" s="207"/>
      <c r="G179" s="209"/>
      <c r="H179" s="207"/>
      <c r="I179" s="207"/>
      <c r="J179" s="207"/>
      <c r="K179" s="209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3"/>
      <c r="AK179" s="203"/>
      <c r="AL179" s="203"/>
    </row>
    <row r="180" ht="15.75" customHeight="1">
      <c r="A180" s="4"/>
      <c r="B180" s="291"/>
      <c r="C180" s="207"/>
      <c r="D180" s="207"/>
      <c r="E180" s="208"/>
      <c r="F180" s="207"/>
      <c r="G180" s="209"/>
      <c r="H180" s="207"/>
      <c r="I180" s="207"/>
      <c r="J180" s="207"/>
      <c r="K180" s="209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7"/>
      <c r="AD180" s="207"/>
      <c r="AE180" s="207"/>
      <c r="AF180" s="207"/>
      <c r="AG180" s="207"/>
      <c r="AH180" s="207"/>
      <c r="AI180" s="207"/>
      <c r="AJ180" s="203"/>
      <c r="AK180" s="203"/>
      <c r="AL180" s="203"/>
    </row>
    <row r="181" ht="15.75" customHeight="1">
      <c r="A181" s="4"/>
      <c r="B181" s="291"/>
      <c r="C181" s="207"/>
      <c r="D181" s="207"/>
      <c r="E181" s="208"/>
      <c r="F181" s="207"/>
      <c r="G181" s="209"/>
      <c r="H181" s="207"/>
      <c r="I181" s="207"/>
      <c r="J181" s="207"/>
      <c r="K181" s="209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3"/>
      <c r="AK181" s="203"/>
      <c r="AL181" s="203"/>
    </row>
    <row r="182" ht="15.75" customHeight="1">
      <c r="A182" s="4"/>
      <c r="B182" s="291"/>
      <c r="C182" s="207"/>
      <c r="D182" s="207"/>
      <c r="E182" s="208"/>
      <c r="F182" s="207"/>
      <c r="G182" s="209"/>
      <c r="H182" s="207"/>
      <c r="I182" s="207"/>
      <c r="J182" s="207"/>
      <c r="K182" s="209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7"/>
      <c r="AD182" s="207"/>
      <c r="AE182" s="207"/>
      <c r="AF182" s="207"/>
      <c r="AG182" s="207"/>
      <c r="AH182" s="207"/>
      <c r="AI182" s="207"/>
      <c r="AJ182" s="203"/>
      <c r="AK182" s="203"/>
      <c r="AL182" s="203"/>
    </row>
    <row r="183" ht="15.75" customHeight="1">
      <c r="A183" s="4"/>
      <c r="B183" s="291"/>
      <c r="C183" s="207"/>
      <c r="D183" s="207"/>
      <c r="E183" s="208"/>
      <c r="F183" s="207"/>
      <c r="G183" s="209"/>
      <c r="H183" s="207"/>
      <c r="I183" s="207"/>
      <c r="J183" s="207"/>
      <c r="K183" s="209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03"/>
      <c r="AK183" s="203"/>
      <c r="AL183" s="203"/>
    </row>
    <row r="184" ht="15.75" customHeight="1">
      <c r="A184" s="4"/>
      <c r="B184" s="291"/>
      <c r="C184" s="207"/>
      <c r="D184" s="207"/>
      <c r="E184" s="208"/>
      <c r="F184" s="207"/>
      <c r="G184" s="209"/>
      <c r="H184" s="207"/>
      <c r="I184" s="207"/>
      <c r="J184" s="207"/>
      <c r="K184" s="209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7"/>
      <c r="AD184" s="207"/>
      <c r="AE184" s="207"/>
      <c r="AF184" s="207"/>
      <c r="AG184" s="207"/>
      <c r="AH184" s="207"/>
      <c r="AI184" s="207"/>
      <c r="AJ184" s="203"/>
      <c r="AK184" s="203"/>
      <c r="AL184" s="203"/>
    </row>
    <row r="185" ht="15.75" customHeight="1">
      <c r="A185" s="4"/>
      <c r="B185" s="291"/>
      <c r="C185" s="207"/>
      <c r="D185" s="207"/>
      <c r="E185" s="208"/>
      <c r="F185" s="207"/>
      <c r="G185" s="209"/>
      <c r="H185" s="207"/>
      <c r="I185" s="207"/>
      <c r="J185" s="207"/>
      <c r="K185" s="209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03"/>
      <c r="AK185" s="203"/>
      <c r="AL185" s="203"/>
    </row>
    <row r="186" ht="15.75" customHeight="1">
      <c r="A186" s="4"/>
      <c r="B186" s="291"/>
      <c r="C186" s="207"/>
      <c r="D186" s="207"/>
      <c r="E186" s="208"/>
      <c r="F186" s="207"/>
      <c r="G186" s="209"/>
      <c r="H186" s="207"/>
      <c r="I186" s="207"/>
      <c r="J186" s="207"/>
      <c r="K186" s="209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7"/>
      <c r="AD186" s="207"/>
      <c r="AE186" s="207"/>
      <c r="AF186" s="207"/>
      <c r="AG186" s="207"/>
      <c r="AH186" s="207"/>
      <c r="AI186" s="207"/>
      <c r="AJ186" s="203"/>
      <c r="AK186" s="203"/>
      <c r="AL186" s="203"/>
    </row>
    <row r="187" ht="15.75" customHeight="1">
      <c r="A187" s="4"/>
      <c r="B187" s="291"/>
      <c r="C187" s="207"/>
      <c r="D187" s="207"/>
      <c r="E187" s="208"/>
      <c r="F187" s="207"/>
      <c r="G187" s="209"/>
      <c r="H187" s="207"/>
      <c r="I187" s="207"/>
      <c r="J187" s="207"/>
      <c r="K187" s="209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03"/>
      <c r="AK187" s="203"/>
      <c r="AL187" s="203"/>
    </row>
    <row r="188" ht="15.75" customHeight="1">
      <c r="A188" s="4"/>
      <c r="B188" s="291"/>
      <c r="C188" s="207"/>
      <c r="D188" s="207"/>
      <c r="E188" s="208"/>
      <c r="F188" s="207"/>
      <c r="G188" s="209"/>
      <c r="H188" s="207"/>
      <c r="I188" s="207"/>
      <c r="J188" s="207"/>
      <c r="K188" s="209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7"/>
      <c r="AD188" s="207"/>
      <c r="AE188" s="207"/>
      <c r="AF188" s="207"/>
      <c r="AG188" s="207"/>
      <c r="AH188" s="207"/>
      <c r="AI188" s="207"/>
      <c r="AJ188" s="203"/>
      <c r="AK188" s="203"/>
      <c r="AL188" s="203"/>
    </row>
    <row r="189" ht="15.75" customHeight="1">
      <c r="A189" s="4"/>
      <c r="B189" s="291"/>
      <c r="C189" s="207"/>
      <c r="D189" s="207"/>
      <c r="E189" s="208"/>
      <c r="F189" s="207"/>
      <c r="G189" s="209"/>
      <c r="H189" s="207"/>
      <c r="I189" s="207"/>
      <c r="J189" s="207"/>
      <c r="K189" s="209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03"/>
      <c r="AK189" s="203"/>
      <c r="AL189" s="203"/>
    </row>
    <row r="190" ht="15.75" customHeight="1">
      <c r="A190" s="4"/>
      <c r="B190" s="291"/>
      <c r="C190" s="207"/>
      <c r="D190" s="207"/>
      <c r="E190" s="208"/>
      <c r="F190" s="207"/>
      <c r="G190" s="209"/>
      <c r="H190" s="207"/>
      <c r="I190" s="207"/>
      <c r="J190" s="207"/>
      <c r="K190" s="209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7"/>
      <c r="AD190" s="207"/>
      <c r="AE190" s="207"/>
      <c r="AF190" s="207"/>
      <c r="AG190" s="207"/>
      <c r="AH190" s="207"/>
      <c r="AI190" s="207"/>
      <c r="AJ190" s="203"/>
      <c r="AK190" s="203"/>
      <c r="AL190" s="203"/>
    </row>
    <row r="191" ht="15.75" customHeight="1">
      <c r="A191" s="4"/>
      <c r="B191" s="291"/>
      <c r="C191" s="207"/>
      <c r="D191" s="207"/>
      <c r="E191" s="208"/>
      <c r="F191" s="207"/>
      <c r="G191" s="209"/>
      <c r="H191" s="207"/>
      <c r="I191" s="207"/>
      <c r="J191" s="207"/>
      <c r="K191" s="209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03"/>
      <c r="AK191" s="203"/>
      <c r="AL191" s="203"/>
    </row>
    <row r="192" ht="15.75" customHeight="1">
      <c r="A192" s="4"/>
      <c r="B192" s="291"/>
      <c r="C192" s="207"/>
      <c r="D192" s="207"/>
      <c r="E192" s="208"/>
      <c r="F192" s="207"/>
      <c r="G192" s="209"/>
      <c r="H192" s="207"/>
      <c r="I192" s="207"/>
      <c r="J192" s="207"/>
      <c r="K192" s="209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7"/>
      <c r="AD192" s="207"/>
      <c r="AE192" s="207"/>
      <c r="AF192" s="207"/>
      <c r="AG192" s="207"/>
      <c r="AH192" s="207"/>
      <c r="AI192" s="207"/>
      <c r="AJ192" s="203"/>
      <c r="AK192" s="203"/>
      <c r="AL192" s="203"/>
    </row>
    <row r="193" ht="15.75" customHeight="1">
      <c r="A193" s="4"/>
      <c r="B193" s="291"/>
      <c r="C193" s="207"/>
      <c r="D193" s="207"/>
      <c r="E193" s="208"/>
      <c r="F193" s="207"/>
      <c r="G193" s="209"/>
      <c r="H193" s="207"/>
      <c r="I193" s="207"/>
      <c r="J193" s="207"/>
      <c r="K193" s="209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03"/>
      <c r="AK193" s="203"/>
      <c r="AL193" s="203"/>
    </row>
    <row r="194" ht="15.75" customHeight="1">
      <c r="A194" s="4"/>
      <c r="B194" s="291"/>
      <c r="C194" s="207"/>
      <c r="D194" s="207"/>
      <c r="E194" s="208"/>
      <c r="F194" s="207"/>
      <c r="G194" s="209"/>
      <c r="H194" s="207"/>
      <c r="I194" s="207"/>
      <c r="J194" s="207"/>
      <c r="K194" s="209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7"/>
      <c r="AD194" s="207"/>
      <c r="AE194" s="207"/>
      <c r="AF194" s="207"/>
      <c r="AG194" s="207"/>
      <c r="AH194" s="207"/>
      <c r="AI194" s="207"/>
      <c r="AJ194" s="203"/>
      <c r="AK194" s="203"/>
      <c r="AL194" s="203"/>
    </row>
    <row r="195" ht="15.75" customHeight="1">
      <c r="A195" s="4"/>
      <c r="B195" s="291"/>
      <c r="C195" s="207"/>
      <c r="D195" s="207"/>
      <c r="E195" s="208"/>
      <c r="F195" s="207"/>
      <c r="G195" s="209"/>
      <c r="H195" s="207"/>
      <c r="I195" s="207"/>
      <c r="J195" s="207"/>
      <c r="K195" s="209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3"/>
      <c r="AK195" s="203"/>
      <c r="AL195" s="203"/>
    </row>
    <row r="196" ht="15.75" customHeight="1">
      <c r="A196" s="4"/>
      <c r="B196" s="291"/>
      <c r="C196" s="207"/>
      <c r="D196" s="207"/>
      <c r="E196" s="208"/>
      <c r="F196" s="207"/>
      <c r="G196" s="209"/>
      <c r="H196" s="207"/>
      <c r="I196" s="207"/>
      <c r="J196" s="207"/>
      <c r="K196" s="209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7"/>
      <c r="AD196" s="207"/>
      <c r="AE196" s="207"/>
      <c r="AF196" s="207"/>
      <c r="AG196" s="207"/>
      <c r="AH196" s="207"/>
      <c r="AI196" s="207"/>
      <c r="AJ196" s="203"/>
      <c r="AK196" s="203"/>
      <c r="AL196" s="203"/>
    </row>
    <row r="197" ht="15.75" customHeight="1">
      <c r="A197" s="4"/>
      <c r="B197" s="291"/>
      <c r="C197" s="207"/>
      <c r="D197" s="207"/>
      <c r="E197" s="208"/>
      <c r="F197" s="207"/>
      <c r="G197" s="209"/>
      <c r="H197" s="207"/>
      <c r="I197" s="207"/>
      <c r="J197" s="207"/>
      <c r="K197" s="209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03"/>
      <c r="AK197" s="203"/>
      <c r="AL197" s="203"/>
    </row>
    <row r="198" ht="15.75" customHeight="1">
      <c r="A198" s="4"/>
      <c r="B198" s="291"/>
      <c r="C198" s="207"/>
      <c r="D198" s="207"/>
      <c r="E198" s="208"/>
      <c r="F198" s="207"/>
      <c r="G198" s="209"/>
      <c r="H198" s="207"/>
      <c r="I198" s="207"/>
      <c r="J198" s="207"/>
      <c r="K198" s="209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7"/>
      <c r="AD198" s="207"/>
      <c r="AE198" s="207"/>
      <c r="AF198" s="207"/>
      <c r="AG198" s="207"/>
      <c r="AH198" s="207"/>
      <c r="AI198" s="207"/>
      <c r="AJ198" s="203"/>
      <c r="AK198" s="203"/>
      <c r="AL198" s="203"/>
    </row>
    <row r="199" ht="15.75" customHeight="1">
      <c r="A199" s="4"/>
      <c r="B199" s="291"/>
      <c r="C199" s="207"/>
      <c r="D199" s="207"/>
      <c r="E199" s="208"/>
      <c r="F199" s="207"/>
      <c r="G199" s="209"/>
      <c r="H199" s="207"/>
      <c r="I199" s="207"/>
      <c r="J199" s="207"/>
      <c r="K199" s="209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3"/>
      <c r="AK199" s="203"/>
      <c r="AL199" s="203"/>
    </row>
    <row r="200" ht="15.75" customHeight="1">
      <c r="A200" s="4"/>
      <c r="B200" s="291"/>
      <c r="C200" s="207"/>
      <c r="D200" s="207"/>
      <c r="E200" s="208"/>
      <c r="F200" s="207"/>
      <c r="G200" s="209"/>
      <c r="H200" s="207"/>
      <c r="I200" s="207"/>
      <c r="J200" s="207"/>
      <c r="K200" s="209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7"/>
      <c r="AD200" s="207"/>
      <c r="AE200" s="207"/>
      <c r="AF200" s="207"/>
      <c r="AG200" s="207"/>
      <c r="AH200" s="207"/>
      <c r="AI200" s="207"/>
      <c r="AJ200" s="203"/>
      <c r="AK200" s="203"/>
      <c r="AL200" s="203"/>
    </row>
    <row r="201" ht="15.75" customHeight="1">
      <c r="A201" s="4"/>
      <c r="B201" s="291"/>
      <c r="C201" s="207"/>
      <c r="D201" s="207"/>
      <c r="E201" s="208"/>
      <c r="F201" s="207"/>
      <c r="G201" s="209"/>
      <c r="H201" s="207"/>
      <c r="I201" s="207"/>
      <c r="J201" s="207"/>
      <c r="K201" s="209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03"/>
      <c r="AK201" s="203"/>
      <c r="AL201" s="203"/>
    </row>
    <row r="202" ht="15.75" customHeight="1">
      <c r="A202" s="4"/>
      <c r="B202" s="291"/>
      <c r="C202" s="207"/>
      <c r="D202" s="207"/>
      <c r="E202" s="208"/>
      <c r="F202" s="207"/>
      <c r="G202" s="209"/>
      <c r="H202" s="207"/>
      <c r="I202" s="207"/>
      <c r="J202" s="207"/>
      <c r="K202" s="209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7"/>
      <c r="AD202" s="207"/>
      <c r="AE202" s="207"/>
      <c r="AF202" s="207"/>
      <c r="AG202" s="207"/>
      <c r="AH202" s="207"/>
      <c r="AI202" s="207"/>
      <c r="AJ202" s="203"/>
      <c r="AK202" s="203"/>
      <c r="AL202" s="203"/>
    </row>
    <row r="203" ht="15.75" customHeight="1">
      <c r="A203" s="4"/>
      <c r="B203" s="291"/>
      <c r="C203" s="207"/>
      <c r="D203" s="207"/>
      <c r="E203" s="208"/>
      <c r="F203" s="207"/>
      <c r="G203" s="209"/>
      <c r="H203" s="207"/>
      <c r="I203" s="207"/>
      <c r="J203" s="207"/>
      <c r="K203" s="209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7"/>
      <c r="AD203" s="207"/>
      <c r="AE203" s="207"/>
      <c r="AF203" s="207"/>
      <c r="AG203" s="207"/>
      <c r="AH203" s="207"/>
      <c r="AI203" s="207"/>
      <c r="AJ203" s="203"/>
      <c r="AK203" s="203"/>
      <c r="AL203" s="203"/>
    </row>
    <row r="204" ht="15.75" customHeight="1">
      <c r="A204" s="4"/>
      <c r="B204" s="291"/>
      <c r="C204" s="207"/>
      <c r="D204" s="207"/>
      <c r="E204" s="208"/>
      <c r="F204" s="207"/>
      <c r="G204" s="209"/>
      <c r="H204" s="207"/>
      <c r="I204" s="207"/>
      <c r="J204" s="207"/>
      <c r="K204" s="209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7"/>
      <c r="AD204" s="207"/>
      <c r="AE204" s="207"/>
      <c r="AF204" s="207"/>
      <c r="AG204" s="207"/>
      <c r="AH204" s="207"/>
      <c r="AI204" s="207"/>
      <c r="AJ204" s="203"/>
      <c r="AK204" s="203"/>
      <c r="AL204" s="203"/>
    </row>
    <row r="205" ht="15.75" customHeight="1">
      <c r="A205" s="4"/>
      <c r="B205" s="291"/>
      <c r="C205" s="207"/>
      <c r="D205" s="207"/>
      <c r="E205" s="208"/>
      <c r="F205" s="207"/>
      <c r="G205" s="209"/>
      <c r="H205" s="207"/>
      <c r="I205" s="207"/>
      <c r="J205" s="207"/>
      <c r="K205" s="209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/>
      <c r="AD205" s="207"/>
      <c r="AE205" s="207"/>
      <c r="AF205" s="207"/>
      <c r="AG205" s="207"/>
      <c r="AH205" s="207"/>
      <c r="AI205" s="207"/>
      <c r="AJ205" s="203"/>
      <c r="AK205" s="203"/>
      <c r="AL205" s="203"/>
    </row>
    <row r="206" ht="15.75" customHeight="1">
      <c r="A206" s="4"/>
      <c r="B206" s="291"/>
      <c r="C206" s="207"/>
      <c r="D206" s="207"/>
      <c r="E206" s="208"/>
      <c r="F206" s="207"/>
      <c r="G206" s="209"/>
      <c r="H206" s="207"/>
      <c r="I206" s="207"/>
      <c r="J206" s="207"/>
      <c r="K206" s="209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7"/>
      <c r="AD206" s="207"/>
      <c r="AE206" s="207"/>
      <c r="AF206" s="207"/>
      <c r="AG206" s="207"/>
      <c r="AH206" s="207"/>
      <c r="AI206" s="207"/>
      <c r="AJ206" s="203"/>
      <c r="AK206" s="203"/>
      <c r="AL206" s="203"/>
    </row>
    <row r="207" ht="15.75" customHeight="1">
      <c r="A207" s="4"/>
      <c r="B207" s="291"/>
      <c r="C207" s="207"/>
      <c r="D207" s="207"/>
      <c r="E207" s="208"/>
      <c r="F207" s="207"/>
      <c r="G207" s="209"/>
      <c r="H207" s="207"/>
      <c r="I207" s="207"/>
      <c r="J207" s="207"/>
      <c r="K207" s="209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03"/>
      <c r="AK207" s="203"/>
      <c r="AL207" s="203"/>
    </row>
    <row r="208" ht="15.75" customHeight="1">
      <c r="A208" s="4"/>
      <c r="B208" s="291"/>
      <c r="C208" s="207"/>
      <c r="D208" s="207"/>
      <c r="E208" s="208"/>
      <c r="F208" s="207"/>
      <c r="G208" s="209"/>
      <c r="H208" s="207"/>
      <c r="I208" s="207"/>
      <c r="J208" s="207"/>
      <c r="K208" s="209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7"/>
      <c r="AD208" s="207"/>
      <c r="AE208" s="207"/>
      <c r="AF208" s="207"/>
      <c r="AG208" s="207"/>
      <c r="AH208" s="207"/>
      <c r="AI208" s="207"/>
      <c r="AJ208" s="203"/>
      <c r="AK208" s="203"/>
      <c r="AL208" s="203"/>
    </row>
    <row r="209" ht="15.75" customHeight="1">
      <c r="A209" s="4"/>
      <c r="B209" s="291"/>
      <c r="C209" s="207"/>
      <c r="D209" s="207"/>
      <c r="E209" s="208"/>
      <c r="F209" s="207"/>
      <c r="G209" s="209"/>
      <c r="H209" s="207"/>
      <c r="I209" s="207"/>
      <c r="J209" s="207"/>
      <c r="K209" s="209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07"/>
      <c r="AG209" s="207"/>
      <c r="AH209" s="207"/>
      <c r="AI209" s="207"/>
      <c r="AJ209" s="203"/>
      <c r="AK209" s="203"/>
      <c r="AL209" s="203"/>
    </row>
    <row r="210" ht="15.75" customHeight="1">
      <c r="A210" s="4"/>
      <c r="B210" s="291"/>
      <c r="C210" s="207"/>
      <c r="D210" s="207"/>
      <c r="E210" s="208"/>
      <c r="F210" s="207"/>
      <c r="G210" s="209"/>
      <c r="H210" s="207"/>
      <c r="I210" s="207"/>
      <c r="J210" s="207"/>
      <c r="K210" s="209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7"/>
      <c r="AD210" s="207"/>
      <c r="AE210" s="207"/>
      <c r="AF210" s="207"/>
      <c r="AG210" s="207"/>
      <c r="AH210" s="207"/>
      <c r="AI210" s="207"/>
      <c r="AJ210" s="203"/>
      <c r="AK210" s="203"/>
      <c r="AL210" s="203"/>
    </row>
    <row r="211" ht="15.75" customHeight="1">
      <c r="A211" s="4"/>
      <c r="B211" s="291"/>
      <c r="C211" s="207"/>
      <c r="D211" s="207"/>
      <c r="E211" s="208"/>
      <c r="F211" s="207"/>
      <c r="G211" s="209"/>
      <c r="H211" s="207"/>
      <c r="I211" s="207"/>
      <c r="J211" s="207"/>
      <c r="K211" s="209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03"/>
      <c r="AK211" s="203"/>
      <c r="AL211" s="203"/>
    </row>
    <row r="212" ht="15.75" customHeight="1">
      <c r="A212" s="4"/>
      <c r="B212" s="291"/>
      <c r="C212" s="207"/>
      <c r="D212" s="207"/>
      <c r="E212" s="208"/>
      <c r="F212" s="207"/>
      <c r="G212" s="209"/>
      <c r="H212" s="207"/>
      <c r="I212" s="207"/>
      <c r="J212" s="207"/>
      <c r="K212" s="209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7"/>
      <c r="AD212" s="207"/>
      <c r="AE212" s="207"/>
      <c r="AF212" s="207"/>
      <c r="AG212" s="207"/>
      <c r="AH212" s="207"/>
      <c r="AI212" s="207"/>
      <c r="AJ212" s="203"/>
      <c r="AK212" s="203"/>
      <c r="AL212" s="203"/>
    </row>
    <row r="213" ht="15.75" customHeight="1">
      <c r="A213" s="4"/>
      <c r="B213" s="291"/>
      <c r="C213" s="207"/>
      <c r="D213" s="207"/>
      <c r="E213" s="208"/>
      <c r="F213" s="207"/>
      <c r="G213" s="209"/>
      <c r="H213" s="207"/>
      <c r="I213" s="207"/>
      <c r="J213" s="207"/>
      <c r="K213" s="209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03"/>
      <c r="AK213" s="203"/>
      <c r="AL213" s="203"/>
    </row>
    <row r="214" ht="15.75" customHeight="1">
      <c r="A214" s="4"/>
      <c r="B214" s="291"/>
      <c r="C214" s="207"/>
      <c r="D214" s="207"/>
      <c r="E214" s="208"/>
      <c r="F214" s="207"/>
      <c r="G214" s="209"/>
      <c r="H214" s="207"/>
      <c r="I214" s="207"/>
      <c r="J214" s="207"/>
      <c r="K214" s="209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7"/>
      <c r="AD214" s="207"/>
      <c r="AE214" s="207"/>
      <c r="AF214" s="207"/>
      <c r="AG214" s="207"/>
      <c r="AH214" s="207"/>
      <c r="AI214" s="207"/>
      <c r="AJ214" s="203"/>
      <c r="AK214" s="203"/>
      <c r="AL214" s="203"/>
    </row>
    <row r="215" ht="15.75" customHeight="1">
      <c r="A215" s="4"/>
      <c r="B215" s="291"/>
      <c r="C215" s="207"/>
      <c r="D215" s="207"/>
      <c r="E215" s="208"/>
      <c r="F215" s="207"/>
      <c r="G215" s="209"/>
      <c r="H215" s="207"/>
      <c r="I215" s="207"/>
      <c r="J215" s="207"/>
      <c r="K215" s="209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7"/>
      <c r="AD215" s="207"/>
      <c r="AE215" s="207"/>
      <c r="AF215" s="207"/>
      <c r="AG215" s="207"/>
      <c r="AH215" s="207"/>
      <c r="AI215" s="207"/>
      <c r="AJ215" s="203"/>
      <c r="AK215" s="203"/>
      <c r="AL215" s="203"/>
    </row>
    <row r="216" ht="15.75" customHeight="1">
      <c r="A216" s="4"/>
      <c r="B216" s="291"/>
      <c r="C216" s="207"/>
      <c r="D216" s="207"/>
      <c r="E216" s="208"/>
      <c r="F216" s="207"/>
      <c r="G216" s="209"/>
      <c r="H216" s="207"/>
      <c r="I216" s="207"/>
      <c r="J216" s="207"/>
      <c r="K216" s="209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07"/>
      <c r="AG216" s="207"/>
      <c r="AH216" s="207"/>
      <c r="AI216" s="207"/>
      <c r="AJ216" s="203"/>
      <c r="AK216" s="203"/>
      <c r="AL216" s="203"/>
    </row>
    <row r="217" ht="15.75" customHeight="1">
      <c r="A217" s="4"/>
      <c r="B217" s="291"/>
      <c r="C217" s="207"/>
      <c r="D217" s="207"/>
      <c r="E217" s="208"/>
      <c r="F217" s="207"/>
      <c r="G217" s="209"/>
      <c r="H217" s="207"/>
      <c r="I217" s="207"/>
      <c r="J217" s="207"/>
      <c r="K217" s="209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7"/>
      <c r="AD217" s="207"/>
      <c r="AE217" s="207"/>
      <c r="AF217" s="207"/>
      <c r="AG217" s="207"/>
      <c r="AH217" s="207"/>
      <c r="AI217" s="207"/>
      <c r="AJ217" s="203"/>
      <c r="AK217" s="203"/>
      <c r="AL217" s="203"/>
    </row>
    <row r="218" ht="15.75" customHeight="1">
      <c r="A218" s="4"/>
      <c r="B218" s="291"/>
      <c r="C218" s="207"/>
      <c r="D218" s="207"/>
      <c r="E218" s="208"/>
      <c r="F218" s="207"/>
      <c r="G218" s="209"/>
      <c r="H218" s="207"/>
      <c r="I218" s="207"/>
      <c r="J218" s="207"/>
      <c r="K218" s="209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03"/>
      <c r="AK218" s="203"/>
      <c r="AL218" s="203"/>
    </row>
    <row r="219" ht="15.75" customHeight="1">
      <c r="A219" s="4"/>
      <c r="B219" s="291"/>
      <c r="C219" s="207"/>
      <c r="D219" s="207"/>
      <c r="E219" s="208"/>
      <c r="F219" s="207"/>
      <c r="G219" s="209"/>
      <c r="H219" s="207"/>
      <c r="I219" s="207"/>
      <c r="J219" s="207"/>
      <c r="K219" s="209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7"/>
      <c r="AD219" s="207"/>
      <c r="AE219" s="207"/>
      <c r="AF219" s="207"/>
      <c r="AG219" s="207"/>
      <c r="AH219" s="207"/>
      <c r="AI219" s="207"/>
      <c r="AJ219" s="203"/>
      <c r="AK219" s="203"/>
      <c r="AL219" s="203"/>
    </row>
    <row r="220" ht="15.75" customHeight="1">
      <c r="A220" s="4"/>
      <c r="B220" s="291"/>
      <c r="C220" s="207"/>
      <c r="D220" s="207"/>
      <c r="E220" s="208"/>
      <c r="F220" s="207"/>
      <c r="G220" s="209"/>
      <c r="H220" s="207"/>
      <c r="I220" s="207"/>
      <c r="J220" s="207"/>
      <c r="K220" s="209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03"/>
      <c r="AK220" s="203"/>
      <c r="AL220" s="203"/>
    </row>
    <row r="221" ht="15.75" customHeight="1">
      <c r="A221" s="4"/>
      <c r="B221" s="291"/>
      <c r="C221" s="207"/>
      <c r="D221" s="207"/>
      <c r="E221" s="208"/>
      <c r="F221" s="207"/>
      <c r="G221" s="209"/>
      <c r="H221" s="207"/>
      <c r="I221" s="207"/>
      <c r="J221" s="207"/>
      <c r="K221" s="209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7"/>
      <c r="AD221" s="207"/>
      <c r="AE221" s="207"/>
      <c r="AF221" s="207"/>
      <c r="AG221" s="207"/>
      <c r="AH221" s="207"/>
      <c r="AI221" s="207"/>
      <c r="AJ221" s="203"/>
      <c r="AK221" s="203"/>
      <c r="AL221" s="203"/>
    </row>
    <row r="222" ht="15.75" customHeight="1">
      <c r="A222" s="4"/>
      <c r="B222" s="291"/>
      <c r="C222" s="207"/>
      <c r="D222" s="207"/>
      <c r="E222" s="208"/>
      <c r="F222" s="207"/>
      <c r="G222" s="209"/>
      <c r="H222" s="207"/>
      <c r="I222" s="207"/>
      <c r="J222" s="207"/>
      <c r="K222" s="209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03"/>
      <c r="AK222" s="203"/>
      <c r="AL222" s="203"/>
    </row>
    <row r="223" ht="15.75" customHeight="1">
      <c r="A223" s="4"/>
      <c r="B223" s="291"/>
      <c r="C223" s="207"/>
      <c r="D223" s="207"/>
      <c r="E223" s="208"/>
      <c r="F223" s="207"/>
      <c r="G223" s="209"/>
      <c r="H223" s="207"/>
      <c r="I223" s="207"/>
      <c r="J223" s="207"/>
      <c r="K223" s="209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7"/>
      <c r="AD223" s="207"/>
      <c r="AE223" s="207"/>
      <c r="AF223" s="207"/>
      <c r="AG223" s="207"/>
      <c r="AH223" s="207"/>
      <c r="AI223" s="207"/>
      <c r="AJ223" s="203"/>
      <c r="AK223" s="203"/>
      <c r="AL223" s="203"/>
    </row>
    <row r="224" ht="15.75" customHeight="1">
      <c r="A224" s="4"/>
      <c r="B224" s="291"/>
      <c r="C224" s="207"/>
      <c r="D224" s="207"/>
      <c r="E224" s="208"/>
      <c r="F224" s="207"/>
      <c r="G224" s="209"/>
      <c r="H224" s="207"/>
      <c r="I224" s="207"/>
      <c r="J224" s="207"/>
      <c r="K224" s="209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07"/>
      <c r="AG224" s="207"/>
      <c r="AH224" s="207"/>
      <c r="AI224" s="207"/>
      <c r="AJ224" s="203"/>
      <c r="AK224" s="203"/>
      <c r="AL224" s="203"/>
    </row>
    <row r="225" ht="15.75" customHeight="1">
      <c r="A225" s="4"/>
      <c r="B225" s="291"/>
      <c r="C225" s="207"/>
      <c r="D225" s="207"/>
      <c r="E225" s="208"/>
      <c r="F225" s="207"/>
      <c r="G225" s="209"/>
      <c r="H225" s="207"/>
      <c r="I225" s="207"/>
      <c r="J225" s="207"/>
      <c r="K225" s="209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7"/>
      <c r="AD225" s="207"/>
      <c r="AE225" s="207"/>
      <c r="AF225" s="207"/>
      <c r="AG225" s="207"/>
      <c r="AH225" s="207"/>
      <c r="AI225" s="207"/>
      <c r="AJ225" s="203"/>
      <c r="AK225" s="203"/>
      <c r="AL225" s="203"/>
    </row>
    <row r="226" ht="15.75" customHeight="1">
      <c r="A226" s="4"/>
      <c r="B226" s="291"/>
      <c r="C226" s="207"/>
      <c r="D226" s="207"/>
      <c r="E226" s="208"/>
      <c r="F226" s="207"/>
      <c r="G226" s="209"/>
      <c r="H226" s="207"/>
      <c r="I226" s="207"/>
      <c r="J226" s="207"/>
      <c r="K226" s="209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7"/>
      <c r="AD226" s="207"/>
      <c r="AE226" s="207"/>
      <c r="AF226" s="207"/>
      <c r="AG226" s="207"/>
      <c r="AH226" s="207"/>
      <c r="AI226" s="207"/>
      <c r="AJ226" s="203"/>
      <c r="AK226" s="203"/>
      <c r="AL226" s="203"/>
    </row>
    <row r="227" ht="15.75" customHeight="1">
      <c r="A227" s="4"/>
      <c r="B227" s="291"/>
      <c r="C227" s="207"/>
      <c r="D227" s="207"/>
      <c r="E227" s="208"/>
      <c r="F227" s="207"/>
      <c r="G227" s="209"/>
      <c r="H227" s="207"/>
      <c r="I227" s="207"/>
      <c r="J227" s="207"/>
      <c r="K227" s="209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7"/>
      <c r="AD227" s="207"/>
      <c r="AE227" s="207"/>
      <c r="AF227" s="207"/>
      <c r="AG227" s="207"/>
      <c r="AH227" s="207"/>
      <c r="AI227" s="207"/>
      <c r="AJ227" s="203"/>
      <c r="AK227" s="203"/>
      <c r="AL227" s="203"/>
    </row>
    <row r="228" ht="15.75" customHeight="1">
      <c r="A228" s="4"/>
      <c r="B228" s="291"/>
      <c r="C228" s="207"/>
      <c r="D228" s="207"/>
      <c r="E228" s="208"/>
      <c r="F228" s="207"/>
      <c r="G228" s="209"/>
      <c r="H228" s="207"/>
      <c r="I228" s="207"/>
      <c r="J228" s="207"/>
      <c r="K228" s="209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03"/>
      <c r="AK228" s="203"/>
      <c r="AL228" s="203"/>
    </row>
    <row r="229" ht="15.75" customHeight="1">
      <c r="A229" s="4"/>
      <c r="B229" s="291"/>
      <c r="C229" s="207"/>
      <c r="D229" s="207"/>
      <c r="E229" s="208"/>
      <c r="F229" s="207"/>
      <c r="G229" s="209"/>
      <c r="H229" s="207"/>
      <c r="I229" s="207"/>
      <c r="J229" s="207"/>
      <c r="K229" s="209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7"/>
      <c r="AD229" s="207"/>
      <c r="AE229" s="207"/>
      <c r="AF229" s="207"/>
      <c r="AG229" s="207"/>
      <c r="AH229" s="207"/>
      <c r="AI229" s="207"/>
      <c r="AJ229" s="203"/>
      <c r="AK229" s="203"/>
      <c r="AL229" s="203"/>
    </row>
    <row r="230" ht="15.75" customHeight="1">
      <c r="A230" s="4"/>
      <c r="B230" s="291"/>
      <c r="C230" s="207"/>
      <c r="D230" s="207"/>
      <c r="E230" s="208"/>
      <c r="F230" s="207"/>
      <c r="G230" s="209"/>
      <c r="H230" s="207"/>
      <c r="I230" s="207"/>
      <c r="J230" s="207"/>
      <c r="K230" s="209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03"/>
      <c r="AK230" s="203"/>
      <c r="AL230" s="203"/>
    </row>
    <row r="231" ht="15.75" customHeight="1">
      <c r="A231" s="4"/>
      <c r="B231" s="291"/>
      <c r="C231" s="207"/>
      <c r="D231" s="207"/>
      <c r="E231" s="208"/>
      <c r="F231" s="207"/>
      <c r="G231" s="209"/>
      <c r="H231" s="207"/>
      <c r="I231" s="207"/>
      <c r="J231" s="207"/>
      <c r="K231" s="209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7"/>
      <c r="AD231" s="207"/>
      <c r="AE231" s="207"/>
      <c r="AF231" s="207"/>
      <c r="AG231" s="207"/>
      <c r="AH231" s="207"/>
      <c r="AI231" s="207"/>
      <c r="AJ231" s="203"/>
      <c r="AK231" s="203"/>
      <c r="AL231" s="203"/>
    </row>
    <row r="232" ht="15.75" customHeight="1">
      <c r="A232" s="4"/>
      <c r="B232" s="291"/>
      <c r="C232" s="207"/>
      <c r="D232" s="207"/>
      <c r="E232" s="208"/>
      <c r="F232" s="207"/>
      <c r="G232" s="209"/>
      <c r="H232" s="207"/>
      <c r="I232" s="207"/>
      <c r="J232" s="207"/>
      <c r="K232" s="209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03"/>
      <c r="AK232" s="203"/>
      <c r="AL232" s="203"/>
    </row>
    <row r="233" ht="15.75" customHeight="1">
      <c r="A233" s="4"/>
      <c r="B233" s="291"/>
      <c r="C233" s="207"/>
      <c r="D233" s="207"/>
      <c r="E233" s="208"/>
      <c r="F233" s="207"/>
      <c r="G233" s="209"/>
      <c r="H233" s="207"/>
      <c r="I233" s="207"/>
      <c r="J233" s="207"/>
      <c r="K233" s="209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7"/>
      <c r="AD233" s="207"/>
      <c r="AE233" s="207"/>
      <c r="AF233" s="207"/>
      <c r="AG233" s="207"/>
      <c r="AH233" s="207"/>
      <c r="AI233" s="207"/>
      <c r="AJ233" s="203"/>
      <c r="AK233" s="203"/>
      <c r="AL233" s="203"/>
    </row>
    <row r="234" ht="15.75" customHeight="1">
      <c r="A234" s="4"/>
      <c r="B234" s="291"/>
      <c r="C234" s="207"/>
      <c r="D234" s="207"/>
      <c r="E234" s="208"/>
      <c r="F234" s="207"/>
      <c r="G234" s="209"/>
      <c r="H234" s="207"/>
      <c r="I234" s="207"/>
      <c r="J234" s="207"/>
      <c r="K234" s="209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07"/>
      <c r="AG234" s="207"/>
      <c r="AH234" s="207"/>
      <c r="AI234" s="207"/>
      <c r="AJ234" s="203"/>
      <c r="AK234" s="203"/>
      <c r="AL234" s="203"/>
    </row>
    <row r="235" ht="15.75" customHeight="1">
      <c r="A235" s="4"/>
      <c r="B235" s="291"/>
      <c r="C235" s="207"/>
      <c r="D235" s="207"/>
      <c r="E235" s="208"/>
      <c r="F235" s="207"/>
      <c r="G235" s="209"/>
      <c r="H235" s="207"/>
      <c r="I235" s="207"/>
      <c r="J235" s="207"/>
      <c r="K235" s="209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7"/>
      <c r="AD235" s="207"/>
      <c r="AE235" s="207"/>
      <c r="AF235" s="207"/>
      <c r="AG235" s="207"/>
      <c r="AH235" s="207"/>
      <c r="AI235" s="207"/>
      <c r="AJ235" s="203"/>
      <c r="AK235" s="203"/>
      <c r="AL235" s="203"/>
    </row>
    <row r="236" ht="15.75" customHeight="1">
      <c r="A236" s="4"/>
      <c r="B236" s="291"/>
      <c r="C236" s="207"/>
      <c r="D236" s="207"/>
      <c r="E236" s="208"/>
      <c r="F236" s="207"/>
      <c r="G236" s="209"/>
      <c r="H236" s="207"/>
      <c r="I236" s="207"/>
      <c r="J236" s="207"/>
      <c r="K236" s="209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03"/>
      <c r="AK236" s="203"/>
      <c r="AL236" s="203"/>
    </row>
    <row r="237" ht="15.75" customHeight="1">
      <c r="A237" s="4"/>
      <c r="B237" s="291"/>
      <c r="C237" s="207"/>
      <c r="D237" s="207"/>
      <c r="E237" s="208"/>
      <c r="F237" s="207"/>
      <c r="G237" s="209"/>
      <c r="H237" s="207"/>
      <c r="I237" s="207"/>
      <c r="J237" s="207"/>
      <c r="K237" s="209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7"/>
      <c r="AD237" s="207"/>
      <c r="AE237" s="207"/>
      <c r="AF237" s="207"/>
      <c r="AG237" s="207"/>
      <c r="AH237" s="207"/>
      <c r="AI237" s="207"/>
      <c r="AJ237" s="203"/>
      <c r="AK237" s="203"/>
      <c r="AL237" s="203"/>
    </row>
    <row r="238" ht="15.75" customHeight="1">
      <c r="A238" s="4"/>
      <c r="B238" s="291"/>
      <c r="C238" s="207"/>
      <c r="D238" s="207"/>
      <c r="E238" s="208"/>
      <c r="F238" s="207"/>
      <c r="G238" s="209"/>
      <c r="H238" s="207"/>
      <c r="I238" s="207"/>
      <c r="J238" s="207"/>
      <c r="K238" s="209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03"/>
      <c r="AK238" s="203"/>
      <c r="AL238" s="203"/>
    </row>
    <row r="239" ht="15.75" customHeight="1">
      <c r="A239" s="4"/>
      <c r="B239" s="291"/>
      <c r="C239" s="207"/>
      <c r="D239" s="207"/>
      <c r="E239" s="208"/>
      <c r="F239" s="207"/>
      <c r="G239" s="209"/>
      <c r="H239" s="207"/>
      <c r="I239" s="207"/>
      <c r="J239" s="207"/>
      <c r="K239" s="209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7"/>
      <c r="AD239" s="207"/>
      <c r="AE239" s="207"/>
      <c r="AF239" s="207"/>
      <c r="AG239" s="207"/>
      <c r="AH239" s="207"/>
      <c r="AI239" s="207"/>
      <c r="AJ239" s="203"/>
      <c r="AK239" s="203"/>
      <c r="AL239" s="203"/>
    </row>
    <row r="240" ht="15.75" customHeight="1">
      <c r="A240" s="4"/>
      <c r="B240" s="291"/>
      <c r="C240" s="207"/>
      <c r="D240" s="207"/>
      <c r="E240" s="208"/>
      <c r="F240" s="207"/>
      <c r="G240" s="209"/>
      <c r="H240" s="207"/>
      <c r="I240" s="207"/>
      <c r="J240" s="207"/>
      <c r="K240" s="209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7"/>
      <c r="AD240" s="207"/>
      <c r="AE240" s="207"/>
      <c r="AF240" s="207"/>
      <c r="AG240" s="207"/>
      <c r="AH240" s="207"/>
      <c r="AI240" s="207"/>
      <c r="AJ240" s="203"/>
      <c r="AK240" s="203"/>
      <c r="AL240" s="203"/>
    </row>
    <row r="241" ht="15.75" customHeight="1">
      <c r="A241" s="4"/>
      <c r="B241" s="291"/>
      <c r="C241" s="207"/>
      <c r="D241" s="207"/>
      <c r="E241" s="208"/>
      <c r="F241" s="207"/>
      <c r="G241" s="209"/>
      <c r="H241" s="207"/>
      <c r="I241" s="207"/>
      <c r="J241" s="207"/>
      <c r="K241" s="209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7"/>
      <c r="AD241" s="207"/>
      <c r="AE241" s="207"/>
      <c r="AF241" s="207"/>
      <c r="AG241" s="207"/>
      <c r="AH241" s="207"/>
      <c r="AI241" s="207"/>
      <c r="AJ241" s="203"/>
      <c r="AK241" s="203"/>
      <c r="AL241" s="203"/>
    </row>
    <row r="242" ht="15.75" customHeight="1">
      <c r="A242" s="4"/>
      <c r="B242" s="291"/>
      <c r="C242" s="207"/>
      <c r="D242" s="207"/>
      <c r="E242" s="208"/>
      <c r="F242" s="207"/>
      <c r="G242" s="209"/>
      <c r="H242" s="207"/>
      <c r="I242" s="207"/>
      <c r="J242" s="207"/>
      <c r="K242" s="209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03"/>
      <c r="AK242" s="203"/>
      <c r="AL242" s="203"/>
    </row>
    <row r="243" ht="15.75" customHeight="1">
      <c r="A243" s="4"/>
      <c r="B243" s="291"/>
      <c r="C243" s="207"/>
      <c r="D243" s="207"/>
      <c r="E243" s="208"/>
      <c r="F243" s="207"/>
      <c r="G243" s="209"/>
      <c r="H243" s="207"/>
      <c r="I243" s="207"/>
      <c r="J243" s="207"/>
      <c r="K243" s="209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7"/>
      <c r="AD243" s="207"/>
      <c r="AE243" s="207"/>
      <c r="AF243" s="207"/>
      <c r="AG243" s="207"/>
      <c r="AH243" s="207"/>
      <c r="AI243" s="207"/>
      <c r="AJ243" s="203"/>
      <c r="AK243" s="203"/>
      <c r="AL243" s="203"/>
    </row>
    <row r="244" ht="15.75" customHeight="1">
      <c r="A244" s="4"/>
      <c r="B244" s="291"/>
      <c r="C244" s="207"/>
      <c r="D244" s="207"/>
      <c r="E244" s="208"/>
      <c r="F244" s="207"/>
      <c r="G244" s="209"/>
      <c r="H244" s="207"/>
      <c r="I244" s="207"/>
      <c r="J244" s="207"/>
      <c r="K244" s="209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07"/>
      <c r="AG244" s="207"/>
      <c r="AH244" s="207"/>
      <c r="AI244" s="207"/>
      <c r="AJ244" s="203"/>
      <c r="AK244" s="203"/>
      <c r="AL244" s="203"/>
    </row>
    <row r="245" ht="15.75" customHeight="1">
      <c r="A245" s="4"/>
      <c r="B245" s="291"/>
      <c r="C245" s="207"/>
      <c r="D245" s="207"/>
      <c r="E245" s="208"/>
      <c r="F245" s="207"/>
      <c r="G245" s="209"/>
      <c r="H245" s="207"/>
      <c r="I245" s="207"/>
      <c r="J245" s="207"/>
      <c r="K245" s="209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7"/>
      <c r="AD245" s="207"/>
      <c r="AE245" s="207"/>
      <c r="AF245" s="207"/>
      <c r="AG245" s="207"/>
      <c r="AH245" s="207"/>
      <c r="AI245" s="207"/>
      <c r="AJ245" s="203"/>
      <c r="AK245" s="203"/>
      <c r="AL245" s="203"/>
    </row>
    <row r="246" ht="15.75" customHeight="1">
      <c r="A246" s="4"/>
      <c r="B246" s="291"/>
      <c r="C246" s="207"/>
      <c r="D246" s="207"/>
      <c r="E246" s="208"/>
      <c r="F246" s="207"/>
      <c r="G246" s="209"/>
      <c r="H246" s="207"/>
      <c r="I246" s="207"/>
      <c r="J246" s="207"/>
      <c r="K246" s="209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7"/>
      <c r="AD246" s="207"/>
      <c r="AE246" s="207"/>
      <c r="AF246" s="207"/>
      <c r="AG246" s="207"/>
      <c r="AH246" s="207"/>
      <c r="AI246" s="207"/>
      <c r="AJ246" s="203"/>
      <c r="AK246" s="203"/>
      <c r="AL246" s="203"/>
    </row>
    <row r="247" ht="15.75" customHeight="1">
      <c r="A247" s="4"/>
      <c r="B247" s="291"/>
      <c r="C247" s="207"/>
      <c r="D247" s="207"/>
      <c r="E247" s="208"/>
      <c r="F247" s="207"/>
      <c r="G247" s="209"/>
      <c r="H247" s="207"/>
      <c r="I247" s="207"/>
      <c r="J247" s="207"/>
      <c r="K247" s="209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7"/>
      <c r="AD247" s="207"/>
      <c r="AE247" s="207"/>
      <c r="AF247" s="207"/>
      <c r="AG247" s="207"/>
      <c r="AH247" s="207"/>
      <c r="AI247" s="207"/>
      <c r="AJ247" s="203"/>
      <c r="AK247" s="203"/>
      <c r="AL247" s="203"/>
    </row>
    <row r="248" ht="15.75" customHeight="1">
      <c r="A248" s="4"/>
      <c r="B248" s="291"/>
      <c r="C248" s="207"/>
      <c r="D248" s="207"/>
      <c r="E248" s="208"/>
      <c r="F248" s="207"/>
      <c r="G248" s="209"/>
      <c r="H248" s="207"/>
      <c r="I248" s="207"/>
      <c r="J248" s="207"/>
      <c r="K248" s="209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  <c r="AG248" s="207"/>
      <c r="AH248" s="207"/>
      <c r="AI248" s="207"/>
      <c r="AJ248" s="203"/>
      <c r="AK248" s="203"/>
      <c r="AL248" s="203"/>
    </row>
    <row r="249" ht="15.75" customHeight="1">
      <c r="A249" s="4"/>
      <c r="B249" s="291"/>
      <c r="C249" s="207"/>
      <c r="D249" s="207"/>
      <c r="E249" s="208"/>
      <c r="F249" s="207"/>
      <c r="G249" s="209"/>
      <c r="H249" s="207"/>
      <c r="I249" s="207"/>
      <c r="J249" s="207"/>
      <c r="K249" s="209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7"/>
      <c r="AD249" s="207"/>
      <c r="AE249" s="207"/>
      <c r="AF249" s="207"/>
      <c r="AG249" s="207"/>
      <c r="AH249" s="207"/>
      <c r="AI249" s="207"/>
      <c r="AJ249" s="203"/>
      <c r="AK249" s="203"/>
      <c r="AL249" s="203"/>
    </row>
    <row r="250" ht="15.75" customHeight="1">
      <c r="A250" s="4"/>
      <c r="B250" s="291"/>
      <c r="C250" s="207"/>
      <c r="D250" s="207"/>
      <c r="E250" s="208"/>
      <c r="F250" s="207"/>
      <c r="G250" s="209"/>
      <c r="H250" s="207"/>
      <c r="I250" s="207"/>
      <c r="J250" s="207"/>
      <c r="K250" s="209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  <c r="AG250" s="207"/>
      <c r="AH250" s="207"/>
      <c r="AI250" s="207"/>
      <c r="AJ250" s="203"/>
      <c r="AK250" s="203"/>
      <c r="AL250" s="203"/>
    </row>
    <row r="251" ht="15.75" customHeight="1">
      <c r="A251" s="4"/>
      <c r="B251" s="291"/>
      <c r="C251" s="207"/>
      <c r="D251" s="207"/>
      <c r="E251" s="208"/>
      <c r="F251" s="207"/>
      <c r="G251" s="209"/>
      <c r="H251" s="207"/>
      <c r="I251" s="207"/>
      <c r="J251" s="207"/>
      <c r="K251" s="209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7"/>
      <c r="AD251" s="207"/>
      <c r="AE251" s="207"/>
      <c r="AF251" s="207"/>
      <c r="AG251" s="207"/>
      <c r="AH251" s="207"/>
      <c r="AI251" s="207"/>
      <c r="AJ251" s="203"/>
      <c r="AK251" s="203"/>
      <c r="AL251" s="203"/>
    </row>
    <row r="252" ht="15.75" customHeight="1">
      <c r="A252" s="4"/>
      <c r="B252" s="291"/>
      <c r="C252" s="207"/>
      <c r="D252" s="207"/>
      <c r="E252" s="208"/>
      <c r="F252" s="207"/>
      <c r="G252" s="209"/>
      <c r="H252" s="207"/>
      <c r="I252" s="207"/>
      <c r="J252" s="207"/>
      <c r="K252" s="209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7"/>
      <c r="AD252" s="207"/>
      <c r="AE252" s="207"/>
      <c r="AF252" s="207"/>
      <c r="AG252" s="207"/>
      <c r="AH252" s="207"/>
      <c r="AI252" s="207"/>
      <c r="AJ252" s="203"/>
      <c r="AK252" s="203"/>
      <c r="AL252" s="203"/>
    </row>
    <row r="253" ht="15.75" customHeight="1">
      <c r="A253" s="4"/>
      <c r="B253" s="291"/>
      <c r="C253" s="207"/>
      <c r="D253" s="207"/>
      <c r="E253" s="208"/>
      <c r="F253" s="207"/>
      <c r="G253" s="209"/>
      <c r="H253" s="207"/>
      <c r="I253" s="207"/>
      <c r="J253" s="207"/>
      <c r="K253" s="209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7"/>
      <c r="AD253" s="207"/>
      <c r="AE253" s="207"/>
      <c r="AF253" s="207"/>
      <c r="AG253" s="207"/>
      <c r="AH253" s="207"/>
      <c r="AI253" s="207"/>
      <c r="AJ253" s="203"/>
      <c r="AK253" s="203"/>
      <c r="AL253" s="203"/>
    </row>
    <row r="254" ht="15.75" customHeight="1">
      <c r="A254" s="4"/>
      <c r="B254" s="291"/>
      <c r="C254" s="207"/>
      <c r="D254" s="207"/>
      <c r="E254" s="208"/>
      <c r="F254" s="207"/>
      <c r="G254" s="209"/>
      <c r="H254" s="207"/>
      <c r="I254" s="207"/>
      <c r="J254" s="207"/>
      <c r="K254" s="209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7"/>
      <c r="AD254" s="207"/>
      <c r="AE254" s="207"/>
      <c r="AF254" s="207"/>
      <c r="AG254" s="207"/>
      <c r="AH254" s="207"/>
      <c r="AI254" s="207"/>
      <c r="AJ254" s="203"/>
      <c r="AK254" s="203"/>
      <c r="AL254" s="203"/>
    </row>
    <row r="255" ht="15.75" customHeight="1">
      <c r="A255" s="4"/>
      <c r="B255" s="291"/>
      <c r="C255" s="207"/>
      <c r="D255" s="207"/>
      <c r="E255" s="208"/>
      <c r="F255" s="207"/>
      <c r="G255" s="209"/>
      <c r="H255" s="207"/>
      <c r="I255" s="207"/>
      <c r="J255" s="207"/>
      <c r="K255" s="209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  <c r="AG255" s="207"/>
      <c r="AH255" s="207"/>
      <c r="AI255" s="207"/>
      <c r="AJ255" s="203"/>
      <c r="AK255" s="203"/>
      <c r="AL255" s="203"/>
    </row>
    <row r="256" ht="15.75" customHeight="1">
      <c r="A256" s="4"/>
      <c r="B256" s="291"/>
      <c r="C256" s="207"/>
      <c r="D256" s="207"/>
      <c r="E256" s="208"/>
      <c r="F256" s="207"/>
      <c r="G256" s="209"/>
      <c r="H256" s="207"/>
      <c r="I256" s="207"/>
      <c r="J256" s="207"/>
      <c r="K256" s="209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7"/>
      <c r="AD256" s="207"/>
      <c r="AE256" s="207"/>
      <c r="AF256" s="207"/>
      <c r="AG256" s="207"/>
      <c r="AH256" s="207"/>
      <c r="AI256" s="207"/>
      <c r="AJ256" s="203"/>
      <c r="AK256" s="203"/>
      <c r="AL256" s="203"/>
    </row>
    <row r="257" ht="15.75" customHeight="1">
      <c r="A257" s="4"/>
      <c r="B257" s="291"/>
      <c r="C257" s="207"/>
      <c r="D257" s="207"/>
      <c r="E257" s="208"/>
      <c r="F257" s="207"/>
      <c r="G257" s="209"/>
      <c r="H257" s="207"/>
      <c r="I257" s="207"/>
      <c r="J257" s="207"/>
      <c r="K257" s="209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  <c r="AE257" s="207"/>
      <c r="AF257" s="207"/>
      <c r="AG257" s="207"/>
      <c r="AH257" s="207"/>
      <c r="AI257" s="207"/>
      <c r="AJ257" s="203"/>
      <c r="AK257" s="203"/>
      <c r="AL257" s="203"/>
    </row>
    <row r="258" ht="15.75" customHeight="1">
      <c r="A258" s="4"/>
      <c r="B258" s="291"/>
      <c r="C258" s="207"/>
      <c r="D258" s="207"/>
      <c r="E258" s="208"/>
      <c r="F258" s="207"/>
      <c r="G258" s="209"/>
      <c r="H258" s="207"/>
      <c r="I258" s="207"/>
      <c r="J258" s="207"/>
      <c r="K258" s="209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7"/>
      <c r="AD258" s="207"/>
      <c r="AE258" s="207"/>
      <c r="AF258" s="207"/>
      <c r="AG258" s="207"/>
      <c r="AH258" s="207"/>
      <c r="AI258" s="207"/>
      <c r="AJ258" s="203"/>
      <c r="AK258" s="203"/>
      <c r="AL258" s="203"/>
    </row>
    <row r="259" ht="15.75" customHeight="1">
      <c r="A259" s="4"/>
      <c r="B259" s="291"/>
      <c r="C259" s="207"/>
      <c r="D259" s="207"/>
      <c r="E259" s="208"/>
      <c r="F259" s="207"/>
      <c r="G259" s="209"/>
      <c r="H259" s="207"/>
      <c r="I259" s="207"/>
      <c r="J259" s="207"/>
      <c r="K259" s="209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  <c r="AE259" s="207"/>
      <c r="AF259" s="207"/>
      <c r="AG259" s="207"/>
      <c r="AH259" s="207"/>
      <c r="AI259" s="207"/>
      <c r="AJ259" s="203"/>
      <c r="AK259" s="203"/>
      <c r="AL259" s="203"/>
    </row>
    <row r="260" ht="15.75" customHeight="1">
      <c r="A260" s="4"/>
      <c r="B260" s="291"/>
      <c r="C260" s="207"/>
      <c r="D260" s="207"/>
      <c r="E260" s="208"/>
      <c r="F260" s="207"/>
      <c r="G260" s="209"/>
      <c r="H260" s="207"/>
      <c r="I260" s="207"/>
      <c r="J260" s="207"/>
      <c r="K260" s="209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7"/>
      <c r="AD260" s="207"/>
      <c r="AE260" s="207"/>
      <c r="AF260" s="207"/>
      <c r="AG260" s="207"/>
      <c r="AH260" s="207"/>
      <c r="AI260" s="207"/>
      <c r="AJ260" s="203"/>
      <c r="AK260" s="203"/>
      <c r="AL260" s="203"/>
    </row>
    <row r="261" ht="15.75" customHeight="1">
      <c r="A261" s="4"/>
      <c r="B261" s="291"/>
      <c r="C261" s="207"/>
      <c r="D261" s="207"/>
      <c r="E261" s="208"/>
      <c r="F261" s="207"/>
      <c r="G261" s="209"/>
      <c r="H261" s="207"/>
      <c r="I261" s="207"/>
      <c r="J261" s="207"/>
      <c r="K261" s="209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07"/>
      <c r="AG261" s="207"/>
      <c r="AH261" s="207"/>
      <c r="AI261" s="207"/>
      <c r="AJ261" s="203"/>
      <c r="AK261" s="203"/>
      <c r="AL261" s="203"/>
    </row>
    <row r="262" ht="15.75" customHeight="1">
      <c r="A262" s="4"/>
      <c r="B262" s="291"/>
      <c r="C262" s="207"/>
      <c r="D262" s="207"/>
      <c r="E262" s="208"/>
      <c r="F262" s="207"/>
      <c r="G262" s="209"/>
      <c r="H262" s="207"/>
      <c r="I262" s="207"/>
      <c r="J262" s="207"/>
      <c r="K262" s="209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7"/>
      <c r="AD262" s="207"/>
      <c r="AE262" s="207"/>
      <c r="AF262" s="207"/>
      <c r="AG262" s="207"/>
      <c r="AH262" s="207"/>
      <c r="AI262" s="207"/>
      <c r="AJ262" s="203"/>
      <c r="AK262" s="203"/>
      <c r="AL262" s="203"/>
    </row>
    <row r="263" ht="15.75" customHeight="1">
      <c r="A263" s="4"/>
      <c r="B263" s="291"/>
      <c r="C263" s="207"/>
      <c r="D263" s="207"/>
      <c r="E263" s="208"/>
      <c r="F263" s="207"/>
      <c r="G263" s="209"/>
      <c r="H263" s="207"/>
      <c r="I263" s="207"/>
      <c r="J263" s="207"/>
      <c r="K263" s="209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  <c r="AG263" s="207"/>
      <c r="AH263" s="207"/>
      <c r="AI263" s="207"/>
      <c r="AJ263" s="203"/>
      <c r="AK263" s="203"/>
      <c r="AL263" s="203"/>
    </row>
    <row r="264" ht="15.75" customHeight="1">
      <c r="A264" s="4"/>
      <c r="B264" s="291"/>
      <c r="C264" s="207"/>
      <c r="D264" s="207"/>
      <c r="E264" s="208"/>
      <c r="F264" s="207"/>
      <c r="G264" s="209"/>
      <c r="H264" s="207"/>
      <c r="I264" s="207"/>
      <c r="J264" s="207"/>
      <c r="K264" s="209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7"/>
      <c r="AD264" s="207"/>
      <c r="AE264" s="207"/>
      <c r="AF264" s="207"/>
      <c r="AG264" s="207"/>
      <c r="AH264" s="207"/>
      <c r="AI264" s="207"/>
      <c r="AJ264" s="203"/>
      <c r="AK264" s="203"/>
      <c r="AL264" s="203"/>
    </row>
    <row r="265" ht="15.75" customHeight="1">
      <c r="A265" s="4"/>
      <c r="B265" s="291"/>
      <c r="C265" s="207"/>
      <c r="D265" s="207"/>
      <c r="E265" s="208"/>
      <c r="F265" s="207"/>
      <c r="G265" s="209"/>
      <c r="H265" s="207"/>
      <c r="I265" s="207"/>
      <c r="J265" s="207"/>
      <c r="K265" s="209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7"/>
      <c r="AD265" s="207"/>
      <c r="AE265" s="207"/>
      <c r="AF265" s="207"/>
      <c r="AG265" s="207"/>
      <c r="AH265" s="207"/>
      <c r="AI265" s="207"/>
      <c r="AJ265" s="203"/>
      <c r="AK265" s="203"/>
      <c r="AL265" s="203"/>
    </row>
    <row r="266" ht="15.75" customHeight="1">
      <c r="A266" s="4"/>
      <c r="B266" s="291"/>
      <c r="C266" s="207"/>
      <c r="D266" s="207"/>
      <c r="E266" s="208"/>
      <c r="F266" s="207"/>
      <c r="G266" s="209"/>
      <c r="H266" s="207"/>
      <c r="I266" s="207"/>
      <c r="J266" s="207"/>
      <c r="K266" s="209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  <c r="AG266" s="207"/>
      <c r="AH266" s="207"/>
      <c r="AI266" s="207"/>
      <c r="AJ266" s="203"/>
      <c r="AK266" s="203"/>
      <c r="AL266" s="203"/>
    </row>
    <row r="267" ht="15.75" customHeight="1">
      <c r="A267" s="4"/>
      <c r="B267" s="291"/>
      <c r="C267" s="207"/>
      <c r="D267" s="207"/>
      <c r="E267" s="208"/>
      <c r="F267" s="207"/>
      <c r="G267" s="209"/>
      <c r="H267" s="207"/>
      <c r="I267" s="207"/>
      <c r="J267" s="207"/>
      <c r="K267" s="209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7"/>
      <c r="AD267" s="207"/>
      <c r="AE267" s="207"/>
      <c r="AF267" s="207"/>
      <c r="AG267" s="207"/>
      <c r="AH267" s="207"/>
      <c r="AI267" s="207"/>
      <c r="AJ267" s="203"/>
      <c r="AK267" s="203"/>
      <c r="AL267" s="203"/>
    </row>
    <row r="268" ht="15.75" customHeight="1">
      <c r="A268" s="4"/>
      <c r="B268" s="291"/>
      <c r="C268" s="207"/>
      <c r="D268" s="207"/>
      <c r="E268" s="208"/>
      <c r="F268" s="207"/>
      <c r="G268" s="209"/>
      <c r="H268" s="207"/>
      <c r="I268" s="207"/>
      <c r="J268" s="207"/>
      <c r="K268" s="209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  <c r="AE268" s="207"/>
      <c r="AF268" s="207"/>
      <c r="AG268" s="207"/>
      <c r="AH268" s="207"/>
      <c r="AI268" s="207"/>
      <c r="AJ268" s="203"/>
      <c r="AK268" s="203"/>
      <c r="AL268" s="203"/>
    </row>
    <row r="269" ht="15.75" customHeight="1">
      <c r="A269" s="4"/>
      <c r="B269" s="291"/>
      <c r="C269" s="207"/>
      <c r="D269" s="207"/>
      <c r="E269" s="208"/>
      <c r="F269" s="207"/>
      <c r="G269" s="209"/>
      <c r="H269" s="207"/>
      <c r="I269" s="207"/>
      <c r="J269" s="207"/>
      <c r="K269" s="209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7"/>
      <c r="AD269" s="207"/>
      <c r="AE269" s="207"/>
      <c r="AF269" s="207"/>
      <c r="AG269" s="207"/>
      <c r="AH269" s="207"/>
      <c r="AI269" s="207"/>
      <c r="AJ269" s="203"/>
      <c r="AK269" s="203"/>
      <c r="AL269" s="203"/>
    </row>
    <row r="270" ht="15.75" customHeight="1">
      <c r="A270" s="4"/>
      <c r="B270" s="291"/>
      <c r="C270" s="207"/>
      <c r="D270" s="207"/>
      <c r="E270" s="208"/>
      <c r="F270" s="207"/>
      <c r="G270" s="209"/>
      <c r="H270" s="207"/>
      <c r="I270" s="207"/>
      <c r="J270" s="207"/>
      <c r="K270" s="209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  <c r="AE270" s="207"/>
      <c r="AF270" s="207"/>
      <c r="AG270" s="207"/>
      <c r="AH270" s="207"/>
      <c r="AI270" s="207"/>
      <c r="AJ270" s="203"/>
      <c r="AK270" s="203"/>
      <c r="AL270" s="203"/>
    </row>
    <row r="271" ht="15.75" customHeight="1">
      <c r="A271" s="4"/>
      <c r="B271" s="291"/>
      <c r="C271" s="207"/>
      <c r="D271" s="207"/>
      <c r="E271" s="208"/>
      <c r="F271" s="207"/>
      <c r="G271" s="209"/>
      <c r="H271" s="207"/>
      <c r="I271" s="207"/>
      <c r="J271" s="207"/>
      <c r="K271" s="209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7"/>
      <c r="AD271" s="207"/>
      <c r="AE271" s="207"/>
      <c r="AF271" s="207"/>
      <c r="AG271" s="207"/>
      <c r="AH271" s="207"/>
      <c r="AI271" s="207"/>
      <c r="AJ271" s="203"/>
      <c r="AK271" s="203"/>
      <c r="AL271" s="203"/>
    </row>
    <row r="272" ht="15.75" customHeight="1">
      <c r="A272" s="4"/>
      <c r="B272" s="291"/>
      <c r="C272" s="207"/>
      <c r="D272" s="207"/>
      <c r="E272" s="208"/>
      <c r="F272" s="207"/>
      <c r="G272" s="209"/>
      <c r="H272" s="207"/>
      <c r="I272" s="207"/>
      <c r="J272" s="207"/>
      <c r="K272" s="209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  <c r="AE272" s="207"/>
      <c r="AF272" s="207"/>
      <c r="AG272" s="207"/>
      <c r="AH272" s="207"/>
      <c r="AI272" s="207"/>
      <c r="AJ272" s="203"/>
      <c r="AK272" s="203"/>
      <c r="AL272" s="203"/>
    </row>
    <row r="273" ht="15.75" customHeight="1">
      <c r="A273" s="4"/>
      <c r="B273" s="291"/>
      <c r="C273" s="207"/>
      <c r="D273" s="207"/>
      <c r="E273" s="208"/>
      <c r="F273" s="207"/>
      <c r="G273" s="209"/>
      <c r="H273" s="207"/>
      <c r="I273" s="207"/>
      <c r="J273" s="207"/>
      <c r="K273" s="209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7"/>
      <c r="AD273" s="207"/>
      <c r="AE273" s="207"/>
      <c r="AF273" s="207"/>
      <c r="AG273" s="207"/>
      <c r="AH273" s="207"/>
      <c r="AI273" s="207"/>
      <c r="AJ273" s="203"/>
      <c r="AK273" s="203"/>
      <c r="AL273" s="203"/>
    </row>
    <row r="274" ht="15.75" customHeight="1">
      <c r="A274" s="4"/>
      <c r="B274" s="291"/>
      <c r="C274" s="207"/>
      <c r="D274" s="207"/>
      <c r="E274" s="208"/>
      <c r="F274" s="207"/>
      <c r="G274" s="209"/>
      <c r="H274" s="207"/>
      <c r="I274" s="207"/>
      <c r="J274" s="207"/>
      <c r="K274" s="209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/>
      <c r="AE274" s="207"/>
      <c r="AF274" s="207"/>
      <c r="AG274" s="207"/>
      <c r="AH274" s="207"/>
      <c r="AI274" s="207"/>
      <c r="AJ274" s="203"/>
      <c r="AK274" s="203"/>
      <c r="AL274" s="203"/>
    </row>
    <row r="275" ht="15.75" customHeight="1">
      <c r="A275" s="4"/>
      <c r="B275" s="291"/>
      <c r="C275" s="207"/>
      <c r="D275" s="207"/>
      <c r="E275" s="208"/>
      <c r="F275" s="207"/>
      <c r="G275" s="209"/>
      <c r="H275" s="207"/>
      <c r="I275" s="207"/>
      <c r="J275" s="207"/>
      <c r="K275" s="209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7"/>
      <c r="AD275" s="207"/>
      <c r="AE275" s="207"/>
      <c r="AF275" s="207"/>
      <c r="AG275" s="207"/>
      <c r="AH275" s="207"/>
      <c r="AI275" s="207"/>
      <c r="AJ275" s="203"/>
      <c r="AK275" s="203"/>
      <c r="AL275" s="203"/>
    </row>
    <row r="276" ht="15.75" customHeight="1">
      <c r="A276" s="4"/>
      <c r="B276" s="291"/>
      <c r="C276" s="207"/>
      <c r="D276" s="207"/>
      <c r="E276" s="208"/>
      <c r="F276" s="207"/>
      <c r="G276" s="209"/>
      <c r="H276" s="207"/>
      <c r="I276" s="207"/>
      <c r="J276" s="207"/>
      <c r="K276" s="209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  <c r="AG276" s="207"/>
      <c r="AH276" s="207"/>
      <c r="AI276" s="207"/>
      <c r="AJ276" s="203"/>
      <c r="AK276" s="203"/>
      <c r="AL276" s="203"/>
    </row>
    <row r="277" ht="15.75" customHeight="1">
      <c r="A277" s="4"/>
      <c r="B277" s="291"/>
      <c r="C277" s="207"/>
      <c r="D277" s="207"/>
      <c r="E277" s="208"/>
      <c r="F277" s="207"/>
      <c r="G277" s="209"/>
      <c r="H277" s="207"/>
      <c r="I277" s="207"/>
      <c r="J277" s="207"/>
      <c r="K277" s="209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7"/>
      <c r="AD277" s="207"/>
      <c r="AE277" s="207"/>
      <c r="AF277" s="207"/>
      <c r="AG277" s="207"/>
      <c r="AH277" s="207"/>
      <c r="AI277" s="207"/>
      <c r="AJ277" s="203"/>
      <c r="AK277" s="203"/>
      <c r="AL277" s="203"/>
    </row>
    <row r="278" ht="15.75" customHeight="1">
      <c r="A278" s="4"/>
      <c r="B278" s="291"/>
      <c r="C278" s="207"/>
      <c r="D278" s="207"/>
      <c r="E278" s="208"/>
      <c r="F278" s="207"/>
      <c r="G278" s="209"/>
      <c r="H278" s="207"/>
      <c r="I278" s="207"/>
      <c r="J278" s="207"/>
      <c r="K278" s="209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7"/>
      <c r="AD278" s="207"/>
      <c r="AE278" s="207"/>
      <c r="AF278" s="207"/>
      <c r="AG278" s="207"/>
      <c r="AH278" s="207"/>
      <c r="AI278" s="207"/>
      <c r="AJ278" s="203"/>
      <c r="AK278" s="203"/>
      <c r="AL278" s="203"/>
    </row>
    <row r="279" ht="15.75" customHeight="1">
      <c r="A279" s="4"/>
      <c r="B279" s="291"/>
      <c r="C279" s="207"/>
      <c r="D279" s="207"/>
      <c r="E279" s="208"/>
      <c r="F279" s="207"/>
      <c r="G279" s="209"/>
      <c r="H279" s="207"/>
      <c r="I279" s="207"/>
      <c r="J279" s="207"/>
      <c r="K279" s="209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7"/>
      <c r="AD279" s="207"/>
      <c r="AE279" s="207"/>
      <c r="AF279" s="207"/>
      <c r="AG279" s="207"/>
      <c r="AH279" s="207"/>
      <c r="AI279" s="207"/>
      <c r="AJ279" s="203"/>
      <c r="AK279" s="203"/>
      <c r="AL279" s="203"/>
    </row>
    <row r="280" ht="15.75" customHeight="1">
      <c r="A280" s="4"/>
      <c r="B280" s="291"/>
      <c r="C280" s="207"/>
      <c r="D280" s="207"/>
      <c r="E280" s="208"/>
      <c r="F280" s="207"/>
      <c r="G280" s="209"/>
      <c r="H280" s="207"/>
      <c r="I280" s="207"/>
      <c r="J280" s="207"/>
      <c r="K280" s="209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7"/>
      <c r="AH280" s="207"/>
      <c r="AI280" s="207"/>
      <c r="AJ280" s="203"/>
      <c r="AK280" s="203"/>
      <c r="AL280" s="203"/>
    </row>
    <row r="281" ht="15.75" customHeight="1">
      <c r="A281" s="4"/>
      <c r="B281" s="291"/>
      <c r="C281" s="207"/>
      <c r="D281" s="207"/>
      <c r="E281" s="208"/>
      <c r="F281" s="207"/>
      <c r="G281" s="209"/>
      <c r="H281" s="207"/>
      <c r="I281" s="207"/>
      <c r="J281" s="207"/>
      <c r="K281" s="209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7"/>
      <c r="AD281" s="207"/>
      <c r="AE281" s="207"/>
      <c r="AF281" s="207"/>
      <c r="AG281" s="207"/>
      <c r="AH281" s="207"/>
      <c r="AI281" s="207"/>
      <c r="AJ281" s="203"/>
      <c r="AK281" s="203"/>
      <c r="AL281" s="203"/>
    </row>
    <row r="282" ht="15.75" customHeight="1">
      <c r="A282" s="4"/>
      <c r="B282" s="291"/>
      <c r="C282" s="207"/>
      <c r="D282" s="207"/>
      <c r="E282" s="208"/>
      <c r="F282" s="207"/>
      <c r="G282" s="209"/>
      <c r="H282" s="207"/>
      <c r="I282" s="207"/>
      <c r="J282" s="207"/>
      <c r="K282" s="209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  <c r="AG282" s="207"/>
      <c r="AH282" s="207"/>
      <c r="AI282" s="207"/>
      <c r="AJ282" s="203"/>
      <c r="AK282" s="203"/>
      <c r="AL282" s="203"/>
    </row>
    <row r="283" ht="15.75" customHeight="1">
      <c r="A283" s="4"/>
      <c r="B283" s="291"/>
      <c r="C283" s="207"/>
      <c r="D283" s="207"/>
      <c r="E283" s="207"/>
      <c r="F283" s="207"/>
      <c r="G283" s="209"/>
      <c r="H283" s="207"/>
      <c r="I283" s="207"/>
      <c r="J283" s="207"/>
      <c r="K283" s="209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7"/>
      <c r="AD283" s="207"/>
      <c r="AE283" s="207"/>
      <c r="AF283" s="207"/>
      <c r="AG283" s="207"/>
      <c r="AH283" s="207"/>
      <c r="AI283" s="207"/>
      <c r="AJ283" s="203"/>
      <c r="AK283" s="203"/>
      <c r="AL283" s="203"/>
    </row>
    <row r="284" ht="15.75" customHeight="1">
      <c r="A284" s="4"/>
      <c r="B284" s="291"/>
      <c r="C284" s="207"/>
      <c r="D284" s="207"/>
      <c r="E284" s="207"/>
      <c r="F284" s="207"/>
      <c r="G284" s="209"/>
      <c r="H284" s="207"/>
      <c r="I284" s="207"/>
      <c r="J284" s="207"/>
      <c r="K284" s="209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  <c r="AE284" s="207"/>
      <c r="AF284" s="207"/>
      <c r="AG284" s="207"/>
      <c r="AH284" s="207"/>
      <c r="AI284" s="207"/>
      <c r="AJ284" s="203"/>
      <c r="AK284" s="203"/>
      <c r="AL284" s="203"/>
    </row>
    <row r="285" ht="15.75" customHeight="1">
      <c r="A285" s="4"/>
      <c r="B285" s="291"/>
      <c r="C285" s="207"/>
      <c r="D285" s="207"/>
      <c r="E285" s="207"/>
      <c r="F285" s="207"/>
      <c r="G285" s="209"/>
      <c r="H285" s="207"/>
      <c r="I285" s="207"/>
      <c r="J285" s="207"/>
      <c r="K285" s="209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7"/>
      <c r="AD285" s="207"/>
      <c r="AE285" s="207"/>
      <c r="AF285" s="207"/>
      <c r="AG285" s="207"/>
      <c r="AH285" s="207"/>
      <c r="AI285" s="207"/>
      <c r="AJ285" s="203"/>
      <c r="AK285" s="203"/>
      <c r="AL285" s="203"/>
    </row>
    <row r="286" ht="15.75" customHeight="1">
      <c r="A286" s="4"/>
      <c r="B286" s="291"/>
      <c r="C286" s="207"/>
      <c r="D286" s="207"/>
      <c r="E286" s="207"/>
      <c r="F286" s="207"/>
      <c r="G286" s="209"/>
      <c r="H286" s="207"/>
      <c r="I286" s="207"/>
      <c r="J286" s="207"/>
      <c r="K286" s="209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  <c r="AG286" s="207"/>
      <c r="AH286" s="207"/>
      <c r="AI286" s="207"/>
      <c r="AJ286" s="203"/>
      <c r="AK286" s="203"/>
      <c r="AL286" s="203"/>
    </row>
    <row r="287" ht="15.75" customHeight="1">
      <c r="G287" s="372"/>
    </row>
    <row r="288" ht="15.75" customHeight="1">
      <c r="G288" s="372"/>
    </row>
    <row r="289" ht="15.75" customHeight="1">
      <c r="G289" s="372"/>
    </row>
    <row r="290" ht="15.75" customHeight="1">
      <c r="G290" s="372"/>
    </row>
    <row r="291" ht="15.75" customHeight="1">
      <c r="G291" s="372"/>
    </row>
    <row r="292" ht="15.75" customHeight="1">
      <c r="G292" s="372"/>
    </row>
    <row r="293" ht="15.75" customHeight="1">
      <c r="G293" s="372"/>
    </row>
    <row r="294" ht="15.75" customHeight="1">
      <c r="G294" s="372"/>
    </row>
    <row r="295" ht="15.75" customHeight="1">
      <c r="G295" s="372"/>
    </row>
    <row r="296" ht="15.75" customHeight="1">
      <c r="G296" s="372"/>
    </row>
    <row r="297" ht="15.75" customHeight="1">
      <c r="G297" s="372"/>
    </row>
    <row r="298" ht="15.75" customHeight="1">
      <c r="G298" s="372"/>
    </row>
    <row r="299" ht="15.75" customHeight="1">
      <c r="G299" s="372"/>
    </row>
    <row r="300" ht="15.75" customHeight="1">
      <c r="G300" s="372"/>
    </row>
    <row r="301" ht="15.75" customHeight="1">
      <c r="G301" s="372"/>
    </row>
    <row r="302" ht="15.75" customHeight="1">
      <c r="G302" s="372"/>
    </row>
    <row r="303" ht="15.75" customHeight="1">
      <c r="G303" s="372"/>
    </row>
    <row r="304" ht="15.75" customHeight="1">
      <c r="G304" s="372"/>
    </row>
    <row r="305" ht="15.75" customHeight="1">
      <c r="G305" s="372"/>
    </row>
    <row r="306" ht="15.75" customHeight="1">
      <c r="G306" s="372"/>
    </row>
    <row r="307" ht="15.75" customHeight="1">
      <c r="G307" s="372"/>
    </row>
    <row r="308" ht="15.75" customHeight="1">
      <c r="G308" s="372"/>
    </row>
    <row r="309" ht="15.75" customHeight="1">
      <c r="G309" s="372"/>
    </row>
    <row r="310" ht="15.75" customHeight="1">
      <c r="G310" s="372"/>
    </row>
    <row r="311" ht="15.75" customHeight="1">
      <c r="G311" s="372"/>
    </row>
    <row r="312" ht="15.75" customHeight="1">
      <c r="G312" s="372"/>
    </row>
    <row r="313" ht="15.75" customHeight="1">
      <c r="G313" s="372"/>
    </row>
    <row r="314" ht="15.75" customHeight="1">
      <c r="G314" s="372"/>
    </row>
    <row r="315" ht="15.75" customHeight="1">
      <c r="G315" s="372"/>
    </row>
    <row r="316" ht="15.75" customHeight="1">
      <c r="G316" s="372"/>
    </row>
    <row r="317" ht="15.75" customHeight="1">
      <c r="G317" s="372"/>
    </row>
    <row r="318" ht="15.75" customHeight="1">
      <c r="G318" s="372"/>
    </row>
    <row r="319" ht="15.75" customHeight="1">
      <c r="G319" s="372"/>
    </row>
    <row r="320" ht="15.75" customHeight="1">
      <c r="G320" s="372"/>
    </row>
    <row r="321" ht="15.75" customHeight="1">
      <c r="G321" s="372"/>
    </row>
    <row r="322" ht="15.75" customHeight="1">
      <c r="G322" s="372"/>
    </row>
    <row r="323" ht="15.75" customHeight="1">
      <c r="G323" s="372"/>
    </row>
    <row r="324" ht="15.75" customHeight="1">
      <c r="G324" s="372"/>
    </row>
    <row r="325" ht="15.75" customHeight="1">
      <c r="G325" s="372"/>
    </row>
    <row r="326" ht="15.75" customHeight="1">
      <c r="G326" s="372"/>
    </row>
    <row r="327" ht="15.75" customHeight="1">
      <c r="G327" s="372"/>
    </row>
    <row r="328" ht="15.75" customHeight="1">
      <c r="G328" s="372"/>
    </row>
    <row r="329" ht="15.75" customHeight="1">
      <c r="G329" s="372"/>
    </row>
    <row r="330" ht="15.75" customHeight="1">
      <c r="G330" s="372"/>
    </row>
    <row r="331" ht="15.75" customHeight="1">
      <c r="G331" s="372"/>
    </row>
    <row r="332" ht="15.75" customHeight="1">
      <c r="G332" s="372"/>
    </row>
    <row r="333" ht="15.75" customHeight="1">
      <c r="G333" s="372"/>
    </row>
    <row r="334" ht="15.75" customHeight="1">
      <c r="G334" s="372"/>
    </row>
    <row r="335" ht="15.75" customHeight="1">
      <c r="G335" s="372"/>
    </row>
    <row r="336" ht="15.75" customHeight="1">
      <c r="G336" s="372"/>
    </row>
    <row r="337" ht="15.75" customHeight="1">
      <c r="G337" s="372"/>
    </row>
    <row r="338" ht="15.75" customHeight="1">
      <c r="G338" s="372"/>
    </row>
    <row r="339" ht="15.75" customHeight="1">
      <c r="G339" s="372"/>
    </row>
    <row r="340" ht="15.75" customHeight="1">
      <c r="G340" s="372"/>
    </row>
    <row r="341" ht="15.75" customHeight="1">
      <c r="G341" s="372"/>
    </row>
    <row r="342" ht="15.75" customHeight="1">
      <c r="G342" s="372"/>
    </row>
    <row r="343" ht="15.75" customHeight="1">
      <c r="G343" s="372"/>
    </row>
    <row r="344" ht="15.75" customHeight="1">
      <c r="G344" s="372"/>
    </row>
    <row r="345" ht="15.75" customHeight="1">
      <c r="G345" s="372"/>
    </row>
    <row r="346" ht="15.75" customHeight="1">
      <c r="G346" s="372"/>
    </row>
    <row r="347" ht="15.75" customHeight="1">
      <c r="G347" s="372"/>
    </row>
    <row r="348" ht="15.75" customHeight="1">
      <c r="G348" s="372"/>
    </row>
    <row r="349" ht="15.75" customHeight="1">
      <c r="G349" s="372"/>
    </row>
    <row r="350" ht="15.75" customHeight="1">
      <c r="G350" s="372"/>
    </row>
    <row r="351" ht="15.75" customHeight="1">
      <c r="G351" s="372"/>
    </row>
    <row r="352" ht="15.75" customHeight="1">
      <c r="G352" s="372"/>
    </row>
    <row r="353" ht="15.75" customHeight="1">
      <c r="G353" s="372"/>
    </row>
    <row r="354" ht="15.75" customHeight="1">
      <c r="G354" s="372"/>
    </row>
    <row r="355" ht="15.75" customHeight="1">
      <c r="G355" s="372"/>
    </row>
    <row r="356" ht="15.75" customHeight="1">
      <c r="G356" s="372"/>
    </row>
    <row r="357" ht="15.75" customHeight="1">
      <c r="G357" s="372"/>
    </row>
    <row r="358" ht="15.75" customHeight="1">
      <c r="G358" s="372"/>
    </row>
    <row r="359" ht="15.75" customHeight="1">
      <c r="G359" s="372"/>
    </row>
    <row r="360" ht="15.75" customHeight="1">
      <c r="G360" s="372"/>
    </row>
    <row r="361" ht="15.75" customHeight="1">
      <c r="G361" s="372"/>
    </row>
    <row r="362" ht="15.75" customHeight="1">
      <c r="G362" s="372"/>
    </row>
    <row r="363" ht="15.75" customHeight="1">
      <c r="G363" s="372"/>
    </row>
    <row r="364" ht="15.75" customHeight="1">
      <c r="G364" s="372"/>
    </row>
    <row r="365" ht="15.75" customHeight="1">
      <c r="G365" s="372"/>
    </row>
    <row r="366" ht="15.75" customHeight="1">
      <c r="G366" s="372"/>
    </row>
    <row r="367" ht="15.75" customHeight="1">
      <c r="G367" s="372"/>
    </row>
    <row r="368" ht="15.75" customHeight="1">
      <c r="G368" s="372"/>
    </row>
    <row r="369" ht="15.75" customHeight="1">
      <c r="G369" s="372"/>
    </row>
    <row r="370" ht="15.75" customHeight="1">
      <c r="G370" s="372"/>
    </row>
    <row r="371" ht="15.75" customHeight="1">
      <c r="G371" s="372"/>
    </row>
    <row r="372" ht="15.75" customHeight="1">
      <c r="G372" s="372"/>
    </row>
    <row r="373" ht="15.75" customHeight="1">
      <c r="G373" s="372"/>
    </row>
    <row r="374" ht="15.75" customHeight="1">
      <c r="G374" s="372"/>
    </row>
    <row r="375" ht="15.75" customHeight="1">
      <c r="G375" s="372"/>
    </row>
    <row r="376" ht="15.75" customHeight="1">
      <c r="G376" s="372"/>
    </row>
    <row r="377" ht="15.75" customHeight="1">
      <c r="G377" s="372"/>
    </row>
    <row r="378" ht="15.75" customHeight="1">
      <c r="G378" s="372"/>
    </row>
    <row r="379" ht="15.75" customHeight="1">
      <c r="G379" s="372"/>
    </row>
    <row r="380" ht="15.75" customHeight="1">
      <c r="G380" s="372"/>
    </row>
    <row r="381" ht="15.75" customHeight="1">
      <c r="G381" s="372"/>
    </row>
    <row r="382" ht="15.75" customHeight="1">
      <c r="G382" s="372"/>
    </row>
    <row r="383" ht="15.75" customHeight="1">
      <c r="G383" s="372"/>
    </row>
    <row r="384" ht="15.75" customHeight="1">
      <c r="G384" s="372"/>
    </row>
    <row r="385" ht="15.75" customHeight="1">
      <c r="G385" s="372"/>
    </row>
    <row r="386" ht="15.75" customHeight="1">
      <c r="G386" s="372"/>
    </row>
    <row r="387" ht="15.75" customHeight="1">
      <c r="G387" s="372"/>
    </row>
    <row r="388" ht="15.75" customHeight="1">
      <c r="G388" s="372"/>
    </row>
    <row r="389" ht="15.75" customHeight="1">
      <c r="G389" s="372"/>
    </row>
    <row r="390" ht="15.75" customHeight="1">
      <c r="G390" s="372"/>
    </row>
    <row r="391" ht="15.75" customHeight="1">
      <c r="G391" s="372"/>
    </row>
    <row r="392" ht="15.75" customHeight="1">
      <c r="G392" s="372"/>
    </row>
    <row r="393" ht="15.75" customHeight="1">
      <c r="G393" s="372"/>
    </row>
    <row r="394" ht="15.75" customHeight="1">
      <c r="G394" s="372"/>
    </row>
    <row r="395" ht="15.75" customHeight="1">
      <c r="G395" s="372"/>
    </row>
    <row r="396" ht="15.75" customHeight="1">
      <c r="G396" s="372"/>
    </row>
    <row r="397" ht="15.75" customHeight="1">
      <c r="G397" s="372"/>
    </row>
    <row r="398" ht="15.75" customHeight="1">
      <c r="G398" s="372"/>
    </row>
    <row r="399" ht="15.75" customHeight="1">
      <c r="G399" s="372"/>
    </row>
    <row r="400" ht="15.75" customHeight="1">
      <c r="G400" s="372"/>
    </row>
    <row r="401" ht="15.75" customHeight="1">
      <c r="G401" s="372"/>
    </row>
    <row r="402" ht="15.75" customHeight="1">
      <c r="G402" s="372"/>
    </row>
    <row r="403" ht="15.75" customHeight="1">
      <c r="G403" s="372"/>
    </row>
    <row r="404" ht="15.75" customHeight="1">
      <c r="G404" s="372"/>
    </row>
    <row r="405" ht="15.75" customHeight="1">
      <c r="G405" s="372"/>
    </row>
    <row r="406" ht="15.75" customHeight="1">
      <c r="G406" s="372"/>
    </row>
    <row r="407" ht="15.75" customHeight="1">
      <c r="G407" s="372"/>
    </row>
    <row r="408" ht="15.75" customHeight="1">
      <c r="G408" s="372"/>
    </row>
    <row r="409" ht="15.75" customHeight="1">
      <c r="G409" s="372"/>
    </row>
    <row r="410" ht="15.75" customHeight="1">
      <c r="G410" s="372"/>
    </row>
    <row r="411" ht="15.75" customHeight="1">
      <c r="G411" s="372"/>
    </row>
    <row r="412" ht="15.75" customHeight="1">
      <c r="G412" s="372"/>
    </row>
    <row r="413" ht="15.75" customHeight="1">
      <c r="G413" s="372"/>
    </row>
    <row r="414" ht="15.75" customHeight="1">
      <c r="G414" s="372"/>
    </row>
    <row r="415" ht="15.75" customHeight="1">
      <c r="G415" s="372"/>
    </row>
    <row r="416" ht="15.75" customHeight="1">
      <c r="G416" s="372"/>
    </row>
    <row r="417" ht="15.75" customHeight="1">
      <c r="G417" s="372"/>
    </row>
    <row r="418" ht="15.75" customHeight="1">
      <c r="G418" s="372"/>
    </row>
    <row r="419" ht="15.75" customHeight="1">
      <c r="G419" s="372"/>
    </row>
    <row r="420" ht="15.75" customHeight="1">
      <c r="G420" s="372"/>
    </row>
    <row r="421" ht="15.75" customHeight="1">
      <c r="G421" s="372"/>
    </row>
    <row r="422" ht="15.75" customHeight="1">
      <c r="G422" s="372"/>
    </row>
    <row r="423" ht="15.75" customHeight="1">
      <c r="G423" s="372"/>
    </row>
    <row r="424" ht="15.75" customHeight="1">
      <c r="G424" s="372"/>
    </row>
    <row r="425" ht="15.75" customHeight="1">
      <c r="G425" s="372"/>
    </row>
    <row r="426" ht="15.75" customHeight="1">
      <c r="G426" s="372"/>
    </row>
    <row r="427" ht="15.75" customHeight="1">
      <c r="G427" s="372"/>
    </row>
    <row r="428" ht="15.75" customHeight="1">
      <c r="G428" s="372"/>
    </row>
    <row r="429" ht="15.75" customHeight="1">
      <c r="G429" s="372"/>
    </row>
    <row r="430" ht="15.75" customHeight="1">
      <c r="G430" s="372"/>
    </row>
    <row r="431" ht="15.75" customHeight="1">
      <c r="G431" s="372"/>
    </row>
    <row r="432" ht="15.75" customHeight="1">
      <c r="G432" s="372"/>
    </row>
    <row r="433" ht="15.75" customHeight="1">
      <c r="G433" s="372"/>
    </row>
    <row r="434" ht="15.75" customHeight="1">
      <c r="G434" s="372"/>
    </row>
    <row r="435" ht="15.75" customHeight="1">
      <c r="G435" s="372"/>
    </row>
    <row r="436" ht="15.75" customHeight="1">
      <c r="G436" s="372"/>
    </row>
    <row r="437" ht="15.75" customHeight="1">
      <c r="G437" s="372"/>
    </row>
    <row r="438" ht="15.75" customHeight="1">
      <c r="G438" s="372"/>
    </row>
    <row r="439" ht="15.75" customHeight="1">
      <c r="G439" s="372"/>
    </row>
    <row r="440" ht="15.75" customHeight="1">
      <c r="G440" s="372"/>
    </row>
    <row r="441" ht="15.75" customHeight="1">
      <c r="G441" s="372"/>
    </row>
    <row r="442" ht="15.75" customHeight="1">
      <c r="G442" s="372"/>
    </row>
    <row r="443" ht="15.75" customHeight="1">
      <c r="G443" s="372"/>
    </row>
    <row r="444" ht="15.75" customHeight="1">
      <c r="G444" s="372"/>
    </row>
    <row r="445" ht="15.75" customHeight="1">
      <c r="G445" s="372"/>
    </row>
    <row r="446" ht="15.75" customHeight="1">
      <c r="G446" s="372"/>
    </row>
    <row r="447" ht="15.75" customHeight="1">
      <c r="G447" s="372"/>
    </row>
    <row r="448" ht="15.75" customHeight="1">
      <c r="G448" s="372"/>
    </row>
    <row r="449" ht="15.75" customHeight="1">
      <c r="G449" s="372"/>
    </row>
    <row r="450" ht="15.75" customHeight="1">
      <c r="G450" s="372"/>
    </row>
    <row r="451" ht="15.75" customHeight="1">
      <c r="G451" s="372"/>
    </row>
    <row r="452" ht="15.75" customHeight="1">
      <c r="G452" s="372"/>
    </row>
    <row r="453" ht="15.75" customHeight="1">
      <c r="G453" s="372"/>
    </row>
    <row r="454" ht="15.75" customHeight="1">
      <c r="G454" s="372"/>
    </row>
    <row r="455" ht="15.75" customHeight="1">
      <c r="G455" s="372"/>
    </row>
    <row r="456" ht="15.75" customHeight="1">
      <c r="G456" s="372"/>
    </row>
    <row r="457" ht="15.75" customHeight="1">
      <c r="G457" s="372"/>
    </row>
    <row r="458" ht="15.75" customHeight="1">
      <c r="G458" s="372"/>
    </row>
    <row r="459" ht="15.75" customHeight="1">
      <c r="G459" s="372"/>
    </row>
    <row r="460" ht="15.75" customHeight="1">
      <c r="G460" s="372"/>
    </row>
    <row r="461" ht="15.75" customHeight="1">
      <c r="G461" s="372"/>
    </row>
    <row r="462" ht="15.75" customHeight="1">
      <c r="G462" s="372"/>
    </row>
    <row r="463" ht="15.75" customHeight="1">
      <c r="G463" s="372"/>
    </row>
    <row r="464" ht="15.75" customHeight="1">
      <c r="G464" s="372"/>
    </row>
    <row r="465" ht="15.75" customHeight="1">
      <c r="G465" s="372"/>
    </row>
    <row r="466" ht="15.75" customHeight="1">
      <c r="G466" s="372"/>
    </row>
    <row r="467" ht="15.75" customHeight="1">
      <c r="G467" s="372"/>
    </row>
    <row r="468" ht="15.75" customHeight="1">
      <c r="G468" s="372"/>
    </row>
    <row r="469" ht="15.75" customHeight="1">
      <c r="G469" s="372"/>
    </row>
    <row r="470" ht="15.75" customHeight="1">
      <c r="G470" s="372"/>
    </row>
    <row r="471" ht="15.75" customHeight="1">
      <c r="G471" s="372"/>
    </row>
    <row r="472" ht="15.75" customHeight="1">
      <c r="G472" s="372"/>
    </row>
    <row r="473" ht="15.75" customHeight="1">
      <c r="G473" s="372"/>
    </row>
    <row r="474" ht="15.75" customHeight="1">
      <c r="G474" s="372"/>
    </row>
    <row r="475" ht="15.75" customHeight="1">
      <c r="G475" s="372"/>
    </row>
    <row r="476" ht="15.75" customHeight="1">
      <c r="G476" s="372"/>
    </row>
    <row r="477" ht="15.75" customHeight="1">
      <c r="G477" s="372"/>
    </row>
    <row r="478" ht="15.75" customHeight="1">
      <c r="G478" s="372"/>
    </row>
    <row r="479" ht="15.75" customHeight="1">
      <c r="G479" s="372"/>
    </row>
    <row r="480" ht="15.75" customHeight="1">
      <c r="G480" s="372"/>
    </row>
    <row r="481" ht="15.75" customHeight="1">
      <c r="G481" s="372"/>
    </row>
    <row r="482" ht="15.75" customHeight="1">
      <c r="G482" s="372"/>
    </row>
    <row r="483" ht="15.75" customHeight="1">
      <c r="G483" s="372"/>
    </row>
    <row r="484" ht="15.75" customHeight="1">
      <c r="G484" s="372"/>
    </row>
    <row r="485" ht="15.75" customHeight="1">
      <c r="G485" s="372"/>
    </row>
    <row r="486" ht="15.75" customHeight="1">
      <c r="G486" s="372"/>
    </row>
    <row r="487" ht="15.75" customHeight="1">
      <c r="G487" s="372"/>
    </row>
    <row r="488" ht="15.75" customHeight="1">
      <c r="G488" s="372"/>
    </row>
    <row r="489" ht="15.75" customHeight="1">
      <c r="G489" s="372"/>
    </row>
    <row r="490" ht="15.75" customHeight="1">
      <c r="G490" s="372"/>
    </row>
    <row r="491" ht="15.75" customHeight="1">
      <c r="G491" s="372"/>
    </row>
    <row r="492" ht="15.75" customHeight="1">
      <c r="G492" s="372"/>
    </row>
    <row r="493" ht="15.75" customHeight="1">
      <c r="G493" s="372"/>
    </row>
    <row r="494" ht="15.75" customHeight="1">
      <c r="G494" s="372"/>
    </row>
    <row r="495" ht="15.75" customHeight="1">
      <c r="G495" s="372"/>
    </row>
    <row r="496" ht="15.75" customHeight="1">
      <c r="G496" s="372"/>
    </row>
    <row r="497" ht="15.75" customHeight="1">
      <c r="G497" s="372"/>
    </row>
    <row r="498" ht="15.75" customHeight="1">
      <c r="G498" s="372"/>
    </row>
    <row r="499" ht="15.75" customHeight="1">
      <c r="G499" s="372"/>
    </row>
    <row r="500" ht="15.75" customHeight="1">
      <c r="G500" s="372"/>
    </row>
    <row r="501" ht="15.75" customHeight="1">
      <c r="G501" s="372"/>
    </row>
    <row r="502" ht="15.75" customHeight="1">
      <c r="G502" s="372"/>
    </row>
    <row r="503" ht="15.75" customHeight="1">
      <c r="G503" s="372"/>
    </row>
    <row r="504" ht="15.75" customHeight="1">
      <c r="G504" s="372"/>
    </row>
    <row r="505" ht="15.75" customHeight="1">
      <c r="G505" s="372"/>
    </row>
    <row r="506" ht="15.75" customHeight="1">
      <c r="G506" s="372"/>
    </row>
    <row r="507" ht="15.75" customHeight="1">
      <c r="G507" s="372"/>
    </row>
    <row r="508" ht="15.75" customHeight="1">
      <c r="G508" s="372"/>
    </row>
    <row r="509" ht="15.75" customHeight="1">
      <c r="G509" s="372"/>
    </row>
    <row r="510" ht="15.75" customHeight="1">
      <c r="G510" s="372"/>
    </row>
    <row r="511" ht="15.75" customHeight="1">
      <c r="G511" s="372"/>
    </row>
    <row r="512" ht="15.75" customHeight="1">
      <c r="G512" s="372"/>
    </row>
    <row r="513" ht="15.75" customHeight="1">
      <c r="G513" s="372"/>
    </row>
    <row r="514" ht="15.75" customHeight="1">
      <c r="G514" s="372"/>
    </row>
    <row r="515" ht="15.75" customHeight="1">
      <c r="G515" s="372"/>
    </row>
    <row r="516" ht="15.75" customHeight="1">
      <c r="G516" s="372"/>
    </row>
    <row r="517" ht="15.75" customHeight="1">
      <c r="G517" s="372"/>
    </row>
    <row r="518" ht="15.75" customHeight="1">
      <c r="G518" s="372"/>
    </row>
    <row r="519" ht="15.75" customHeight="1">
      <c r="G519" s="372"/>
    </row>
    <row r="520" ht="15.75" customHeight="1">
      <c r="G520" s="372"/>
    </row>
    <row r="521" ht="15.75" customHeight="1">
      <c r="G521" s="372"/>
    </row>
    <row r="522" ht="15.75" customHeight="1">
      <c r="G522" s="372"/>
    </row>
    <row r="523" ht="15.75" customHeight="1">
      <c r="G523" s="372"/>
    </row>
    <row r="524" ht="15.75" customHeight="1">
      <c r="G524" s="372"/>
    </row>
    <row r="525" ht="15.75" customHeight="1">
      <c r="G525" s="372"/>
    </row>
    <row r="526" ht="15.75" customHeight="1">
      <c r="G526" s="372"/>
    </row>
    <row r="527" ht="15.75" customHeight="1">
      <c r="G527" s="372"/>
    </row>
    <row r="528" ht="15.75" customHeight="1">
      <c r="G528" s="372"/>
    </row>
    <row r="529" ht="15.75" customHeight="1">
      <c r="G529" s="372"/>
    </row>
    <row r="530" ht="15.75" customHeight="1">
      <c r="G530" s="372"/>
    </row>
    <row r="531" ht="15.75" customHeight="1">
      <c r="G531" s="372"/>
    </row>
    <row r="532" ht="15.75" customHeight="1">
      <c r="G532" s="372"/>
    </row>
    <row r="533" ht="15.75" customHeight="1">
      <c r="G533" s="372"/>
    </row>
    <row r="534" ht="15.75" customHeight="1">
      <c r="G534" s="372"/>
    </row>
    <row r="535" ht="15.75" customHeight="1">
      <c r="G535" s="372"/>
    </row>
    <row r="536" ht="15.75" customHeight="1">
      <c r="G536" s="372"/>
    </row>
    <row r="537" ht="15.75" customHeight="1">
      <c r="G537" s="372"/>
    </row>
    <row r="538" ht="15.75" customHeight="1">
      <c r="G538" s="372"/>
    </row>
    <row r="539" ht="15.75" customHeight="1">
      <c r="G539" s="372"/>
    </row>
    <row r="540" ht="15.75" customHeight="1">
      <c r="G540" s="372"/>
    </row>
    <row r="541" ht="15.75" customHeight="1">
      <c r="G541" s="372"/>
    </row>
    <row r="542" ht="15.75" customHeight="1">
      <c r="G542" s="372"/>
    </row>
    <row r="543" ht="15.75" customHeight="1">
      <c r="G543" s="372"/>
    </row>
    <row r="544" ht="15.75" customHeight="1">
      <c r="G544" s="372"/>
    </row>
    <row r="545" ht="15.75" customHeight="1">
      <c r="G545" s="372"/>
    </row>
    <row r="546" ht="15.75" customHeight="1">
      <c r="G546" s="372"/>
    </row>
    <row r="547" ht="15.75" customHeight="1">
      <c r="G547" s="372"/>
    </row>
    <row r="548" ht="15.75" customHeight="1">
      <c r="G548" s="372"/>
    </row>
    <row r="549" ht="15.75" customHeight="1">
      <c r="G549" s="372"/>
    </row>
    <row r="550" ht="15.75" customHeight="1">
      <c r="G550" s="372"/>
    </row>
    <row r="551" ht="15.75" customHeight="1">
      <c r="G551" s="372"/>
    </row>
    <row r="552" ht="15.75" customHeight="1">
      <c r="G552" s="372"/>
    </row>
    <row r="553" ht="15.75" customHeight="1">
      <c r="G553" s="372"/>
    </row>
    <row r="554" ht="15.75" customHeight="1">
      <c r="G554" s="372"/>
    </row>
    <row r="555" ht="15.75" customHeight="1">
      <c r="G555" s="372"/>
    </row>
    <row r="556" ht="15.75" customHeight="1">
      <c r="G556" s="372"/>
    </row>
    <row r="557" ht="15.75" customHeight="1">
      <c r="G557" s="372"/>
    </row>
    <row r="558" ht="15.75" customHeight="1">
      <c r="G558" s="372"/>
    </row>
    <row r="559" ht="15.75" customHeight="1">
      <c r="G559" s="372"/>
    </row>
    <row r="560" ht="15.75" customHeight="1">
      <c r="G560" s="372"/>
    </row>
    <row r="561" ht="15.75" customHeight="1">
      <c r="G561" s="372"/>
    </row>
    <row r="562" ht="15.75" customHeight="1">
      <c r="G562" s="372"/>
    </row>
    <row r="563" ht="15.75" customHeight="1">
      <c r="G563" s="372"/>
    </row>
    <row r="564" ht="15.75" customHeight="1">
      <c r="G564" s="372"/>
    </row>
    <row r="565" ht="15.75" customHeight="1">
      <c r="G565" s="372"/>
    </row>
    <row r="566" ht="15.75" customHeight="1">
      <c r="G566" s="372"/>
    </row>
    <row r="567" ht="15.75" customHeight="1">
      <c r="G567" s="372"/>
    </row>
    <row r="568" ht="15.75" customHeight="1">
      <c r="G568" s="372"/>
    </row>
    <row r="569" ht="15.75" customHeight="1">
      <c r="G569" s="372"/>
    </row>
    <row r="570" ht="15.75" customHeight="1">
      <c r="G570" s="372"/>
    </row>
    <row r="571" ht="15.75" customHeight="1">
      <c r="G571" s="372"/>
    </row>
    <row r="572" ht="15.75" customHeight="1">
      <c r="G572" s="372"/>
    </row>
    <row r="573" ht="15.75" customHeight="1">
      <c r="G573" s="372"/>
    </row>
    <row r="574" ht="15.75" customHeight="1">
      <c r="G574" s="372"/>
    </row>
    <row r="575" ht="15.75" customHeight="1">
      <c r="G575" s="372"/>
    </row>
    <row r="576" ht="15.75" customHeight="1">
      <c r="G576" s="372"/>
    </row>
    <row r="577" ht="15.75" customHeight="1">
      <c r="G577" s="372"/>
    </row>
    <row r="578" ht="15.75" customHeight="1">
      <c r="G578" s="372"/>
    </row>
    <row r="579" ht="15.75" customHeight="1">
      <c r="G579" s="372"/>
    </row>
    <row r="580" ht="15.75" customHeight="1">
      <c r="G580" s="372"/>
    </row>
    <row r="581" ht="15.75" customHeight="1">
      <c r="G581" s="372"/>
    </row>
    <row r="582" ht="15.75" customHeight="1">
      <c r="G582" s="372"/>
    </row>
    <row r="583" ht="15.75" customHeight="1">
      <c r="G583" s="372"/>
    </row>
    <row r="584" ht="15.75" customHeight="1">
      <c r="G584" s="372"/>
    </row>
    <row r="585" ht="15.75" customHeight="1">
      <c r="G585" s="372"/>
    </row>
    <row r="586" ht="15.75" customHeight="1">
      <c r="G586" s="372"/>
    </row>
    <row r="587" ht="15.75" customHeight="1">
      <c r="G587" s="372"/>
    </row>
    <row r="588" ht="15.75" customHeight="1">
      <c r="G588" s="372"/>
    </row>
    <row r="589" ht="15.75" customHeight="1">
      <c r="G589" s="372"/>
    </row>
    <row r="590" ht="15.75" customHeight="1">
      <c r="G590" s="372"/>
    </row>
    <row r="591" ht="15.75" customHeight="1">
      <c r="G591" s="372"/>
    </row>
    <row r="592" ht="15.75" customHeight="1">
      <c r="G592" s="372"/>
    </row>
    <row r="593" ht="15.75" customHeight="1">
      <c r="G593" s="372"/>
    </row>
    <row r="594" ht="15.75" customHeight="1">
      <c r="G594" s="372"/>
    </row>
    <row r="595" ht="15.75" customHeight="1">
      <c r="G595" s="372"/>
    </row>
    <row r="596" ht="15.75" customHeight="1">
      <c r="G596" s="372"/>
    </row>
    <row r="597" ht="15.75" customHeight="1">
      <c r="G597" s="372"/>
    </row>
    <row r="598" ht="15.75" customHeight="1">
      <c r="G598" s="372"/>
    </row>
    <row r="599" ht="15.75" customHeight="1">
      <c r="G599" s="372"/>
    </row>
    <row r="600" ht="15.75" customHeight="1">
      <c r="G600" s="372"/>
    </row>
    <row r="601" ht="15.75" customHeight="1">
      <c r="G601" s="372"/>
    </row>
    <row r="602" ht="15.75" customHeight="1">
      <c r="G602" s="372"/>
    </row>
    <row r="603" ht="15.75" customHeight="1">
      <c r="G603" s="372"/>
    </row>
    <row r="604" ht="15.75" customHeight="1">
      <c r="G604" s="372"/>
    </row>
    <row r="605" ht="15.75" customHeight="1">
      <c r="G605" s="372"/>
    </row>
    <row r="606" ht="15.75" customHeight="1">
      <c r="G606" s="372"/>
    </row>
    <row r="607" ht="15.75" customHeight="1">
      <c r="G607" s="372"/>
    </row>
    <row r="608" ht="15.75" customHeight="1">
      <c r="G608" s="372"/>
    </row>
    <row r="609" ht="15.75" customHeight="1">
      <c r="G609" s="372"/>
    </row>
    <row r="610" ht="15.75" customHeight="1">
      <c r="G610" s="372"/>
    </row>
    <row r="611" ht="15.75" customHeight="1">
      <c r="G611" s="372"/>
    </row>
    <row r="612" ht="15.75" customHeight="1">
      <c r="G612" s="372"/>
    </row>
    <row r="613" ht="15.75" customHeight="1">
      <c r="G613" s="372"/>
    </row>
    <row r="614" ht="15.75" customHeight="1">
      <c r="G614" s="372"/>
    </row>
    <row r="615" ht="15.75" customHeight="1">
      <c r="G615" s="372"/>
    </row>
    <row r="616" ht="15.75" customHeight="1">
      <c r="G616" s="372"/>
    </row>
    <row r="617" ht="15.75" customHeight="1">
      <c r="G617" s="372"/>
    </row>
    <row r="618" ht="15.75" customHeight="1">
      <c r="G618" s="372"/>
    </row>
    <row r="619" ht="15.75" customHeight="1">
      <c r="G619" s="372"/>
    </row>
    <row r="620" ht="15.75" customHeight="1">
      <c r="G620" s="372"/>
    </row>
    <row r="621" ht="15.75" customHeight="1">
      <c r="G621" s="372"/>
    </row>
    <row r="622" ht="15.75" customHeight="1">
      <c r="G622" s="372"/>
    </row>
    <row r="623" ht="15.75" customHeight="1">
      <c r="G623" s="372"/>
    </row>
    <row r="624" ht="15.75" customHeight="1">
      <c r="G624" s="372"/>
    </row>
    <row r="625" ht="15.75" customHeight="1">
      <c r="G625" s="372"/>
    </row>
    <row r="626" ht="15.75" customHeight="1">
      <c r="G626" s="372"/>
    </row>
    <row r="627" ht="15.75" customHeight="1">
      <c r="G627" s="372"/>
    </row>
    <row r="628" ht="15.75" customHeight="1">
      <c r="G628" s="372"/>
    </row>
    <row r="629" ht="15.75" customHeight="1">
      <c r="G629" s="372"/>
    </row>
    <row r="630" ht="15.75" customHeight="1">
      <c r="G630" s="372"/>
    </row>
    <row r="631" ht="15.75" customHeight="1">
      <c r="G631" s="372"/>
    </row>
    <row r="632" ht="15.75" customHeight="1">
      <c r="G632" s="372"/>
    </row>
    <row r="633" ht="15.75" customHeight="1">
      <c r="G633" s="372"/>
    </row>
    <row r="634" ht="15.75" customHeight="1">
      <c r="G634" s="372"/>
    </row>
    <row r="635" ht="15.75" customHeight="1">
      <c r="G635" s="372"/>
    </row>
    <row r="636" ht="15.75" customHeight="1">
      <c r="G636" s="372"/>
    </row>
    <row r="637" ht="15.75" customHeight="1">
      <c r="G637" s="372"/>
    </row>
    <row r="638" ht="15.75" customHeight="1">
      <c r="G638" s="372"/>
    </row>
    <row r="639" ht="15.75" customHeight="1">
      <c r="G639" s="372"/>
    </row>
    <row r="640" ht="15.75" customHeight="1">
      <c r="G640" s="372"/>
    </row>
    <row r="641" ht="15.75" customHeight="1">
      <c r="G641" s="372"/>
    </row>
    <row r="642" ht="15.75" customHeight="1">
      <c r="G642" s="372"/>
    </row>
    <row r="643" ht="15.75" customHeight="1">
      <c r="G643" s="372"/>
    </row>
    <row r="644" ht="15.75" customHeight="1">
      <c r="G644" s="372"/>
    </row>
    <row r="645" ht="15.75" customHeight="1">
      <c r="G645" s="372"/>
    </row>
    <row r="646" ht="15.75" customHeight="1">
      <c r="G646" s="372"/>
    </row>
    <row r="647" ht="15.75" customHeight="1">
      <c r="G647" s="372"/>
    </row>
    <row r="648" ht="15.75" customHeight="1">
      <c r="G648" s="372"/>
    </row>
    <row r="649" ht="15.75" customHeight="1">
      <c r="G649" s="372"/>
    </row>
    <row r="650" ht="15.75" customHeight="1">
      <c r="G650" s="372"/>
    </row>
    <row r="651" ht="15.75" customHeight="1">
      <c r="G651" s="372"/>
    </row>
    <row r="652" ht="15.75" customHeight="1">
      <c r="G652" s="372"/>
    </row>
    <row r="653" ht="15.75" customHeight="1">
      <c r="G653" s="372"/>
    </row>
    <row r="654" ht="15.75" customHeight="1">
      <c r="G654" s="372"/>
    </row>
    <row r="655" ht="15.75" customHeight="1">
      <c r="G655" s="372"/>
    </row>
    <row r="656" ht="15.75" customHeight="1">
      <c r="G656" s="372"/>
    </row>
    <row r="657" ht="15.75" customHeight="1">
      <c r="G657" s="372"/>
    </row>
    <row r="658" ht="15.75" customHeight="1">
      <c r="G658" s="372"/>
    </row>
    <row r="659" ht="15.75" customHeight="1">
      <c r="G659" s="372"/>
    </row>
    <row r="660" ht="15.75" customHeight="1">
      <c r="G660" s="372"/>
    </row>
    <row r="661" ht="15.75" customHeight="1">
      <c r="G661" s="372"/>
    </row>
    <row r="662" ht="15.75" customHeight="1">
      <c r="G662" s="372"/>
    </row>
    <row r="663" ht="15.75" customHeight="1">
      <c r="G663" s="372"/>
    </row>
    <row r="664" ht="15.75" customHeight="1">
      <c r="G664" s="372"/>
    </row>
    <row r="665" ht="15.75" customHeight="1">
      <c r="G665" s="372"/>
    </row>
    <row r="666" ht="15.75" customHeight="1">
      <c r="G666" s="372"/>
    </row>
    <row r="667" ht="15.75" customHeight="1">
      <c r="G667" s="372"/>
    </row>
    <row r="668" ht="15.75" customHeight="1">
      <c r="G668" s="372"/>
    </row>
    <row r="669" ht="15.75" customHeight="1">
      <c r="G669" s="372"/>
    </row>
    <row r="670" ht="15.75" customHeight="1">
      <c r="G670" s="372"/>
    </row>
    <row r="671" ht="15.75" customHeight="1">
      <c r="G671" s="372"/>
    </row>
    <row r="672" ht="15.75" customHeight="1">
      <c r="G672" s="372"/>
    </row>
    <row r="673" ht="15.75" customHeight="1">
      <c r="G673" s="372"/>
    </row>
    <row r="674" ht="15.75" customHeight="1">
      <c r="G674" s="372"/>
    </row>
    <row r="675" ht="15.75" customHeight="1">
      <c r="G675" s="372"/>
    </row>
    <row r="676" ht="15.75" customHeight="1">
      <c r="G676" s="372"/>
    </row>
    <row r="677" ht="15.75" customHeight="1">
      <c r="G677" s="372"/>
    </row>
    <row r="678" ht="15.75" customHeight="1">
      <c r="G678" s="372"/>
    </row>
    <row r="679" ht="15.75" customHeight="1">
      <c r="G679" s="372"/>
    </row>
    <row r="680" ht="15.75" customHeight="1">
      <c r="G680" s="372"/>
    </row>
    <row r="681" ht="15.75" customHeight="1">
      <c r="G681" s="372"/>
    </row>
    <row r="682" ht="15.75" customHeight="1">
      <c r="G682" s="372"/>
    </row>
    <row r="683" ht="15.75" customHeight="1">
      <c r="G683" s="372"/>
    </row>
    <row r="684" ht="15.75" customHeight="1">
      <c r="G684" s="372"/>
    </row>
    <row r="685" ht="15.75" customHeight="1">
      <c r="G685" s="372"/>
    </row>
    <row r="686" ht="15.75" customHeight="1">
      <c r="G686" s="372"/>
    </row>
    <row r="687" ht="15.75" customHeight="1">
      <c r="G687" s="372"/>
    </row>
    <row r="688" ht="15.75" customHeight="1">
      <c r="G688" s="372"/>
    </row>
    <row r="689" ht="15.75" customHeight="1">
      <c r="G689" s="372"/>
    </row>
    <row r="690" ht="15.75" customHeight="1">
      <c r="G690" s="372"/>
    </row>
    <row r="691" ht="15.75" customHeight="1">
      <c r="G691" s="372"/>
    </row>
    <row r="692" ht="15.75" customHeight="1">
      <c r="G692" s="372"/>
    </row>
    <row r="693" ht="15.75" customHeight="1">
      <c r="G693" s="372"/>
    </row>
    <row r="694" ht="15.75" customHeight="1">
      <c r="G694" s="372"/>
    </row>
    <row r="695" ht="15.75" customHeight="1">
      <c r="G695" s="372"/>
    </row>
    <row r="696" ht="15.75" customHeight="1">
      <c r="G696" s="372"/>
    </row>
    <row r="697" ht="15.75" customHeight="1">
      <c r="G697" s="372"/>
    </row>
    <row r="698" ht="15.75" customHeight="1">
      <c r="G698" s="372"/>
    </row>
    <row r="699" ht="15.75" customHeight="1">
      <c r="G699" s="372"/>
    </row>
    <row r="700" ht="15.75" customHeight="1">
      <c r="G700" s="372"/>
    </row>
    <row r="701" ht="15.75" customHeight="1">
      <c r="G701" s="372"/>
    </row>
    <row r="702" ht="15.75" customHeight="1">
      <c r="G702" s="372"/>
    </row>
    <row r="703" ht="15.75" customHeight="1">
      <c r="G703" s="372"/>
    </row>
    <row r="704" ht="15.75" customHeight="1">
      <c r="G704" s="372"/>
    </row>
    <row r="705" ht="15.75" customHeight="1">
      <c r="G705" s="372"/>
    </row>
    <row r="706" ht="15.75" customHeight="1">
      <c r="G706" s="372"/>
    </row>
    <row r="707" ht="15.75" customHeight="1">
      <c r="G707" s="372"/>
    </row>
    <row r="708" ht="15.75" customHeight="1">
      <c r="G708" s="372"/>
    </row>
    <row r="709" ht="15.75" customHeight="1">
      <c r="G709" s="372"/>
    </row>
    <row r="710" ht="15.75" customHeight="1">
      <c r="G710" s="372"/>
    </row>
    <row r="711" ht="15.75" customHeight="1">
      <c r="G711" s="372"/>
    </row>
    <row r="712" ht="15.75" customHeight="1">
      <c r="G712" s="372"/>
    </row>
    <row r="713" ht="15.75" customHeight="1">
      <c r="G713" s="372"/>
    </row>
    <row r="714" ht="15.75" customHeight="1">
      <c r="G714" s="372"/>
    </row>
    <row r="715" ht="15.75" customHeight="1">
      <c r="G715" s="372"/>
    </row>
    <row r="716" ht="15.75" customHeight="1">
      <c r="G716" s="372"/>
    </row>
    <row r="717" ht="15.75" customHeight="1">
      <c r="G717" s="372"/>
    </row>
    <row r="718" ht="15.75" customHeight="1">
      <c r="G718" s="372"/>
    </row>
    <row r="719" ht="15.75" customHeight="1">
      <c r="G719" s="372"/>
    </row>
    <row r="720" ht="15.75" customHeight="1">
      <c r="G720" s="372"/>
    </row>
    <row r="721" ht="15.75" customHeight="1">
      <c r="G721" s="372"/>
    </row>
    <row r="722" ht="15.75" customHeight="1">
      <c r="G722" s="372"/>
    </row>
    <row r="723" ht="15.75" customHeight="1">
      <c r="G723" s="372"/>
    </row>
    <row r="724" ht="15.75" customHeight="1">
      <c r="G724" s="372"/>
    </row>
    <row r="725" ht="15.75" customHeight="1">
      <c r="G725" s="372"/>
    </row>
    <row r="726" ht="15.75" customHeight="1">
      <c r="G726" s="372"/>
    </row>
    <row r="727" ht="15.75" customHeight="1">
      <c r="G727" s="372"/>
    </row>
    <row r="728" ht="15.75" customHeight="1">
      <c r="G728" s="372"/>
    </row>
    <row r="729" ht="15.75" customHeight="1">
      <c r="G729" s="372"/>
    </row>
    <row r="730" ht="15.75" customHeight="1">
      <c r="G730" s="372"/>
    </row>
    <row r="731" ht="15.75" customHeight="1">
      <c r="G731" s="372"/>
    </row>
    <row r="732" ht="15.75" customHeight="1">
      <c r="G732" s="372"/>
    </row>
    <row r="733" ht="15.75" customHeight="1">
      <c r="G733" s="372"/>
    </row>
    <row r="734" ht="15.75" customHeight="1">
      <c r="G734" s="372"/>
    </row>
    <row r="735" ht="15.75" customHeight="1">
      <c r="G735" s="372"/>
    </row>
    <row r="736" ht="15.75" customHeight="1">
      <c r="G736" s="372"/>
    </row>
    <row r="737" ht="15.75" customHeight="1">
      <c r="G737" s="372"/>
    </row>
    <row r="738" ht="15.75" customHeight="1">
      <c r="G738" s="372"/>
    </row>
    <row r="739" ht="15.75" customHeight="1">
      <c r="G739" s="372"/>
    </row>
    <row r="740" ht="15.75" customHeight="1">
      <c r="G740" s="372"/>
    </row>
    <row r="741" ht="15.75" customHeight="1">
      <c r="G741" s="372"/>
    </row>
    <row r="742" ht="15.75" customHeight="1">
      <c r="G742" s="372"/>
    </row>
    <row r="743" ht="15.75" customHeight="1">
      <c r="G743" s="372"/>
    </row>
    <row r="744" ht="15.75" customHeight="1">
      <c r="G744" s="372"/>
    </row>
    <row r="745" ht="15.75" customHeight="1">
      <c r="G745" s="372"/>
    </row>
    <row r="746" ht="15.75" customHeight="1">
      <c r="G746" s="372"/>
    </row>
    <row r="747" ht="15.75" customHeight="1">
      <c r="G747" s="372"/>
    </row>
    <row r="748" ht="15.75" customHeight="1">
      <c r="G748" s="372"/>
    </row>
    <row r="749" ht="15.75" customHeight="1">
      <c r="G749" s="372"/>
    </row>
    <row r="750" ht="15.75" customHeight="1">
      <c r="G750" s="372"/>
    </row>
    <row r="751" ht="15.75" customHeight="1">
      <c r="G751" s="372"/>
    </row>
    <row r="752" ht="15.75" customHeight="1">
      <c r="G752" s="372"/>
    </row>
    <row r="753" ht="15.75" customHeight="1">
      <c r="G753" s="372"/>
    </row>
    <row r="754" ht="15.75" customHeight="1">
      <c r="G754" s="372"/>
    </row>
    <row r="755" ht="15.75" customHeight="1">
      <c r="G755" s="372"/>
    </row>
    <row r="756" ht="15.75" customHeight="1">
      <c r="G756" s="372"/>
    </row>
    <row r="757" ht="15.75" customHeight="1">
      <c r="G757" s="372"/>
    </row>
    <row r="758" ht="15.75" customHeight="1">
      <c r="G758" s="372"/>
    </row>
    <row r="759" ht="15.75" customHeight="1">
      <c r="G759" s="372"/>
    </row>
    <row r="760" ht="15.75" customHeight="1">
      <c r="G760" s="372"/>
    </row>
    <row r="761" ht="15.75" customHeight="1">
      <c r="G761" s="372"/>
    </row>
    <row r="762" ht="15.75" customHeight="1">
      <c r="G762" s="372"/>
    </row>
    <row r="763" ht="15.75" customHeight="1">
      <c r="G763" s="372"/>
    </row>
    <row r="764" ht="15.75" customHeight="1">
      <c r="G764" s="372"/>
    </row>
    <row r="765" ht="15.75" customHeight="1">
      <c r="G765" s="372"/>
    </row>
    <row r="766" ht="15.75" customHeight="1">
      <c r="G766" s="372"/>
    </row>
    <row r="767" ht="15.75" customHeight="1">
      <c r="G767" s="372"/>
    </row>
    <row r="768" ht="15.75" customHeight="1">
      <c r="G768" s="372"/>
    </row>
    <row r="769" ht="15.75" customHeight="1">
      <c r="G769" s="372"/>
    </row>
    <row r="770" ht="15.75" customHeight="1">
      <c r="G770" s="372"/>
    </row>
    <row r="771" ht="15.75" customHeight="1">
      <c r="G771" s="372"/>
    </row>
    <row r="772" ht="15.75" customHeight="1">
      <c r="G772" s="372"/>
    </row>
    <row r="773" ht="15.75" customHeight="1">
      <c r="G773" s="372"/>
    </row>
    <row r="774" ht="15.75" customHeight="1">
      <c r="G774" s="372"/>
    </row>
    <row r="775" ht="15.75" customHeight="1">
      <c r="G775" s="372"/>
    </row>
    <row r="776" ht="15.75" customHeight="1">
      <c r="G776" s="372"/>
    </row>
    <row r="777" ht="15.75" customHeight="1">
      <c r="G777" s="372"/>
    </row>
    <row r="778" ht="15.75" customHeight="1">
      <c r="G778" s="372"/>
    </row>
    <row r="779" ht="15.75" customHeight="1">
      <c r="G779" s="372"/>
    </row>
    <row r="780" ht="15.75" customHeight="1">
      <c r="G780" s="372"/>
    </row>
    <row r="781" ht="15.75" customHeight="1">
      <c r="G781" s="372"/>
    </row>
    <row r="782" ht="15.75" customHeight="1">
      <c r="G782" s="372"/>
    </row>
    <row r="783" ht="15.75" customHeight="1">
      <c r="G783" s="372"/>
    </row>
    <row r="784" ht="15.75" customHeight="1">
      <c r="G784" s="372"/>
    </row>
    <row r="785" ht="15.75" customHeight="1">
      <c r="G785" s="372"/>
    </row>
    <row r="786" ht="15.75" customHeight="1">
      <c r="G786" s="372"/>
    </row>
    <row r="787" ht="15.75" customHeight="1">
      <c r="G787" s="372"/>
    </row>
    <row r="788" ht="15.75" customHeight="1">
      <c r="G788" s="372"/>
    </row>
    <row r="789" ht="15.75" customHeight="1">
      <c r="G789" s="372"/>
    </row>
    <row r="790" ht="15.75" customHeight="1">
      <c r="G790" s="372"/>
    </row>
    <row r="791" ht="15.75" customHeight="1">
      <c r="G791" s="372"/>
    </row>
    <row r="792" ht="15.75" customHeight="1">
      <c r="G792" s="372"/>
    </row>
    <row r="793" ht="15.75" customHeight="1">
      <c r="G793" s="372"/>
    </row>
    <row r="794" ht="15.75" customHeight="1">
      <c r="G794" s="372"/>
    </row>
    <row r="795" ht="15.75" customHeight="1">
      <c r="G795" s="372"/>
    </row>
    <row r="796" ht="15.75" customHeight="1">
      <c r="G796" s="372"/>
    </row>
    <row r="797" ht="15.75" customHeight="1">
      <c r="G797" s="372"/>
    </row>
    <row r="798" ht="15.75" customHeight="1">
      <c r="G798" s="372"/>
    </row>
    <row r="799" ht="15.75" customHeight="1">
      <c r="G799" s="372"/>
    </row>
    <row r="800" ht="15.75" customHeight="1">
      <c r="G800" s="372"/>
    </row>
    <row r="801" ht="15.75" customHeight="1">
      <c r="G801" s="372"/>
    </row>
    <row r="802" ht="15.75" customHeight="1">
      <c r="G802" s="372"/>
    </row>
    <row r="803" ht="15.75" customHeight="1">
      <c r="G803" s="372"/>
    </row>
    <row r="804" ht="15.75" customHeight="1">
      <c r="G804" s="372"/>
    </row>
    <row r="805" ht="15.75" customHeight="1">
      <c r="G805" s="372"/>
    </row>
    <row r="806" ht="15.75" customHeight="1">
      <c r="G806" s="372"/>
    </row>
    <row r="807" ht="15.75" customHeight="1">
      <c r="G807" s="372"/>
    </row>
    <row r="808" ht="15.75" customHeight="1">
      <c r="G808" s="372"/>
    </row>
    <row r="809" ht="15.75" customHeight="1">
      <c r="G809" s="372"/>
    </row>
    <row r="810" ht="15.75" customHeight="1">
      <c r="G810" s="372"/>
    </row>
    <row r="811" ht="15.75" customHeight="1">
      <c r="G811" s="372"/>
    </row>
    <row r="812" ht="15.75" customHeight="1">
      <c r="G812" s="372"/>
    </row>
    <row r="813" ht="15.75" customHeight="1">
      <c r="G813" s="372"/>
    </row>
    <row r="814" ht="15.75" customHeight="1">
      <c r="G814" s="372"/>
    </row>
    <row r="815" ht="15.75" customHeight="1">
      <c r="G815" s="372"/>
    </row>
    <row r="816" ht="15.75" customHeight="1">
      <c r="G816" s="372"/>
    </row>
    <row r="817" ht="15.75" customHeight="1">
      <c r="G817" s="372"/>
    </row>
    <row r="818" ht="15.75" customHeight="1">
      <c r="G818" s="372"/>
    </row>
    <row r="819" ht="15.75" customHeight="1">
      <c r="G819" s="372"/>
    </row>
    <row r="820" ht="15.75" customHeight="1">
      <c r="G820" s="372"/>
    </row>
    <row r="821" ht="15.75" customHeight="1">
      <c r="G821" s="372"/>
    </row>
    <row r="822" ht="15.75" customHeight="1">
      <c r="G822" s="372"/>
    </row>
    <row r="823" ht="15.75" customHeight="1">
      <c r="G823" s="372"/>
    </row>
    <row r="824" ht="15.75" customHeight="1">
      <c r="G824" s="372"/>
    </row>
    <row r="825" ht="15.75" customHeight="1">
      <c r="G825" s="372"/>
    </row>
    <row r="826" ht="15.75" customHeight="1">
      <c r="G826" s="372"/>
    </row>
    <row r="827" ht="15.75" customHeight="1">
      <c r="G827" s="372"/>
    </row>
    <row r="828" ht="15.75" customHeight="1">
      <c r="G828" s="372"/>
    </row>
    <row r="829" ht="15.75" customHeight="1">
      <c r="G829" s="372"/>
    </row>
    <row r="830" ht="15.75" customHeight="1">
      <c r="G830" s="372"/>
    </row>
    <row r="831" ht="15.75" customHeight="1">
      <c r="G831" s="372"/>
    </row>
    <row r="832" ht="15.75" customHeight="1">
      <c r="G832" s="372"/>
    </row>
    <row r="833" ht="15.75" customHeight="1">
      <c r="G833" s="372"/>
    </row>
    <row r="834" ht="15.75" customHeight="1">
      <c r="G834" s="372"/>
    </row>
    <row r="835" ht="15.75" customHeight="1">
      <c r="G835" s="372"/>
    </row>
    <row r="836" ht="15.75" customHeight="1">
      <c r="G836" s="372"/>
    </row>
    <row r="837" ht="15.75" customHeight="1">
      <c r="G837" s="372"/>
    </row>
    <row r="838" ht="15.75" customHeight="1">
      <c r="G838" s="372"/>
    </row>
    <row r="839" ht="15.75" customHeight="1">
      <c r="G839" s="372"/>
    </row>
    <row r="840" ht="15.75" customHeight="1">
      <c r="G840" s="372"/>
    </row>
    <row r="841" ht="15.75" customHeight="1">
      <c r="G841" s="372"/>
    </row>
    <row r="842" ht="15.75" customHeight="1">
      <c r="G842" s="372"/>
    </row>
    <row r="843" ht="15.75" customHeight="1">
      <c r="G843" s="372"/>
    </row>
    <row r="844" ht="15.75" customHeight="1">
      <c r="G844" s="372"/>
    </row>
    <row r="845" ht="15.75" customHeight="1">
      <c r="G845" s="372"/>
    </row>
    <row r="846" ht="15.75" customHeight="1">
      <c r="G846" s="372"/>
    </row>
    <row r="847" ht="15.75" customHeight="1">
      <c r="G847" s="372"/>
    </row>
    <row r="848" ht="15.75" customHeight="1">
      <c r="G848" s="372"/>
    </row>
    <row r="849" ht="15.75" customHeight="1">
      <c r="G849" s="372"/>
    </row>
    <row r="850" ht="15.75" customHeight="1">
      <c r="G850" s="372"/>
    </row>
    <row r="851" ht="15.75" customHeight="1">
      <c r="G851" s="372"/>
    </row>
    <row r="852" ht="15.75" customHeight="1">
      <c r="G852" s="372"/>
    </row>
    <row r="853" ht="15.75" customHeight="1">
      <c r="G853" s="372"/>
    </row>
    <row r="854" ht="15.75" customHeight="1">
      <c r="G854" s="372"/>
    </row>
    <row r="855" ht="15.75" customHeight="1">
      <c r="G855" s="372"/>
    </row>
    <row r="856" ht="15.75" customHeight="1">
      <c r="G856" s="372"/>
    </row>
    <row r="857" ht="15.75" customHeight="1">
      <c r="G857" s="372"/>
    </row>
    <row r="858" ht="15.75" customHeight="1">
      <c r="G858" s="372"/>
    </row>
    <row r="859" ht="15.75" customHeight="1">
      <c r="G859" s="372"/>
    </row>
    <row r="860" ht="15.75" customHeight="1">
      <c r="G860" s="372"/>
    </row>
    <row r="861" ht="15.75" customHeight="1">
      <c r="G861" s="372"/>
    </row>
    <row r="862" ht="15.75" customHeight="1">
      <c r="G862" s="372"/>
    </row>
    <row r="863" ht="15.75" customHeight="1">
      <c r="G863" s="372"/>
    </row>
    <row r="864" ht="15.75" customHeight="1">
      <c r="G864" s="372"/>
    </row>
    <row r="865" ht="15.75" customHeight="1">
      <c r="G865" s="372"/>
    </row>
    <row r="866" ht="15.75" customHeight="1">
      <c r="G866" s="372"/>
    </row>
    <row r="867" ht="15.75" customHeight="1">
      <c r="G867" s="372"/>
    </row>
    <row r="868" ht="15.75" customHeight="1">
      <c r="G868" s="372"/>
    </row>
    <row r="869" ht="15.75" customHeight="1">
      <c r="G869" s="372"/>
    </row>
    <row r="870" ht="15.75" customHeight="1">
      <c r="G870" s="372"/>
    </row>
    <row r="871" ht="15.75" customHeight="1">
      <c r="G871" s="372"/>
    </row>
    <row r="872" ht="15.75" customHeight="1">
      <c r="G872" s="372"/>
    </row>
    <row r="873" ht="15.75" customHeight="1">
      <c r="G873" s="372"/>
    </row>
    <row r="874" ht="15.75" customHeight="1">
      <c r="G874" s="372"/>
    </row>
    <row r="875" ht="15.75" customHeight="1">
      <c r="G875" s="372"/>
    </row>
    <row r="876" ht="15.75" customHeight="1">
      <c r="G876" s="372"/>
    </row>
    <row r="877" ht="15.75" customHeight="1">
      <c r="G877" s="372"/>
    </row>
    <row r="878" ht="15.75" customHeight="1">
      <c r="G878" s="372"/>
    </row>
    <row r="879" ht="15.75" customHeight="1">
      <c r="G879" s="372"/>
    </row>
    <row r="880" ht="15.75" customHeight="1">
      <c r="G880" s="372"/>
    </row>
    <row r="881" ht="15.75" customHeight="1">
      <c r="G881" s="372"/>
    </row>
    <row r="882" ht="15.75" customHeight="1">
      <c r="G882" s="372"/>
    </row>
    <row r="883" ht="15.75" customHeight="1">
      <c r="G883" s="372"/>
    </row>
    <row r="884" ht="15.75" customHeight="1">
      <c r="G884" s="372"/>
    </row>
    <row r="885" ht="15.75" customHeight="1">
      <c r="G885" s="372"/>
    </row>
    <row r="886" ht="15.75" customHeight="1">
      <c r="G886" s="372"/>
    </row>
    <row r="887" ht="15.75" customHeight="1">
      <c r="G887" s="372"/>
    </row>
    <row r="888" ht="15.75" customHeight="1">
      <c r="G888" s="372"/>
    </row>
    <row r="889" ht="15.75" customHeight="1">
      <c r="G889" s="372"/>
    </row>
    <row r="890" ht="15.75" customHeight="1">
      <c r="G890" s="372"/>
    </row>
    <row r="891" ht="15.75" customHeight="1">
      <c r="G891" s="372"/>
    </row>
    <row r="892" ht="15.75" customHeight="1">
      <c r="G892" s="372"/>
    </row>
    <row r="893" ht="15.75" customHeight="1">
      <c r="G893" s="372"/>
    </row>
    <row r="894" ht="15.75" customHeight="1">
      <c r="G894" s="372"/>
    </row>
    <row r="895" ht="15.75" customHeight="1">
      <c r="G895" s="372"/>
    </row>
    <row r="896" ht="15.75" customHeight="1">
      <c r="G896" s="372"/>
    </row>
    <row r="897" ht="15.75" customHeight="1">
      <c r="G897" s="372"/>
    </row>
    <row r="898" ht="15.75" customHeight="1">
      <c r="G898" s="372"/>
    </row>
    <row r="899" ht="15.75" customHeight="1">
      <c r="G899" s="372"/>
    </row>
    <row r="900" ht="15.75" customHeight="1">
      <c r="G900" s="372"/>
    </row>
    <row r="901" ht="15.75" customHeight="1">
      <c r="G901" s="372"/>
    </row>
    <row r="902" ht="15.75" customHeight="1">
      <c r="G902" s="372"/>
    </row>
    <row r="903" ht="15.75" customHeight="1">
      <c r="G903" s="372"/>
    </row>
    <row r="904" ht="15.75" customHeight="1">
      <c r="G904" s="372"/>
    </row>
    <row r="905" ht="15.75" customHeight="1">
      <c r="G905" s="372"/>
    </row>
    <row r="906" ht="15.75" customHeight="1">
      <c r="G906" s="372"/>
    </row>
    <row r="907" ht="15.75" customHeight="1">
      <c r="G907" s="372"/>
    </row>
    <row r="908" ht="15.75" customHeight="1">
      <c r="G908" s="372"/>
    </row>
    <row r="909" ht="15.75" customHeight="1">
      <c r="G909" s="372"/>
    </row>
    <row r="910" ht="15.75" customHeight="1">
      <c r="G910" s="372"/>
    </row>
    <row r="911" ht="15.75" customHeight="1">
      <c r="G911" s="372"/>
    </row>
    <row r="912" ht="15.75" customHeight="1">
      <c r="G912" s="372"/>
    </row>
    <row r="913" ht="15.75" customHeight="1">
      <c r="G913" s="372"/>
    </row>
    <row r="914" ht="15.75" customHeight="1">
      <c r="G914" s="372"/>
    </row>
    <row r="915" ht="15.75" customHeight="1">
      <c r="G915" s="372"/>
    </row>
    <row r="916" ht="15.75" customHeight="1">
      <c r="G916" s="372"/>
    </row>
    <row r="917" ht="15.75" customHeight="1">
      <c r="G917" s="372"/>
    </row>
    <row r="918" ht="15.75" customHeight="1">
      <c r="G918" s="372"/>
    </row>
    <row r="919" ht="15.75" customHeight="1">
      <c r="G919" s="372"/>
    </row>
    <row r="920" ht="15.75" customHeight="1">
      <c r="G920" s="372"/>
    </row>
    <row r="921" ht="15.75" customHeight="1">
      <c r="G921" s="372"/>
    </row>
    <row r="922" ht="15.75" customHeight="1">
      <c r="G922" s="372"/>
    </row>
    <row r="923" ht="15.75" customHeight="1">
      <c r="G923" s="372"/>
    </row>
    <row r="924" ht="15.75" customHeight="1">
      <c r="G924" s="372"/>
    </row>
    <row r="925" ht="15.75" customHeight="1">
      <c r="G925" s="372"/>
    </row>
    <row r="926" ht="15.75" customHeight="1">
      <c r="G926" s="372"/>
    </row>
    <row r="927" ht="15.75" customHeight="1">
      <c r="G927" s="372"/>
    </row>
    <row r="928" ht="15.75" customHeight="1">
      <c r="G928" s="372"/>
    </row>
    <row r="929" ht="15.75" customHeight="1">
      <c r="G929" s="372"/>
    </row>
    <row r="930" ht="15.75" customHeight="1">
      <c r="G930" s="372"/>
    </row>
    <row r="931" ht="15.75" customHeight="1">
      <c r="G931" s="372"/>
    </row>
    <row r="932" ht="15.75" customHeight="1">
      <c r="G932" s="372"/>
    </row>
    <row r="933" ht="15.75" customHeight="1">
      <c r="G933" s="372"/>
    </row>
    <row r="934" ht="15.75" customHeight="1">
      <c r="G934" s="372"/>
    </row>
    <row r="935" ht="15.75" customHeight="1">
      <c r="G935" s="372"/>
    </row>
    <row r="936" ht="15.75" customHeight="1">
      <c r="G936" s="372"/>
    </row>
    <row r="937" ht="15.75" customHeight="1">
      <c r="G937" s="372"/>
    </row>
    <row r="938" ht="15.75" customHeight="1">
      <c r="G938" s="372"/>
    </row>
    <row r="939" ht="15.75" customHeight="1">
      <c r="G939" s="372"/>
    </row>
    <row r="940" ht="15.75" customHeight="1">
      <c r="G940" s="372"/>
    </row>
    <row r="941" ht="15.75" customHeight="1">
      <c r="G941" s="372"/>
    </row>
    <row r="942" ht="15.75" customHeight="1">
      <c r="G942" s="372"/>
    </row>
    <row r="943" ht="15.75" customHeight="1">
      <c r="G943" s="372"/>
    </row>
    <row r="944" ht="15.75" customHeight="1">
      <c r="G944" s="372"/>
    </row>
    <row r="945" ht="15.75" customHeight="1">
      <c r="G945" s="372"/>
    </row>
    <row r="946" ht="15.75" customHeight="1">
      <c r="G946" s="372"/>
    </row>
    <row r="947" ht="15.75" customHeight="1">
      <c r="G947" s="372"/>
    </row>
    <row r="948" ht="15.75" customHeight="1">
      <c r="G948" s="372"/>
    </row>
    <row r="949" ht="15.75" customHeight="1">
      <c r="G949" s="372"/>
    </row>
    <row r="950" ht="15.75" customHeight="1">
      <c r="G950" s="372"/>
    </row>
    <row r="951" ht="15.75" customHeight="1">
      <c r="G951" s="372"/>
    </row>
    <row r="952" ht="15.75" customHeight="1">
      <c r="G952" s="372"/>
    </row>
    <row r="953" ht="15.75" customHeight="1">
      <c r="G953" s="372"/>
    </row>
    <row r="954" ht="15.75" customHeight="1">
      <c r="G954" s="372"/>
    </row>
    <row r="955" ht="15.75" customHeight="1">
      <c r="G955" s="372"/>
    </row>
    <row r="956" ht="15.75" customHeight="1">
      <c r="G956" s="372"/>
    </row>
    <row r="957" ht="15.75" customHeight="1">
      <c r="G957" s="372"/>
    </row>
    <row r="958" ht="15.75" customHeight="1">
      <c r="G958" s="372"/>
    </row>
    <row r="959" ht="15.75" customHeight="1">
      <c r="G959" s="372"/>
    </row>
    <row r="960" ht="15.75" customHeight="1">
      <c r="G960" s="372"/>
    </row>
    <row r="961" ht="15.75" customHeight="1">
      <c r="G961" s="372"/>
    </row>
    <row r="962" ht="15.75" customHeight="1">
      <c r="G962" s="372"/>
    </row>
    <row r="963" ht="15.75" customHeight="1">
      <c r="G963" s="372"/>
    </row>
    <row r="964" ht="15.75" customHeight="1">
      <c r="G964" s="372"/>
    </row>
    <row r="965" ht="15.75" customHeight="1">
      <c r="G965" s="372"/>
    </row>
    <row r="966" ht="15.75" customHeight="1">
      <c r="G966" s="372"/>
    </row>
    <row r="967" ht="15.75" customHeight="1">
      <c r="G967" s="372"/>
    </row>
    <row r="968" ht="15.75" customHeight="1">
      <c r="G968" s="372"/>
    </row>
    <row r="969" ht="15.75" customHeight="1">
      <c r="G969" s="372"/>
    </row>
    <row r="970" ht="15.75" customHeight="1">
      <c r="G970" s="372"/>
    </row>
    <row r="971" ht="15.75" customHeight="1">
      <c r="G971" s="372"/>
    </row>
    <row r="972" ht="15.75" customHeight="1">
      <c r="G972" s="372"/>
    </row>
    <row r="973" ht="15.75" customHeight="1">
      <c r="G973" s="372"/>
    </row>
    <row r="974" ht="15.75" customHeight="1">
      <c r="G974" s="372"/>
    </row>
    <row r="975" ht="15.75" customHeight="1">
      <c r="G975" s="372"/>
    </row>
    <row r="976" ht="15.75" customHeight="1">
      <c r="G976" s="372"/>
    </row>
    <row r="977" ht="15.75" customHeight="1">
      <c r="G977" s="372"/>
    </row>
    <row r="978" ht="15.75" customHeight="1">
      <c r="G978" s="372"/>
    </row>
    <row r="979" ht="15.75" customHeight="1">
      <c r="G979" s="372"/>
    </row>
    <row r="980" ht="15.75" customHeight="1">
      <c r="G980" s="372"/>
    </row>
    <row r="981" ht="15.75" customHeight="1">
      <c r="G981" s="372"/>
    </row>
    <row r="982" ht="15.75" customHeight="1">
      <c r="G982" s="372"/>
    </row>
    <row r="983" ht="15.75" customHeight="1">
      <c r="G983" s="372"/>
    </row>
    <row r="984" ht="15.75" customHeight="1">
      <c r="G984" s="372"/>
    </row>
    <row r="985" ht="15.75" customHeight="1">
      <c r="G985" s="372"/>
    </row>
    <row r="986" ht="15.75" customHeight="1">
      <c r="G986" s="372"/>
    </row>
    <row r="987" ht="15.75" customHeight="1">
      <c r="G987" s="372"/>
    </row>
    <row r="988" ht="15.75" customHeight="1">
      <c r="G988" s="372"/>
    </row>
    <row r="989" ht="15.75" customHeight="1">
      <c r="G989" s="372"/>
    </row>
    <row r="990" ht="15.75" customHeight="1">
      <c r="G990" s="372"/>
    </row>
    <row r="991" ht="15.75" customHeight="1">
      <c r="G991" s="372"/>
    </row>
    <row r="992" ht="15.75" customHeight="1">
      <c r="G992" s="372"/>
    </row>
    <row r="993" ht="15.75" customHeight="1">
      <c r="G993" s="372"/>
    </row>
    <row r="994" ht="15.75" customHeight="1">
      <c r="G994" s="372"/>
    </row>
    <row r="995" ht="15.75" customHeight="1">
      <c r="G995" s="372"/>
    </row>
    <row r="996" ht="15.75" customHeight="1">
      <c r="G996" s="372"/>
    </row>
    <row r="997" ht="15.75" customHeight="1">
      <c r="G997" s="372"/>
    </row>
    <row r="998" ht="15.75" customHeight="1">
      <c r="G998" s="372"/>
    </row>
    <row r="999" ht="15.75" customHeight="1">
      <c r="G999" s="372"/>
    </row>
    <row r="1000" ht="15.75" customHeight="1">
      <c r="G1000" s="372"/>
    </row>
    <row r="1001" ht="15.75" customHeight="1">
      <c r="G1001" s="372"/>
    </row>
  </sheetData>
  <mergeCells count="22">
    <mergeCell ref="A2:AI2"/>
    <mergeCell ref="A4:AI4"/>
    <mergeCell ref="A9:A10"/>
    <mergeCell ref="B9:B10"/>
    <mergeCell ref="C9:C10"/>
    <mergeCell ref="E9:E10"/>
    <mergeCell ref="F9:F10"/>
    <mergeCell ref="I9:AI9"/>
    <mergeCell ref="G30:G31"/>
    <mergeCell ref="G38:G40"/>
    <mergeCell ref="G42:G44"/>
    <mergeCell ref="G46:G48"/>
    <mergeCell ref="D50:F50"/>
    <mergeCell ref="A57:C57"/>
    <mergeCell ref="A58:C58"/>
    <mergeCell ref="G9:G10"/>
    <mergeCell ref="H9:H10"/>
    <mergeCell ref="D23:D24"/>
    <mergeCell ref="E23:E24"/>
    <mergeCell ref="F23:F24"/>
    <mergeCell ref="G23:G24"/>
    <mergeCell ref="G26:G29"/>
  </mergeCells>
  <printOptions/>
  <pageMargins bottom="0.4096133751306165" footer="0.0" header="0.0" left="1.263" right="0.3" top="0.5143769968051118"/>
  <pageSetup fitToHeight="0" paperSize="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