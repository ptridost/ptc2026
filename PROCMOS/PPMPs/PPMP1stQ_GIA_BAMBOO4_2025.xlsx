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BAMBOO PROJECT\CTO\BAMBOO 4\BAMBOO 4 - Year 2\PROCUREMENT\PPMP\Estension (January - March 2025)\"/>
    </mc:Choice>
  </mc:AlternateContent>
  <xr:revisionPtr revIDLastSave="0" documentId="8_{819B26F5-6F07-4515-9847-C620E355A0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 - 1st Quarter" sheetId="1" r:id="rId1"/>
  </sheets>
  <calcPr calcId="191029"/>
  <extLst>
    <ext uri="GoogleSheetsCustomDataVersion2">
      <go:sheetsCustomData xmlns:go="http://customooxmlschemas.google.com/" r:id="rId9" roundtripDataChecksum="U7RNey4AQo4mPK39xJ/xK0yLuiBiK9/TnRskelKOIws="/>
    </ext>
  </extLst>
</workbook>
</file>

<file path=xl/calcChain.xml><?xml version="1.0" encoding="utf-8"?>
<calcChain xmlns="http://schemas.openxmlformats.org/spreadsheetml/2006/main">
  <c r="E40" i="1" l="1"/>
  <c r="E29" i="1"/>
  <c r="E28" i="1"/>
  <c r="E27" i="1"/>
  <c r="E26" i="1"/>
  <c r="E25" i="1"/>
  <c r="E24" i="1"/>
  <c r="E23" i="1"/>
  <c r="E22" i="1"/>
  <c r="E21" i="1"/>
  <c r="E20" i="1"/>
  <c r="E19" i="1"/>
  <c r="E14" i="1"/>
  <c r="E11" i="1"/>
  <c r="C47" i="1" s="1"/>
  <c r="U9" i="1"/>
  <c r="C49" i="1" l="1"/>
  <c r="C48" i="1"/>
  <c r="C50" i="1" s="1"/>
</calcChain>
</file>

<file path=xl/sharedStrings.xml><?xml version="1.0" encoding="utf-8"?>
<sst xmlns="http://schemas.openxmlformats.org/spreadsheetml/2006/main" count="123" uniqueCount="104">
  <si>
    <t xml:space="preserve">  PROJECT PROCUREMENT MANAGEMENT PLAN (PPMP) 2025</t>
  </si>
  <si>
    <t>For 1st Quarter of CY 2025</t>
  </si>
  <si>
    <t>END-USER/UNIT: RDD-NFUS</t>
  </si>
  <si>
    <t>Charged to: Community-based Verification of Fiber Extraction Technology Using Local Bamboo Species as a Textile Material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</si>
  <si>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</si>
  <si>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</si>
  <si>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</si>
  <si>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</si>
  <si>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</si>
  <si>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</si>
  <si>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</si>
  <si>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</si>
  <si>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</si>
  <si>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</si>
  <si>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</si>
  <si>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</si>
  <si>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</si>
  <si>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</si>
  <si>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</si>
  <si>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</si>
  <si>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</si>
  <si>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</si>
  <si>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</si>
  <si>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</si>
  <si>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</si>
  <si>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</si>
  <si>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</si>
  <si>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</si>
  <si>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</si>
  <si>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 xml:space="preserve">Original Brother MFC-L3770CDW Cartrige </t>
  </si>
  <si>
    <t>8 pcs</t>
  </si>
  <si>
    <t>1 lot</t>
  </si>
  <si>
    <t>Laboratory Supplies</t>
  </si>
  <si>
    <t>Sodium hydroxide, micropearls, AR grade, 1 kg/ btl</t>
  </si>
  <si>
    <t>10 bottles</t>
  </si>
  <si>
    <t>Small Value Procurement</t>
  </si>
  <si>
    <t>Sulfuric Acid, AR grade,  ≥98%, 4L</t>
  </si>
  <si>
    <t>5 bottles</t>
  </si>
  <si>
    <t>Bleach, unscented, 1 gallon/ botlle</t>
  </si>
  <si>
    <t>10 botlles</t>
  </si>
  <si>
    <t>Raw Bamboo Fibers</t>
  </si>
  <si>
    <t>Other Supplies - Direct Cost</t>
  </si>
  <si>
    <t>Aluminum foil, jumbo roll</t>
  </si>
  <si>
    <t>2 pcs</t>
  </si>
  <si>
    <t>Surgical Face Mask</t>
  </si>
  <si>
    <t>20 boxes</t>
  </si>
  <si>
    <t>Trash Bag/Gabbage Bag, black, XXL, 37*40 inch</t>
  </si>
  <si>
    <t>10 packs</t>
  </si>
  <si>
    <t>Trash Bag/Gabbage Bag, black, L, 26*32 inch</t>
  </si>
  <si>
    <t>Trash Bag/Gabbage Bag, black, S, 18*20 inch</t>
  </si>
  <si>
    <t>Stock pot, with lid, stainless steel, 45x45 cm</t>
  </si>
  <si>
    <t>Stock pot, with lid, stainless steel, 35x35 cm</t>
  </si>
  <si>
    <t>3 pcs</t>
  </si>
  <si>
    <t>Interfolded Paper Towel, 3 ply</t>
  </si>
  <si>
    <t>50 packs</t>
  </si>
  <si>
    <t>Heavy Duty Dishwashing Sponge</t>
  </si>
  <si>
    <t>60 pcs</t>
  </si>
  <si>
    <t>Dishwashing Liquid, Antibac, 475 mL</t>
  </si>
  <si>
    <t>30 pcs</t>
  </si>
  <si>
    <t>Tote bag with Handwoven Accent</t>
  </si>
  <si>
    <t xml:space="preserve">30 pcs </t>
  </si>
  <si>
    <t>Ergonomic Mesh Chair</t>
  </si>
  <si>
    <t>6 pcs</t>
  </si>
  <si>
    <t>Original Maintenance Box for EPSON L14150</t>
  </si>
  <si>
    <t xml:space="preserve">Other Supplies </t>
  </si>
  <si>
    <t>Original Laser  MFP 178nw Toner Cartridge</t>
  </si>
  <si>
    <t>Clear Acrylic Name Plate etc.,</t>
  </si>
  <si>
    <t>25 pcs</t>
  </si>
  <si>
    <t>Steno Notebook</t>
  </si>
  <si>
    <t>Laboratory Notebook</t>
  </si>
  <si>
    <t>Other Professional Servives (OPS)</t>
  </si>
  <si>
    <t>Professional Fee for the Video Editing Services of the Bamboo Textile Innovation Hub (BTFIH) - Pangasinan</t>
  </si>
  <si>
    <t>Professional Fee of Certification of Construction
Drawings, Plans, and Documents of Bamboo Textile
Fiber Innovation Hub in Abra</t>
  </si>
  <si>
    <t>Approved</t>
  </si>
  <si>
    <t>FESEM Imaging with EDX Analysis</t>
  </si>
  <si>
    <t>20 tests</t>
  </si>
  <si>
    <t>Agency to Agency</t>
  </si>
  <si>
    <t>Yarn Strength and Elongation etc.,</t>
  </si>
  <si>
    <t>12 samples</t>
  </si>
  <si>
    <t>Thermogravimetric Analysis</t>
  </si>
  <si>
    <t>18 samples</t>
  </si>
  <si>
    <t>XRD Analysis</t>
  </si>
  <si>
    <t>Professional weaving (powerloom) services</t>
  </si>
  <si>
    <t>40 meters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</si>
  <si>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</si>
  <si>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</si>
  <si>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</si>
  <si>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</si>
  <si>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</si>
  <si>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</si>
  <si>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</si>
  <si>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</si>
  <si>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</si>
  <si>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KARL MARX LENNIN A. FLORANTE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</si>
  <si>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</si>
  <si>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</si>
  <si>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</si>
  <si>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</si>
  <si>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</si>
  <si>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</si>
  <si>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</si>
  <si>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12 February 2025</t>
  </si>
  <si>
    <t>Date: ________________________________</t>
  </si>
  <si>
    <t>Date: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</si>
</sst>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_-;\-* #,##0.00_-;_-* &quot;-&quot;??_-;_-@"/>
  </numFmts>
  <fonts count="22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b/>
      <sz val="8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rial"/>
      <scheme val="minor"/>
    </font>
    <font>
      <b/>
      <u/>
      <sz val="9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wrapText="1"/>
    </xf>
    <xf numFmtId="165" fontId="2" fillId="0" borderId="17" xfId="0" applyNumberFormat="1" applyFont="1" applyBorder="1" applyAlignment="1">
      <alignment horizontal="center" wrapText="1"/>
    </xf>
    <xf numFmtId="4" fontId="2" fillId="0" borderId="15" xfId="0" applyNumberFormat="1" applyFont="1" applyBorder="1" applyAlignment="1">
      <alignment horizontal="center" wrapText="1"/>
    </xf>
    <xf numFmtId="0" fontId="2" fillId="0" borderId="15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9" fillId="3" borderId="0" xfId="0" applyFont="1" applyFill="1"/>
    <xf numFmtId="0" fontId="13" fillId="0" borderId="15" xfId="0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4" fontId="2" fillId="3" borderId="15" xfId="0" applyNumberFormat="1" applyFont="1" applyFill="1" applyBorder="1" applyAlignment="1">
      <alignment horizontal="center"/>
    </xf>
    <xf numFmtId="165" fontId="2" fillId="3" borderId="15" xfId="0" applyNumberFormat="1" applyFont="1" applyFill="1" applyBorder="1" applyAlignment="1">
      <alignment horizontal="center"/>
    </xf>
    <xf numFmtId="0" fontId="2" fillId="3" borderId="15" xfId="0" applyFont="1" applyFill="1" applyBorder="1"/>
    <xf numFmtId="0" fontId="2" fillId="3" borderId="23" xfId="0" applyFont="1" applyFill="1" applyBorder="1" applyAlignment="1">
      <alignment horizontal="center"/>
    </xf>
    <xf numFmtId="0" fontId="2" fillId="3" borderId="21" xfId="0" applyFont="1" applyFill="1" applyBorder="1"/>
    <xf numFmtId="0" fontId="2" fillId="0" borderId="21" xfId="0" applyFont="1" applyBorder="1" applyAlignment="1">
      <alignment vertical="center" wrapText="1"/>
    </xf>
    <xf numFmtId="4" fontId="2" fillId="3" borderId="15" xfId="0" applyNumberFormat="1" applyFont="1" applyFill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left"/>
    </xf>
    <xf numFmtId="0" fontId="2" fillId="3" borderId="21" xfId="0" applyFont="1" applyFill="1" applyBorder="1" applyAlignment="1">
      <alignment horizontal="center"/>
    </xf>
    <xf numFmtId="4" fontId="2" fillId="3" borderId="21" xfId="0" applyNumberFormat="1" applyFont="1" applyFill="1" applyBorder="1" applyAlignment="1">
      <alignment horizontal="center"/>
    </xf>
    <xf numFmtId="165" fontId="2" fillId="3" borderId="21" xfId="0" applyNumberFormat="1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4" fillId="0" borderId="15" xfId="0" applyFont="1" applyBorder="1" applyAlignment="1">
      <alignment wrapText="1"/>
    </xf>
    <xf numFmtId="0" fontId="14" fillId="0" borderId="15" xfId="0" applyFont="1" applyBorder="1" applyAlignment="1">
      <alignment horizontal="center"/>
    </xf>
    <xf numFmtId="4" fontId="14" fillId="0" borderId="15" xfId="0" applyNumberFormat="1" applyFont="1" applyBorder="1" applyAlignment="1">
      <alignment horizontal="center"/>
    </xf>
    <xf numFmtId="0" fontId="2" fillId="0" borderId="21" xfId="0" applyFont="1" applyBorder="1"/>
    <xf numFmtId="0" fontId="2" fillId="3" borderId="26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164" fontId="14" fillId="0" borderId="15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4" fontId="15" fillId="0" borderId="15" xfId="0" applyNumberFormat="1" applyFont="1" applyBorder="1" applyAlignment="1">
      <alignment horizontal="center"/>
    </xf>
    <xf numFmtId="0" fontId="2" fillId="0" borderId="21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center" vertical="center"/>
    </xf>
    <xf numFmtId="4" fontId="14" fillId="0" borderId="21" xfId="0" applyNumberFormat="1" applyFont="1" applyBorder="1" applyAlignment="1">
      <alignment horizontal="center" vertical="center"/>
    </xf>
    <xf numFmtId="4" fontId="2" fillId="0" borderId="21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4" fontId="2" fillId="0" borderId="21" xfId="0" applyNumberFormat="1" applyFont="1" applyBorder="1" applyAlignment="1">
      <alignment horizontal="center" vertical="center" wrapText="1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11" fillId="0" borderId="15" xfId="0" applyFont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left" vertical="center"/>
    </xf>
    <xf numFmtId="0" fontId="9" fillId="0" borderId="15" xfId="0" applyFont="1" applyBorder="1"/>
    <xf numFmtId="0" fontId="15" fillId="0" borderId="15" xfId="0" applyFont="1" applyBorder="1"/>
    <xf numFmtId="0" fontId="2" fillId="0" borderId="2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9" fillId="0" borderId="12" xfId="0" applyFont="1" applyBorder="1"/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2" fillId="0" borderId="34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5" xfId="0" applyFont="1" applyBorder="1" applyAlignment="1">
      <alignment vertic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/>
    </xf>
    <xf numFmtId="4" fontId="12" fillId="0" borderId="0" xfId="0" applyNumberFormat="1" applyFont="1" applyAlignment="1">
      <alignment horizontal="right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19" fillId="0" borderId="0" xfId="0" applyFont="1" applyAlignment="1">
      <alignment wrapText="1"/>
    </xf>
    <xf numFmtId="0" fontId="21" fillId="0" borderId="0" xfId="0" applyFont="1"/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10" fillId="2" borderId="26" xfId="0" applyFont="1" applyFill="1" applyBorder="1" applyAlignment="1">
      <alignment horizontal="left" vertical="center"/>
    </xf>
    <xf numFmtId="0" fontId="8" fillId="0" borderId="27" xfId="0" applyFont="1" applyBorder="1"/>
    <xf numFmtId="0" fontId="8" fillId="0" borderId="23" xfId="0" applyFont="1" applyBorder="1"/>
    <xf numFmtId="0" fontId="10" fillId="2" borderId="17" xfId="0" applyFont="1" applyFill="1" applyBorder="1" applyAlignment="1">
      <alignment horizontal="left" vertical="center"/>
    </xf>
    <xf numFmtId="0" fontId="8" fillId="0" borderId="16" xfId="0" applyFont="1" applyBorder="1"/>
    <xf numFmtId="0" fontId="8" fillId="0" borderId="22" xfId="0" applyFont="1" applyBorder="1"/>
    <xf numFmtId="0" fontId="10" fillId="2" borderId="11" xfId="0" applyFont="1" applyFill="1" applyBorder="1" applyAlignment="1">
      <alignment horizontal="left" vertical="center" wrapText="1"/>
    </xf>
    <xf numFmtId="0" fontId="8" fillId="0" borderId="12" xfId="0" applyFont="1" applyBorder="1"/>
    <xf numFmtId="0" fontId="8" fillId="0" borderId="13" xfId="0" applyFont="1" applyBorder="1"/>
    <xf numFmtId="0" fontId="10" fillId="5" borderId="31" xfId="0" applyFont="1" applyFill="1" applyBorder="1" applyAlignment="1">
      <alignment horizontal="left" vertical="top" wrapText="1"/>
    </xf>
    <xf numFmtId="0" fontId="8" fillId="0" borderId="32" xfId="0" applyFont="1" applyBorder="1"/>
    <xf numFmtId="0" fontId="8" fillId="0" borderId="33" xfId="0" applyFont="1" applyBorder="1"/>
    <xf numFmtId="0" fontId="2" fillId="0" borderId="25" xfId="0" applyFont="1" applyBorder="1" applyAlignment="1">
      <alignment horizontal="center" vertical="center" wrapText="1"/>
    </xf>
    <xf numFmtId="0" fontId="8" fillId="0" borderId="25" xfId="0" applyFont="1" applyBorder="1"/>
    <xf numFmtId="0" fontId="8" fillId="0" borderId="21" xfId="0" applyFont="1" applyBorder="1"/>
    <xf numFmtId="0" fontId="7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0" fontId="6" fillId="0" borderId="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8" fillId="0" borderId="24" xfId="0" applyFont="1" applyBorder="1"/>
    <xf numFmtId="0" fontId="2" fillId="0" borderId="10" xfId="0" applyFont="1" applyBorder="1" applyAlignment="1">
      <alignment horizontal="center" vertical="center"/>
    </xf>
    <xf numFmtId="0" fontId="2" fillId="0" borderId="25" xfId="0" applyFont="1" applyBorder="1"/>
    <xf numFmtId="0" fontId="6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right"/>
    </xf>
    <xf numFmtId="164" fontId="1" fillId="0" borderId="26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164" fontId="1" fillId="0" borderId="17" xfId="0" applyNumberFormat="1" applyFont="1" applyBorder="1" applyAlignment="1">
      <alignment horizontal="right"/>
    </xf>
    <xf numFmtId="164" fontId="12" fillId="0" borderId="0" xfId="0" applyNumberFormat="1" applyFont="1" applyAlignment="1">
      <alignment horizont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9" fillId="0" borderId="0" xfId="0" applyFont="1" applyAlignment="1">
      <alignment horizontal="left" wrapText="1"/>
    </xf>
    <xf numFmtId="164" fontId="21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1" fillId="0" borderId="28" xfId="0" applyFont="1" applyBorder="1" applyAlignment="1">
      <alignment horizontal="center" vertical="center" wrapText="1"/>
    </xf>
    <xf numFmtId="0" fontId="8" fillId="0" borderId="29" xfId="0" applyFont="1" applyBorder="1"/>
    <xf numFmtId="0" fontId="11" fillId="4" borderId="13" xfId="0" applyFont="1" applyFill="1" applyBorder="1" applyAlignment="1">
      <alignment horizontal="center" vertical="center" wrapText="1"/>
    </xf>
    <xf numFmtId="0" fontId="8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0"/>
  <sheetViews>
    <sheetView tabSelected="1" workbookViewId="0">
      <selection activeCell="B59" sqref="B59"/>
    </sheetView>
  </sheetViews>
  <sheetFormatPr defaultColWidth="12.625" defaultRowHeight="15" customHeight="1" x14ac:dyDescent="0.2"/>
  <cols>
    <col min="1" max="1" width="11.5" customWidth="1"/>
    <col min="2" max="2" width="69.625" customWidth="1"/>
    <col min="3" max="3" width="11.625" customWidth="1"/>
    <col min="4" max="4" width="12.625" customWidth="1"/>
    <col min="5" max="5" width="13.87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 x14ac:dyDescent="0.2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"/>
      <c r="X1" s="1"/>
    </row>
    <row r="2" spans="1:24" ht="14.25" x14ac:dyDescent="0.2">
      <c r="A2" s="137" t="s">
        <v>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"/>
      <c r="X2" s="1"/>
    </row>
    <row r="3" spans="1:24" x14ac:dyDescent="0.25">
      <c r="A3" s="138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"/>
      <c r="X3" s="1"/>
    </row>
    <row r="4" spans="1:24" x14ac:dyDescent="0.2">
      <c r="A4" s="2" t="s">
        <v>2</v>
      </c>
      <c r="B4" s="3"/>
      <c r="C4" s="4"/>
      <c r="D4" s="5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 x14ac:dyDescent="0.2">
      <c r="A5" s="6"/>
      <c r="B5" s="3"/>
      <c r="C5" s="7"/>
      <c r="D5" s="8"/>
      <c r="E5" s="9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2" t="s">
        <v>3</v>
      </c>
      <c r="B6" s="2"/>
      <c r="C6" s="11"/>
      <c r="D6" s="11"/>
      <c r="E6" s="11"/>
      <c r="F6" s="2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6" t="s">
        <v>4</v>
      </c>
      <c r="B7" s="3"/>
      <c r="C7" s="7"/>
      <c r="D7" s="8"/>
      <c r="E7" s="9"/>
      <c r="F7" s="10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">
      <c r="A8" s="139" t="s">
        <v>5</v>
      </c>
      <c r="B8" s="129" t="s">
        <v>6</v>
      </c>
      <c r="C8" s="12" t="s">
        <v>7</v>
      </c>
      <c r="D8" s="141" t="s">
        <v>8</v>
      </c>
      <c r="E8" s="142" t="s">
        <v>9</v>
      </c>
      <c r="F8" s="127" t="s">
        <v>10</v>
      </c>
      <c r="G8" s="129" t="s">
        <v>11</v>
      </c>
      <c r="H8" s="109" t="s">
        <v>12</v>
      </c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1"/>
      <c r="W8" s="13"/>
      <c r="X8" s="13"/>
    </row>
    <row r="9" spans="1:24" ht="38.25" x14ac:dyDescent="0.2">
      <c r="A9" s="140"/>
      <c r="B9" s="128"/>
      <c r="C9" s="14" t="s">
        <v>13</v>
      </c>
      <c r="D9" s="128"/>
      <c r="E9" s="128"/>
      <c r="F9" s="128"/>
      <c r="G9" s="128"/>
      <c r="H9" s="15" t="s">
        <v>14</v>
      </c>
      <c r="I9" s="15" t="s">
        <v>15</v>
      </c>
      <c r="J9" s="15" t="s">
        <v>16</v>
      </c>
      <c r="K9" s="15" t="s">
        <v>17</v>
      </c>
      <c r="L9" s="15" t="s">
        <v>18</v>
      </c>
      <c r="M9" s="15" t="s">
        <v>19</v>
      </c>
      <c r="N9" s="15" t="s">
        <v>20</v>
      </c>
      <c r="O9" s="15" t="s">
        <v>21</v>
      </c>
      <c r="P9" s="15" t="s">
        <v>22</v>
      </c>
      <c r="Q9" s="15" t="s">
        <v>23</v>
      </c>
      <c r="R9" s="15" t="s">
        <v>24</v>
      </c>
      <c r="S9" s="15" t="s">
        <v>25</v>
      </c>
      <c r="T9" s="15" t="s">
        <v>26</v>
      </c>
      <c r="U9" s="16" t="str">
        <f>$V$9</f>
        <v>REMARKS</v>
      </c>
      <c r="V9" s="15" t="s">
        <v>27</v>
      </c>
      <c r="W9" s="13"/>
      <c r="X9" s="13"/>
    </row>
    <row r="10" spans="1:24" ht="14.25" x14ac:dyDescent="0.2">
      <c r="A10" s="118" t="s">
        <v>28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20"/>
      <c r="W10" s="13"/>
      <c r="X10" s="13"/>
    </row>
    <row r="11" spans="1:24" ht="14.25" x14ac:dyDescent="0.2">
      <c r="A11" s="17">
        <v>4113</v>
      </c>
      <c r="B11" s="18" t="s">
        <v>29</v>
      </c>
      <c r="C11" s="19" t="s">
        <v>30</v>
      </c>
      <c r="D11" s="20">
        <v>6000</v>
      </c>
      <c r="E11" s="21">
        <f>D11*8</f>
        <v>48000</v>
      </c>
      <c r="F11" s="22"/>
      <c r="G11" s="23"/>
      <c r="H11" s="2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5"/>
      <c r="V11" s="26"/>
      <c r="W11" s="27"/>
      <c r="X11" s="27"/>
    </row>
    <row r="12" spans="1:24" ht="14.25" x14ac:dyDescent="0.2">
      <c r="A12" s="17">
        <v>4314</v>
      </c>
      <c r="B12" s="18" t="s">
        <v>28</v>
      </c>
      <c r="C12" s="19" t="s">
        <v>31</v>
      </c>
      <c r="D12" s="20">
        <v>32200</v>
      </c>
      <c r="E12" s="21">
        <v>32200</v>
      </c>
      <c r="F12" s="22"/>
      <c r="G12" s="28"/>
      <c r="H12" s="29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5"/>
      <c r="V12" s="30"/>
      <c r="W12" s="31"/>
      <c r="X12" s="31"/>
    </row>
    <row r="13" spans="1:24" ht="15.75" customHeight="1" x14ac:dyDescent="0.2">
      <c r="A13" s="115" t="s">
        <v>32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7"/>
      <c r="W13" s="13"/>
      <c r="X13" s="13"/>
    </row>
    <row r="14" spans="1:24" ht="12.75" hidden="1" customHeight="1" x14ac:dyDescent="0.2">
      <c r="A14" s="130"/>
      <c r="B14" s="32" t="s">
        <v>33</v>
      </c>
      <c r="C14" s="33" t="s">
        <v>34</v>
      </c>
      <c r="D14" s="34"/>
      <c r="E14" s="35">
        <f>D14*10</f>
        <v>0</v>
      </c>
      <c r="F14" s="132" t="s">
        <v>35</v>
      </c>
      <c r="G14" s="36"/>
      <c r="H14" s="33"/>
      <c r="I14" s="33"/>
      <c r="J14" s="37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13"/>
      <c r="X14" s="13"/>
    </row>
    <row r="15" spans="1:24" ht="15.75" hidden="1" customHeight="1" x14ac:dyDescent="0.2">
      <c r="A15" s="131"/>
      <c r="B15" s="39" t="s">
        <v>36</v>
      </c>
      <c r="C15" s="33" t="s">
        <v>37</v>
      </c>
      <c r="D15" s="34"/>
      <c r="E15" s="35"/>
      <c r="F15" s="125"/>
      <c r="G15" s="40"/>
      <c r="I15" s="41"/>
      <c r="J15" s="42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13"/>
      <c r="X15" s="13"/>
    </row>
    <row r="16" spans="1:24" ht="15.75" hidden="1" customHeight="1" x14ac:dyDescent="0.2">
      <c r="A16" s="131"/>
      <c r="B16" s="32" t="s">
        <v>38</v>
      </c>
      <c r="C16" s="33" t="s">
        <v>39</v>
      </c>
      <c r="D16" s="34"/>
      <c r="E16" s="35"/>
      <c r="F16" s="126"/>
      <c r="G16" s="36"/>
      <c r="H16" s="33"/>
      <c r="I16" s="33"/>
      <c r="J16" s="37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13"/>
      <c r="X16" s="13"/>
    </row>
    <row r="17" spans="1:24" ht="15.75" customHeight="1" x14ac:dyDescent="0.2">
      <c r="A17" s="17">
        <v>4257</v>
      </c>
      <c r="B17" s="43" t="s">
        <v>40</v>
      </c>
      <c r="C17" s="44" t="s">
        <v>31</v>
      </c>
      <c r="D17" s="45">
        <v>58700</v>
      </c>
      <c r="E17" s="46">
        <v>58700</v>
      </c>
      <c r="F17" s="47"/>
      <c r="G17" s="38"/>
      <c r="H17" s="44"/>
      <c r="I17" s="44"/>
      <c r="J17" s="37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13"/>
      <c r="X17" s="13"/>
    </row>
    <row r="18" spans="1:24" ht="15.75" customHeight="1" x14ac:dyDescent="0.2">
      <c r="A18" s="112" t="s">
        <v>41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4"/>
      <c r="W18" s="13"/>
      <c r="X18" s="13"/>
    </row>
    <row r="19" spans="1:24" ht="14.25" customHeight="1" x14ac:dyDescent="0.2">
      <c r="A19" s="157">
        <v>4149</v>
      </c>
      <c r="B19" s="49" t="s">
        <v>42</v>
      </c>
      <c r="C19" s="50" t="s">
        <v>43</v>
      </c>
      <c r="D19" s="51">
        <v>500</v>
      </c>
      <c r="E19" s="51">
        <f>D19*2</f>
        <v>1000</v>
      </c>
      <c r="F19" s="124" t="s">
        <v>35</v>
      </c>
      <c r="G19" s="133"/>
      <c r="H19" s="41"/>
      <c r="I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13"/>
      <c r="X19" s="13"/>
    </row>
    <row r="20" spans="1:24" ht="15.75" customHeight="1" x14ac:dyDescent="0.2">
      <c r="A20" s="158"/>
      <c r="B20" s="53" t="s">
        <v>44</v>
      </c>
      <c r="C20" s="44" t="s">
        <v>45</v>
      </c>
      <c r="D20" s="45">
        <v>100</v>
      </c>
      <c r="E20" s="46">
        <f>D20*20</f>
        <v>2000</v>
      </c>
      <c r="F20" s="125"/>
      <c r="G20" s="125"/>
      <c r="H20" s="41"/>
      <c r="I20" s="4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13"/>
      <c r="X20" s="13"/>
    </row>
    <row r="21" spans="1:24" ht="14.25" customHeight="1" x14ac:dyDescent="0.2">
      <c r="A21" s="158"/>
      <c r="B21" s="53" t="s">
        <v>46</v>
      </c>
      <c r="C21" s="44" t="s">
        <v>47</v>
      </c>
      <c r="D21" s="45">
        <v>200</v>
      </c>
      <c r="E21" s="46">
        <f t="shared" ref="E21:E23" si="0">D21*10</f>
        <v>2000</v>
      </c>
      <c r="F21" s="125"/>
      <c r="G21" s="125"/>
      <c r="H21" s="41"/>
      <c r="I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13"/>
      <c r="X21" s="13"/>
    </row>
    <row r="22" spans="1:24" ht="14.25" customHeight="1" x14ac:dyDescent="0.2">
      <c r="A22" s="158"/>
      <c r="B22" s="53" t="s">
        <v>48</v>
      </c>
      <c r="C22" s="44" t="s">
        <v>47</v>
      </c>
      <c r="D22" s="45">
        <v>150</v>
      </c>
      <c r="E22" s="46">
        <f t="shared" si="0"/>
        <v>1500</v>
      </c>
      <c r="F22" s="125"/>
      <c r="G22" s="125"/>
      <c r="H22" s="41"/>
      <c r="I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13"/>
      <c r="X22" s="13"/>
    </row>
    <row r="23" spans="1:24" ht="14.25" customHeight="1" x14ac:dyDescent="0.2">
      <c r="A23" s="158"/>
      <c r="B23" s="53" t="s">
        <v>49</v>
      </c>
      <c r="C23" s="44" t="s">
        <v>47</v>
      </c>
      <c r="D23" s="45">
        <v>100</v>
      </c>
      <c r="E23" s="46">
        <f t="shared" si="0"/>
        <v>1000</v>
      </c>
      <c r="F23" s="125"/>
      <c r="G23" s="125"/>
      <c r="H23" s="41"/>
      <c r="I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13"/>
      <c r="X23" s="13"/>
    </row>
    <row r="24" spans="1:24" ht="15.75" customHeight="1" x14ac:dyDescent="0.2">
      <c r="A24" s="158"/>
      <c r="B24" s="54" t="s">
        <v>50</v>
      </c>
      <c r="C24" s="50" t="s">
        <v>43</v>
      </c>
      <c r="D24" s="55">
        <v>5000</v>
      </c>
      <c r="E24" s="56">
        <f>D24*2</f>
        <v>10000</v>
      </c>
      <c r="F24" s="125"/>
      <c r="G24" s="125"/>
      <c r="H24" s="47"/>
      <c r="I24" s="52"/>
      <c r="J24" s="57"/>
      <c r="K24" s="52"/>
      <c r="L24" s="47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13"/>
      <c r="X24" s="13"/>
    </row>
    <row r="25" spans="1:24" ht="15.75" customHeight="1" x14ac:dyDescent="0.2">
      <c r="A25" s="158"/>
      <c r="B25" s="54" t="s">
        <v>51</v>
      </c>
      <c r="C25" s="58" t="s">
        <v>52</v>
      </c>
      <c r="D25" s="59">
        <v>3000</v>
      </c>
      <c r="E25" s="56">
        <f>D25*3</f>
        <v>9000</v>
      </c>
      <c r="F25" s="125"/>
      <c r="G25" s="125"/>
      <c r="I25" s="52"/>
      <c r="J25" s="57"/>
      <c r="K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13"/>
      <c r="X25" s="13"/>
    </row>
    <row r="26" spans="1:24" ht="15.75" customHeight="1" x14ac:dyDescent="0.2">
      <c r="A26" s="158"/>
      <c r="B26" s="60" t="s">
        <v>53</v>
      </c>
      <c r="C26" s="61" t="s">
        <v>54</v>
      </c>
      <c r="D26" s="62">
        <v>200</v>
      </c>
      <c r="E26" s="63">
        <f>D26*50</f>
        <v>10000</v>
      </c>
      <c r="F26" s="125"/>
      <c r="G26" s="125"/>
      <c r="H26" s="64"/>
      <c r="I26" s="64"/>
      <c r="J26" s="64"/>
      <c r="K26" s="52"/>
      <c r="L26" s="47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13"/>
      <c r="X26" s="13"/>
    </row>
    <row r="27" spans="1:24" ht="15.75" customHeight="1" x14ac:dyDescent="0.2">
      <c r="A27" s="158"/>
      <c r="B27" s="60" t="s">
        <v>55</v>
      </c>
      <c r="C27" s="61" t="s">
        <v>56</v>
      </c>
      <c r="D27" s="62">
        <v>100</v>
      </c>
      <c r="E27" s="63">
        <f>100*60</f>
        <v>6000</v>
      </c>
      <c r="F27" s="125"/>
      <c r="G27" s="125"/>
      <c r="H27" s="64"/>
      <c r="I27" s="64"/>
      <c r="J27" s="64"/>
      <c r="K27" s="52"/>
      <c r="L27" s="47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13"/>
      <c r="X27" s="13"/>
    </row>
    <row r="28" spans="1:24" ht="15.75" customHeight="1" x14ac:dyDescent="0.2">
      <c r="A28" s="158"/>
      <c r="B28" s="60" t="s">
        <v>57</v>
      </c>
      <c r="C28" s="61" t="s">
        <v>58</v>
      </c>
      <c r="D28" s="62">
        <v>250</v>
      </c>
      <c r="E28" s="63">
        <f t="shared" ref="E28:E29" si="1">D28*30</f>
        <v>7500</v>
      </c>
      <c r="F28" s="126"/>
      <c r="G28" s="126"/>
      <c r="H28" s="64"/>
      <c r="I28" s="64"/>
      <c r="J28" s="64"/>
      <c r="K28" s="52"/>
      <c r="L28" s="47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13"/>
      <c r="X28" s="13"/>
    </row>
    <row r="29" spans="1:24" ht="15.75" customHeight="1" x14ac:dyDescent="0.2">
      <c r="A29" s="65"/>
      <c r="B29" s="18" t="s">
        <v>59</v>
      </c>
      <c r="C29" s="19" t="s">
        <v>60</v>
      </c>
      <c r="D29" s="20">
        <v>600</v>
      </c>
      <c r="E29" s="21">
        <f t="shared" si="1"/>
        <v>18000</v>
      </c>
      <c r="F29" s="22"/>
      <c r="G29" s="66"/>
      <c r="H29" s="66"/>
      <c r="I29" s="66"/>
      <c r="J29" s="66"/>
      <c r="K29" s="52"/>
      <c r="L29" s="47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13"/>
      <c r="X29" s="13"/>
    </row>
    <row r="30" spans="1:24" ht="15.75" customHeight="1" x14ac:dyDescent="0.2">
      <c r="A30" s="65">
        <v>4114</v>
      </c>
      <c r="B30" s="60" t="s">
        <v>61</v>
      </c>
      <c r="C30" s="61" t="s">
        <v>62</v>
      </c>
      <c r="D30" s="62">
        <v>6000</v>
      </c>
      <c r="E30" s="63">
        <v>36000</v>
      </c>
      <c r="F30" s="66"/>
      <c r="G30" s="66"/>
      <c r="H30" s="66"/>
      <c r="I30" s="66"/>
      <c r="J30" s="66"/>
      <c r="K30" s="52"/>
      <c r="L30" s="47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13"/>
      <c r="X30" s="13"/>
    </row>
    <row r="31" spans="1:24" ht="15.75" customHeight="1" x14ac:dyDescent="0.2">
      <c r="A31" s="65">
        <v>4259</v>
      </c>
      <c r="B31" s="60" t="s">
        <v>63</v>
      </c>
      <c r="C31" s="61">
        <v>20</v>
      </c>
      <c r="D31" s="62">
        <v>1500</v>
      </c>
      <c r="E31" s="63">
        <v>30000</v>
      </c>
      <c r="F31" s="66"/>
      <c r="G31" s="66"/>
      <c r="H31" s="66"/>
      <c r="I31" s="66"/>
      <c r="J31" s="66"/>
      <c r="K31" s="52"/>
      <c r="L31" s="47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13"/>
      <c r="X31" s="13"/>
    </row>
    <row r="32" spans="1:24" ht="15.75" customHeight="1" x14ac:dyDescent="0.2">
      <c r="A32" s="67">
        <v>4316</v>
      </c>
      <c r="B32" s="60" t="s">
        <v>64</v>
      </c>
      <c r="C32" s="61" t="s">
        <v>31</v>
      </c>
      <c r="D32" s="62">
        <v>39600</v>
      </c>
      <c r="E32" s="63">
        <v>39600</v>
      </c>
      <c r="F32" s="66"/>
      <c r="G32" s="66"/>
      <c r="H32" s="66"/>
      <c r="I32" s="66"/>
      <c r="J32" s="66"/>
      <c r="K32" s="52"/>
      <c r="L32" s="47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13"/>
      <c r="X32" s="13"/>
    </row>
    <row r="33" spans="1:26" ht="15.75" customHeight="1" x14ac:dyDescent="0.2">
      <c r="A33" s="67">
        <v>4317</v>
      </c>
      <c r="B33" s="60" t="s">
        <v>65</v>
      </c>
      <c r="C33" s="61" t="s">
        <v>31</v>
      </c>
      <c r="D33" s="62">
        <v>32500</v>
      </c>
      <c r="E33" s="63">
        <v>32500</v>
      </c>
      <c r="F33" s="66"/>
      <c r="G33" s="66"/>
      <c r="H33" s="66"/>
      <c r="I33" s="66"/>
      <c r="J33" s="66"/>
      <c r="K33" s="52"/>
      <c r="L33" s="47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13"/>
      <c r="X33" s="13"/>
    </row>
    <row r="34" spans="1:26" ht="15.75" customHeight="1" x14ac:dyDescent="0.2">
      <c r="A34" s="159">
        <v>4318</v>
      </c>
      <c r="B34" s="60" t="s">
        <v>66</v>
      </c>
      <c r="C34" s="61" t="s">
        <v>67</v>
      </c>
      <c r="D34" s="62">
        <v>400</v>
      </c>
      <c r="E34" s="63">
        <v>10000</v>
      </c>
      <c r="F34" s="124"/>
      <c r="G34" s="66"/>
      <c r="H34" s="66"/>
      <c r="I34" s="66"/>
      <c r="J34" s="66"/>
      <c r="K34" s="52"/>
      <c r="L34" s="47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13"/>
      <c r="X34" s="13"/>
    </row>
    <row r="35" spans="1:26" ht="15.75" customHeight="1" x14ac:dyDescent="0.2">
      <c r="A35" s="160"/>
      <c r="B35" s="60" t="s">
        <v>68</v>
      </c>
      <c r="C35" s="61" t="s">
        <v>58</v>
      </c>
      <c r="D35" s="62">
        <v>80</v>
      </c>
      <c r="E35" s="63">
        <v>2400</v>
      </c>
      <c r="F35" s="125"/>
      <c r="G35" s="66"/>
      <c r="H35" s="66"/>
      <c r="I35" s="66"/>
      <c r="J35" s="66"/>
      <c r="K35" s="52"/>
      <c r="L35" s="47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13"/>
      <c r="X35" s="13"/>
    </row>
    <row r="36" spans="1:26" ht="15.75" customHeight="1" x14ac:dyDescent="0.2">
      <c r="A36" s="160"/>
      <c r="B36" s="60" t="s">
        <v>69</v>
      </c>
      <c r="C36" s="61" t="s">
        <v>58</v>
      </c>
      <c r="D36" s="62">
        <v>300</v>
      </c>
      <c r="E36" s="63">
        <v>9000</v>
      </c>
      <c r="F36" s="126"/>
      <c r="G36" s="66"/>
      <c r="H36" s="66"/>
      <c r="I36" s="66"/>
      <c r="J36" s="66"/>
      <c r="K36" s="52"/>
      <c r="L36" s="47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13"/>
      <c r="X36" s="13"/>
    </row>
    <row r="37" spans="1:26" ht="14.25" customHeight="1" x14ac:dyDescent="0.2">
      <c r="A37" s="121" t="s">
        <v>70</v>
      </c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3"/>
      <c r="W37" s="13"/>
      <c r="X37" s="13"/>
    </row>
    <row r="38" spans="1:26" ht="30" customHeight="1" x14ac:dyDescent="0.2">
      <c r="A38" s="48">
        <v>4178</v>
      </c>
      <c r="B38" s="60" t="s">
        <v>71</v>
      </c>
      <c r="C38" s="64" t="s">
        <v>31</v>
      </c>
      <c r="D38" s="68">
        <v>80000</v>
      </c>
      <c r="E38" s="69">
        <v>80000</v>
      </c>
      <c r="F38" s="70" t="s">
        <v>35</v>
      </c>
      <c r="G38" s="22"/>
      <c r="H38" s="71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13"/>
      <c r="X38" s="13"/>
    </row>
    <row r="39" spans="1:26" ht="44.25" customHeight="1" x14ac:dyDescent="0.2">
      <c r="A39" s="48">
        <v>4169</v>
      </c>
      <c r="B39" s="60" t="s">
        <v>72</v>
      </c>
      <c r="C39" s="66" t="s">
        <v>31</v>
      </c>
      <c r="D39" s="72">
        <v>49000</v>
      </c>
      <c r="E39" s="73">
        <v>49000</v>
      </c>
      <c r="F39" s="74"/>
      <c r="G39" s="52"/>
      <c r="H39" s="47"/>
      <c r="I39" s="52"/>
      <c r="J39" s="47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13"/>
      <c r="X39" s="13"/>
    </row>
    <row r="40" spans="1:26" ht="22.5" customHeight="1" x14ac:dyDescent="0.2">
      <c r="A40" s="48" t="s">
        <v>73</v>
      </c>
      <c r="B40" s="60" t="s">
        <v>74</v>
      </c>
      <c r="C40" s="66" t="s">
        <v>75</v>
      </c>
      <c r="D40" s="72">
        <v>10000</v>
      </c>
      <c r="E40" s="73">
        <f>D40*20</f>
        <v>200000</v>
      </c>
      <c r="F40" s="74" t="s">
        <v>76</v>
      </c>
      <c r="G40" s="52"/>
      <c r="H40" s="47"/>
      <c r="I40" s="52"/>
      <c r="J40" s="47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13"/>
      <c r="X40" s="13"/>
    </row>
    <row r="41" spans="1:26" ht="22.5" customHeight="1" x14ac:dyDescent="0.2">
      <c r="A41" s="75">
        <v>4278</v>
      </c>
      <c r="B41" s="76" t="s">
        <v>77</v>
      </c>
      <c r="C41" s="64" t="s">
        <v>78</v>
      </c>
      <c r="D41" s="68">
        <v>78300</v>
      </c>
      <c r="E41" s="69">
        <v>78300</v>
      </c>
      <c r="F41" s="74" t="s">
        <v>76</v>
      </c>
      <c r="G41" s="22"/>
      <c r="H41" s="71"/>
      <c r="I41" s="22"/>
      <c r="J41" s="71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77"/>
      <c r="X41" s="77"/>
      <c r="Y41" s="78"/>
      <c r="Z41" s="78"/>
    </row>
    <row r="42" spans="1:26" ht="22.5" customHeight="1" x14ac:dyDescent="0.2">
      <c r="A42" s="48">
        <v>4272</v>
      </c>
      <c r="B42" s="79" t="s">
        <v>79</v>
      </c>
      <c r="C42" s="66" t="s">
        <v>80</v>
      </c>
      <c r="D42" s="72">
        <v>63000</v>
      </c>
      <c r="E42" s="73">
        <v>63000</v>
      </c>
      <c r="F42" s="74" t="s">
        <v>76</v>
      </c>
      <c r="G42" s="52"/>
      <c r="H42" s="47"/>
      <c r="I42" s="52"/>
      <c r="J42" s="47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13"/>
      <c r="X42" s="13"/>
    </row>
    <row r="43" spans="1:26" ht="22.5" hidden="1" customHeight="1" x14ac:dyDescent="0.2">
      <c r="A43" s="48"/>
      <c r="B43" s="79" t="s">
        <v>81</v>
      </c>
      <c r="C43" s="66" t="s">
        <v>75</v>
      </c>
      <c r="D43" s="72">
        <v>4800</v>
      </c>
      <c r="E43" s="73"/>
      <c r="F43" s="74" t="s">
        <v>76</v>
      </c>
      <c r="G43" s="52"/>
      <c r="H43" s="47"/>
      <c r="I43" s="52"/>
      <c r="J43" s="47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13"/>
      <c r="X43" s="13"/>
    </row>
    <row r="44" spans="1:26" ht="22.5" hidden="1" customHeight="1" x14ac:dyDescent="0.2">
      <c r="A44" s="48"/>
      <c r="B44" s="76" t="s">
        <v>82</v>
      </c>
      <c r="C44" s="66" t="s">
        <v>83</v>
      </c>
      <c r="D44" s="72">
        <v>100</v>
      </c>
      <c r="E44" s="73"/>
      <c r="F44" s="70" t="s">
        <v>35</v>
      </c>
      <c r="G44" s="52"/>
      <c r="H44" s="47"/>
      <c r="I44" s="52"/>
      <c r="J44" s="47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13"/>
      <c r="X44" s="13"/>
    </row>
    <row r="45" spans="1:26" ht="15.75" customHeight="1" x14ac:dyDescent="0.2">
      <c r="A45" s="80"/>
      <c r="B45" s="134"/>
      <c r="C45" s="119"/>
      <c r="D45" s="119"/>
      <c r="E45" s="119"/>
      <c r="F45" s="119"/>
      <c r="G45" s="119"/>
      <c r="H45" s="119"/>
      <c r="I45" s="119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2"/>
      <c r="X45" s="82"/>
      <c r="Y45" s="81"/>
      <c r="Z45" s="81"/>
    </row>
    <row r="46" spans="1:26" ht="15.75" customHeight="1" x14ac:dyDescent="0.2">
      <c r="A46" s="83"/>
      <c r="B46" s="84"/>
      <c r="C46" s="7"/>
      <c r="D46" s="8"/>
      <c r="E46" s="85"/>
      <c r="F46" s="10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6" ht="15.75" customHeight="1" x14ac:dyDescent="0.25">
      <c r="A47" s="86" t="s">
        <v>84</v>
      </c>
      <c r="B47" s="3"/>
      <c r="C47" s="143">
        <f>SUM(E11:E44)</f>
        <v>836700</v>
      </c>
      <c r="D47" s="136"/>
      <c r="E47" s="136"/>
      <c r="F47" s="10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6" ht="15.75" hidden="1" customHeight="1" x14ac:dyDescent="0.25">
      <c r="A48" s="87" t="s">
        <v>85</v>
      </c>
      <c r="B48" s="74"/>
      <c r="C48" s="144">
        <f>PRODUCT(C47,0.1)</f>
        <v>83670</v>
      </c>
      <c r="D48" s="113"/>
      <c r="E48" s="114"/>
      <c r="F48" s="10"/>
      <c r="G48" s="10"/>
      <c r="H48" s="145"/>
      <c r="I48" s="136"/>
      <c r="J48" s="145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88"/>
      <c r="V48" s="1"/>
      <c r="W48" s="1"/>
      <c r="X48" s="1"/>
    </row>
    <row r="49" spans="1:24" ht="15.75" hidden="1" customHeight="1" x14ac:dyDescent="0.25">
      <c r="A49" s="89" t="s">
        <v>86</v>
      </c>
      <c r="B49" s="70"/>
      <c r="C49" s="146">
        <f>PRODUCT(C47,0.1)</f>
        <v>83670</v>
      </c>
      <c r="D49" s="116"/>
      <c r="E49" s="117"/>
      <c r="F49" s="10"/>
      <c r="G49" s="10"/>
      <c r="H49" s="90"/>
      <c r="I49" s="90"/>
      <c r="J49" s="147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91"/>
      <c r="V49" s="1"/>
      <c r="W49" s="1"/>
      <c r="X49" s="1"/>
    </row>
    <row r="50" spans="1:24" ht="15.75" hidden="1" customHeight="1" x14ac:dyDescent="0.25">
      <c r="A50" s="89" t="s">
        <v>87</v>
      </c>
      <c r="B50" s="70"/>
      <c r="C50" s="146">
        <f>SUM(C47:E49)</f>
        <v>1004040</v>
      </c>
      <c r="D50" s="116"/>
      <c r="E50" s="117"/>
      <c r="F50" s="10"/>
      <c r="G50" s="10"/>
      <c r="H50" s="90"/>
      <c r="I50" s="90"/>
      <c r="J50" s="147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91"/>
      <c r="V50" s="1"/>
      <c r="W50" s="1"/>
      <c r="X50" s="1"/>
    </row>
    <row r="51" spans="1:24" ht="15.75" customHeight="1" x14ac:dyDescent="0.2">
      <c r="A51" s="92"/>
      <c r="B51" s="3"/>
      <c r="C51" s="7"/>
      <c r="D51" s="8"/>
      <c r="E51" s="9"/>
      <c r="F51" s="10"/>
      <c r="G51" s="10"/>
      <c r="H51" s="90"/>
      <c r="I51" s="90"/>
      <c r="J51" s="147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91"/>
      <c r="V51" s="1"/>
      <c r="W51" s="1"/>
      <c r="X51" s="1"/>
    </row>
    <row r="52" spans="1:24" ht="15.75" customHeight="1" x14ac:dyDescent="0.2">
      <c r="A52" s="93" t="s">
        <v>88</v>
      </c>
      <c r="B52" s="3"/>
      <c r="C52" s="7"/>
      <c r="D52" s="8"/>
      <c r="E52" s="9"/>
      <c r="F52" s="10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2">
      <c r="A53" s="94"/>
      <c r="B53" s="3"/>
      <c r="C53" s="7"/>
      <c r="D53" s="8"/>
      <c r="E53" s="9"/>
      <c r="F53" s="10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2">
      <c r="A54" s="95" t="s">
        <v>89</v>
      </c>
      <c r="B54" s="84"/>
      <c r="C54" s="149" t="s">
        <v>90</v>
      </c>
      <c r="D54" s="136"/>
      <c r="E54" s="136"/>
      <c r="F54" s="90"/>
      <c r="G54" s="90"/>
      <c r="H54" s="1"/>
      <c r="I54" s="149" t="s">
        <v>91</v>
      </c>
      <c r="J54" s="136"/>
      <c r="K54" s="136"/>
      <c r="L54" s="136"/>
      <c r="M54" s="136"/>
      <c r="N54" s="136"/>
      <c r="O54" s="1"/>
      <c r="P54" s="1"/>
      <c r="Q54" s="149" t="s">
        <v>92</v>
      </c>
      <c r="R54" s="136"/>
      <c r="S54" s="136"/>
      <c r="T54" s="136"/>
      <c r="U54" s="1"/>
      <c r="V54" s="1"/>
      <c r="W54" s="1"/>
      <c r="X54" s="90"/>
    </row>
    <row r="55" spans="1:24" ht="15.75" customHeight="1" x14ac:dyDescent="0.2">
      <c r="A55" s="95"/>
      <c r="B55" s="84"/>
      <c r="C55" s="97"/>
      <c r="D55" s="98"/>
      <c r="E55" s="97"/>
      <c r="F55" s="90"/>
      <c r="G55" s="90"/>
      <c r="H55" s="1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0"/>
      <c r="X55" s="90"/>
    </row>
    <row r="56" spans="1:24" ht="15.75" customHeight="1" x14ac:dyDescent="0.2">
      <c r="A56" s="84"/>
      <c r="B56" s="84"/>
      <c r="C56" s="99"/>
      <c r="D56" s="100"/>
      <c r="E56" s="101"/>
      <c r="F56" s="90"/>
      <c r="G56" s="90"/>
      <c r="H56" s="1"/>
      <c r="I56" s="90"/>
      <c r="J56" s="102"/>
      <c r="K56" s="102"/>
      <c r="L56" s="102"/>
      <c r="M56" s="102"/>
      <c r="N56" s="102"/>
      <c r="O56" s="102"/>
      <c r="P56" s="102"/>
      <c r="Q56" s="90"/>
      <c r="R56" s="102"/>
      <c r="S56" s="90"/>
      <c r="T56" s="90"/>
      <c r="U56" s="90"/>
      <c r="V56" s="90"/>
      <c r="W56" s="90"/>
      <c r="X56" s="90"/>
    </row>
    <row r="57" spans="1:24" ht="15.75" customHeight="1" x14ac:dyDescent="0.2">
      <c r="A57" s="150" t="s">
        <v>93</v>
      </c>
      <c r="B57" s="136"/>
      <c r="C57" s="148" t="s">
        <v>94</v>
      </c>
      <c r="D57" s="136"/>
      <c r="E57" s="136"/>
      <c r="F57" s="136"/>
      <c r="G57" s="1"/>
      <c r="H57" s="1"/>
      <c r="I57" s="148" t="s">
        <v>95</v>
      </c>
      <c r="J57" s="136"/>
      <c r="K57" s="136"/>
      <c r="L57" s="136"/>
      <c r="M57" s="136"/>
      <c r="N57" s="136"/>
      <c r="O57" s="1"/>
      <c r="P57" s="1"/>
      <c r="Q57" s="148" t="s">
        <v>96</v>
      </c>
      <c r="R57" s="136"/>
      <c r="S57" s="136"/>
      <c r="T57" s="136"/>
      <c r="U57" s="1"/>
      <c r="V57" s="1"/>
      <c r="W57" s="1"/>
      <c r="X57" s="1"/>
    </row>
    <row r="58" spans="1:24" ht="15" customHeight="1" x14ac:dyDescent="0.2">
      <c r="A58" s="153" t="s">
        <v>97</v>
      </c>
      <c r="B58" s="136"/>
      <c r="C58" s="154" t="s">
        <v>98</v>
      </c>
      <c r="D58" s="136"/>
      <c r="E58" s="136"/>
      <c r="F58" s="136"/>
      <c r="G58" s="103"/>
      <c r="H58" s="1"/>
      <c r="I58" s="155" t="s">
        <v>99</v>
      </c>
      <c r="J58" s="136"/>
      <c r="K58" s="136"/>
      <c r="L58" s="136"/>
      <c r="M58" s="136"/>
      <c r="N58" s="136"/>
      <c r="O58" s="1"/>
      <c r="P58" s="1"/>
      <c r="Q58" s="154" t="s">
        <v>100</v>
      </c>
      <c r="R58" s="136"/>
      <c r="S58" s="136"/>
      <c r="T58" s="136"/>
      <c r="U58" s="1"/>
      <c r="V58" s="1"/>
      <c r="W58" s="90"/>
      <c r="X58" s="90"/>
    </row>
    <row r="59" spans="1:24" ht="15.75" customHeight="1" x14ac:dyDescent="0.2">
      <c r="A59" s="1"/>
      <c r="B59" s="1"/>
      <c r="C59" s="7"/>
      <c r="D59" s="8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2">
      <c r="A60" s="1" t="s">
        <v>101</v>
      </c>
      <c r="B60" s="1"/>
      <c r="C60" s="137" t="s">
        <v>102</v>
      </c>
      <c r="D60" s="136"/>
      <c r="E60" s="136"/>
      <c r="F60" s="1"/>
      <c r="G60" s="1"/>
      <c r="H60" s="1"/>
      <c r="I60" s="137" t="s">
        <v>103</v>
      </c>
      <c r="J60" s="136"/>
      <c r="K60" s="136"/>
      <c r="L60" s="136"/>
      <c r="M60" s="1"/>
      <c r="N60" s="1"/>
      <c r="O60" s="1"/>
      <c r="P60" s="1"/>
      <c r="Q60" s="1" t="s">
        <v>103</v>
      </c>
      <c r="R60" s="1"/>
      <c r="S60" s="1"/>
      <c r="T60" s="1"/>
      <c r="U60" s="1"/>
      <c r="V60" s="1"/>
      <c r="W60" s="1"/>
      <c r="X60" s="1"/>
    </row>
    <row r="61" spans="1:24" ht="15.75" customHeight="1" x14ac:dyDescent="0.25">
      <c r="C61" s="7"/>
      <c r="D61" s="104"/>
      <c r="E61" s="7"/>
      <c r="H61" s="15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</row>
    <row r="62" spans="1:24" ht="15.75" customHeight="1" x14ac:dyDescent="0.25">
      <c r="C62" s="7"/>
      <c r="D62" s="104"/>
      <c r="E62" s="7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</row>
    <row r="63" spans="1:24" ht="15.75" customHeight="1" x14ac:dyDescent="0.25">
      <c r="C63" s="7"/>
      <c r="D63" s="104"/>
      <c r="E63" s="7"/>
      <c r="H63" s="106"/>
      <c r="I63" s="107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</row>
    <row r="64" spans="1:24" ht="15.75" customHeight="1" x14ac:dyDescent="0.25">
      <c r="C64" s="7"/>
      <c r="D64" s="104"/>
      <c r="E64" s="7"/>
      <c r="H64" s="151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</row>
    <row r="65" spans="3:20" ht="15.75" customHeight="1" x14ac:dyDescent="0.25">
      <c r="C65" s="7"/>
      <c r="D65" s="104"/>
      <c r="E65" s="7"/>
      <c r="H65" s="152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</row>
    <row r="66" spans="3:20" ht="15.75" customHeight="1" x14ac:dyDescent="0.25">
      <c r="C66" s="7"/>
      <c r="D66" s="104"/>
      <c r="E66" s="7"/>
    </row>
    <row r="67" spans="3:20" ht="15.75" customHeight="1" x14ac:dyDescent="0.25">
      <c r="C67" s="7"/>
      <c r="D67" s="104"/>
      <c r="E67" s="7"/>
    </row>
    <row r="68" spans="3:20" ht="15.75" customHeight="1" x14ac:dyDescent="0.25">
      <c r="C68" s="7"/>
      <c r="D68" s="104"/>
      <c r="E68" s="7"/>
    </row>
    <row r="69" spans="3:20" ht="15.75" customHeight="1" x14ac:dyDescent="0.25">
      <c r="C69" s="7"/>
      <c r="D69" s="104"/>
      <c r="E69" s="7"/>
    </row>
    <row r="70" spans="3:20" ht="15.75" customHeight="1" x14ac:dyDescent="0.25">
      <c r="C70" s="7"/>
      <c r="D70" s="104"/>
      <c r="E70" s="7"/>
    </row>
    <row r="71" spans="3:20" ht="15.75" customHeight="1" x14ac:dyDescent="0.25">
      <c r="C71" s="7"/>
      <c r="D71" s="104"/>
      <c r="E71" s="7"/>
    </row>
    <row r="72" spans="3:20" ht="15.75" customHeight="1" x14ac:dyDescent="0.25">
      <c r="C72" s="7"/>
      <c r="D72" s="104"/>
      <c r="E72" s="7"/>
    </row>
    <row r="73" spans="3:20" ht="15.75" customHeight="1" x14ac:dyDescent="0.25">
      <c r="C73" s="7"/>
      <c r="D73" s="104"/>
      <c r="E73" s="7"/>
    </row>
    <row r="74" spans="3:20" ht="15.75" customHeight="1" x14ac:dyDescent="0.25">
      <c r="C74" s="7"/>
      <c r="D74" s="104"/>
      <c r="E74" s="7"/>
    </row>
    <row r="75" spans="3:20" ht="15.75" customHeight="1" x14ac:dyDescent="0.25">
      <c r="C75" s="7"/>
      <c r="D75" s="104"/>
      <c r="E75" s="7"/>
    </row>
    <row r="76" spans="3:20" ht="15.75" customHeight="1" x14ac:dyDescent="0.25">
      <c r="C76" s="7"/>
      <c r="D76" s="104"/>
      <c r="E76" s="7"/>
    </row>
    <row r="77" spans="3:20" ht="15.75" customHeight="1" x14ac:dyDescent="0.25">
      <c r="C77" s="7"/>
      <c r="D77" s="104"/>
      <c r="E77" s="7"/>
    </row>
    <row r="78" spans="3:20" ht="15.75" customHeight="1" x14ac:dyDescent="0.25">
      <c r="C78" s="7"/>
      <c r="D78" s="104"/>
      <c r="E78" s="7"/>
    </row>
    <row r="79" spans="3:20" ht="15.75" customHeight="1" x14ac:dyDescent="0.25">
      <c r="C79" s="7"/>
      <c r="D79" s="104"/>
      <c r="E79" s="7"/>
    </row>
    <row r="80" spans="3:20" ht="15.75" customHeight="1" x14ac:dyDescent="0.25">
      <c r="C80" s="7"/>
      <c r="D80" s="104"/>
      <c r="E80" s="7"/>
    </row>
    <row r="81" spans="3:5" ht="15.75" customHeight="1" x14ac:dyDescent="0.25">
      <c r="C81" s="7"/>
      <c r="D81" s="104"/>
      <c r="E81" s="7"/>
    </row>
    <row r="82" spans="3:5" ht="15.75" customHeight="1" x14ac:dyDescent="0.25">
      <c r="C82" s="7"/>
      <c r="D82" s="104"/>
      <c r="E82" s="7"/>
    </row>
    <row r="83" spans="3:5" ht="15.75" customHeight="1" x14ac:dyDescent="0.25">
      <c r="C83" s="7"/>
      <c r="D83" s="104"/>
      <c r="E83" s="7"/>
    </row>
    <row r="84" spans="3:5" ht="15.75" customHeight="1" x14ac:dyDescent="0.25">
      <c r="C84" s="7"/>
      <c r="D84" s="104"/>
      <c r="E84" s="7"/>
    </row>
    <row r="85" spans="3:5" ht="15.75" customHeight="1" x14ac:dyDescent="0.25">
      <c r="C85" s="7"/>
      <c r="D85" s="104"/>
      <c r="E85" s="7"/>
    </row>
    <row r="86" spans="3:5" ht="15.75" customHeight="1" x14ac:dyDescent="0.25">
      <c r="C86" s="7"/>
      <c r="D86" s="104"/>
      <c r="E86" s="7"/>
    </row>
    <row r="87" spans="3:5" ht="15.75" customHeight="1" x14ac:dyDescent="0.25">
      <c r="C87" s="7"/>
      <c r="D87" s="104"/>
      <c r="E87" s="7"/>
    </row>
    <row r="88" spans="3:5" ht="15.75" customHeight="1" x14ac:dyDescent="0.25">
      <c r="C88" s="7"/>
      <c r="D88" s="104"/>
      <c r="E88" s="7"/>
    </row>
    <row r="89" spans="3:5" ht="15.75" customHeight="1" x14ac:dyDescent="0.25">
      <c r="C89" s="7"/>
      <c r="D89" s="104"/>
      <c r="E89" s="7"/>
    </row>
    <row r="90" spans="3:5" ht="15.75" customHeight="1" x14ac:dyDescent="0.25">
      <c r="C90" s="7"/>
      <c r="D90" s="104"/>
      <c r="E90" s="7"/>
    </row>
    <row r="91" spans="3:5" ht="15.75" customHeight="1" x14ac:dyDescent="0.25">
      <c r="C91" s="7"/>
      <c r="D91" s="104"/>
      <c r="E91" s="7"/>
    </row>
    <row r="92" spans="3:5" ht="15.75" customHeight="1" x14ac:dyDescent="0.25">
      <c r="C92" s="7"/>
      <c r="D92" s="104"/>
      <c r="E92" s="7"/>
    </row>
    <row r="93" spans="3:5" ht="15.75" customHeight="1" x14ac:dyDescent="0.25">
      <c r="C93" s="7"/>
      <c r="D93" s="104"/>
      <c r="E93" s="7"/>
    </row>
    <row r="94" spans="3:5" ht="15.75" customHeight="1" x14ac:dyDescent="0.25">
      <c r="C94" s="7"/>
      <c r="D94" s="104"/>
      <c r="E94" s="7"/>
    </row>
    <row r="95" spans="3:5" ht="15.75" customHeight="1" x14ac:dyDescent="0.25">
      <c r="C95" s="7"/>
      <c r="D95" s="104"/>
      <c r="E95" s="7"/>
    </row>
    <row r="96" spans="3:5" ht="15.75" customHeight="1" x14ac:dyDescent="0.25">
      <c r="C96" s="7"/>
      <c r="D96" s="104"/>
      <c r="E96" s="7"/>
    </row>
    <row r="97" spans="3:5" ht="15.75" customHeight="1" x14ac:dyDescent="0.25">
      <c r="C97" s="7"/>
      <c r="D97" s="104"/>
      <c r="E97" s="7"/>
    </row>
    <row r="98" spans="3:5" ht="15.75" customHeight="1" x14ac:dyDescent="0.25">
      <c r="C98" s="7"/>
      <c r="D98" s="104"/>
      <c r="E98" s="7"/>
    </row>
    <row r="99" spans="3:5" ht="15.75" customHeight="1" x14ac:dyDescent="0.25">
      <c r="C99" s="7"/>
      <c r="D99" s="104"/>
      <c r="E99" s="7"/>
    </row>
    <row r="100" spans="3:5" ht="15.75" customHeight="1" x14ac:dyDescent="0.25">
      <c r="C100" s="7"/>
      <c r="D100" s="104"/>
      <c r="E100" s="7"/>
    </row>
    <row r="101" spans="3:5" ht="15.75" customHeight="1" x14ac:dyDescent="0.25">
      <c r="C101" s="7"/>
      <c r="D101" s="104"/>
      <c r="E101" s="7"/>
    </row>
    <row r="102" spans="3:5" ht="15.75" customHeight="1" x14ac:dyDescent="0.25">
      <c r="C102" s="7"/>
      <c r="D102" s="104"/>
      <c r="E102" s="7"/>
    </row>
    <row r="103" spans="3:5" ht="15.75" customHeight="1" x14ac:dyDescent="0.25">
      <c r="C103" s="7"/>
      <c r="D103" s="104"/>
      <c r="E103" s="7"/>
    </row>
    <row r="104" spans="3:5" ht="15.75" customHeight="1" x14ac:dyDescent="0.25">
      <c r="C104" s="7"/>
      <c r="D104" s="104"/>
      <c r="E104" s="7"/>
    </row>
    <row r="105" spans="3:5" ht="15.75" customHeight="1" x14ac:dyDescent="0.25">
      <c r="C105" s="7"/>
      <c r="D105" s="104"/>
      <c r="E105" s="7"/>
    </row>
    <row r="106" spans="3:5" ht="15.75" customHeight="1" x14ac:dyDescent="0.25">
      <c r="C106" s="7"/>
      <c r="D106" s="104"/>
      <c r="E106" s="7"/>
    </row>
    <row r="107" spans="3:5" ht="15.75" customHeight="1" x14ac:dyDescent="0.25">
      <c r="C107" s="7"/>
      <c r="D107" s="104"/>
      <c r="E107" s="7"/>
    </row>
    <row r="108" spans="3:5" ht="15.75" customHeight="1" x14ac:dyDescent="0.25">
      <c r="C108" s="7"/>
      <c r="D108" s="104"/>
      <c r="E108" s="7"/>
    </row>
    <row r="109" spans="3:5" ht="15.75" customHeight="1" x14ac:dyDescent="0.25">
      <c r="C109" s="7"/>
      <c r="D109" s="104"/>
      <c r="E109" s="7"/>
    </row>
    <row r="110" spans="3:5" ht="15.75" customHeight="1" x14ac:dyDescent="0.25">
      <c r="C110" s="7"/>
      <c r="D110" s="104"/>
      <c r="E110" s="7"/>
    </row>
    <row r="111" spans="3:5" ht="15.75" customHeight="1" x14ac:dyDescent="0.25">
      <c r="C111" s="7"/>
      <c r="D111" s="104"/>
      <c r="E111" s="7"/>
    </row>
    <row r="112" spans="3:5" ht="15.75" customHeight="1" x14ac:dyDescent="0.25">
      <c r="C112" s="7"/>
      <c r="D112" s="104"/>
      <c r="E112" s="7"/>
    </row>
    <row r="113" spans="3:5" ht="15.75" customHeight="1" x14ac:dyDescent="0.25">
      <c r="C113" s="7"/>
      <c r="D113" s="104"/>
      <c r="E113" s="7"/>
    </row>
    <row r="114" spans="3:5" ht="15.75" customHeight="1" x14ac:dyDescent="0.25">
      <c r="C114" s="7"/>
      <c r="D114" s="104"/>
      <c r="E114" s="7"/>
    </row>
    <row r="115" spans="3:5" ht="15.75" customHeight="1" x14ac:dyDescent="0.25">
      <c r="C115" s="7"/>
      <c r="D115" s="104"/>
      <c r="E115" s="7"/>
    </row>
    <row r="116" spans="3:5" ht="15.75" customHeight="1" x14ac:dyDescent="0.25">
      <c r="C116" s="7"/>
      <c r="D116" s="104"/>
      <c r="E116" s="7"/>
    </row>
    <row r="117" spans="3:5" ht="15.75" customHeight="1" x14ac:dyDescent="0.25">
      <c r="C117" s="7"/>
      <c r="D117" s="104"/>
      <c r="E117" s="7"/>
    </row>
    <row r="118" spans="3:5" ht="15.75" customHeight="1" x14ac:dyDescent="0.25">
      <c r="C118" s="7"/>
      <c r="D118" s="104"/>
      <c r="E118" s="7"/>
    </row>
    <row r="119" spans="3:5" ht="15.75" customHeight="1" x14ac:dyDescent="0.25">
      <c r="C119" s="7"/>
      <c r="D119" s="104"/>
      <c r="E119" s="7"/>
    </row>
    <row r="120" spans="3:5" ht="15.75" customHeight="1" x14ac:dyDescent="0.25">
      <c r="C120" s="7"/>
      <c r="D120" s="104"/>
      <c r="E120" s="7"/>
    </row>
    <row r="121" spans="3:5" ht="15.75" customHeight="1" x14ac:dyDescent="0.25">
      <c r="C121" s="7"/>
      <c r="D121" s="104"/>
      <c r="E121" s="7"/>
    </row>
    <row r="122" spans="3:5" ht="15.75" customHeight="1" x14ac:dyDescent="0.25">
      <c r="C122" s="7"/>
      <c r="D122" s="104"/>
      <c r="E122" s="7"/>
    </row>
    <row r="123" spans="3:5" ht="15.75" customHeight="1" x14ac:dyDescent="0.25">
      <c r="C123" s="7"/>
      <c r="D123" s="104"/>
      <c r="E123" s="7"/>
    </row>
    <row r="124" spans="3:5" ht="15.75" customHeight="1" x14ac:dyDescent="0.25">
      <c r="C124" s="7"/>
      <c r="D124" s="104"/>
      <c r="E124" s="7"/>
    </row>
    <row r="125" spans="3:5" ht="15.75" customHeight="1" x14ac:dyDescent="0.25">
      <c r="C125" s="7"/>
      <c r="D125" s="104"/>
      <c r="E125" s="7"/>
    </row>
    <row r="126" spans="3:5" ht="15.75" customHeight="1" x14ac:dyDescent="0.25">
      <c r="C126" s="7"/>
      <c r="D126" s="104"/>
      <c r="E126" s="7"/>
    </row>
    <row r="127" spans="3:5" ht="15.75" customHeight="1" x14ac:dyDescent="0.25">
      <c r="C127" s="7"/>
      <c r="D127" s="104"/>
      <c r="E127" s="7"/>
    </row>
    <row r="128" spans="3:5" ht="15.75" customHeight="1" x14ac:dyDescent="0.25">
      <c r="C128" s="7"/>
      <c r="D128" s="104"/>
      <c r="E128" s="7"/>
    </row>
    <row r="129" spans="3:5" ht="15.75" customHeight="1" x14ac:dyDescent="0.25">
      <c r="C129" s="7"/>
      <c r="D129" s="104"/>
      <c r="E129" s="7"/>
    </row>
    <row r="130" spans="3:5" ht="15.75" customHeight="1" x14ac:dyDescent="0.25">
      <c r="C130" s="7"/>
      <c r="D130" s="104"/>
      <c r="E130" s="7"/>
    </row>
    <row r="131" spans="3:5" ht="15.75" customHeight="1" x14ac:dyDescent="0.25">
      <c r="C131" s="7"/>
      <c r="D131" s="104"/>
      <c r="E131" s="7"/>
    </row>
    <row r="132" spans="3:5" ht="15.75" customHeight="1" x14ac:dyDescent="0.25">
      <c r="C132" s="7"/>
      <c r="D132" s="104"/>
      <c r="E132" s="7"/>
    </row>
    <row r="133" spans="3:5" ht="15.75" customHeight="1" x14ac:dyDescent="0.25">
      <c r="C133" s="7"/>
      <c r="D133" s="104"/>
      <c r="E133" s="7"/>
    </row>
    <row r="134" spans="3:5" ht="15.75" customHeight="1" x14ac:dyDescent="0.25">
      <c r="C134" s="7"/>
      <c r="D134" s="104"/>
      <c r="E134" s="7"/>
    </row>
    <row r="135" spans="3:5" ht="15.75" customHeight="1" x14ac:dyDescent="0.25">
      <c r="C135" s="7"/>
      <c r="D135" s="104"/>
      <c r="E135" s="7"/>
    </row>
    <row r="136" spans="3:5" ht="15.75" customHeight="1" x14ac:dyDescent="0.25">
      <c r="C136" s="7"/>
      <c r="D136" s="104"/>
      <c r="E136" s="7"/>
    </row>
    <row r="137" spans="3:5" ht="15.75" customHeight="1" x14ac:dyDescent="0.25">
      <c r="C137" s="7"/>
      <c r="D137" s="104"/>
      <c r="E137" s="7"/>
    </row>
    <row r="138" spans="3:5" ht="15.75" customHeight="1" x14ac:dyDescent="0.25">
      <c r="C138" s="7"/>
      <c r="D138" s="104"/>
      <c r="E138" s="7"/>
    </row>
    <row r="139" spans="3:5" ht="15.75" customHeight="1" x14ac:dyDescent="0.25">
      <c r="C139" s="7"/>
      <c r="D139" s="104"/>
      <c r="E139" s="7"/>
    </row>
    <row r="140" spans="3:5" ht="15.75" customHeight="1" x14ac:dyDescent="0.25">
      <c r="C140" s="7"/>
      <c r="D140" s="104"/>
      <c r="E140" s="7"/>
    </row>
    <row r="141" spans="3:5" ht="15.75" customHeight="1" x14ac:dyDescent="0.25">
      <c r="C141" s="7"/>
      <c r="D141" s="104"/>
      <c r="E141" s="7"/>
    </row>
    <row r="142" spans="3:5" ht="15.75" customHeight="1" x14ac:dyDescent="0.25">
      <c r="C142" s="7"/>
      <c r="D142" s="104"/>
      <c r="E142" s="7"/>
    </row>
    <row r="143" spans="3:5" ht="15.75" customHeight="1" x14ac:dyDescent="0.25">
      <c r="C143" s="7"/>
      <c r="D143" s="104"/>
      <c r="E143" s="7"/>
    </row>
    <row r="144" spans="3:5" ht="15.75" customHeight="1" x14ac:dyDescent="0.25">
      <c r="C144" s="7"/>
      <c r="D144" s="104"/>
      <c r="E144" s="7"/>
    </row>
    <row r="145" spans="3:5" ht="15.75" customHeight="1" x14ac:dyDescent="0.25">
      <c r="C145" s="7"/>
      <c r="D145" s="104"/>
      <c r="E145" s="7"/>
    </row>
    <row r="146" spans="3:5" ht="15.75" customHeight="1" x14ac:dyDescent="0.25">
      <c r="C146" s="7"/>
      <c r="D146" s="104"/>
      <c r="E146" s="7"/>
    </row>
    <row r="147" spans="3:5" ht="15.75" customHeight="1" x14ac:dyDescent="0.25">
      <c r="C147" s="7"/>
      <c r="D147" s="104"/>
      <c r="E147" s="7"/>
    </row>
    <row r="148" spans="3:5" ht="15.75" customHeight="1" x14ac:dyDescent="0.25">
      <c r="C148" s="7"/>
      <c r="D148" s="104"/>
      <c r="E148" s="7"/>
    </row>
    <row r="149" spans="3:5" ht="15.75" customHeight="1" x14ac:dyDescent="0.25">
      <c r="C149" s="7"/>
      <c r="D149" s="104"/>
      <c r="E149" s="7"/>
    </row>
    <row r="150" spans="3:5" ht="15.75" customHeight="1" x14ac:dyDescent="0.25">
      <c r="C150" s="7"/>
      <c r="D150" s="104"/>
      <c r="E150" s="7"/>
    </row>
    <row r="151" spans="3:5" ht="15.75" customHeight="1" x14ac:dyDescent="0.25">
      <c r="C151" s="7"/>
      <c r="D151" s="104"/>
      <c r="E151" s="7"/>
    </row>
    <row r="152" spans="3:5" ht="15.75" customHeight="1" x14ac:dyDescent="0.25">
      <c r="C152" s="7"/>
      <c r="D152" s="104"/>
      <c r="E152" s="7"/>
    </row>
    <row r="153" spans="3:5" ht="15.75" customHeight="1" x14ac:dyDescent="0.25">
      <c r="C153" s="7"/>
      <c r="D153" s="104"/>
      <c r="E153" s="7"/>
    </row>
    <row r="154" spans="3:5" ht="15.75" customHeight="1" x14ac:dyDescent="0.25">
      <c r="C154" s="7"/>
      <c r="D154" s="104"/>
      <c r="E154" s="7"/>
    </row>
    <row r="155" spans="3:5" ht="15.75" customHeight="1" x14ac:dyDescent="0.25">
      <c r="C155" s="7"/>
      <c r="D155" s="104"/>
      <c r="E155" s="7"/>
    </row>
    <row r="156" spans="3:5" ht="15.75" customHeight="1" x14ac:dyDescent="0.25">
      <c r="C156" s="7"/>
      <c r="D156" s="104"/>
      <c r="E156" s="7"/>
    </row>
    <row r="157" spans="3:5" ht="15.75" customHeight="1" x14ac:dyDescent="0.25">
      <c r="C157" s="7"/>
      <c r="D157" s="104"/>
      <c r="E157" s="7"/>
    </row>
    <row r="158" spans="3:5" ht="15.75" customHeight="1" x14ac:dyDescent="0.25">
      <c r="C158" s="7"/>
      <c r="D158" s="104"/>
      <c r="E158" s="7"/>
    </row>
    <row r="159" spans="3:5" ht="15.75" customHeight="1" x14ac:dyDescent="0.25">
      <c r="C159" s="7"/>
      <c r="D159" s="104"/>
      <c r="E159" s="7"/>
    </row>
    <row r="160" spans="3:5" ht="15.75" customHeight="1" x14ac:dyDescent="0.25">
      <c r="C160" s="7"/>
      <c r="D160" s="104"/>
      <c r="E160" s="7"/>
    </row>
    <row r="161" spans="3:5" ht="15.75" customHeight="1" x14ac:dyDescent="0.25">
      <c r="C161" s="7"/>
      <c r="D161" s="104"/>
      <c r="E161" s="7"/>
    </row>
    <row r="162" spans="3:5" ht="15.75" customHeight="1" x14ac:dyDescent="0.25">
      <c r="C162" s="7"/>
      <c r="D162" s="104"/>
      <c r="E162" s="7"/>
    </row>
    <row r="163" spans="3:5" ht="15.75" customHeight="1" x14ac:dyDescent="0.25">
      <c r="C163" s="7"/>
      <c r="D163" s="104"/>
      <c r="E163" s="7"/>
    </row>
    <row r="164" spans="3:5" ht="15.75" customHeight="1" x14ac:dyDescent="0.25">
      <c r="C164" s="7"/>
      <c r="D164" s="104"/>
      <c r="E164" s="7"/>
    </row>
    <row r="165" spans="3:5" ht="15.75" customHeight="1" x14ac:dyDescent="0.25">
      <c r="C165" s="7"/>
      <c r="D165" s="104"/>
      <c r="E165" s="7"/>
    </row>
    <row r="166" spans="3:5" ht="15.75" customHeight="1" x14ac:dyDescent="0.25">
      <c r="C166" s="7"/>
      <c r="D166" s="104"/>
      <c r="E166" s="7"/>
    </row>
    <row r="167" spans="3:5" ht="15.75" customHeight="1" x14ac:dyDescent="0.25">
      <c r="C167" s="7"/>
      <c r="D167" s="104"/>
      <c r="E167" s="7"/>
    </row>
    <row r="168" spans="3:5" ht="15.75" customHeight="1" x14ac:dyDescent="0.25">
      <c r="C168" s="7"/>
      <c r="D168" s="104"/>
      <c r="E168" s="7"/>
    </row>
    <row r="169" spans="3:5" ht="15.75" customHeight="1" x14ac:dyDescent="0.25">
      <c r="C169" s="7"/>
      <c r="D169" s="104"/>
      <c r="E169" s="7"/>
    </row>
    <row r="170" spans="3:5" ht="15.75" customHeight="1" x14ac:dyDescent="0.25">
      <c r="C170" s="7"/>
      <c r="D170" s="104"/>
      <c r="E170" s="7"/>
    </row>
    <row r="171" spans="3:5" ht="15.75" customHeight="1" x14ac:dyDescent="0.25">
      <c r="C171" s="7"/>
      <c r="D171" s="104"/>
      <c r="E171" s="7"/>
    </row>
    <row r="172" spans="3:5" ht="15.75" customHeight="1" x14ac:dyDescent="0.25">
      <c r="C172" s="7"/>
      <c r="D172" s="104"/>
      <c r="E172" s="7"/>
    </row>
    <row r="173" spans="3:5" ht="15.75" customHeight="1" x14ac:dyDescent="0.25">
      <c r="C173" s="7"/>
      <c r="D173" s="104"/>
      <c r="E173" s="7"/>
    </row>
    <row r="174" spans="3:5" ht="15.75" customHeight="1" x14ac:dyDescent="0.25">
      <c r="C174" s="7"/>
      <c r="D174" s="104"/>
      <c r="E174" s="7"/>
    </row>
    <row r="175" spans="3:5" ht="15.75" customHeight="1" x14ac:dyDescent="0.25">
      <c r="C175" s="7"/>
      <c r="D175" s="104"/>
      <c r="E175" s="7"/>
    </row>
    <row r="176" spans="3:5" ht="15.75" customHeight="1" x14ac:dyDescent="0.25">
      <c r="C176" s="7"/>
      <c r="D176" s="104"/>
      <c r="E176" s="7"/>
    </row>
    <row r="177" spans="3:5" ht="15.75" customHeight="1" x14ac:dyDescent="0.25">
      <c r="C177" s="7"/>
      <c r="D177" s="104"/>
      <c r="E177" s="7"/>
    </row>
    <row r="178" spans="3:5" ht="15.75" customHeight="1" x14ac:dyDescent="0.25">
      <c r="C178" s="7"/>
      <c r="D178" s="104"/>
      <c r="E178" s="7"/>
    </row>
    <row r="179" spans="3:5" ht="15.75" customHeight="1" x14ac:dyDescent="0.25">
      <c r="C179" s="7"/>
      <c r="D179" s="104"/>
      <c r="E179" s="7"/>
    </row>
    <row r="180" spans="3:5" ht="15.75" customHeight="1" x14ac:dyDescent="0.25">
      <c r="C180" s="7"/>
      <c r="D180" s="104"/>
      <c r="E180" s="7"/>
    </row>
    <row r="181" spans="3:5" ht="15.75" customHeight="1" x14ac:dyDescent="0.25">
      <c r="C181" s="7"/>
      <c r="D181" s="104"/>
      <c r="E181" s="7"/>
    </row>
    <row r="182" spans="3:5" ht="15.75" customHeight="1" x14ac:dyDescent="0.25">
      <c r="C182" s="7"/>
      <c r="D182" s="104"/>
      <c r="E182" s="7"/>
    </row>
    <row r="183" spans="3:5" ht="15.75" customHeight="1" x14ac:dyDescent="0.25">
      <c r="C183" s="7"/>
      <c r="D183" s="104"/>
      <c r="E183" s="7"/>
    </row>
    <row r="184" spans="3:5" ht="15.75" customHeight="1" x14ac:dyDescent="0.25">
      <c r="C184" s="7"/>
      <c r="D184" s="104"/>
      <c r="E184" s="7"/>
    </row>
    <row r="185" spans="3:5" ht="15.75" customHeight="1" x14ac:dyDescent="0.25">
      <c r="C185" s="7"/>
      <c r="D185" s="104"/>
      <c r="E185" s="7"/>
    </row>
    <row r="186" spans="3:5" ht="15.75" customHeight="1" x14ac:dyDescent="0.25">
      <c r="C186" s="7"/>
      <c r="D186" s="104"/>
      <c r="E186" s="7"/>
    </row>
    <row r="187" spans="3:5" ht="15.75" customHeight="1" x14ac:dyDescent="0.25">
      <c r="C187" s="7"/>
      <c r="D187" s="104"/>
      <c r="E187" s="7"/>
    </row>
    <row r="188" spans="3:5" ht="15.75" customHeight="1" x14ac:dyDescent="0.25">
      <c r="C188" s="7"/>
      <c r="D188" s="104"/>
      <c r="E188" s="7"/>
    </row>
    <row r="189" spans="3:5" ht="15.75" customHeight="1" x14ac:dyDescent="0.25">
      <c r="C189" s="7"/>
      <c r="D189" s="104"/>
      <c r="E189" s="7"/>
    </row>
    <row r="190" spans="3:5" ht="15.75" customHeight="1" x14ac:dyDescent="0.25">
      <c r="C190" s="7"/>
      <c r="D190" s="104"/>
      <c r="E190" s="7"/>
    </row>
    <row r="191" spans="3:5" ht="15.75" customHeight="1" x14ac:dyDescent="0.25">
      <c r="C191" s="7"/>
      <c r="D191" s="104"/>
      <c r="E191" s="7"/>
    </row>
    <row r="192" spans="3:5" ht="15.75" customHeight="1" x14ac:dyDescent="0.25">
      <c r="C192" s="7"/>
      <c r="D192" s="104"/>
      <c r="E192" s="7"/>
    </row>
    <row r="193" spans="3:5" ht="15.75" customHeight="1" x14ac:dyDescent="0.25">
      <c r="C193" s="7"/>
      <c r="D193" s="104"/>
      <c r="E193" s="7"/>
    </row>
    <row r="194" spans="3:5" ht="15.75" customHeight="1" x14ac:dyDescent="0.25">
      <c r="C194" s="7"/>
      <c r="D194" s="104"/>
      <c r="E194" s="7"/>
    </row>
    <row r="195" spans="3:5" ht="15.75" customHeight="1" x14ac:dyDescent="0.25">
      <c r="C195" s="7"/>
      <c r="D195" s="104"/>
      <c r="E195" s="7"/>
    </row>
    <row r="196" spans="3:5" ht="15.75" customHeight="1" x14ac:dyDescent="0.25">
      <c r="C196" s="7"/>
      <c r="D196" s="104"/>
      <c r="E196" s="7"/>
    </row>
    <row r="197" spans="3:5" ht="15.75" customHeight="1" x14ac:dyDescent="0.25">
      <c r="C197" s="7"/>
      <c r="D197" s="104"/>
      <c r="E197" s="7"/>
    </row>
    <row r="198" spans="3:5" ht="15.75" customHeight="1" x14ac:dyDescent="0.25">
      <c r="C198" s="7"/>
      <c r="D198" s="104"/>
      <c r="E198" s="7"/>
    </row>
    <row r="199" spans="3:5" ht="15.75" customHeight="1" x14ac:dyDescent="0.25">
      <c r="C199" s="7"/>
      <c r="D199" s="104"/>
      <c r="E199" s="7"/>
    </row>
    <row r="200" spans="3:5" ht="15.75" customHeight="1" x14ac:dyDescent="0.25">
      <c r="C200" s="7"/>
      <c r="D200" s="104"/>
      <c r="E200" s="7"/>
    </row>
    <row r="201" spans="3:5" ht="15.75" customHeight="1" x14ac:dyDescent="0.25">
      <c r="C201" s="7"/>
      <c r="D201" s="104"/>
      <c r="E201" s="7"/>
    </row>
    <row r="202" spans="3:5" ht="15.75" customHeight="1" x14ac:dyDescent="0.25">
      <c r="C202" s="7"/>
      <c r="D202" s="104"/>
      <c r="E202" s="7"/>
    </row>
    <row r="203" spans="3:5" ht="15.75" customHeight="1" x14ac:dyDescent="0.25">
      <c r="C203" s="7"/>
      <c r="D203" s="104"/>
      <c r="E203" s="7"/>
    </row>
    <row r="204" spans="3:5" ht="15.75" customHeight="1" x14ac:dyDescent="0.25">
      <c r="C204" s="7"/>
      <c r="D204" s="104"/>
      <c r="E204" s="7"/>
    </row>
    <row r="205" spans="3:5" ht="15.75" customHeight="1" x14ac:dyDescent="0.25">
      <c r="C205" s="7"/>
      <c r="D205" s="104"/>
      <c r="E205" s="7"/>
    </row>
    <row r="206" spans="3:5" ht="15.75" customHeight="1" x14ac:dyDescent="0.25">
      <c r="C206" s="7"/>
      <c r="D206" s="104"/>
      <c r="E206" s="7"/>
    </row>
    <row r="207" spans="3:5" ht="15.75" customHeight="1" x14ac:dyDescent="0.25">
      <c r="C207" s="7"/>
      <c r="D207" s="104"/>
      <c r="E207" s="7"/>
    </row>
    <row r="208" spans="3:5" ht="15.75" customHeight="1" x14ac:dyDescent="0.25">
      <c r="C208" s="7"/>
      <c r="D208" s="104"/>
      <c r="E208" s="7"/>
    </row>
    <row r="209" spans="3:5" ht="15.75" customHeight="1" x14ac:dyDescent="0.25">
      <c r="C209" s="7"/>
      <c r="D209" s="104"/>
      <c r="E209" s="7"/>
    </row>
    <row r="210" spans="3:5" ht="15.75" customHeight="1" x14ac:dyDescent="0.25">
      <c r="C210" s="7"/>
      <c r="D210" s="104"/>
      <c r="E210" s="7"/>
    </row>
    <row r="211" spans="3:5" ht="15.75" customHeight="1" x14ac:dyDescent="0.25">
      <c r="C211" s="7"/>
      <c r="D211" s="104"/>
      <c r="E211" s="7"/>
    </row>
    <row r="212" spans="3:5" ht="15.75" customHeight="1" x14ac:dyDescent="0.25">
      <c r="C212" s="7"/>
      <c r="D212" s="104"/>
      <c r="E212" s="7"/>
    </row>
    <row r="213" spans="3:5" ht="15.75" customHeight="1" x14ac:dyDescent="0.25">
      <c r="C213" s="7"/>
      <c r="D213" s="104"/>
      <c r="E213" s="7"/>
    </row>
    <row r="214" spans="3:5" ht="15.75" customHeight="1" x14ac:dyDescent="0.25">
      <c r="C214" s="7"/>
      <c r="D214" s="104"/>
      <c r="E214" s="7"/>
    </row>
    <row r="215" spans="3:5" ht="15.75" customHeight="1" x14ac:dyDescent="0.25">
      <c r="C215" s="7"/>
      <c r="D215" s="104"/>
      <c r="E215" s="7"/>
    </row>
    <row r="216" spans="3:5" ht="15.75" customHeight="1" x14ac:dyDescent="0.25">
      <c r="C216" s="7"/>
      <c r="D216" s="104"/>
      <c r="E216" s="7"/>
    </row>
    <row r="217" spans="3:5" ht="15.75" customHeight="1" x14ac:dyDescent="0.25">
      <c r="C217" s="7"/>
      <c r="D217" s="104"/>
      <c r="E217" s="7"/>
    </row>
    <row r="218" spans="3:5" ht="15.75" customHeight="1" x14ac:dyDescent="0.25">
      <c r="C218" s="7"/>
      <c r="D218" s="104"/>
      <c r="E218" s="7"/>
    </row>
    <row r="219" spans="3:5" ht="15.75" customHeight="1" x14ac:dyDescent="0.25">
      <c r="C219" s="7"/>
      <c r="D219" s="104"/>
      <c r="E219" s="7"/>
    </row>
    <row r="220" spans="3:5" ht="15.75" customHeight="1" x14ac:dyDescent="0.25">
      <c r="C220" s="7"/>
      <c r="D220" s="104"/>
      <c r="E220" s="7"/>
    </row>
    <row r="221" spans="3:5" ht="15.75" customHeight="1" x14ac:dyDescent="0.25">
      <c r="C221" s="7"/>
      <c r="D221" s="104"/>
      <c r="E221" s="7"/>
    </row>
    <row r="222" spans="3:5" ht="15.75" customHeight="1" x14ac:dyDescent="0.25">
      <c r="C222" s="7"/>
      <c r="D222" s="104"/>
      <c r="E222" s="7"/>
    </row>
    <row r="223" spans="3:5" ht="15.75" customHeight="1" x14ac:dyDescent="0.25">
      <c r="C223" s="7"/>
      <c r="D223" s="104"/>
      <c r="E223" s="7"/>
    </row>
    <row r="224" spans="3:5" ht="15.75" customHeight="1" x14ac:dyDescent="0.25">
      <c r="C224" s="7"/>
      <c r="D224" s="104"/>
      <c r="E224" s="7"/>
    </row>
    <row r="225" spans="3:5" ht="15.75" customHeight="1" x14ac:dyDescent="0.25">
      <c r="C225" s="7"/>
      <c r="D225" s="104"/>
      <c r="E225" s="7"/>
    </row>
    <row r="226" spans="3:5" ht="15.75" customHeight="1" x14ac:dyDescent="0.25">
      <c r="C226" s="7"/>
      <c r="D226" s="104"/>
      <c r="E226" s="7"/>
    </row>
    <row r="227" spans="3:5" ht="15.75" customHeight="1" x14ac:dyDescent="0.25">
      <c r="C227" s="7"/>
      <c r="D227" s="104"/>
      <c r="E227" s="7"/>
    </row>
    <row r="228" spans="3:5" ht="15.75" customHeight="1" x14ac:dyDescent="0.25">
      <c r="C228" s="7"/>
      <c r="D228" s="104"/>
      <c r="E228" s="7"/>
    </row>
    <row r="229" spans="3:5" ht="15.75" customHeight="1" x14ac:dyDescent="0.25">
      <c r="C229" s="7"/>
      <c r="D229" s="104"/>
      <c r="E229" s="7"/>
    </row>
    <row r="230" spans="3:5" ht="15.75" customHeight="1" x14ac:dyDescent="0.25">
      <c r="C230" s="7"/>
      <c r="D230" s="104"/>
      <c r="E230" s="7"/>
    </row>
    <row r="231" spans="3:5" ht="15.75" customHeight="1" x14ac:dyDescent="0.25">
      <c r="C231" s="7"/>
      <c r="D231" s="104"/>
      <c r="E231" s="7"/>
    </row>
    <row r="232" spans="3:5" ht="15.75" customHeight="1" x14ac:dyDescent="0.25">
      <c r="C232" s="7"/>
      <c r="D232" s="104"/>
      <c r="E232" s="7"/>
    </row>
    <row r="233" spans="3:5" ht="15.75" customHeight="1" x14ac:dyDescent="0.25">
      <c r="C233" s="7"/>
      <c r="D233" s="104"/>
      <c r="E233" s="7"/>
    </row>
    <row r="234" spans="3:5" ht="15.75" customHeight="1" x14ac:dyDescent="0.25">
      <c r="C234" s="7"/>
      <c r="D234" s="104"/>
      <c r="E234" s="7"/>
    </row>
    <row r="235" spans="3:5" ht="15.75" customHeight="1" x14ac:dyDescent="0.25">
      <c r="C235" s="7"/>
      <c r="D235" s="104"/>
      <c r="E235" s="7"/>
    </row>
    <row r="236" spans="3:5" ht="15.75" customHeight="1" x14ac:dyDescent="0.25">
      <c r="C236" s="7"/>
      <c r="D236" s="104"/>
      <c r="E236" s="7"/>
    </row>
    <row r="237" spans="3:5" ht="15.75" customHeight="1" x14ac:dyDescent="0.25">
      <c r="C237" s="7"/>
      <c r="D237" s="104"/>
      <c r="E237" s="7"/>
    </row>
    <row r="238" spans="3:5" ht="15.75" customHeight="1" x14ac:dyDescent="0.25">
      <c r="C238" s="7"/>
      <c r="D238" s="104"/>
      <c r="E238" s="7"/>
    </row>
    <row r="239" spans="3:5" ht="15.75" customHeight="1" x14ac:dyDescent="0.25">
      <c r="C239" s="7"/>
      <c r="D239" s="104"/>
      <c r="E239" s="7"/>
    </row>
    <row r="240" spans="3:5" ht="15.75" customHeight="1" x14ac:dyDescent="0.25">
      <c r="C240" s="7"/>
      <c r="D240" s="104"/>
      <c r="E240" s="7"/>
    </row>
    <row r="241" spans="3:5" ht="15.75" customHeight="1" x14ac:dyDescent="0.25">
      <c r="C241" s="7"/>
      <c r="D241" s="104"/>
      <c r="E241" s="7"/>
    </row>
    <row r="242" spans="3:5" ht="15.75" customHeight="1" x14ac:dyDescent="0.25">
      <c r="C242" s="7"/>
      <c r="D242" s="104"/>
      <c r="E242" s="7"/>
    </row>
    <row r="243" spans="3:5" ht="15.75" customHeight="1" x14ac:dyDescent="0.25">
      <c r="C243" s="7"/>
      <c r="D243" s="104"/>
      <c r="E243" s="7"/>
    </row>
    <row r="244" spans="3:5" ht="15.75" customHeight="1" x14ac:dyDescent="0.25">
      <c r="C244" s="7"/>
      <c r="D244" s="104"/>
      <c r="E244" s="7"/>
    </row>
    <row r="245" spans="3:5" ht="15.75" customHeight="1" x14ac:dyDescent="0.25">
      <c r="C245" s="7"/>
      <c r="D245" s="104"/>
      <c r="E245" s="7"/>
    </row>
    <row r="246" spans="3:5" ht="15.75" customHeight="1" x14ac:dyDescent="0.25">
      <c r="C246" s="7"/>
      <c r="D246" s="104"/>
      <c r="E246" s="7"/>
    </row>
    <row r="247" spans="3:5" ht="15.75" customHeight="1" x14ac:dyDescent="0.25">
      <c r="C247" s="7"/>
      <c r="D247" s="104"/>
      <c r="E247" s="7"/>
    </row>
    <row r="248" spans="3:5" ht="15.75" customHeight="1" x14ac:dyDescent="0.25">
      <c r="C248" s="7"/>
      <c r="D248" s="104"/>
      <c r="E248" s="7"/>
    </row>
    <row r="249" spans="3:5" ht="15.75" customHeight="1" x14ac:dyDescent="0.25">
      <c r="C249" s="7"/>
      <c r="D249" s="104"/>
      <c r="E249" s="7"/>
    </row>
    <row r="250" spans="3:5" ht="15.75" customHeight="1" x14ac:dyDescent="0.25">
      <c r="C250" s="7"/>
      <c r="D250" s="104"/>
      <c r="E250" s="7"/>
    </row>
    <row r="251" spans="3:5" ht="15.75" customHeight="1" x14ac:dyDescent="0.25">
      <c r="C251" s="7"/>
      <c r="D251" s="104"/>
      <c r="E251" s="7"/>
    </row>
    <row r="252" spans="3:5" ht="15.75" customHeight="1" x14ac:dyDescent="0.25">
      <c r="C252" s="7"/>
      <c r="D252" s="104"/>
      <c r="E252" s="7"/>
    </row>
    <row r="253" spans="3:5" ht="15.75" customHeight="1" x14ac:dyDescent="0.25">
      <c r="C253" s="7"/>
      <c r="D253" s="104"/>
      <c r="E253" s="7"/>
    </row>
    <row r="254" spans="3:5" ht="15.75" customHeight="1" x14ac:dyDescent="0.25">
      <c r="C254" s="7"/>
      <c r="D254" s="104"/>
      <c r="E254" s="7"/>
    </row>
    <row r="255" spans="3:5" ht="15.75" customHeight="1" x14ac:dyDescent="0.25">
      <c r="C255" s="7"/>
      <c r="D255" s="104"/>
      <c r="E255" s="7"/>
    </row>
    <row r="256" spans="3:5" ht="15.75" customHeight="1" x14ac:dyDescent="0.25">
      <c r="C256" s="7"/>
      <c r="D256" s="104"/>
      <c r="E256" s="7"/>
    </row>
    <row r="257" spans="3:5" ht="15.75" customHeight="1" x14ac:dyDescent="0.25">
      <c r="C257" s="7"/>
      <c r="D257" s="104"/>
      <c r="E257" s="7"/>
    </row>
    <row r="258" spans="3:5" ht="15.75" customHeight="1" x14ac:dyDescent="0.25">
      <c r="C258" s="7"/>
      <c r="D258" s="104"/>
      <c r="E258" s="7"/>
    </row>
    <row r="259" spans="3:5" ht="15.75" customHeight="1" x14ac:dyDescent="0.25">
      <c r="C259" s="7"/>
      <c r="D259" s="104"/>
      <c r="E259" s="7"/>
    </row>
    <row r="260" spans="3:5" ht="15.75" customHeight="1" x14ac:dyDescent="0.25">
      <c r="C260" s="7"/>
      <c r="D260" s="104"/>
      <c r="E260" s="7"/>
    </row>
    <row r="261" spans="3:5" ht="15.75" customHeight="1" x14ac:dyDescent="0.2">
      <c r="C261" s="7"/>
      <c r="D261" s="7"/>
      <c r="E261" s="7"/>
    </row>
    <row r="262" spans="3:5" ht="15.75" customHeight="1" x14ac:dyDescent="0.2">
      <c r="C262" s="7"/>
      <c r="D262" s="7"/>
      <c r="E262" s="7"/>
    </row>
    <row r="263" spans="3:5" ht="15.75" customHeight="1" x14ac:dyDescent="0.2">
      <c r="C263" s="7"/>
      <c r="D263" s="7"/>
      <c r="E263" s="7"/>
    </row>
    <row r="264" spans="3:5" ht="15.75" customHeight="1" x14ac:dyDescent="0.2">
      <c r="C264" s="7"/>
      <c r="D264" s="7"/>
      <c r="E264" s="7"/>
    </row>
    <row r="265" spans="3:5" ht="15.75" customHeight="1" x14ac:dyDescent="0.2">
      <c r="C265" s="7"/>
      <c r="D265" s="7"/>
      <c r="E265" s="7"/>
    </row>
    <row r="266" spans="3:5" ht="15.75" customHeight="1" x14ac:dyDescent="0.2">
      <c r="C266" s="7"/>
      <c r="D266" s="7"/>
      <c r="E266" s="7"/>
    </row>
    <row r="267" spans="3:5" ht="15.75" customHeight="1" x14ac:dyDescent="0.2">
      <c r="C267" s="7"/>
      <c r="D267" s="7"/>
      <c r="E267" s="7"/>
    </row>
    <row r="268" spans="3:5" ht="15.75" customHeight="1" x14ac:dyDescent="0.2">
      <c r="C268" s="7"/>
      <c r="D268" s="7"/>
      <c r="E268" s="7"/>
    </row>
    <row r="269" spans="3:5" ht="15.75" customHeight="1" x14ac:dyDescent="0.2">
      <c r="C269" s="7"/>
      <c r="D269" s="7"/>
      <c r="E269" s="7"/>
    </row>
    <row r="270" spans="3:5" ht="15.75" customHeight="1" x14ac:dyDescent="0.2">
      <c r="C270" s="7"/>
      <c r="D270" s="7"/>
      <c r="E270" s="7"/>
    </row>
    <row r="271" spans="3:5" ht="15.75" customHeight="1" x14ac:dyDescent="0.2">
      <c r="C271" s="7"/>
      <c r="D271" s="7"/>
      <c r="E271" s="7"/>
    </row>
    <row r="272" spans="3:5" ht="15.75" customHeight="1" x14ac:dyDescent="0.2">
      <c r="C272" s="7"/>
      <c r="D272" s="7"/>
      <c r="E272" s="7"/>
    </row>
    <row r="273" spans="3:5" ht="15.75" customHeight="1" x14ac:dyDescent="0.2">
      <c r="C273" s="7"/>
      <c r="D273" s="7"/>
      <c r="E273" s="7"/>
    </row>
    <row r="274" spans="3:5" ht="15.75" customHeight="1" x14ac:dyDescent="0.2">
      <c r="C274" s="7"/>
      <c r="D274" s="7"/>
      <c r="E274" s="7"/>
    </row>
    <row r="275" spans="3:5" ht="15.75" customHeight="1" x14ac:dyDescent="0.2">
      <c r="C275" s="7"/>
      <c r="D275" s="7"/>
      <c r="E275" s="7"/>
    </row>
    <row r="276" spans="3:5" ht="15.75" customHeight="1" x14ac:dyDescent="0.2">
      <c r="C276" s="7"/>
      <c r="D276" s="7"/>
      <c r="E276" s="7"/>
    </row>
    <row r="277" spans="3:5" ht="15.75" customHeight="1" x14ac:dyDescent="0.2">
      <c r="C277" s="7"/>
      <c r="D277" s="7"/>
      <c r="E277" s="7"/>
    </row>
    <row r="278" spans="3:5" ht="15.75" customHeight="1" x14ac:dyDescent="0.2">
      <c r="C278" s="7"/>
      <c r="D278" s="7"/>
      <c r="E278" s="7"/>
    </row>
    <row r="279" spans="3:5" ht="15.75" customHeight="1" x14ac:dyDescent="0.2">
      <c r="C279" s="7"/>
      <c r="D279" s="7"/>
      <c r="E279" s="7"/>
    </row>
    <row r="280" spans="3:5" ht="15.75" customHeight="1" x14ac:dyDescent="0.2">
      <c r="C280" s="7"/>
      <c r="D280" s="7"/>
      <c r="E280" s="7"/>
    </row>
    <row r="281" spans="3:5" ht="15.75" customHeight="1" x14ac:dyDescent="0.2">
      <c r="C281" s="7"/>
      <c r="D281" s="7"/>
      <c r="E281" s="7"/>
    </row>
    <row r="282" spans="3:5" ht="15.75" customHeight="1" x14ac:dyDescent="0.2">
      <c r="C282" s="7"/>
      <c r="D282" s="7"/>
      <c r="E282" s="7"/>
    </row>
    <row r="283" spans="3:5" ht="15.75" customHeight="1" x14ac:dyDescent="0.2">
      <c r="C283" s="7"/>
      <c r="D283" s="7"/>
      <c r="E283" s="7"/>
    </row>
    <row r="284" spans="3:5" ht="15.75" customHeight="1" x14ac:dyDescent="0.2">
      <c r="C284" s="7"/>
      <c r="D284" s="7"/>
      <c r="E284" s="7"/>
    </row>
    <row r="285" spans="3:5" ht="15.75" customHeight="1" x14ac:dyDescent="0.2">
      <c r="C285" s="7"/>
      <c r="D285" s="7"/>
      <c r="E285" s="7"/>
    </row>
    <row r="286" spans="3:5" ht="15.75" customHeight="1" x14ac:dyDescent="0.2">
      <c r="C286" s="7"/>
      <c r="D286" s="7"/>
      <c r="E286" s="7"/>
    </row>
    <row r="287" spans="3:5" ht="15.75" customHeight="1" x14ac:dyDescent="0.2">
      <c r="C287" s="7"/>
      <c r="D287" s="7"/>
      <c r="E287" s="7"/>
    </row>
    <row r="288" spans="3:5" ht="15.75" customHeight="1" x14ac:dyDescent="0.2">
      <c r="C288" s="7"/>
      <c r="D288" s="7"/>
      <c r="E288" s="7"/>
    </row>
    <row r="289" spans="3:5" ht="15.75" customHeight="1" x14ac:dyDescent="0.2">
      <c r="C289" s="7"/>
      <c r="D289" s="7"/>
      <c r="E289" s="7"/>
    </row>
    <row r="290" spans="3:5" ht="15.75" customHeight="1" x14ac:dyDescent="0.2">
      <c r="C290" s="7"/>
      <c r="D290" s="7"/>
      <c r="E290" s="7"/>
    </row>
    <row r="291" spans="3:5" ht="15.75" customHeight="1" x14ac:dyDescent="0.2">
      <c r="C291" s="7"/>
      <c r="D291" s="7"/>
      <c r="E291" s="7"/>
    </row>
    <row r="292" spans="3:5" ht="15.75" customHeight="1" x14ac:dyDescent="0.2">
      <c r="C292" s="7"/>
      <c r="D292" s="7"/>
      <c r="E292" s="7"/>
    </row>
    <row r="293" spans="3:5" ht="15.75" customHeight="1" x14ac:dyDescent="0.2">
      <c r="C293" s="7"/>
      <c r="D293" s="7"/>
      <c r="E293" s="7"/>
    </row>
    <row r="294" spans="3:5" ht="15.75" customHeight="1" x14ac:dyDescent="0.2">
      <c r="C294" s="7"/>
      <c r="D294" s="7"/>
      <c r="E294" s="7"/>
    </row>
    <row r="295" spans="3:5" ht="15.75" customHeight="1" x14ac:dyDescent="0.2">
      <c r="C295" s="7"/>
      <c r="D295" s="7"/>
      <c r="E295" s="7"/>
    </row>
    <row r="296" spans="3:5" ht="15.75" customHeight="1" x14ac:dyDescent="0.2">
      <c r="C296" s="7"/>
      <c r="D296" s="7"/>
      <c r="E296" s="7"/>
    </row>
    <row r="297" spans="3:5" ht="15.75" customHeight="1" x14ac:dyDescent="0.2">
      <c r="C297" s="7"/>
      <c r="D297" s="7"/>
      <c r="E297" s="7"/>
    </row>
    <row r="298" spans="3:5" ht="15.75" customHeight="1" x14ac:dyDescent="0.2">
      <c r="C298" s="7"/>
      <c r="D298" s="7"/>
      <c r="E298" s="7"/>
    </row>
    <row r="299" spans="3:5" ht="15.75" customHeight="1" x14ac:dyDescent="0.2">
      <c r="C299" s="7"/>
      <c r="D299" s="7"/>
      <c r="E299" s="7"/>
    </row>
    <row r="300" spans="3:5" ht="15.75" customHeight="1" x14ac:dyDescent="0.2">
      <c r="C300" s="7"/>
      <c r="D300" s="7"/>
      <c r="E300" s="7"/>
    </row>
    <row r="301" spans="3:5" ht="15.75" customHeight="1" x14ac:dyDescent="0.2">
      <c r="C301" s="7"/>
      <c r="D301" s="7"/>
      <c r="E301" s="7"/>
    </row>
    <row r="302" spans="3:5" ht="15.75" customHeight="1" x14ac:dyDescent="0.2">
      <c r="C302" s="7"/>
      <c r="D302" s="7"/>
      <c r="E302" s="7"/>
    </row>
    <row r="303" spans="3:5" ht="15.75" customHeight="1" x14ac:dyDescent="0.2">
      <c r="C303" s="7"/>
      <c r="D303" s="7"/>
      <c r="E303" s="7"/>
    </row>
    <row r="304" spans="3:5" ht="15.75" customHeight="1" x14ac:dyDescent="0.2">
      <c r="C304" s="7"/>
      <c r="D304" s="7"/>
      <c r="E304" s="7"/>
    </row>
    <row r="305" spans="3:5" ht="15.75" customHeight="1" x14ac:dyDescent="0.2">
      <c r="C305" s="7"/>
      <c r="D305" s="7"/>
      <c r="E305" s="7"/>
    </row>
    <row r="306" spans="3:5" ht="15.75" customHeight="1" x14ac:dyDescent="0.2">
      <c r="C306" s="7"/>
      <c r="D306" s="7"/>
      <c r="E306" s="7"/>
    </row>
    <row r="307" spans="3:5" ht="15.75" customHeight="1" x14ac:dyDescent="0.2">
      <c r="C307" s="7"/>
      <c r="D307" s="7"/>
      <c r="E307" s="7"/>
    </row>
    <row r="308" spans="3:5" ht="15.75" customHeight="1" x14ac:dyDescent="0.2">
      <c r="C308" s="7"/>
      <c r="D308" s="7"/>
      <c r="E308" s="7"/>
    </row>
    <row r="309" spans="3:5" ht="15.75" customHeight="1" x14ac:dyDescent="0.2">
      <c r="C309" s="7"/>
      <c r="D309" s="7"/>
      <c r="E309" s="7"/>
    </row>
    <row r="310" spans="3:5" ht="15.75" customHeight="1" x14ac:dyDescent="0.2">
      <c r="C310" s="7"/>
      <c r="D310" s="7"/>
      <c r="E310" s="7"/>
    </row>
    <row r="311" spans="3:5" ht="15.75" customHeight="1" x14ac:dyDescent="0.2">
      <c r="C311" s="7"/>
      <c r="D311" s="7"/>
      <c r="E311" s="7"/>
    </row>
    <row r="312" spans="3:5" ht="15.75" customHeight="1" x14ac:dyDescent="0.2">
      <c r="C312" s="7"/>
      <c r="D312" s="7"/>
      <c r="E312" s="7"/>
    </row>
    <row r="313" spans="3:5" ht="15.75" customHeight="1" x14ac:dyDescent="0.2">
      <c r="C313" s="7"/>
      <c r="D313" s="7"/>
      <c r="E313" s="7"/>
    </row>
    <row r="314" spans="3:5" ht="15.75" customHeight="1" x14ac:dyDescent="0.2">
      <c r="C314" s="7"/>
      <c r="D314" s="7"/>
      <c r="E314" s="7"/>
    </row>
    <row r="315" spans="3:5" ht="15.75" customHeight="1" x14ac:dyDescent="0.2">
      <c r="C315" s="7"/>
      <c r="D315" s="7"/>
      <c r="E315" s="7"/>
    </row>
    <row r="316" spans="3:5" ht="15.75" customHeight="1" x14ac:dyDescent="0.2">
      <c r="C316" s="7"/>
      <c r="D316" s="7"/>
      <c r="E316" s="7"/>
    </row>
    <row r="317" spans="3:5" ht="15.75" customHeight="1" x14ac:dyDescent="0.2">
      <c r="C317" s="7"/>
      <c r="D317" s="7"/>
      <c r="E317" s="7"/>
    </row>
    <row r="318" spans="3:5" ht="15.75" customHeight="1" x14ac:dyDescent="0.2">
      <c r="C318" s="7"/>
      <c r="D318" s="7"/>
      <c r="E318" s="7"/>
    </row>
    <row r="319" spans="3:5" ht="15.75" customHeight="1" x14ac:dyDescent="0.2">
      <c r="C319" s="7"/>
      <c r="D319" s="7"/>
      <c r="E319" s="7"/>
    </row>
    <row r="320" spans="3:5" ht="15.75" customHeight="1" x14ac:dyDescent="0.2">
      <c r="C320" s="7"/>
      <c r="D320" s="7"/>
      <c r="E320" s="7"/>
    </row>
    <row r="321" spans="3:5" ht="15.75" customHeight="1" x14ac:dyDescent="0.2">
      <c r="C321" s="7"/>
      <c r="D321" s="7"/>
      <c r="E321" s="7"/>
    </row>
    <row r="322" spans="3:5" ht="15.75" customHeight="1" x14ac:dyDescent="0.2">
      <c r="C322" s="7"/>
      <c r="D322" s="7"/>
      <c r="E322" s="7"/>
    </row>
    <row r="323" spans="3:5" ht="15.75" customHeight="1" x14ac:dyDescent="0.2">
      <c r="C323" s="7"/>
      <c r="D323" s="7"/>
      <c r="E323" s="7"/>
    </row>
    <row r="324" spans="3:5" ht="15.75" customHeight="1" x14ac:dyDescent="0.2">
      <c r="C324" s="7"/>
      <c r="D324" s="7"/>
      <c r="E324" s="7"/>
    </row>
    <row r="325" spans="3:5" ht="15.75" customHeight="1" x14ac:dyDescent="0.2">
      <c r="C325" s="7"/>
      <c r="D325" s="7"/>
      <c r="E325" s="7"/>
    </row>
    <row r="326" spans="3:5" ht="15.75" customHeight="1" x14ac:dyDescent="0.2">
      <c r="C326" s="7"/>
      <c r="D326" s="7"/>
      <c r="E326" s="7"/>
    </row>
    <row r="327" spans="3:5" ht="15.75" customHeight="1" x14ac:dyDescent="0.2">
      <c r="C327" s="7"/>
      <c r="D327" s="7"/>
      <c r="E327" s="7"/>
    </row>
    <row r="328" spans="3:5" ht="15.75" customHeight="1" x14ac:dyDescent="0.2">
      <c r="C328" s="7"/>
      <c r="D328" s="7"/>
      <c r="E328" s="7"/>
    </row>
    <row r="329" spans="3:5" ht="15.75" customHeight="1" x14ac:dyDescent="0.2">
      <c r="C329" s="7"/>
      <c r="D329" s="7"/>
      <c r="E329" s="7"/>
    </row>
    <row r="330" spans="3:5" ht="15.75" customHeight="1" x14ac:dyDescent="0.2">
      <c r="C330" s="7"/>
      <c r="D330" s="7"/>
      <c r="E330" s="7"/>
    </row>
    <row r="331" spans="3:5" ht="15.75" customHeight="1" x14ac:dyDescent="0.2">
      <c r="C331" s="7"/>
      <c r="D331" s="7"/>
      <c r="E331" s="7"/>
    </row>
    <row r="332" spans="3:5" ht="15.75" customHeight="1" x14ac:dyDescent="0.2">
      <c r="C332" s="7"/>
      <c r="D332" s="7"/>
      <c r="E332" s="7"/>
    </row>
    <row r="333" spans="3:5" ht="15.75" customHeight="1" x14ac:dyDescent="0.2">
      <c r="C333" s="7"/>
      <c r="D333" s="7"/>
      <c r="E333" s="7"/>
    </row>
    <row r="334" spans="3:5" ht="15.75" customHeight="1" x14ac:dyDescent="0.2">
      <c r="C334" s="7"/>
      <c r="D334" s="7"/>
      <c r="E334" s="7"/>
    </row>
    <row r="335" spans="3:5" ht="15.75" customHeight="1" x14ac:dyDescent="0.2">
      <c r="C335" s="7"/>
      <c r="D335" s="7"/>
      <c r="E335" s="7"/>
    </row>
    <row r="336" spans="3:5" ht="15.75" customHeight="1" x14ac:dyDescent="0.2">
      <c r="C336" s="7"/>
      <c r="D336" s="7"/>
      <c r="E336" s="7"/>
    </row>
    <row r="337" spans="3:5" ht="15.75" customHeight="1" x14ac:dyDescent="0.2">
      <c r="C337" s="7"/>
      <c r="D337" s="7"/>
      <c r="E337" s="7"/>
    </row>
    <row r="338" spans="3:5" ht="15.75" customHeight="1" x14ac:dyDescent="0.2">
      <c r="C338" s="7"/>
      <c r="D338" s="7"/>
      <c r="E338" s="7"/>
    </row>
    <row r="339" spans="3:5" ht="15.75" customHeight="1" x14ac:dyDescent="0.2">
      <c r="C339" s="7"/>
      <c r="D339" s="7"/>
      <c r="E339" s="7"/>
    </row>
    <row r="340" spans="3:5" ht="15.75" customHeight="1" x14ac:dyDescent="0.2">
      <c r="C340" s="7"/>
      <c r="D340" s="7"/>
      <c r="E340" s="7"/>
    </row>
    <row r="341" spans="3:5" ht="15.75" customHeight="1" x14ac:dyDescent="0.2">
      <c r="C341" s="7"/>
      <c r="D341" s="7"/>
      <c r="E341" s="7"/>
    </row>
    <row r="342" spans="3:5" ht="15.75" customHeight="1" x14ac:dyDescent="0.2">
      <c r="C342" s="7"/>
      <c r="D342" s="7"/>
      <c r="E342" s="7"/>
    </row>
    <row r="343" spans="3:5" ht="15.75" customHeight="1" x14ac:dyDescent="0.2">
      <c r="C343" s="7"/>
      <c r="D343" s="7"/>
      <c r="E343" s="7"/>
    </row>
    <row r="344" spans="3:5" ht="15.75" customHeight="1" x14ac:dyDescent="0.2">
      <c r="C344" s="7"/>
      <c r="D344" s="7"/>
      <c r="E344" s="7"/>
    </row>
    <row r="345" spans="3:5" ht="15.75" customHeight="1" x14ac:dyDescent="0.2">
      <c r="C345" s="7"/>
      <c r="D345" s="7"/>
      <c r="E345" s="7"/>
    </row>
    <row r="346" spans="3:5" ht="15.75" customHeight="1" x14ac:dyDescent="0.2">
      <c r="C346" s="7"/>
      <c r="D346" s="7"/>
      <c r="E346" s="7"/>
    </row>
    <row r="347" spans="3:5" ht="15.75" customHeight="1" x14ac:dyDescent="0.2">
      <c r="C347" s="7"/>
      <c r="D347" s="7"/>
      <c r="E347" s="7"/>
    </row>
    <row r="348" spans="3:5" ht="15.75" customHeight="1" x14ac:dyDescent="0.2">
      <c r="C348" s="7"/>
      <c r="D348" s="7"/>
      <c r="E348" s="7"/>
    </row>
    <row r="349" spans="3:5" ht="15.75" customHeight="1" x14ac:dyDescent="0.2">
      <c r="C349" s="7"/>
      <c r="D349" s="7"/>
      <c r="E349" s="7"/>
    </row>
    <row r="350" spans="3:5" ht="15.75" customHeight="1" x14ac:dyDescent="0.2">
      <c r="C350" s="7"/>
      <c r="D350" s="7"/>
      <c r="E350" s="7"/>
    </row>
    <row r="351" spans="3:5" ht="15.75" customHeight="1" x14ac:dyDescent="0.2">
      <c r="C351" s="7"/>
      <c r="D351" s="7"/>
      <c r="E351" s="7"/>
    </row>
    <row r="352" spans="3:5" ht="15.75" customHeight="1" x14ac:dyDescent="0.2">
      <c r="C352" s="7"/>
      <c r="D352" s="7"/>
      <c r="E352" s="7"/>
    </row>
    <row r="353" spans="3:5" ht="15.75" customHeight="1" x14ac:dyDescent="0.2">
      <c r="C353" s="7"/>
      <c r="D353" s="7"/>
      <c r="E353" s="7"/>
    </row>
    <row r="354" spans="3:5" ht="15.75" customHeight="1" x14ac:dyDescent="0.2">
      <c r="C354" s="7"/>
      <c r="D354" s="7"/>
      <c r="E354" s="7"/>
    </row>
    <row r="355" spans="3:5" ht="15.75" customHeight="1" x14ac:dyDescent="0.2">
      <c r="C355" s="7"/>
      <c r="D355" s="7"/>
      <c r="E355" s="7"/>
    </row>
    <row r="356" spans="3:5" ht="15.75" customHeight="1" x14ac:dyDescent="0.2">
      <c r="C356" s="7"/>
      <c r="D356" s="7"/>
      <c r="E356" s="7"/>
    </row>
    <row r="357" spans="3:5" ht="15.75" customHeight="1" x14ac:dyDescent="0.2">
      <c r="C357" s="7"/>
      <c r="D357" s="7"/>
      <c r="E357" s="7"/>
    </row>
    <row r="358" spans="3:5" ht="15.75" customHeight="1" x14ac:dyDescent="0.2">
      <c r="C358" s="7"/>
      <c r="D358" s="7"/>
      <c r="E358" s="7"/>
    </row>
    <row r="359" spans="3:5" ht="15.75" customHeight="1" x14ac:dyDescent="0.2">
      <c r="C359" s="7"/>
      <c r="D359" s="7"/>
      <c r="E359" s="7"/>
    </row>
    <row r="360" spans="3:5" ht="15.75" customHeight="1" x14ac:dyDescent="0.2">
      <c r="C360" s="7"/>
      <c r="D360" s="7"/>
      <c r="E360" s="7"/>
    </row>
    <row r="361" spans="3:5" ht="15.75" customHeight="1" x14ac:dyDescent="0.2">
      <c r="C361" s="7"/>
      <c r="D361" s="7"/>
      <c r="E361" s="7"/>
    </row>
    <row r="362" spans="3:5" ht="15.75" customHeight="1" x14ac:dyDescent="0.2">
      <c r="C362" s="7"/>
      <c r="D362" s="7"/>
      <c r="E362" s="7"/>
    </row>
    <row r="363" spans="3:5" ht="15.75" customHeight="1" x14ac:dyDescent="0.2">
      <c r="C363" s="7"/>
      <c r="D363" s="7"/>
      <c r="E363" s="7"/>
    </row>
    <row r="364" spans="3:5" ht="15.75" customHeight="1" x14ac:dyDescent="0.2">
      <c r="C364" s="7"/>
      <c r="D364" s="7"/>
      <c r="E364" s="7"/>
    </row>
    <row r="365" spans="3:5" ht="15.75" customHeight="1" x14ac:dyDescent="0.2">
      <c r="C365" s="7"/>
      <c r="D365" s="7"/>
      <c r="E365" s="7"/>
    </row>
    <row r="366" spans="3:5" ht="15.75" customHeight="1" x14ac:dyDescent="0.2">
      <c r="C366" s="7"/>
      <c r="D366" s="7"/>
      <c r="E366" s="7"/>
    </row>
    <row r="367" spans="3:5" ht="15.75" customHeight="1" x14ac:dyDescent="0.2">
      <c r="C367" s="7"/>
      <c r="D367" s="7"/>
      <c r="E367" s="7"/>
    </row>
    <row r="368" spans="3:5" ht="15.75" customHeight="1" x14ac:dyDescent="0.2">
      <c r="C368" s="7"/>
      <c r="D368" s="7"/>
      <c r="E368" s="7"/>
    </row>
    <row r="369" spans="3:5" ht="15.75" customHeight="1" x14ac:dyDescent="0.2">
      <c r="C369" s="7"/>
      <c r="D369" s="7"/>
      <c r="E369" s="7"/>
    </row>
    <row r="370" spans="3:5" ht="15.75" customHeight="1" x14ac:dyDescent="0.2">
      <c r="C370" s="7"/>
      <c r="D370" s="7"/>
      <c r="E370" s="7"/>
    </row>
    <row r="371" spans="3:5" ht="15.75" customHeight="1" x14ac:dyDescent="0.2">
      <c r="C371" s="7"/>
      <c r="D371" s="7"/>
      <c r="E371" s="7"/>
    </row>
    <row r="372" spans="3:5" ht="15.75" customHeight="1" x14ac:dyDescent="0.2">
      <c r="C372" s="7"/>
      <c r="D372" s="7"/>
      <c r="E372" s="7"/>
    </row>
    <row r="373" spans="3:5" ht="15.75" customHeight="1" x14ac:dyDescent="0.2">
      <c r="C373" s="7"/>
      <c r="D373" s="7"/>
      <c r="E373" s="7"/>
    </row>
    <row r="374" spans="3:5" ht="15.75" customHeight="1" x14ac:dyDescent="0.2">
      <c r="C374" s="7"/>
      <c r="D374" s="7"/>
      <c r="E374" s="7"/>
    </row>
    <row r="375" spans="3:5" ht="15.75" customHeight="1" x14ac:dyDescent="0.2">
      <c r="C375" s="7"/>
      <c r="D375" s="7"/>
      <c r="E375" s="7"/>
    </row>
    <row r="376" spans="3:5" ht="15.75" customHeight="1" x14ac:dyDescent="0.2">
      <c r="C376" s="7"/>
      <c r="D376" s="7"/>
      <c r="E376" s="7"/>
    </row>
    <row r="377" spans="3:5" ht="15.75" customHeight="1" x14ac:dyDescent="0.2">
      <c r="C377" s="7"/>
      <c r="D377" s="7"/>
      <c r="E377" s="7"/>
    </row>
    <row r="378" spans="3:5" ht="15.75" customHeight="1" x14ac:dyDescent="0.2">
      <c r="C378" s="7"/>
      <c r="D378" s="7"/>
      <c r="E378" s="7"/>
    </row>
    <row r="379" spans="3:5" ht="15.75" customHeight="1" x14ac:dyDescent="0.2">
      <c r="C379" s="7"/>
      <c r="D379" s="7"/>
      <c r="E379" s="7"/>
    </row>
    <row r="380" spans="3:5" ht="15.75" customHeight="1" x14ac:dyDescent="0.2">
      <c r="C380" s="7"/>
      <c r="D380" s="7"/>
      <c r="E380" s="7"/>
    </row>
    <row r="381" spans="3:5" ht="15.75" customHeight="1" x14ac:dyDescent="0.2">
      <c r="C381" s="7"/>
      <c r="D381" s="7"/>
      <c r="E381" s="7"/>
    </row>
    <row r="382" spans="3:5" ht="15.75" customHeight="1" x14ac:dyDescent="0.2">
      <c r="C382" s="7"/>
      <c r="D382" s="7"/>
      <c r="E382" s="7"/>
    </row>
    <row r="383" spans="3:5" ht="15.75" customHeight="1" x14ac:dyDescent="0.2">
      <c r="C383" s="7"/>
      <c r="D383" s="7"/>
      <c r="E383" s="7"/>
    </row>
    <row r="384" spans="3:5" ht="15.75" customHeight="1" x14ac:dyDescent="0.2">
      <c r="C384" s="7"/>
      <c r="D384" s="7"/>
      <c r="E384" s="7"/>
    </row>
    <row r="385" spans="3:5" ht="15.75" customHeight="1" x14ac:dyDescent="0.2">
      <c r="C385" s="7"/>
      <c r="D385" s="7"/>
      <c r="E385" s="7"/>
    </row>
    <row r="386" spans="3:5" ht="15.75" customHeight="1" x14ac:dyDescent="0.2">
      <c r="C386" s="7"/>
      <c r="D386" s="7"/>
      <c r="E386" s="7"/>
    </row>
    <row r="387" spans="3:5" ht="15.75" customHeight="1" x14ac:dyDescent="0.2">
      <c r="C387" s="7"/>
      <c r="D387" s="7"/>
      <c r="E387" s="7"/>
    </row>
    <row r="388" spans="3:5" ht="15.75" customHeight="1" x14ac:dyDescent="0.2">
      <c r="C388" s="7"/>
      <c r="D388" s="7"/>
      <c r="E388" s="7"/>
    </row>
    <row r="389" spans="3:5" ht="15.75" customHeight="1" x14ac:dyDescent="0.2">
      <c r="C389" s="7"/>
      <c r="D389" s="7"/>
      <c r="E389" s="7"/>
    </row>
    <row r="390" spans="3:5" ht="15.75" customHeight="1" x14ac:dyDescent="0.2">
      <c r="C390" s="7"/>
      <c r="D390" s="7"/>
      <c r="E390" s="7"/>
    </row>
    <row r="391" spans="3:5" ht="15.75" customHeight="1" x14ac:dyDescent="0.2">
      <c r="C391" s="7"/>
      <c r="D391" s="7"/>
      <c r="E391" s="7"/>
    </row>
    <row r="392" spans="3:5" ht="15.75" customHeight="1" x14ac:dyDescent="0.2">
      <c r="C392" s="7"/>
      <c r="D392" s="7"/>
      <c r="E392" s="7"/>
    </row>
    <row r="393" spans="3:5" ht="15.75" customHeight="1" x14ac:dyDescent="0.2">
      <c r="C393" s="7"/>
      <c r="D393" s="7"/>
      <c r="E393" s="7"/>
    </row>
    <row r="394" spans="3:5" ht="15.75" customHeight="1" x14ac:dyDescent="0.2">
      <c r="C394" s="7"/>
      <c r="D394" s="7"/>
      <c r="E394" s="7"/>
    </row>
    <row r="395" spans="3:5" ht="15.75" customHeight="1" x14ac:dyDescent="0.2">
      <c r="C395" s="7"/>
      <c r="D395" s="7"/>
      <c r="E395" s="7"/>
    </row>
    <row r="396" spans="3:5" ht="15.75" customHeight="1" x14ac:dyDescent="0.2">
      <c r="C396" s="7"/>
      <c r="D396" s="7"/>
      <c r="E396" s="7"/>
    </row>
    <row r="397" spans="3:5" ht="15.75" customHeight="1" x14ac:dyDescent="0.2">
      <c r="C397" s="7"/>
      <c r="D397" s="7"/>
      <c r="E397" s="7"/>
    </row>
    <row r="398" spans="3:5" ht="15.75" customHeight="1" x14ac:dyDescent="0.2">
      <c r="C398" s="7"/>
      <c r="D398" s="7"/>
      <c r="E398" s="7"/>
    </row>
    <row r="399" spans="3:5" ht="15.75" customHeight="1" x14ac:dyDescent="0.2">
      <c r="C399" s="7"/>
      <c r="D399" s="7"/>
      <c r="E399" s="7"/>
    </row>
    <row r="400" spans="3:5" ht="15.75" customHeight="1" x14ac:dyDescent="0.2">
      <c r="C400" s="7"/>
      <c r="D400" s="7"/>
      <c r="E400" s="7"/>
    </row>
    <row r="401" spans="3:5" ht="15.75" customHeight="1" x14ac:dyDescent="0.2">
      <c r="C401" s="7"/>
      <c r="D401" s="7"/>
      <c r="E401" s="7"/>
    </row>
    <row r="402" spans="3:5" ht="15.75" customHeight="1" x14ac:dyDescent="0.2">
      <c r="C402" s="7"/>
      <c r="D402" s="7"/>
      <c r="E402" s="7"/>
    </row>
    <row r="403" spans="3:5" ht="15.75" customHeight="1" x14ac:dyDescent="0.2">
      <c r="C403" s="7"/>
      <c r="D403" s="7"/>
      <c r="E403" s="7"/>
    </row>
    <row r="404" spans="3:5" ht="15.75" customHeight="1" x14ac:dyDescent="0.2">
      <c r="C404" s="7"/>
      <c r="D404" s="7"/>
      <c r="E404" s="7"/>
    </row>
    <row r="405" spans="3:5" ht="15.75" customHeight="1" x14ac:dyDescent="0.2">
      <c r="C405" s="7"/>
      <c r="D405" s="7"/>
      <c r="E405" s="7"/>
    </row>
    <row r="406" spans="3:5" ht="15.75" customHeight="1" x14ac:dyDescent="0.2">
      <c r="C406" s="7"/>
      <c r="D406" s="7"/>
      <c r="E406" s="7"/>
    </row>
    <row r="407" spans="3:5" ht="15.75" customHeight="1" x14ac:dyDescent="0.2">
      <c r="C407" s="7"/>
      <c r="D407" s="7"/>
      <c r="E407" s="7"/>
    </row>
    <row r="408" spans="3:5" ht="15.75" customHeight="1" x14ac:dyDescent="0.2">
      <c r="C408" s="7"/>
      <c r="D408" s="7"/>
      <c r="E408" s="7"/>
    </row>
    <row r="409" spans="3:5" ht="15.75" customHeight="1" x14ac:dyDescent="0.2">
      <c r="C409" s="7"/>
      <c r="D409" s="7"/>
      <c r="E409" s="7"/>
    </row>
    <row r="410" spans="3:5" ht="15.75" customHeight="1" x14ac:dyDescent="0.2">
      <c r="C410" s="7"/>
      <c r="D410" s="7"/>
      <c r="E410" s="7"/>
    </row>
    <row r="411" spans="3:5" ht="15.75" customHeight="1" x14ac:dyDescent="0.2">
      <c r="C411" s="7"/>
      <c r="D411" s="7"/>
      <c r="E411" s="7"/>
    </row>
    <row r="412" spans="3:5" ht="15.75" customHeight="1" x14ac:dyDescent="0.2">
      <c r="C412" s="7"/>
      <c r="D412" s="7"/>
      <c r="E412" s="7"/>
    </row>
    <row r="413" spans="3:5" ht="15.75" customHeight="1" x14ac:dyDescent="0.2">
      <c r="C413" s="7"/>
      <c r="D413" s="7"/>
      <c r="E413" s="7"/>
    </row>
    <row r="414" spans="3:5" ht="15.75" customHeight="1" x14ac:dyDescent="0.2">
      <c r="C414" s="7"/>
      <c r="D414" s="7"/>
      <c r="E414" s="7"/>
    </row>
    <row r="415" spans="3:5" ht="15.75" customHeight="1" x14ac:dyDescent="0.2">
      <c r="C415" s="7"/>
      <c r="D415" s="7"/>
      <c r="E415" s="7"/>
    </row>
    <row r="416" spans="3:5" ht="15.75" customHeight="1" x14ac:dyDescent="0.2">
      <c r="C416" s="7"/>
      <c r="D416" s="7"/>
      <c r="E416" s="7"/>
    </row>
    <row r="417" spans="3:5" ht="15.75" customHeight="1" x14ac:dyDescent="0.2">
      <c r="C417" s="7"/>
      <c r="D417" s="7"/>
      <c r="E417" s="7"/>
    </row>
    <row r="418" spans="3:5" ht="15.75" customHeight="1" x14ac:dyDescent="0.2">
      <c r="C418" s="7"/>
      <c r="D418" s="7"/>
      <c r="E418" s="7"/>
    </row>
    <row r="419" spans="3:5" ht="15.75" customHeight="1" x14ac:dyDescent="0.2">
      <c r="C419" s="7"/>
      <c r="D419" s="7"/>
      <c r="E419" s="7"/>
    </row>
    <row r="420" spans="3:5" ht="15.75" customHeight="1" x14ac:dyDescent="0.2">
      <c r="C420" s="7"/>
      <c r="D420" s="7"/>
      <c r="E420" s="7"/>
    </row>
    <row r="421" spans="3:5" ht="15.75" customHeight="1" x14ac:dyDescent="0.2">
      <c r="C421" s="7"/>
      <c r="D421" s="7"/>
      <c r="E421" s="7"/>
    </row>
    <row r="422" spans="3:5" ht="15.75" customHeight="1" x14ac:dyDescent="0.2">
      <c r="C422" s="7"/>
      <c r="D422" s="7"/>
      <c r="E422" s="7"/>
    </row>
    <row r="423" spans="3:5" ht="15.75" customHeight="1" x14ac:dyDescent="0.2">
      <c r="C423" s="7"/>
      <c r="D423" s="7"/>
      <c r="E423" s="7"/>
    </row>
    <row r="424" spans="3:5" ht="15.75" customHeight="1" x14ac:dyDescent="0.2">
      <c r="C424" s="7"/>
      <c r="D424" s="7"/>
      <c r="E424" s="7"/>
    </row>
    <row r="425" spans="3:5" ht="15.75" customHeight="1" x14ac:dyDescent="0.2">
      <c r="C425" s="7"/>
      <c r="D425" s="7"/>
      <c r="E425" s="7"/>
    </row>
    <row r="426" spans="3:5" ht="15.75" customHeight="1" x14ac:dyDescent="0.2">
      <c r="C426" s="7"/>
      <c r="D426" s="7"/>
      <c r="E426" s="7"/>
    </row>
    <row r="427" spans="3:5" ht="15.75" customHeight="1" x14ac:dyDescent="0.2">
      <c r="C427" s="7"/>
      <c r="D427" s="7"/>
      <c r="E427" s="7"/>
    </row>
    <row r="428" spans="3:5" ht="15.75" customHeight="1" x14ac:dyDescent="0.2">
      <c r="C428" s="7"/>
      <c r="D428" s="7"/>
      <c r="E428" s="7"/>
    </row>
    <row r="429" spans="3:5" ht="15.75" customHeight="1" x14ac:dyDescent="0.2">
      <c r="C429" s="7"/>
      <c r="D429" s="7"/>
      <c r="E429" s="7"/>
    </row>
    <row r="430" spans="3:5" ht="15.75" customHeight="1" x14ac:dyDescent="0.2">
      <c r="C430" s="7"/>
      <c r="D430" s="7"/>
      <c r="E430" s="7"/>
    </row>
    <row r="431" spans="3:5" ht="15.75" customHeight="1" x14ac:dyDescent="0.2">
      <c r="C431" s="7"/>
      <c r="D431" s="7"/>
      <c r="E431" s="7"/>
    </row>
    <row r="432" spans="3:5" ht="15.75" customHeight="1" x14ac:dyDescent="0.2">
      <c r="C432" s="7"/>
      <c r="D432" s="7"/>
      <c r="E432" s="7"/>
    </row>
    <row r="433" spans="3:5" ht="15.75" customHeight="1" x14ac:dyDescent="0.2">
      <c r="C433" s="7"/>
      <c r="D433" s="7"/>
      <c r="E433" s="7"/>
    </row>
    <row r="434" spans="3:5" ht="15.75" customHeight="1" x14ac:dyDescent="0.2">
      <c r="C434" s="7"/>
      <c r="D434" s="7"/>
      <c r="E434" s="7"/>
    </row>
    <row r="435" spans="3:5" ht="15.75" customHeight="1" x14ac:dyDescent="0.2">
      <c r="C435" s="7"/>
      <c r="D435" s="7"/>
      <c r="E435" s="7"/>
    </row>
    <row r="436" spans="3:5" ht="15.75" customHeight="1" x14ac:dyDescent="0.2">
      <c r="C436" s="7"/>
      <c r="D436" s="7"/>
      <c r="E436" s="7"/>
    </row>
    <row r="437" spans="3:5" ht="15.75" customHeight="1" x14ac:dyDescent="0.2">
      <c r="C437" s="7"/>
      <c r="D437" s="7"/>
      <c r="E437" s="7"/>
    </row>
    <row r="438" spans="3:5" ht="15.75" customHeight="1" x14ac:dyDescent="0.2">
      <c r="C438" s="7"/>
      <c r="D438" s="7"/>
      <c r="E438" s="7"/>
    </row>
    <row r="439" spans="3:5" ht="15.75" customHeight="1" x14ac:dyDescent="0.2">
      <c r="C439" s="7"/>
      <c r="D439" s="7"/>
      <c r="E439" s="7"/>
    </row>
    <row r="440" spans="3:5" ht="15.75" customHeight="1" x14ac:dyDescent="0.2">
      <c r="C440" s="7"/>
      <c r="D440" s="7"/>
      <c r="E440" s="7"/>
    </row>
    <row r="441" spans="3:5" ht="15.75" customHeight="1" x14ac:dyDescent="0.2">
      <c r="C441" s="7"/>
      <c r="D441" s="7"/>
      <c r="E441" s="7"/>
    </row>
    <row r="442" spans="3:5" ht="15.75" customHeight="1" x14ac:dyDescent="0.2">
      <c r="C442" s="7"/>
      <c r="D442" s="7"/>
      <c r="E442" s="7"/>
    </row>
    <row r="443" spans="3:5" ht="15.75" customHeight="1" x14ac:dyDescent="0.2">
      <c r="C443" s="7"/>
      <c r="D443" s="7"/>
      <c r="E443" s="7"/>
    </row>
    <row r="444" spans="3:5" ht="15.75" customHeight="1" x14ac:dyDescent="0.2">
      <c r="C444" s="7"/>
      <c r="D444" s="7"/>
      <c r="E444" s="7"/>
    </row>
    <row r="445" spans="3:5" ht="15.75" customHeight="1" x14ac:dyDescent="0.2">
      <c r="C445" s="7"/>
      <c r="D445" s="7"/>
      <c r="E445" s="7"/>
    </row>
    <row r="446" spans="3:5" ht="15.75" customHeight="1" x14ac:dyDescent="0.2">
      <c r="C446" s="7"/>
      <c r="D446" s="7"/>
      <c r="E446" s="7"/>
    </row>
    <row r="447" spans="3:5" ht="15.75" customHeight="1" x14ac:dyDescent="0.2">
      <c r="C447" s="7"/>
      <c r="D447" s="7"/>
      <c r="E447" s="7"/>
    </row>
    <row r="448" spans="3:5" ht="15.75" customHeight="1" x14ac:dyDescent="0.2">
      <c r="C448" s="7"/>
      <c r="D448" s="7"/>
      <c r="E448" s="7"/>
    </row>
    <row r="449" spans="3:5" ht="15.75" customHeight="1" x14ac:dyDescent="0.2">
      <c r="C449" s="7"/>
      <c r="D449" s="7"/>
      <c r="E449" s="7"/>
    </row>
    <row r="450" spans="3:5" ht="15.75" customHeight="1" x14ac:dyDescent="0.2">
      <c r="C450" s="7"/>
      <c r="D450" s="7"/>
      <c r="E450" s="7"/>
    </row>
    <row r="451" spans="3:5" ht="15.75" customHeight="1" x14ac:dyDescent="0.2">
      <c r="C451" s="7"/>
      <c r="D451" s="7"/>
      <c r="E451" s="7"/>
    </row>
    <row r="452" spans="3:5" ht="15.75" customHeight="1" x14ac:dyDescent="0.2">
      <c r="C452" s="7"/>
      <c r="D452" s="7"/>
      <c r="E452" s="7"/>
    </row>
    <row r="453" spans="3:5" ht="15.75" customHeight="1" x14ac:dyDescent="0.2">
      <c r="C453" s="7"/>
      <c r="D453" s="7"/>
      <c r="E453" s="7"/>
    </row>
    <row r="454" spans="3:5" ht="15.75" customHeight="1" x14ac:dyDescent="0.2">
      <c r="C454" s="7"/>
      <c r="D454" s="7"/>
      <c r="E454" s="7"/>
    </row>
    <row r="455" spans="3:5" ht="15.75" customHeight="1" x14ac:dyDescent="0.2">
      <c r="C455" s="7"/>
      <c r="D455" s="7"/>
      <c r="E455" s="7"/>
    </row>
    <row r="456" spans="3:5" ht="15.75" customHeight="1" x14ac:dyDescent="0.2">
      <c r="C456" s="7"/>
      <c r="D456" s="7"/>
      <c r="E456" s="7"/>
    </row>
    <row r="457" spans="3:5" ht="15.75" customHeight="1" x14ac:dyDescent="0.2">
      <c r="C457" s="7"/>
      <c r="D457" s="7"/>
      <c r="E457" s="7"/>
    </row>
    <row r="458" spans="3:5" ht="15.75" customHeight="1" x14ac:dyDescent="0.2">
      <c r="C458" s="7"/>
      <c r="D458" s="7"/>
      <c r="E458" s="7"/>
    </row>
    <row r="459" spans="3:5" ht="15.75" customHeight="1" x14ac:dyDescent="0.2">
      <c r="C459" s="7"/>
      <c r="D459" s="7"/>
      <c r="E459" s="7"/>
    </row>
    <row r="460" spans="3:5" ht="15.75" customHeight="1" x14ac:dyDescent="0.2">
      <c r="C460" s="7"/>
      <c r="D460" s="7"/>
      <c r="E460" s="7"/>
    </row>
    <row r="461" spans="3:5" ht="15.75" customHeight="1" x14ac:dyDescent="0.2">
      <c r="C461" s="7"/>
      <c r="D461" s="7"/>
      <c r="E461" s="7"/>
    </row>
    <row r="462" spans="3:5" ht="15.75" customHeight="1" x14ac:dyDescent="0.2">
      <c r="C462" s="7"/>
      <c r="D462" s="7"/>
      <c r="E462" s="7"/>
    </row>
    <row r="463" spans="3:5" ht="15.75" customHeight="1" x14ac:dyDescent="0.2">
      <c r="C463" s="7"/>
      <c r="D463" s="7"/>
      <c r="E463" s="7"/>
    </row>
    <row r="464" spans="3:5" ht="15.75" customHeight="1" x14ac:dyDescent="0.2">
      <c r="C464" s="7"/>
      <c r="D464" s="7"/>
      <c r="E464" s="7"/>
    </row>
    <row r="465" spans="3:5" ht="15.75" customHeight="1" x14ac:dyDescent="0.2">
      <c r="C465" s="7"/>
      <c r="D465" s="7"/>
      <c r="E465" s="7"/>
    </row>
    <row r="466" spans="3:5" ht="15.75" customHeight="1" x14ac:dyDescent="0.2">
      <c r="C466" s="7"/>
      <c r="D466" s="7"/>
      <c r="E466" s="7"/>
    </row>
    <row r="467" spans="3:5" ht="15.75" customHeight="1" x14ac:dyDescent="0.2">
      <c r="C467" s="7"/>
      <c r="D467" s="7"/>
      <c r="E467" s="7"/>
    </row>
    <row r="468" spans="3:5" ht="15.75" customHeight="1" x14ac:dyDescent="0.2">
      <c r="C468" s="7"/>
      <c r="D468" s="7"/>
      <c r="E468" s="7"/>
    </row>
    <row r="469" spans="3:5" ht="15.75" customHeight="1" x14ac:dyDescent="0.2">
      <c r="C469" s="7"/>
      <c r="D469" s="7"/>
      <c r="E469" s="7"/>
    </row>
    <row r="470" spans="3:5" ht="15.75" customHeight="1" x14ac:dyDescent="0.2">
      <c r="C470" s="7"/>
      <c r="D470" s="7"/>
      <c r="E470" s="7"/>
    </row>
    <row r="471" spans="3:5" ht="15.75" customHeight="1" x14ac:dyDescent="0.2">
      <c r="C471" s="7"/>
      <c r="D471" s="7"/>
      <c r="E471" s="7"/>
    </row>
    <row r="472" spans="3:5" ht="15.75" customHeight="1" x14ac:dyDescent="0.2">
      <c r="C472" s="7"/>
      <c r="D472" s="7"/>
      <c r="E472" s="7"/>
    </row>
    <row r="473" spans="3:5" ht="15.75" customHeight="1" x14ac:dyDescent="0.2">
      <c r="C473" s="7"/>
      <c r="D473" s="7"/>
      <c r="E473" s="7"/>
    </row>
    <row r="474" spans="3:5" ht="15.75" customHeight="1" x14ac:dyDescent="0.2">
      <c r="C474" s="7"/>
      <c r="D474" s="7"/>
      <c r="E474" s="7"/>
    </row>
    <row r="475" spans="3:5" ht="15.75" customHeight="1" x14ac:dyDescent="0.2">
      <c r="C475" s="7"/>
      <c r="D475" s="7"/>
      <c r="E475" s="7"/>
    </row>
    <row r="476" spans="3:5" ht="15.75" customHeight="1" x14ac:dyDescent="0.2">
      <c r="C476" s="7"/>
      <c r="D476" s="7"/>
      <c r="E476" s="7"/>
    </row>
    <row r="477" spans="3:5" ht="15.75" customHeight="1" x14ac:dyDescent="0.2">
      <c r="C477" s="7"/>
      <c r="D477" s="7"/>
      <c r="E477" s="7"/>
    </row>
    <row r="478" spans="3:5" ht="15.75" customHeight="1" x14ac:dyDescent="0.2">
      <c r="C478" s="7"/>
      <c r="D478" s="7"/>
      <c r="E478" s="7"/>
    </row>
    <row r="479" spans="3:5" ht="15.75" customHeight="1" x14ac:dyDescent="0.2">
      <c r="C479" s="7"/>
      <c r="D479" s="7"/>
      <c r="E479" s="7"/>
    </row>
    <row r="480" spans="3:5" ht="15.75" customHeight="1" x14ac:dyDescent="0.2">
      <c r="C480" s="7"/>
      <c r="D480" s="7"/>
      <c r="E480" s="7"/>
    </row>
    <row r="481" spans="3:5" ht="15.75" customHeight="1" x14ac:dyDescent="0.2">
      <c r="C481" s="7"/>
      <c r="D481" s="7"/>
      <c r="E481" s="7"/>
    </row>
    <row r="482" spans="3:5" ht="15.75" customHeight="1" x14ac:dyDescent="0.2">
      <c r="C482" s="7"/>
      <c r="D482" s="7"/>
      <c r="E482" s="7"/>
    </row>
    <row r="483" spans="3:5" ht="15.75" customHeight="1" x14ac:dyDescent="0.2">
      <c r="C483" s="7"/>
      <c r="D483" s="7"/>
      <c r="E483" s="7"/>
    </row>
    <row r="484" spans="3:5" ht="15.75" customHeight="1" x14ac:dyDescent="0.2">
      <c r="C484" s="7"/>
      <c r="D484" s="7"/>
      <c r="E484" s="7"/>
    </row>
    <row r="485" spans="3:5" ht="15.75" customHeight="1" x14ac:dyDescent="0.2">
      <c r="C485" s="7"/>
      <c r="D485" s="7"/>
      <c r="E485" s="7"/>
    </row>
    <row r="486" spans="3:5" ht="15.75" customHeight="1" x14ac:dyDescent="0.2">
      <c r="C486" s="7"/>
      <c r="D486" s="7"/>
      <c r="E486" s="7"/>
    </row>
    <row r="487" spans="3:5" ht="15.75" customHeight="1" x14ac:dyDescent="0.2">
      <c r="C487" s="7"/>
      <c r="D487" s="7"/>
      <c r="E487" s="7"/>
    </row>
    <row r="488" spans="3:5" ht="15.75" customHeight="1" x14ac:dyDescent="0.2">
      <c r="C488" s="7"/>
      <c r="D488" s="7"/>
      <c r="E488" s="7"/>
    </row>
    <row r="489" spans="3:5" ht="15.75" customHeight="1" x14ac:dyDescent="0.2">
      <c r="C489" s="7"/>
      <c r="D489" s="7"/>
      <c r="E489" s="7"/>
    </row>
    <row r="490" spans="3:5" ht="15.75" customHeight="1" x14ac:dyDescent="0.2">
      <c r="C490" s="7"/>
      <c r="D490" s="7"/>
      <c r="E490" s="7"/>
    </row>
    <row r="491" spans="3:5" ht="15.75" customHeight="1" x14ac:dyDescent="0.2">
      <c r="C491" s="7"/>
      <c r="D491" s="7"/>
      <c r="E491" s="7"/>
    </row>
    <row r="492" spans="3:5" ht="15.75" customHeight="1" x14ac:dyDescent="0.2">
      <c r="C492" s="7"/>
      <c r="D492" s="7"/>
      <c r="E492" s="7"/>
    </row>
    <row r="493" spans="3:5" ht="15.75" customHeight="1" x14ac:dyDescent="0.2">
      <c r="C493" s="7"/>
      <c r="D493" s="7"/>
      <c r="E493" s="7"/>
    </row>
    <row r="494" spans="3:5" ht="15.75" customHeight="1" x14ac:dyDescent="0.2">
      <c r="C494" s="7"/>
      <c r="D494" s="7"/>
      <c r="E494" s="7"/>
    </row>
    <row r="495" spans="3:5" ht="15.75" customHeight="1" x14ac:dyDescent="0.2">
      <c r="C495" s="7"/>
      <c r="D495" s="7"/>
      <c r="E495" s="7"/>
    </row>
    <row r="496" spans="3:5" ht="15.75" customHeight="1" x14ac:dyDescent="0.2">
      <c r="C496" s="7"/>
      <c r="D496" s="7"/>
      <c r="E496" s="7"/>
    </row>
    <row r="497" spans="3:5" ht="15.75" customHeight="1" x14ac:dyDescent="0.2">
      <c r="C497" s="7"/>
      <c r="D497" s="7"/>
      <c r="E497" s="7"/>
    </row>
    <row r="498" spans="3:5" ht="15.75" customHeight="1" x14ac:dyDescent="0.2">
      <c r="C498" s="7"/>
      <c r="D498" s="7"/>
      <c r="E498" s="7"/>
    </row>
    <row r="499" spans="3:5" ht="15.75" customHeight="1" x14ac:dyDescent="0.2">
      <c r="C499" s="7"/>
      <c r="D499" s="7"/>
      <c r="E499" s="7"/>
    </row>
    <row r="500" spans="3:5" ht="15.75" customHeight="1" x14ac:dyDescent="0.2">
      <c r="C500" s="7"/>
      <c r="D500" s="7"/>
      <c r="E500" s="7"/>
    </row>
    <row r="501" spans="3:5" ht="15.75" customHeight="1" x14ac:dyDescent="0.2">
      <c r="C501" s="7"/>
      <c r="D501" s="7"/>
      <c r="E501" s="7"/>
    </row>
    <row r="502" spans="3:5" ht="15.75" customHeight="1" x14ac:dyDescent="0.2">
      <c r="C502" s="7"/>
      <c r="D502" s="7"/>
      <c r="E502" s="7"/>
    </row>
    <row r="503" spans="3:5" ht="15.75" customHeight="1" x14ac:dyDescent="0.2">
      <c r="C503" s="7"/>
      <c r="D503" s="7"/>
      <c r="E503" s="7"/>
    </row>
    <row r="504" spans="3:5" ht="15.75" customHeight="1" x14ac:dyDescent="0.2">
      <c r="C504" s="7"/>
      <c r="D504" s="7"/>
      <c r="E504" s="7"/>
    </row>
    <row r="505" spans="3:5" ht="15.75" customHeight="1" x14ac:dyDescent="0.2">
      <c r="C505" s="7"/>
      <c r="D505" s="7"/>
      <c r="E505" s="7"/>
    </row>
    <row r="506" spans="3:5" ht="15.75" customHeight="1" x14ac:dyDescent="0.2">
      <c r="C506" s="7"/>
      <c r="D506" s="7"/>
      <c r="E506" s="7"/>
    </row>
    <row r="507" spans="3:5" ht="15.75" customHeight="1" x14ac:dyDescent="0.2">
      <c r="C507" s="7"/>
      <c r="D507" s="7"/>
      <c r="E507" s="7"/>
    </row>
    <row r="508" spans="3:5" ht="15.75" customHeight="1" x14ac:dyDescent="0.2">
      <c r="C508" s="7"/>
      <c r="D508" s="7"/>
      <c r="E508" s="7"/>
    </row>
    <row r="509" spans="3:5" ht="15.75" customHeight="1" x14ac:dyDescent="0.2">
      <c r="C509" s="7"/>
      <c r="D509" s="7"/>
      <c r="E509" s="7"/>
    </row>
    <row r="510" spans="3:5" ht="15.75" customHeight="1" x14ac:dyDescent="0.2">
      <c r="C510" s="7"/>
      <c r="D510" s="7"/>
      <c r="E510" s="7"/>
    </row>
    <row r="511" spans="3:5" ht="15.75" customHeight="1" x14ac:dyDescent="0.2">
      <c r="C511" s="7"/>
      <c r="D511" s="7"/>
      <c r="E511" s="7"/>
    </row>
    <row r="512" spans="3:5" ht="15.75" customHeight="1" x14ac:dyDescent="0.2">
      <c r="C512" s="7"/>
      <c r="D512" s="7"/>
      <c r="E512" s="7"/>
    </row>
    <row r="513" spans="3:5" ht="15.75" customHeight="1" x14ac:dyDescent="0.2">
      <c r="C513" s="7"/>
      <c r="D513" s="7"/>
      <c r="E513" s="7"/>
    </row>
    <row r="514" spans="3:5" ht="15.75" customHeight="1" x14ac:dyDescent="0.2">
      <c r="C514" s="7"/>
      <c r="D514" s="7"/>
      <c r="E514" s="7"/>
    </row>
    <row r="515" spans="3:5" ht="15.75" customHeight="1" x14ac:dyDescent="0.2">
      <c r="C515" s="7"/>
      <c r="D515" s="7"/>
      <c r="E515" s="7"/>
    </row>
    <row r="516" spans="3:5" ht="15.75" customHeight="1" x14ac:dyDescent="0.2">
      <c r="C516" s="7"/>
      <c r="D516" s="7"/>
      <c r="E516" s="7"/>
    </row>
    <row r="517" spans="3:5" ht="15.75" customHeight="1" x14ac:dyDescent="0.2">
      <c r="C517" s="7"/>
      <c r="D517" s="7"/>
      <c r="E517" s="7"/>
    </row>
    <row r="518" spans="3:5" ht="15.75" customHeight="1" x14ac:dyDescent="0.2">
      <c r="C518" s="7"/>
      <c r="D518" s="7"/>
      <c r="E518" s="7"/>
    </row>
    <row r="519" spans="3:5" ht="15.75" customHeight="1" x14ac:dyDescent="0.2">
      <c r="C519" s="7"/>
      <c r="D519" s="7"/>
      <c r="E519" s="7"/>
    </row>
    <row r="520" spans="3:5" ht="15.75" customHeight="1" x14ac:dyDescent="0.2">
      <c r="C520" s="7"/>
      <c r="D520" s="7"/>
      <c r="E520" s="7"/>
    </row>
    <row r="521" spans="3:5" ht="15.75" customHeight="1" x14ac:dyDescent="0.2">
      <c r="C521" s="7"/>
      <c r="D521" s="7"/>
      <c r="E521" s="7"/>
    </row>
    <row r="522" spans="3:5" ht="15.75" customHeight="1" x14ac:dyDescent="0.2">
      <c r="C522" s="7"/>
      <c r="D522" s="7"/>
      <c r="E522" s="7"/>
    </row>
    <row r="523" spans="3:5" ht="15.75" customHeight="1" x14ac:dyDescent="0.2">
      <c r="C523" s="7"/>
      <c r="D523" s="7"/>
      <c r="E523" s="7"/>
    </row>
    <row r="524" spans="3:5" ht="15.75" customHeight="1" x14ac:dyDescent="0.2">
      <c r="C524" s="7"/>
      <c r="D524" s="7"/>
      <c r="E524" s="7"/>
    </row>
    <row r="525" spans="3:5" ht="15.75" customHeight="1" x14ac:dyDescent="0.2">
      <c r="C525" s="7"/>
      <c r="D525" s="7"/>
      <c r="E525" s="7"/>
    </row>
    <row r="526" spans="3:5" ht="15.75" customHeight="1" x14ac:dyDescent="0.2">
      <c r="C526" s="7"/>
      <c r="D526" s="7"/>
      <c r="E526" s="7"/>
    </row>
    <row r="527" spans="3:5" ht="15.75" customHeight="1" x14ac:dyDescent="0.2">
      <c r="C527" s="7"/>
      <c r="D527" s="7"/>
      <c r="E527" s="7"/>
    </row>
    <row r="528" spans="3:5" ht="15.75" customHeight="1" x14ac:dyDescent="0.2">
      <c r="C528" s="7"/>
      <c r="D528" s="7"/>
      <c r="E528" s="7"/>
    </row>
    <row r="529" spans="3:5" ht="15.75" customHeight="1" x14ac:dyDescent="0.2">
      <c r="C529" s="7"/>
      <c r="D529" s="7"/>
      <c r="E529" s="7"/>
    </row>
    <row r="530" spans="3:5" ht="15.75" customHeight="1" x14ac:dyDescent="0.2">
      <c r="C530" s="7"/>
      <c r="D530" s="7"/>
      <c r="E530" s="7"/>
    </row>
    <row r="531" spans="3:5" ht="15.75" customHeight="1" x14ac:dyDescent="0.2">
      <c r="C531" s="7"/>
      <c r="D531" s="7"/>
      <c r="E531" s="7"/>
    </row>
    <row r="532" spans="3:5" ht="15.75" customHeight="1" x14ac:dyDescent="0.2">
      <c r="C532" s="7"/>
      <c r="D532" s="7"/>
      <c r="E532" s="7"/>
    </row>
    <row r="533" spans="3:5" ht="15.75" customHeight="1" x14ac:dyDescent="0.2">
      <c r="C533" s="7"/>
      <c r="D533" s="7"/>
      <c r="E533" s="7"/>
    </row>
    <row r="534" spans="3:5" ht="15.75" customHeight="1" x14ac:dyDescent="0.2">
      <c r="C534" s="7"/>
      <c r="D534" s="7"/>
      <c r="E534" s="7"/>
    </row>
    <row r="535" spans="3:5" ht="15.75" customHeight="1" x14ac:dyDescent="0.2">
      <c r="C535" s="7"/>
      <c r="D535" s="7"/>
      <c r="E535" s="7"/>
    </row>
    <row r="536" spans="3:5" ht="15.75" customHeight="1" x14ac:dyDescent="0.2">
      <c r="C536" s="7"/>
      <c r="D536" s="7"/>
      <c r="E536" s="7"/>
    </row>
    <row r="537" spans="3:5" ht="15.75" customHeight="1" x14ac:dyDescent="0.2">
      <c r="C537" s="7"/>
      <c r="D537" s="7"/>
      <c r="E537" s="7"/>
    </row>
    <row r="538" spans="3:5" ht="15.75" customHeight="1" x14ac:dyDescent="0.2">
      <c r="C538" s="7"/>
      <c r="D538" s="7"/>
      <c r="E538" s="7"/>
    </row>
    <row r="539" spans="3:5" ht="15.75" customHeight="1" x14ac:dyDescent="0.2">
      <c r="C539" s="7"/>
      <c r="D539" s="7"/>
      <c r="E539" s="7"/>
    </row>
    <row r="540" spans="3:5" ht="15.75" customHeight="1" x14ac:dyDescent="0.2">
      <c r="C540" s="7"/>
      <c r="D540" s="7"/>
      <c r="E540" s="7"/>
    </row>
    <row r="541" spans="3:5" ht="15.75" customHeight="1" x14ac:dyDescent="0.2">
      <c r="C541" s="7"/>
      <c r="D541" s="7"/>
      <c r="E541" s="7"/>
    </row>
    <row r="542" spans="3:5" ht="15.75" customHeight="1" x14ac:dyDescent="0.2">
      <c r="C542" s="7"/>
      <c r="D542" s="7"/>
      <c r="E542" s="7"/>
    </row>
    <row r="543" spans="3:5" ht="15.75" customHeight="1" x14ac:dyDescent="0.2">
      <c r="C543" s="7"/>
      <c r="D543" s="7"/>
      <c r="E543" s="7"/>
    </row>
    <row r="544" spans="3:5" ht="15.75" customHeight="1" x14ac:dyDescent="0.2">
      <c r="C544" s="7"/>
      <c r="D544" s="7"/>
      <c r="E544" s="7"/>
    </row>
    <row r="545" spans="3:5" ht="15.75" customHeight="1" x14ac:dyDescent="0.2">
      <c r="C545" s="7"/>
      <c r="D545" s="7"/>
      <c r="E545" s="7"/>
    </row>
    <row r="546" spans="3:5" ht="15.75" customHeight="1" x14ac:dyDescent="0.2">
      <c r="C546" s="7"/>
      <c r="D546" s="7"/>
      <c r="E546" s="7"/>
    </row>
    <row r="547" spans="3:5" ht="15.75" customHeight="1" x14ac:dyDescent="0.2">
      <c r="C547" s="7"/>
      <c r="D547" s="7"/>
      <c r="E547" s="7"/>
    </row>
    <row r="548" spans="3:5" ht="15.75" customHeight="1" x14ac:dyDescent="0.2">
      <c r="C548" s="7"/>
      <c r="D548" s="7"/>
      <c r="E548" s="7"/>
    </row>
    <row r="549" spans="3:5" ht="15.75" customHeight="1" x14ac:dyDescent="0.2">
      <c r="C549" s="7"/>
      <c r="D549" s="7"/>
      <c r="E549" s="7"/>
    </row>
    <row r="550" spans="3:5" ht="15.75" customHeight="1" x14ac:dyDescent="0.2">
      <c r="C550" s="7"/>
      <c r="D550" s="7"/>
      <c r="E550" s="7"/>
    </row>
    <row r="551" spans="3:5" ht="15.75" customHeight="1" x14ac:dyDescent="0.2">
      <c r="C551" s="7"/>
      <c r="D551" s="7"/>
      <c r="E551" s="7"/>
    </row>
    <row r="552" spans="3:5" ht="15.75" customHeight="1" x14ac:dyDescent="0.2">
      <c r="C552" s="7"/>
      <c r="D552" s="7"/>
      <c r="E552" s="7"/>
    </row>
    <row r="553" spans="3:5" ht="15.75" customHeight="1" x14ac:dyDescent="0.2">
      <c r="C553" s="7"/>
      <c r="D553" s="7"/>
      <c r="E553" s="7"/>
    </row>
    <row r="554" spans="3:5" ht="15.75" customHeight="1" x14ac:dyDescent="0.2">
      <c r="C554" s="7"/>
      <c r="D554" s="7"/>
      <c r="E554" s="7"/>
    </row>
    <row r="555" spans="3:5" ht="15.75" customHeight="1" x14ac:dyDescent="0.2">
      <c r="C555" s="7"/>
      <c r="D555" s="7"/>
      <c r="E555" s="7"/>
    </row>
    <row r="556" spans="3:5" ht="15.75" customHeight="1" x14ac:dyDescent="0.2">
      <c r="C556" s="7"/>
      <c r="D556" s="7"/>
      <c r="E556" s="7"/>
    </row>
    <row r="557" spans="3:5" ht="15.75" customHeight="1" x14ac:dyDescent="0.2">
      <c r="C557" s="7"/>
      <c r="D557" s="7"/>
      <c r="E557" s="7"/>
    </row>
    <row r="558" spans="3:5" ht="15.75" customHeight="1" x14ac:dyDescent="0.2">
      <c r="C558" s="7"/>
      <c r="D558" s="7"/>
      <c r="E558" s="7"/>
    </row>
    <row r="559" spans="3:5" ht="15.75" customHeight="1" x14ac:dyDescent="0.2">
      <c r="C559" s="7"/>
      <c r="D559" s="7"/>
      <c r="E559" s="7"/>
    </row>
    <row r="560" spans="3:5" ht="15.75" customHeight="1" x14ac:dyDescent="0.2">
      <c r="C560" s="7"/>
      <c r="D560" s="7"/>
      <c r="E560" s="7"/>
    </row>
    <row r="561" spans="3:5" ht="15.75" customHeight="1" x14ac:dyDescent="0.2">
      <c r="C561" s="7"/>
      <c r="D561" s="7"/>
      <c r="E561" s="7"/>
    </row>
    <row r="562" spans="3:5" ht="15.75" customHeight="1" x14ac:dyDescent="0.2">
      <c r="C562" s="7"/>
      <c r="D562" s="7"/>
      <c r="E562" s="7"/>
    </row>
    <row r="563" spans="3:5" ht="15.75" customHeight="1" x14ac:dyDescent="0.2">
      <c r="C563" s="7"/>
      <c r="D563" s="7"/>
      <c r="E563" s="7"/>
    </row>
    <row r="564" spans="3:5" ht="15.75" customHeight="1" x14ac:dyDescent="0.2">
      <c r="C564" s="7"/>
      <c r="D564" s="7"/>
      <c r="E564" s="7"/>
    </row>
    <row r="565" spans="3:5" ht="15.75" customHeight="1" x14ac:dyDescent="0.2">
      <c r="C565" s="7"/>
      <c r="D565" s="7"/>
      <c r="E565" s="7"/>
    </row>
    <row r="566" spans="3:5" ht="15.75" customHeight="1" x14ac:dyDescent="0.2">
      <c r="C566" s="7"/>
      <c r="D566" s="7"/>
      <c r="E566" s="7"/>
    </row>
    <row r="567" spans="3:5" ht="15.75" customHeight="1" x14ac:dyDescent="0.2">
      <c r="C567" s="7"/>
      <c r="D567" s="7"/>
      <c r="E567" s="7"/>
    </row>
    <row r="568" spans="3:5" ht="15.75" customHeight="1" x14ac:dyDescent="0.2">
      <c r="C568" s="7"/>
      <c r="D568" s="7"/>
      <c r="E568" s="7"/>
    </row>
    <row r="569" spans="3:5" ht="15.75" customHeight="1" x14ac:dyDescent="0.2">
      <c r="C569" s="7"/>
      <c r="D569" s="7"/>
      <c r="E569" s="7"/>
    </row>
    <row r="570" spans="3:5" ht="15.75" customHeight="1" x14ac:dyDescent="0.2">
      <c r="C570" s="7"/>
      <c r="D570" s="7"/>
      <c r="E570" s="7"/>
    </row>
    <row r="571" spans="3:5" ht="15.75" customHeight="1" x14ac:dyDescent="0.2">
      <c r="C571" s="7"/>
      <c r="D571" s="7"/>
      <c r="E571" s="7"/>
    </row>
    <row r="572" spans="3:5" ht="15.75" customHeight="1" x14ac:dyDescent="0.2">
      <c r="C572" s="7"/>
      <c r="D572" s="7"/>
      <c r="E572" s="7"/>
    </row>
    <row r="573" spans="3:5" ht="15.75" customHeight="1" x14ac:dyDescent="0.2">
      <c r="C573" s="7"/>
      <c r="D573" s="7"/>
      <c r="E573" s="7"/>
    </row>
    <row r="574" spans="3:5" ht="15.75" customHeight="1" x14ac:dyDescent="0.2">
      <c r="C574" s="7"/>
      <c r="D574" s="7"/>
      <c r="E574" s="7"/>
    </row>
    <row r="575" spans="3:5" ht="15.75" customHeight="1" x14ac:dyDescent="0.2">
      <c r="C575" s="7"/>
      <c r="D575" s="7"/>
      <c r="E575" s="7"/>
    </row>
    <row r="576" spans="3:5" ht="15.75" customHeight="1" x14ac:dyDescent="0.2">
      <c r="C576" s="7"/>
      <c r="D576" s="7"/>
      <c r="E576" s="7"/>
    </row>
    <row r="577" spans="3:5" ht="15.75" customHeight="1" x14ac:dyDescent="0.2">
      <c r="C577" s="7"/>
      <c r="D577" s="7"/>
      <c r="E577" s="7"/>
    </row>
    <row r="578" spans="3:5" ht="15.75" customHeight="1" x14ac:dyDescent="0.2">
      <c r="C578" s="7"/>
      <c r="D578" s="7"/>
      <c r="E578" s="7"/>
    </row>
    <row r="579" spans="3:5" ht="15.75" customHeight="1" x14ac:dyDescent="0.2">
      <c r="C579" s="7"/>
      <c r="D579" s="7"/>
      <c r="E579" s="7"/>
    </row>
    <row r="580" spans="3:5" ht="15.75" customHeight="1" x14ac:dyDescent="0.2">
      <c r="C580" s="7"/>
      <c r="D580" s="7"/>
      <c r="E580" s="7"/>
    </row>
    <row r="581" spans="3:5" ht="15.75" customHeight="1" x14ac:dyDescent="0.2">
      <c r="C581" s="7"/>
      <c r="D581" s="7"/>
      <c r="E581" s="7"/>
    </row>
    <row r="582" spans="3:5" ht="15.75" customHeight="1" x14ac:dyDescent="0.2">
      <c r="C582" s="7"/>
      <c r="D582" s="7"/>
      <c r="E582" s="7"/>
    </row>
    <row r="583" spans="3:5" ht="15.75" customHeight="1" x14ac:dyDescent="0.2">
      <c r="C583" s="7"/>
      <c r="D583" s="7"/>
      <c r="E583" s="7"/>
    </row>
    <row r="584" spans="3:5" ht="15.75" customHeight="1" x14ac:dyDescent="0.2">
      <c r="C584" s="7"/>
      <c r="D584" s="7"/>
      <c r="E584" s="7"/>
    </row>
    <row r="585" spans="3:5" ht="15.75" customHeight="1" x14ac:dyDescent="0.2">
      <c r="C585" s="7"/>
      <c r="D585" s="7"/>
      <c r="E585" s="7"/>
    </row>
    <row r="586" spans="3:5" ht="15.75" customHeight="1" x14ac:dyDescent="0.2">
      <c r="C586" s="7"/>
      <c r="D586" s="7"/>
      <c r="E586" s="7"/>
    </row>
    <row r="587" spans="3:5" ht="15.75" customHeight="1" x14ac:dyDescent="0.2">
      <c r="C587" s="7"/>
      <c r="D587" s="7"/>
      <c r="E587" s="7"/>
    </row>
    <row r="588" spans="3:5" ht="15.75" customHeight="1" x14ac:dyDescent="0.2">
      <c r="C588" s="7"/>
      <c r="D588" s="7"/>
      <c r="E588" s="7"/>
    </row>
    <row r="589" spans="3:5" ht="15.75" customHeight="1" x14ac:dyDescent="0.2">
      <c r="C589" s="7"/>
      <c r="D589" s="7"/>
      <c r="E589" s="7"/>
    </row>
    <row r="590" spans="3:5" ht="15.75" customHeight="1" x14ac:dyDescent="0.2">
      <c r="C590" s="7"/>
      <c r="D590" s="7"/>
      <c r="E590" s="7"/>
    </row>
    <row r="591" spans="3:5" ht="15.75" customHeight="1" x14ac:dyDescent="0.2">
      <c r="C591" s="7"/>
      <c r="D591" s="7"/>
      <c r="E591" s="7"/>
    </row>
    <row r="592" spans="3:5" ht="15.75" customHeight="1" x14ac:dyDescent="0.2">
      <c r="C592" s="7"/>
      <c r="D592" s="7"/>
      <c r="E592" s="7"/>
    </row>
    <row r="593" spans="3:5" ht="15.75" customHeight="1" x14ac:dyDescent="0.2">
      <c r="C593" s="7"/>
      <c r="D593" s="7"/>
      <c r="E593" s="7"/>
    </row>
    <row r="594" spans="3:5" ht="15.75" customHeight="1" x14ac:dyDescent="0.2">
      <c r="C594" s="7"/>
      <c r="D594" s="7"/>
      <c r="E594" s="7"/>
    </row>
    <row r="595" spans="3:5" ht="15.75" customHeight="1" x14ac:dyDescent="0.2">
      <c r="C595" s="7"/>
      <c r="D595" s="7"/>
      <c r="E595" s="7"/>
    </row>
    <row r="596" spans="3:5" ht="15.75" customHeight="1" x14ac:dyDescent="0.2">
      <c r="C596" s="7"/>
      <c r="D596" s="7"/>
      <c r="E596" s="7"/>
    </row>
    <row r="597" spans="3:5" ht="15.75" customHeight="1" x14ac:dyDescent="0.2">
      <c r="C597" s="7"/>
      <c r="D597" s="7"/>
      <c r="E597" s="7"/>
    </row>
    <row r="598" spans="3:5" ht="15.75" customHeight="1" x14ac:dyDescent="0.2">
      <c r="C598" s="7"/>
      <c r="D598" s="7"/>
      <c r="E598" s="7"/>
    </row>
    <row r="599" spans="3:5" ht="15.75" customHeight="1" x14ac:dyDescent="0.2">
      <c r="C599" s="7"/>
      <c r="D599" s="7"/>
      <c r="E599" s="7"/>
    </row>
    <row r="600" spans="3:5" ht="15.75" customHeight="1" x14ac:dyDescent="0.2">
      <c r="C600" s="7"/>
      <c r="D600" s="7"/>
      <c r="E600" s="7"/>
    </row>
    <row r="601" spans="3:5" ht="15.75" customHeight="1" x14ac:dyDescent="0.2">
      <c r="C601" s="7"/>
      <c r="D601" s="7"/>
      <c r="E601" s="7"/>
    </row>
    <row r="602" spans="3:5" ht="15.75" customHeight="1" x14ac:dyDescent="0.2">
      <c r="C602" s="7"/>
      <c r="D602" s="7"/>
      <c r="E602" s="7"/>
    </row>
    <row r="603" spans="3:5" ht="15.75" customHeight="1" x14ac:dyDescent="0.2">
      <c r="C603" s="7"/>
      <c r="D603" s="7"/>
      <c r="E603" s="7"/>
    </row>
    <row r="604" spans="3:5" ht="15.75" customHeight="1" x14ac:dyDescent="0.2">
      <c r="C604" s="7"/>
      <c r="D604" s="7"/>
      <c r="E604" s="7"/>
    </row>
    <row r="605" spans="3:5" ht="15.75" customHeight="1" x14ac:dyDescent="0.2">
      <c r="C605" s="7"/>
      <c r="D605" s="7"/>
      <c r="E605" s="7"/>
    </row>
    <row r="606" spans="3:5" ht="15.75" customHeight="1" x14ac:dyDescent="0.2">
      <c r="C606" s="7"/>
      <c r="D606" s="7"/>
      <c r="E606" s="7"/>
    </row>
    <row r="607" spans="3:5" ht="15.75" customHeight="1" x14ac:dyDescent="0.2">
      <c r="C607" s="7"/>
      <c r="D607" s="7"/>
      <c r="E607" s="7"/>
    </row>
    <row r="608" spans="3:5" ht="15.75" customHeight="1" x14ac:dyDescent="0.2">
      <c r="C608" s="7"/>
      <c r="D608" s="7"/>
      <c r="E608" s="7"/>
    </row>
    <row r="609" spans="3:5" ht="15.75" customHeight="1" x14ac:dyDescent="0.2">
      <c r="C609" s="7"/>
      <c r="D609" s="7"/>
      <c r="E609" s="7"/>
    </row>
    <row r="610" spans="3:5" ht="15.75" customHeight="1" x14ac:dyDescent="0.2">
      <c r="C610" s="7"/>
      <c r="D610" s="7"/>
      <c r="E610" s="7"/>
    </row>
    <row r="611" spans="3:5" ht="15.75" customHeight="1" x14ac:dyDescent="0.2">
      <c r="C611" s="7"/>
      <c r="D611" s="7"/>
      <c r="E611" s="7"/>
    </row>
    <row r="612" spans="3:5" ht="15.75" customHeight="1" x14ac:dyDescent="0.2">
      <c r="C612" s="7"/>
      <c r="D612" s="7"/>
      <c r="E612" s="7"/>
    </row>
    <row r="613" spans="3:5" ht="15.75" customHeight="1" x14ac:dyDescent="0.2">
      <c r="C613" s="7"/>
      <c r="D613" s="7"/>
      <c r="E613" s="7"/>
    </row>
    <row r="614" spans="3:5" ht="15.75" customHeight="1" x14ac:dyDescent="0.2">
      <c r="C614" s="7"/>
      <c r="D614" s="7"/>
      <c r="E614" s="7"/>
    </row>
    <row r="615" spans="3:5" ht="15.75" customHeight="1" x14ac:dyDescent="0.2">
      <c r="C615" s="7"/>
      <c r="D615" s="7"/>
      <c r="E615" s="7"/>
    </row>
    <row r="616" spans="3:5" ht="15.75" customHeight="1" x14ac:dyDescent="0.2">
      <c r="C616" s="7"/>
      <c r="D616" s="7"/>
      <c r="E616" s="7"/>
    </row>
    <row r="617" spans="3:5" ht="15.75" customHeight="1" x14ac:dyDescent="0.2">
      <c r="C617" s="7"/>
      <c r="D617" s="7"/>
      <c r="E617" s="7"/>
    </row>
    <row r="618" spans="3:5" ht="15.75" customHeight="1" x14ac:dyDescent="0.2">
      <c r="C618" s="7"/>
      <c r="D618" s="7"/>
      <c r="E618" s="7"/>
    </row>
    <row r="619" spans="3:5" ht="15.75" customHeight="1" x14ac:dyDescent="0.2">
      <c r="C619" s="7"/>
      <c r="D619" s="7"/>
      <c r="E619" s="7"/>
    </row>
    <row r="620" spans="3:5" ht="15.75" customHeight="1" x14ac:dyDescent="0.2">
      <c r="C620" s="7"/>
      <c r="D620" s="7"/>
      <c r="E620" s="7"/>
    </row>
    <row r="621" spans="3:5" ht="15.75" customHeight="1" x14ac:dyDescent="0.2">
      <c r="C621" s="7"/>
      <c r="D621" s="7"/>
      <c r="E621" s="7"/>
    </row>
    <row r="622" spans="3:5" ht="15.75" customHeight="1" x14ac:dyDescent="0.2">
      <c r="C622" s="7"/>
      <c r="D622" s="7"/>
      <c r="E622" s="7"/>
    </row>
    <row r="623" spans="3:5" ht="15.75" customHeight="1" x14ac:dyDescent="0.2">
      <c r="C623" s="7"/>
      <c r="D623" s="7"/>
      <c r="E623" s="7"/>
    </row>
    <row r="624" spans="3:5" ht="15.75" customHeight="1" x14ac:dyDescent="0.2">
      <c r="C624" s="7"/>
      <c r="D624" s="7"/>
      <c r="E624" s="7"/>
    </row>
    <row r="625" spans="3:5" ht="15.75" customHeight="1" x14ac:dyDescent="0.2">
      <c r="C625" s="7"/>
      <c r="D625" s="7"/>
      <c r="E625" s="7"/>
    </row>
    <row r="626" spans="3:5" ht="15.75" customHeight="1" x14ac:dyDescent="0.2">
      <c r="C626" s="7"/>
      <c r="D626" s="7"/>
      <c r="E626" s="7"/>
    </row>
    <row r="627" spans="3:5" ht="15.75" customHeight="1" x14ac:dyDescent="0.2">
      <c r="C627" s="7"/>
      <c r="D627" s="7"/>
      <c r="E627" s="7"/>
    </row>
    <row r="628" spans="3:5" ht="15.75" customHeight="1" x14ac:dyDescent="0.2">
      <c r="C628" s="7"/>
      <c r="D628" s="7"/>
      <c r="E628" s="7"/>
    </row>
    <row r="629" spans="3:5" ht="15.75" customHeight="1" x14ac:dyDescent="0.2">
      <c r="C629" s="7"/>
      <c r="D629" s="7"/>
      <c r="E629" s="7"/>
    </row>
    <row r="630" spans="3:5" ht="15.75" customHeight="1" x14ac:dyDescent="0.2">
      <c r="C630" s="7"/>
      <c r="D630" s="7"/>
      <c r="E630" s="7"/>
    </row>
    <row r="631" spans="3:5" ht="15.75" customHeight="1" x14ac:dyDescent="0.2">
      <c r="C631" s="7"/>
      <c r="D631" s="7"/>
      <c r="E631" s="7"/>
    </row>
    <row r="632" spans="3:5" ht="15.75" customHeight="1" x14ac:dyDescent="0.2">
      <c r="C632" s="7"/>
      <c r="D632" s="7"/>
      <c r="E632" s="7"/>
    </row>
    <row r="633" spans="3:5" ht="15.75" customHeight="1" x14ac:dyDescent="0.2">
      <c r="C633" s="7"/>
      <c r="D633" s="7"/>
      <c r="E633" s="7"/>
    </row>
    <row r="634" spans="3:5" ht="15.75" customHeight="1" x14ac:dyDescent="0.2">
      <c r="C634" s="7"/>
      <c r="D634" s="7"/>
      <c r="E634" s="7"/>
    </row>
    <row r="635" spans="3:5" ht="15.75" customHeight="1" x14ac:dyDescent="0.2">
      <c r="C635" s="7"/>
      <c r="D635" s="7"/>
      <c r="E635" s="7"/>
    </row>
    <row r="636" spans="3:5" ht="15.75" customHeight="1" x14ac:dyDescent="0.2">
      <c r="C636" s="7"/>
      <c r="D636" s="7"/>
      <c r="E636" s="7"/>
    </row>
    <row r="637" spans="3:5" ht="15.75" customHeight="1" x14ac:dyDescent="0.2">
      <c r="C637" s="7"/>
      <c r="D637" s="7"/>
      <c r="E637" s="7"/>
    </row>
    <row r="638" spans="3:5" ht="15.75" customHeight="1" x14ac:dyDescent="0.2">
      <c r="C638" s="7"/>
      <c r="D638" s="7"/>
      <c r="E638" s="7"/>
    </row>
    <row r="639" spans="3:5" ht="15.75" customHeight="1" x14ac:dyDescent="0.2">
      <c r="C639" s="7"/>
      <c r="D639" s="7"/>
      <c r="E639" s="7"/>
    </row>
    <row r="640" spans="3:5" ht="15.75" customHeight="1" x14ac:dyDescent="0.2">
      <c r="C640" s="7"/>
      <c r="D640" s="7"/>
      <c r="E640" s="7"/>
    </row>
    <row r="641" spans="3:5" ht="15.75" customHeight="1" x14ac:dyDescent="0.2">
      <c r="C641" s="7"/>
      <c r="D641" s="7"/>
      <c r="E641" s="7"/>
    </row>
    <row r="642" spans="3:5" ht="15.75" customHeight="1" x14ac:dyDescent="0.2">
      <c r="C642" s="7"/>
      <c r="D642" s="7"/>
      <c r="E642" s="7"/>
    </row>
    <row r="643" spans="3:5" ht="15.75" customHeight="1" x14ac:dyDescent="0.2">
      <c r="C643" s="7"/>
      <c r="D643" s="7"/>
      <c r="E643" s="7"/>
    </row>
    <row r="644" spans="3:5" ht="15.75" customHeight="1" x14ac:dyDescent="0.2">
      <c r="C644" s="7"/>
      <c r="D644" s="7"/>
      <c r="E644" s="7"/>
    </row>
    <row r="645" spans="3:5" ht="15.75" customHeight="1" x14ac:dyDescent="0.2">
      <c r="C645" s="7"/>
      <c r="D645" s="7"/>
      <c r="E645" s="7"/>
    </row>
    <row r="646" spans="3:5" ht="15.75" customHeight="1" x14ac:dyDescent="0.2">
      <c r="C646" s="7"/>
      <c r="D646" s="7"/>
      <c r="E646" s="7"/>
    </row>
    <row r="647" spans="3:5" ht="15.75" customHeight="1" x14ac:dyDescent="0.2">
      <c r="C647" s="7"/>
      <c r="D647" s="7"/>
      <c r="E647" s="7"/>
    </row>
    <row r="648" spans="3:5" ht="15.75" customHeight="1" x14ac:dyDescent="0.2">
      <c r="C648" s="7"/>
      <c r="D648" s="7"/>
      <c r="E648" s="7"/>
    </row>
    <row r="649" spans="3:5" ht="15.75" customHeight="1" x14ac:dyDescent="0.2">
      <c r="C649" s="7"/>
      <c r="D649" s="7"/>
      <c r="E649" s="7"/>
    </row>
    <row r="650" spans="3:5" ht="15.75" customHeight="1" x14ac:dyDescent="0.2">
      <c r="C650" s="7"/>
      <c r="D650" s="7"/>
      <c r="E650" s="7"/>
    </row>
    <row r="651" spans="3:5" ht="15.75" customHeight="1" x14ac:dyDescent="0.2">
      <c r="C651" s="7"/>
      <c r="D651" s="7"/>
      <c r="E651" s="7"/>
    </row>
    <row r="652" spans="3:5" ht="15.75" customHeight="1" x14ac:dyDescent="0.2">
      <c r="C652" s="7"/>
      <c r="D652" s="7"/>
      <c r="E652" s="7"/>
    </row>
    <row r="653" spans="3:5" ht="15.75" customHeight="1" x14ac:dyDescent="0.2">
      <c r="C653" s="7"/>
      <c r="D653" s="7"/>
      <c r="E653" s="7"/>
    </row>
    <row r="654" spans="3:5" ht="15.75" customHeight="1" x14ac:dyDescent="0.2">
      <c r="C654" s="7"/>
      <c r="D654" s="7"/>
      <c r="E654" s="7"/>
    </row>
    <row r="655" spans="3:5" ht="15.75" customHeight="1" x14ac:dyDescent="0.2">
      <c r="C655" s="7"/>
      <c r="D655" s="7"/>
      <c r="E655" s="7"/>
    </row>
    <row r="656" spans="3:5" ht="15.75" customHeight="1" x14ac:dyDescent="0.2">
      <c r="C656" s="7"/>
      <c r="D656" s="7"/>
      <c r="E656" s="7"/>
    </row>
    <row r="657" spans="3:5" ht="15.75" customHeight="1" x14ac:dyDescent="0.2">
      <c r="C657" s="7"/>
      <c r="D657" s="7"/>
      <c r="E657" s="7"/>
    </row>
    <row r="658" spans="3:5" ht="15.75" customHeight="1" x14ac:dyDescent="0.2">
      <c r="C658" s="7"/>
      <c r="D658" s="7"/>
      <c r="E658" s="7"/>
    </row>
    <row r="659" spans="3:5" ht="15.75" customHeight="1" x14ac:dyDescent="0.2">
      <c r="C659" s="7"/>
      <c r="D659" s="7"/>
      <c r="E659" s="7"/>
    </row>
    <row r="660" spans="3:5" ht="15.75" customHeight="1" x14ac:dyDescent="0.2">
      <c r="C660" s="7"/>
      <c r="D660" s="7"/>
      <c r="E660" s="7"/>
    </row>
    <row r="661" spans="3:5" ht="15.75" customHeight="1" x14ac:dyDescent="0.2">
      <c r="C661" s="7"/>
      <c r="D661" s="7"/>
      <c r="E661" s="7"/>
    </row>
    <row r="662" spans="3:5" ht="15.75" customHeight="1" x14ac:dyDescent="0.2">
      <c r="C662" s="7"/>
      <c r="D662" s="7"/>
      <c r="E662" s="7"/>
    </row>
    <row r="663" spans="3:5" ht="15.75" customHeight="1" x14ac:dyDescent="0.2">
      <c r="C663" s="7"/>
      <c r="D663" s="7"/>
      <c r="E663" s="7"/>
    </row>
    <row r="664" spans="3:5" ht="15.75" customHeight="1" x14ac:dyDescent="0.2">
      <c r="C664" s="7"/>
      <c r="D664" s="7"/>
      <c r="E664" s="7"/>
    </row>
    <row r="665" spans="3:5" ht="15.75" customHeight="1" x14ac:dyDescent="0.2">
      <c r="C665" s="7"/>
      <c r="D665" s="7"/>
      <c r="E665" s="7"/>
    </row>
    <row r="666" spans="3:5" ht="15.75" customHeight="1" x14ac:dyDescent="0.2">
      <c r="C666" s="7"/>
      <c r="D666" s="7"/>
      <c r="E666" s="7"/>
    </row>
    <row r="667" spans="3:5" ht="15.75" customHeight="1" x14ac:dyDescent="0.2">
      <c r="C667" s="7"/>
      <c r="D667" s="7"/>
      <c r="E667" s="7"/>
    </row>
    <row r="668" spans="3:5" ht="15.75" customHeight="1" x14ac:dyDescent="0.2">
      <c r="C668" s="7"/>
      <c r="D668" s="7"/>
      <c r="E668" s="7"/>
    </row>
    <row r="669" spans="3:5" ht="15.75" customHeight="1" x14ac:dyDescent="0.2">
      <c r="C669" s="7"/>
      <c r="D669" s="7"/>
      <c r="E669" s="7"/>
    </row>
    <row r="670" spans="3:5" ht="15.75" customHeight="1" x14ac:dyDescent="0.2">
      <c r="C670" s="7"/>
      <c r="D670" s="7"/>
      <c r="E670" s="7"/>
    </row>
    <row r="671" spans="3:5" ht="15.75" customHeight="1" x14ac:dyDescent="0.2">
      <c r="C671" s="7"/>
      <c r="D671" s="7"/>
      <c r="E671" s="7"/>
    </row>
    <row r="672" spans="3:5" ht="15.75" customHeight="1" x14ac:dyDescent="0.2">
      <c r="C672" s="7"/>
      <c r="D672" s="7"/>
      <c r="E672" s="7"/>
    </row>
    <row r="673" spans="3:5" ht="15.75" customHeight="1" x14ac:dyDescent="0.2">
      <c r="C673" s="7"/>
      <c r="D673" s="7"/>
      <c r="E673" s="7"/>
    </row>
    <row r="674" spans="3:5" ht="15.75" customHeight="1" x14ac:dyDescent="0.2">
      <c r="C674" s="7"/>
      <c r="D674" s="7"/>
      <c r="E674" s="7"/>
    </row>
    <row r="675" spans="3:5" ht="15.75" customHeight="1" x14ac:dyDescent="0.2">
      <c r="C675" s="7"/>
      <c r="D675" s="7"/>
      <c r="E675" s="7"/>
    </row>
    <row r="676" spans="3:5" ht="15.75" customHeight="1" x14ac:dyDescent="0.2">
      <c r="C676" s="7"/>
      <c r="D676" s="7"/>
      <c r="E676" s="7"/>
    </row>
    <row r="677" spans="3:5" ht="15.75" customHeight="1" x14ac:dyDescent="0.2">
      <c r="C677" s="7"/>
      <c r="D677" s="7"/>
      <c r="E677" s="7"/>
    </row>
    <row r="678" spans="3:5" ht="15.75" customHeight="1" x14ac:dyDescent="0.2">
      <c r="C678" s="7"/>
      <c r="D678" s="7"/>
      <c r="E678" s="7"/>
    </row>
    <row r="679" spans="3:5" ht="15.75" customHeight="1" x14ac:dyDescent="0.2">
      <c r="C679" s="7"/>
      <c r="D679" s="7"/>
      <c r="E679" s="7"/>
    </row>
    <row r="680" spans="3:5" ht="15.75" customHeight="1" x14ac:dyDescent="0.2">
      <c r="C680" s="7"/>
      <c r="D680" s="7"/>
      <c r="E680" s="7"/>
    </row>
    <row r="681" spans="3:5" ht="15.75" customHeight="1" x14ac:dyDescent="0.2">
      <c r="C681" s="7"/>
      <c r="D681" s="7"/>
      <c r="E681" s="7"/>
    </row>
    <row r="682" spans="3:5" ht="15.75" customHeight="1" x14ac:dyDescent="0.2">
      <c r="C682" s="7"/>
      <c r="D682" s="7"/>
      <c r="E682" s="7"/>
    </row>
    <row r="683" spans="3:5" ht="15.75" customHeight="1" x14ac:dyDescent="0.2">
      <c r="C683" s="7"/>
      <c r="D683" s="7"/>
      <c r="E683" s="7"/>
    </row>
    <row r="684" spans="3:5" ht="15.75" customHeight="1" x14ac:dyDescent="0.2">
      <c r="C684" s="7"/>
      <c r="D684" s="7"/>
      <c r="E684" s="7"/>
    </row>
    <row r="685" spans="3:5" ht="15.75" customHeight="1" x14ac:dyDescent="0.2">
      <c r="C685" s="7"/>
      <c r="D685" s="7"/>
      <c r="E685" s="7"/>
    </row>
    <row r="686" spans="3:5" ht="15.75" customHeight="1" x14ac:dyDescent="0.2">
      <c r="C686" s="7"/>
      <c r="D686" s="7"/>
      <c r="E686" s="7"/>
    </row>
    <row r="687" spans="3:5" ht="15.75" customHeight="1" x14ac:dyDescent="0.2">
      <c r="C687" s="7"/>
      <c r="D687" s="7"/>
      <c r="E687" s="7"/>
    </row>
    <row r="688" spans="3:5" ht="15.75" customHeight="1" x14ac:dyDescent="0.2">
      <c r="C688" s="7"/>
      <c r="D688" s="7"/>
      <c r="E688" s="7"/>
    </row>
    <row r="689" spans="3:5" ht="15.75" customHeight="1" x14ac:dyDescent="0.2">
      <c r="C689" s="7"/>
      <c r="D689" s="7"/>
      <c r="E689" s="7"/>
    </row>
    <row r="690" spans="3:5" ht="15.75" customHeight="1" x14ac:dyDescent="0.2">
      <c r="C690" s="7"/>
      <c r="D690" s="7"/>
      <c r="E690" s="7"/>
    </row>
    <row r="691" spans="3:5" ht="15.75" customHeight="1" x14ac:dyDescent="0.2">
      <c r="C691" s="7"/>
      <c r="D691" s="7"/>
      <c r="E691" s="7"/>
    </row>
    <row r="692" spans="3:5" ht="15.75" customHeight="1" x14ac:dyDescent="0.2">
      <c r="C692" s="7"/>
      <c r="D692" s="7"/>
      <c r="E692" s="7"/>
    </row>
    <row r="693" spans="3:5" ht="15.75" customHeight="1" x14ac:dyDescent="0.2">
      <c r="C693" s="7"/>
      <c r="D693" s="7"/>
      <c r="E693" s="7"/>
    </row>
    <row r="694" spans="3:5" ht="15.75" customHeight="1" x14ac:dyDescent="0.2">
      <c r="C694" s="7"/>
      <c r="D694" s="7"/>
      <c r="E694" s="7"/>
    </row>
    <row r="695" spans="3:5" ht="15.75" customHeight="1" x14ac:dyDescent="0.2">
      <c r="C695" s="7"/>
      <c r="D695" s="7"/>
      <c r="E695" s="7"/>
    </row>
    <row r="696" spans="3:5" ht="15.75" customHeight="1" x14ac:dyDescent="0.2">
      <c r="C696" s="7"/>
      <c r="D696" s="7"/>
      <c r="E696" s="7"/>
    </row>
    <row r="697" spans="3:5" ht="15.75" customHeight="1" x14ac:dyDescent="0.2">
      <c r="C697" s="7"/>
      <c r="D697" s="7"/>
      <c r="E697" s="7"/>
    </row>
    <row r="698" spans="3:5" ht="15.75" customHeight="1" x14ac:dyDescent="0.2">
      <c r="C698" s="7"/>
      <c r="D698" s="7"/>
      <c r="E698" s="7"/>
    </row>
    <row r="699" spans="3:5" ht="15.75" customHeight="1" x14ac:dyDescent="0.2">
      <c r="C699" s="7"/>
      <c r="D699" s="7"/>
      <c r="E699" s="7"/>
    </row>
    <row r="700" spans="3:5" ht="15.75" customHeight="1" x14ac:dyDescent="0.2">
      <c r="C700" s="7"/>
      <c r="D700" s="7"/>
      <c r="E700" s="7"/>
    </row>
    <row r="701" spans="3:5" ht="15.75" customHeight="1" x14ac:dyDescent="0.2">
      <c r="C701" s="7"/>
      <c r="D701" s="7"/>
      <c r="E701" s="7"/>
    </row>
    <row r="702" spans="3:5" ht="15.75" customHeight="1" x14ac:dyDescent="0.2">
      <c r="C702" s="7"/>
      <c r="D702" s="7"/>
      <c r="E702" s="7"/>
    </row>
    <row r="703" spans="3:5" ht="15.75" customHeight="1" x14ac:dyDescent="0.2">
      <c r="C703" s="7"/>
      <c r="D703" s="7"/>
      <c r="E703" s="7"/>
    </row>
    <row r="704" spans="3:5" ht="15.75" customHeight="1" x14ac:dyDescent="0.2">
      <c r="C704" s="7"/>
      <c r="D704" s="7"/>
      <c r="E704" s="7"/>
    </row>
    <row r="705" spans="3:5" ht="15.75" customHeight="1" x14ac:dyDescent="0.2">
      <c r="C705" s="7"/>
      <c r="D705" s="7"/>
      <c r="E705" s="7"/>
    </row>
    <row r="706" spans="3:5" ht="15.75" customHeight="1" x14ac:dyDescent="0.2">
      <c r="C706" s="7"/>
      <c r="D706" s="7"/>
      <c r="E706" s="7"/>
    </row>
    <row r="707" spans="3:5" ht="15.75" customHeight="1" x14ac:dyDescent="0.2">
      <c r="C707" s="7"/>
      <c r="D707" s="7"/>
      <c r="E707" s="7"/>
    </row>
    <row r="708" spans="3:5" ht="15.75" customHeight="1" x14ac:dyDescent="0.2">
      <c r="C708" s="7"/>
      <c r="D708" s="7"/>
      <c r="E708" s="7"/>
    </row>
    <row r="709" spans="3:5" ht="15.75" customHeight="1" x14ac:dyDescent="0.2">
      <c r="C709" s="7"/>
      <c r="D709" s="7"/>
      <c r="E709" s="7"/>
    </row>
    <row r="710" spans="3:5" ht="15.75" customHeight="1" x14ac:dyDescent="0.2">
      <c r="C710" s="7"/>
      <c r="D710" s="7"/>
      <c r="E710" s="7"/>
    </row>
    <row r="711" spans="3:5" ht="15.75" customHeight="1" x14ac:dyDescent="0.2">
      <c r="C711" s="7"/>
      <c r="D711" s="7"/>
      <c r="E711" s="7"/>
    </row>
    <row r="712" spans="3:5" ht="15.75" customHeight="1" x14ac:dyDescent="0.2">
      <c r="C712" s="7"/>
      <c r="D712" s="7"/>
      <c r="E712" s="7"/>
    </row>
    <row r="713" spans="3:5" ht="15.75" customHeight="1" x14ac:dyDescent="0.2">
      <c r="C713" s="7"/>
      <c r="D713" s="7"/>
      <c r="E713" s="7"/>
    </row>
    <row r="714" spans="3:5" ht="15.75" customHeight="1" x14ac:dyDescent="0.2">
      <c r="C714" s="7"/>
      <c r="D714" s="7"/>
      <c r="E714" s="7"/>
    </row>
    <row r="715" spans="3:5" ht="15.75" customHeight="1" x14ac:dyDescent="0.2">
      <c r="C715" s="7"/>
      <c r="D715" s="7"/>
      <c r="E715" s="7"/>
    </row>
    <row r="716" spans="3:5" ht="15.75" customHeight="1" x14ac:dyDescent="0.2">
      <c r="C716" s="7"/>
      <c r="D716" s="7"/>
      <c r="E716" s="7"/>
    </row>
    <row r="717" spans="3:5" ht="15.75" customHeight="1" x14ac:dyDescent="0.2">
      <c r="C717" s="7"/>
      <c r="D717" s="7"/>
      <c r="E717" s="7"/>
    </row>
    <row r="718" spans="3:5" ht="15.75" customHeight="1" x14ac:dyDescent="0.2">
      <c r="C718" s="7"/>
      <c r="D718" s="7"/>
      <c r="E718" s="7"/>
    </row>
    <row r="719" spans="3:5" ht="15.75" customHeight="1" x14ac:dyDescent="0.2">
      <c r="C719" s="7"/>
      <c r="D719" s="7"/>
      <c r="E719" s="7"/>
    </row>
    <row r="720" spans="3:5" ht="15.75" customHeight="1" x14ac:dyDescent="0.2">
      <c r="C720" s="7"/>
      <c r="D720" s="7"/>
      <c r="E720" s="7"/>
    </row>
    <row r="721" spans="3:5" ht="15.75" customHeight="1" x14ac:dyDescent="0.2">
      <c r="C721" s="7"/>
      <c r="D721" s="7"/>
      <c r="E721" s="7"/>
    </row>
    <row r="722" spans="3:5" ht="15.75" customHeight="1" x14ac:dyDescent="0.2">
      <c r="C722" s="7"/>
      <c r="D722" s="7"/>
      <c r="E722" s="7"/>
    </row>
    <row r="723" spans="3:5" ht="15.75" customHeight="1" x14ac:dyDescent="0.2">
      <c r="C723" s="7"/>
      <c r="D723" s="7"/>
      <c r="E723" s="7"/>
    </row>
    <row r="724" spans="3:5" ht="15.75" customHeight="1" x14ac:dyDescent="0.2">
      <c r="C724" s="7"/>
      <c r="D724" s="7"/>
      <c r="E724" s="7"/>
    </row>
    <row r="725" spans="3:5" ht="15.75" customHeight="1" x14ac:dyDescent="0.2">
      <c r="C725" s="7"/>
      <c r="D725" s="7"/>
      <c r="E725" s="7"/>
    </row>
    <row r="726" spans="3:5" ht="15.75" customHeight="1" x14ac:dyDescent="0.2">
      <c r="C726" s="7"/>
      <c r="D726" s="7"/>
      <c r="E726" s="7"/>
    </row>
    <row r="727" spans="3:5" ht="15.75" customHeight="1" x14ac:dyDescent="0.2">
      <c r="C727" s="7"/>
      <c r="D727" s="7"/>
      <c r="E727" s="7"/>
    </row>
    <row r="728" spans="3:5" ht="15.75" customHeight="1" x14ac:dyDescent="0.2">
      <c r="C728" s="7"/>
      <c r="D728" s="7"/>
      <c r="E728" s="7"/>
    </row>
    <row r="729" spans="3:5" ht="15.75" customHeight="1" x14ac:dyDescent="0.2">
      <c r="C729" s="7"/>
      <c r="D729" s="7"/>
      <c r="E729" s="7"/>
    </row>
    <row r="730" spans="3:5" ht="15.75" customHeight="1" x14ac:dyDescent="0.2">
      <c r="C730" s="7"/>
      <c r="D730" s="7"/>
      <c r="E730" s="7"/>
    </row>
    <row r="731" spans="3:5" ht="15.75" customHeight="1" x14ac:dyDescent="0.2">
      <c r="C731" s="7"/>
      <c r="D731" s="7"/>
      <c r="E731" s="7"/>
    </row>
    <row r="732" spans="3:5" ht="15.75" customHeight="1" x14ac:dyDescent="0.2">
      <c r="C732" s="7"/>
      <c r="D732" s="7"/>
      <c r="E732" s="7"/>
    </row>
    <row r="733" spans="3:5" ht="15.75" customHeight="1" x14ac:dyDescent="0.2">
      <c r="C733" s="7"/>
      <c r="D733" s="7"/>
      <c r="E733" s="7"/>
    </row>
    <row r="734" spans="3:5" ht="15.75" customHeight="1" x14ac:dyDescent="0.2">
      <c r="C734" s="7"/>
      <c r="D734" s="7"/>
      <c r="E734" s="7"/>
    </row>
    <row r="735" spans="3:5" ht="15.75" customHeight="1" x14ac:dyDescent="0.2">
      <c r="C735" s="7"/>
      <c r="D735" s="7"/>
      <c r="E735" s="7"/>
    </row>
    <row r="736" spans="3:5" ht="15.75" customHeight="1" x14ac:dyDescent="0.2">
      <c r="C736" s="7"/>
      <c r="D736" s="7"/>
      <c r="E736" s="7"/>
    </row>
    <row r="737" spans="3:5" ht="15.75" customHeight="1" x14ac:dyDescent="0.2">
      <c r="C737" s="7"/>
      <c r="D737" s="7"/>
      <c r="E737" s="7"/>
    </row>
    <row r="738" spans="3:5" ht="15.75" customHeight="1" x14ac:dyDescent="0.2">
      <c r="C738" s="7"/>
      <c r="D738" s="7"/>
      <c r="E738" s="7"/>
    </row>
    <row r="739" spans="3:5" ht="15.75" customHeight="1" x14ac:dyDescent="0.2">
      <c r="C739" s="7"/>
      <c r="D739" s="7"/>
      <c r="E739" s="7"/>
    </row>
    <row r="740" spans="3:5" ht="15.75" customHeight="1" x14ac:dyDescent="0.2">
      <c r="C740" s="7"/>
      <c r="D740" s="7"/>
      <c r="E740" s="7"/>
    </row>
    <row r="741" spans="3:5" ht="15.75" customHeight="1" x14ac:dyDescent="0.2">
      <c r="C741" s="7"/>
      <c r="D741" s="7"/>
      <c r="E741" s="7"/>
    </row>
    <row r="742" spans="3:5" ht="15.75" customHeight="1" x14ac:dyDescent="0.2">
      <c r="C742" s="7"/>
      <c r="D742" s="7"/>
      <c r="E742" s="7"/>
    </row>
    <row r="743" spans="3:5" ht="15.75" customHeight="1" x14ac:dyDescent="0.2">
      <c r="C743" s="7"/>
      <c r="D743" s="7"/>
      <c r="E743" s="7"/>
    </row>
    <row r="744" spans="3:5" ht="15.75" customHeight="1" x14ac:dyDescent="0.2">
      <c r="C744" s="7"/>
      <c r="D744" s="7"/>
      <c r="E744" s="7"/>
    </row>
    <row r="745" spans="3:5" ht="15.75" customHeight="1" x14ac:dyDescent="0.2">
      <c r="C745" s="7"/>
      <c r="D745" s="7"/>
      <c r="E745" s="7"/>
    </row>
    <row r="746" spans="3:5" ht="15.75" customHeight="1" x14ac:dyDescent="0.2">
      <c r="C746" s="7"/>
      <c r="D746" s="7"/>
      <c r="E746" s="7"/>
    </row>
    <row r="747" spans="3:5" ht="15.75" customHeight="1" x14ac:dyDescent="0.2">
      <c r="C747" s="7"/>
      <c r="D747" s="7"/>
      <c r="E747" s="7"/>
    </row>
    <row r="748" spans="3:5" ht="15.75" customHeight="1" x14ac:dyDescent="0.2">
      <c r="C748" s="7"/>
      <c r="D748" s="7"/>
      <c r="E748" s="7"/>
    </row>
    <row r="749" spans="3:5" ht="15.75" customHeight="1" x14ac:dyDescent="0.2">
      <c r="C749" s="7"/>
      <c r="D749" s="7"/>
      <c r="E749" s="7"/>
    </row>
    <row r="750" spans="3:5" ht="15.75" customHeight="1" x14ac:dyDescent="0.2">
      <c r="C750" s="7"/>
      <c r="D750" s="7"/>
      <c r="E750" s="7"/>
    </row>
    <row r="751" spans="3:5" ht="15.75" customHeight="1" x14ac:dyDescent="0.2">
      <c r="C751" s="7"/>
      <c r="D751" s="7"/>
      <c r="E751" s="7"/>
    </row>
    <row r="752" spans="3:5" ht="15.75" customHeight="1" x14ac:dyDescent="0.2">
      <c r="C752" s="7"/>
      <c r="D752" s="7"/>
      <c r="E752" s="7"/>
    </row>
    <row r="753" spans="3:5" ht="15.75" customHeight="1" x14ac:dyDescent="0.2">
      <c r="C753" s="7"/>
      <c r="D753" s="7"/>
      <c r="E753" s="7"/>
    </row>
    <row r="754" spans="3:5" ht="15.75" customHeight="1" x14ac:dyDescent="0.2">
      <c r="C754" s="7"/>
      <c r="D754" s="7"/>
      <c r="E754" s="7"/>
    </row>
    <row r="755" spans="3:5" ht="15.75" customHeight="1" x14ac:dyDescent="0.2">
      <c r="C755" s="7"/>
      <c r="D755" s="7"/>
      <c r="E755" s="7"/>
    </row>
    <row r="756" spans="3:5" ht="15.75" customHeight="1" x14ac:dyDescent="0.2">
      <c r="C756" s="7"/>
      <c r="D756" s="7"/>
      <c r="E756" s="7"/>
    </row>
    <row r="757" spans="3:5" ht="15.75" customHeight="1" x14ac:dyDescent="0.2">
      <c r="C757" s="7"/>
      <c r="D757" s="7"/>
      <c r="E757" s="7"/>
    </row>
    <row r="758" spans="3:5" ht="15.75" customHeight="1" x14ac:dyDescent="0.2">
      <c r="C758" s="7"/>
      <c r="D758" s="7"/>
      <c r="E758" s="7"/>
    </row>
    <row r="759" spans="3:5" ht="15.75" customHeight="1" x14ac:dyDescent="0.2">
      <c r="C759" s="7"/>
      <c r="D759" s="7"/>
      <c r="E759" s="7"/>
    </row>
    <row r="760" spans="3:5" ht="15.75" customHeight="1" x14ac:dyDescent="0.2">
      <c r="C760" s="7"/>
      <c r="D760" s="7"/>
      <c r="E760" s="7"/>
    </row>
    <row r="761" spans="3:5" ht="15.75" customHeight="1" x14ac:dyDescent="0.2">
      <c r="C761" s="7"/>
      <c r="D761" s="7"/>
      <c r="E761" s="7"/>
    </row>
    <row r="762" spans="3:5" ht="15.75" customHeight="1" x14ac:dyDescent="0.2">
      <c r="C762" s="7"/>
      <c r="D762" s="7"/>
      <c r="E762" s="7"/>
    </row>
    <row r="763" spans="3:5" ht="15.75" customHeight="1" x14ac:dyDescent="0.2">
      <c r="C763" s="7"/>
      <c r="D763" s="7"/>
      <c r="E763" s="7"/>
    </row>
    <row r="764" spans="3:5" ht="15.75" customHeight="1" x14ac:dyDescent="0.2">
      <c r="C764" s="7"/>
      <c r="D764" s="7"/>
      <c r="E764" s="7"/>
    </row>
    <row r="765" spans="3:5" ht="15.75" customHeight="1" x14ac:dyDescent="0.2">
      <c r="C765" s="7"/>
      <c r="D765" s="7"/>
      <c r="E765" s="7"/>
    </row>
    <row r="766" spans="3:5" ht="15.75" customHeight="1" x14ac:dyDescent="0.2">
      <c r="C766" s="7"/>
      <c r="D766" s="7"/>
      <c r="E766" s="7"/>
    </row>
    <row r="767" spans="3:5" ht="15.75" customHeight="1" x14ac:dyDescent="0.2">
      <c r="C767" s="7"/>
      <c r="D767" s="7"/>
      <c r="E767" s="7"/>
    </row>
    <row r="768" spans="3:5" ht="15.75" customHeight="1" x14ac:dyDescent="0.2">
      <c r="C768" s="7"/>
      <c r="D768" s="7"/>
      <c r="E768" s="7"/>
    </row>
    <row r="769" spans="3:5" ht="15.75" customHeight="1" x14ac:dyDescent="0.2">
      <c r="C769" s="7"/>
      <c r="D769" s="7"/>
      <c r="E769" s="7"/>
    </row>
    <row r="770" spans="3:5" ht="15.75" customHeight="1" x14ac:dyDescent="0.2">
      <c r="C770" s="7"/>
      <c r="D770" s="7"/>
      <c r="E770" s="7"/>
    </row>
    <row r="771" spans="3:5" ht="15.75" customHeight="1" x14ac:dyDescent="0.2">
      <c r="C771" s="7"/>
      <c r="D771" s="7"/>
      <c r="E771" s="7"/>
    </row>
    <row r="772" spans="3:5" ht="15.75" customHeight="1" x14ac:dyDescent="0.2">
      <c r="C772" s="7"/>
      <c r="D772" s="7"/>
      <c r="E772" s="7"/>
    </row>
    <row r="773" spans="3:5" ht="15.75" customHeight="1" x14ac:dyDescent="0.2">
      <c r="C773" s="7"/>
      <c r="D773" s="7"/>
      <c r="E773" s="7"/>
    </row>
    <row r="774" spans="3:5" ht="15.75" customHeight="1" x14ac:dyDescent="0.2">
      <c r="C774" s="7"/>
      <c r="D774" s="7"/>
      <c r="E774" s="7"/>
    </row>
    <row r="775" spans="3:5" ht="15.75" customHeight="1" x14ac:dyDescent="0.2">
      <c r="C775" s="7"/>
      <c r="D775" s="7"/>
      <c r="E775" s="7"/>
    </row>
    <row r="776" spans="3:5" ht="15.75" customHeight="1" x14ac:dyDescent="0.2">
      <c r="C776" s="7"/>
      <c r="D776" s="7"/>
      <c r="E776" s="7"/>
    </row>
    <row r="777" spans="3:5" ht="15.75" customHeight="1" x14ac:dyDescent="0.2">
      <c r="C777" s="7"/>
      <c r="D777" s="7"/>
      <c r="E777" s="7"/>
    </row>
    <row r="778" spans="3:5" ht="15.75" customHeight="1" x14ac:dyDescent="0.2">
      <c r="C778" s="7"/>
      <c r="D778" s="7"/>
      <c r="E778" s="7"/>
    </row>
    <row r="779" spans="3:5" ht="15.75" customHeight="1" x14ac:dyDescent="0.2">
      <c r="C779" s="7"/>
      <c r="D779" s="7"/>
      <c r="E779" s="7"/>
    </row>
    <row r="780" spans="3:5" ht="15.75" customHeight="1" x14ac:dyDescent="0.2">
      <c r="C780" s="7"/>
      <c r="D780" s="7"/>
      <c r="E780" s="7"/>
    </row>
    <row r="781" spans="3:5" ht="15.75" customHeight="1" x14ac:dyDescent="0.2">
      <c r="C781" s="7"/>
      <c r="D781" s="7"/>
      <c r="E781" s="7"/>
    </row>
    <row r="782" spans="3:5" ht="15.75" customHeight="1" x14ac:dyDescent="0.2">
      <c r="C782" s="7"/>
      <c r="D782" s="7"/>
      <c r="E782" s="7"/>
    </row>
    <row r="783" spans="3:5" ht="15.75" customHeight="1" x14ac:dyDescent="0.2">
      <c r="C783" s="7"/>
      <c r="D783" s="7"/>
      <c r="E783" s="7"/>
    </row>
    <row r="784" spans="3:5" ht="15.75" customHeight="1" x14ac:dyDescent="0.2">
      <c r="C784" s="7"/>
      <c r="D784" s="7"/>
      <c r="E784" s="7"/>
    </row>
    <row r="785" spans="3:5" ht="15.75" customHeight="1" x14ac:dyDescent="0.2">
      <c r="C785" s="7"/>
      <c r="D785" s="7"/>
      <c r="E785" s="7"/>
    </row>
    <row r="786" spans="3:5" ht="15.75" customHeight="1" x14ac:dyDescent="0.2">
      <c r="C786" s="7"/>
      <c r="D786" s="7"/>
      <c r="E786" s="7"/>
    </row>
    <row r="787" spans="3:5" ht="15.75" customHeight="1" x14ac:dyDescent="0.2">
      <c r="C787" s="7"/>
      <c r="D787" s="7"/>
      <c r="E787" s="7"/>
    </row>
    <row r="788" spans="3:5" ht="15.75" customHeight="1" x14ac:dyDescent="0.2">
      <c r="C788" s="7"/>
      <c r="D788" s="7"/>
      <c r="E788" s="7"/>
    </row>
    <row r="789" spans="3:5" ht="15.75" customHeight="1" x14ac:dyDescent="0.2">
      <c r="C789" s="7"/>
      <c r="D789" s="7"/>
      <c r="E789" s="7"/>
    </row>
    <row r="790" spans="3:5" ht="15.75" customHeight="1" x14ac:dyDescent="0.2">
      <c r="C790" s="7"/>
      <c r="D790" s="7"/>
      <c r="E790" s="7"/>
    </row>
    <row r="791" spans="3:5" ht="15.75" customHeight="1" x14ac:dyDescent="0.2">
      <c r="C791" s="7"/>
      <c r="D791" s="7"/>
      <c r="E791" s="7"/>
    </row>
    <row r="792" spans="3:5" ht="15.75" customHeight="1" x14ac:dyDescent="0.2">
      <c r="C792" s="7"/>
      <c r="D792" s="7"/>
      <c r="E792" s="7"/>
    </row>
    <row r="793" spans="3:5" ht="15.75" customHeight="1" x14ac:dyDescent="0.2">
      <c r="C793" s="7"/>
      <c r="D793" s="7"/>
      <c r="E793" s="7"/>
    </row>
    <row r="794" spans="3:5" ht="15.75" customHeight="1" x14ac:dyDescent="0.2">
      <c r="C794" s="7"/>
      <c r="D794" s="7"/>
      <c r="E794" s="7"/>
    </row>
    <row r="795" spans="3:5" ht="15.75" customHeight="1" x14ac:dyDescent="0.2">
      <c r="C795" s="7"/>
      <c r="D795" s="7"/>
      <c r="E795" s="7"/>
    </row>
    <row r="796" spans="3:5" ht="15.75" customHeight="1" x14ac:dyDescent="0.2">
      <c r="C796" s="7"/>
      <c r="D796" s="7"/>
      <c r="E796" s="7"/>
    </row>
    <row r="797" spans="3:5" ht="15.75" customHeight="1" x14ac:dyDescent="0.2">
      <c r="C797" s="7"/>
      <c r="D797" s="7"/>
      <c r="E797" s="7"/>
    </row>
    <row r="798" spans="3:5" ht="15.75" customHeight="1" x14ac:dyDescent="0.2">
      <c r="C798" s="7"/>
      <c r="D798" s="7"/>
      <c r="E798" s="7"/>
    </row>
    <row r="799" spans="3:5" ht="15.75" customHeight="1" x14ac:dyDescent="0.2">
      <c r="C799" s="7"/>
      <c r="D799" s="7"/>
      <c r="E799" s="7"/>
    </row>
    <row r="800" spans="3:5" ht="15.75" customHeight="1" x14ac:dyDescent="0.2">
      <c r="C800" s="7"/>
      <c r="D800" s="7"/>
      <c r="E800" s="7"/>
    </row>
    <row r="801" spans="3:5" ht="15.75" customHeight="1" x14ac:dyDescent="0.2">
      <c r="C801" s="7"/>
      <c r="D801" s="7"/>
      <c r="E801" s="7"/>
    </row>
    <row r="802" spans="3:5" ht="15.75" customHeight="1" x14ac:dyDescent="0.2">
      <c r="C802" s="7"/>
      <c r="D802" s="7"/>
      <c r="E802" s="7"/>
    </row>
    <row r="803" spans="3:5" ht="15.75" customHeight="1" x14ac:dyDescent="0.2">
      <c r="C803" s="7"/>
      <c r="D803" s="7"/>
      <c r="E803" s="7"/>
    </row>
    <row r="804" spans="3:5" ht="15.75" customHeight="1" x14ac:dyDescent="0.2">
      <c r="C804" s="7"/>
      <c r="D804" s="7"/>
      <c r="E804" s="7"/>
    </row>
    <row r="805" spans="3:5" ht="15.75" customHeight="1" x14ac:dyDescent="0.2">
      <c r="C805" s="7"/>
      <c r="D805" s="7"/>
      <c r="E805" s="7"/>
    </row>
    <row r="806" spans="3:5" ht="15.75" customHeight="1" x14ac:dyDescent="0.2">
      <c r="C806" s="7"/>
      <c r="D806" s="7"/>
      <c r="E806" s="7"/>
    </row>
    <row r="807" spans="3:5" ht="15.75" customHeight="1" x14ac:dyDescent="0.2">
      <c r="C807" s="7"/>
      <c r="D807" s="7"/>
      <c r="E807" s="7"/>
    </row>
    <row r="808" spans="3:5" ht="15.75" customHeight="1" x14ac:dyDescent="0.2">
      <c r="C808" s="7"/>
      <c r="D808" s="7"/>
      <c r="E808" s="7"/>
    </row>
    <row r="809" spans="3:5" ht="15.75" customHeight="1" x14ac:dyDescent="0.2">
      <c r="C809" s="7"/>
      <c r="D809" s="7"/>
      <c r="E809" s="7"/>
    </row>
    <row r="810" spans="3:5" ht="15.75" customHeight="1" x14ac:dyDescent="0.2">
      <c r="C810" s="7"/>
      <c r="D810" s="7"/>
      <c r="E810" s="7"/>
    </row>
    <row r="811" spans="3:5" ht="15.75" customHeight="1" x14ac:dyDescent="0.2">
      <c r="C811" s="7"/>
      <c r="D811" s="7"/>
      <c r="E811" s="7"/>
    </row>
    <row r="812" spans="3:5" ht="15.75" customHeight="1" x14ac:dyDescent="0.2">
      <c r="C812" s="7"/>
      <c r="D812" s="7"/>
      <c r="E812" s="7"/>
    </row>
    <row r="813" spans="3:5" ht="15.75" customHeight="1" x14ac:dyDescent="0.2">
      <c r="C813" s="7"/>
      <c r="D813" s="7"/>
      <c r="E813" s="7"/>
    </row>
    <row r="814" spans="3:5" ht="15.75" customHeight="1" x14ac:dyDescent="0.2">
      <c r="C814" s="7"/>
      <c r="D814" s="7"/>
      <c r="E814" s="7"/>
    </row>
    <row r="815" spans="3:5" ht="15.75" customHeight="1" x14ac:dyDescent="0.2">
      <c r="C815" s="7"/>
      <c r="D815" s="7"/>
      <c r="E815" s="7"/>
    </row>
    <row r="816" spans="3:5" ht="15.75" customHeight="1" x14ac:dyDescent="0.2">
      <c r="C816" s="7"/>
      <c r="D816" s="7"/>
      <c r="E816" s="7"/>
    </row>
    <row r="817" spans="3:5" ht="15.75" customHeight="1" x14ac:dyDescent="0.2">
      <c r="C817" s="7"/>
      <c r="D817" s="7"/>
      <c r="E817" s="7"/>
    </row>
    <row r="818" spans="3:5" ht="15.75" customHeight="1" x14ac:dyDescent="0.2">
      <c r="C818" s="7"/>
      <c r="D818" s="7"/>
      <c r="E818" s="7"/>
    </row>
    <row r="819" spans="3:5" ht="15.75" customHeight="1" x14ac:dyDescent="0.2">
      <c r="C819" s="7"/>
      <c r="D819" s="7"/>
      <c r="E819" s="7"/>
    </row>
    <row r="820" spans="3:5" ht="15.75" customHeight="1" x14ac:dyDescent="0.2">
      <c r="C820" s="7"/>
      <c r="D820" s="7"/>
      <c r="E820" s="7"/>
    </row>
    <row r="821" spans="3:5" ht="15.75" customHeight="1" x14ac:dyDescent="0.2">
      <c r="C821" s="7"/>
      <c r="D821" s="7"/>
      <c r="E821" s="7"/>
    </row>
    <row r="822" spans="3:5" ht="15.75" customHeight="1" x14ac:dyDescent="0.2">
      <c r="C822" s="7"/>
      <c r="D822" s="7"/>
      <c r="E822" s="7"/>
    </row>
    <row r="823" spans="3:5" ht="15.75" customHeight="1" x14ac:dyDescent="0.2">
      <c r="C823" s="7"/>
      <c r="D823" s="7"/>
      <c r="E823" s="7"/>
    </row>
    <row r="824" spans="3:5" ht="15.75" customHeight="1" x14ac:dyDescent="0.2">
      <c r="C824" s="7"/>
      <c r="D824" s="7"/>
      <c r="E824" s="7"/>
    </row>
    <row r="825" spans="3:5" ht="15.75" customHeight="1" x14ac:dyDescent="0.2">
      <c r="C825" s="7"/>
      <c r="D825" s="7"/>
      <c r="E825" s="7"/>
    </row>
    <row r="826" spans="3:5" ht="15.75" customHeight="1" x14ac:dyDescent="0.2">
      <c r="C826" s="7"/>
      <c r="D826" s="7"/>
      <c r="E826" s="7"/>
    </row>
    <row r="827" spans="3:5" ht="15.75" customHeight="1" x14ac:dyDescent="0.2">
      <c r="C827" s="7"/>
      <c r="D827" s="7"/>
      <c r="E827" s="7"/>
    </row>
    <row r="828" spans="3:5" ht="15.75" customHeight="1" x14ac:dyDescent="0.2">
      <c r="C828" s="7"/>
      <c r="D828" s="7"/>
      <c r="E828" s="7"/>
    </row>
    <row r="829" spans="3:5" ht="15.75" customHeight="1" x14ac:dyDescent="0.2">
      <c r="C829" s="7"/>
      <c r="D829" s="7"/>
      <c r="E829" s="7"/>
    </row>
    <row r="830" spans="3:5" ht="15.75" customHeight="1" x14ac:dyDescent="0.2">
      <c r="C830" s="7"/>
      <c r="D830" s="7"/>
      <c r="E830" s="7"/>
    </row>
    <row r="831" spans="3:5" ht="15.75" customHeight="1" x14ac:dyDescent="0.2">
      <c r="C831" s="7"/>
      <c r="D831" s="7"/>
      <c r="E831" s="7"/>
    </row>
    <row r="832" spans="3:5" ht="15.75" customHeight="1" x14ac:dyDescent="0.2">
      <c r="C832" s="7"/>
      <c r="D832" s="7"/>
      <c r="E832" s="7"/>
    </row>
    <row r="833" spans="3:5" ht="15.75" customHeight="1" x14ac:dyDescent="0.2">
      <c r="C833" s="7"/>
      <c r="D833" s="7"/>
      <c r="E833" s="7"/>
    </row>
    <row r="834" spans="3:5" ht="15.75" customHeight="1" x14ac:dyDescent="0.2">
      <c r="C834" s="7"/>
      <c r="D834" s="7"/>
      <c r="E834" s="7"/>
    </row>
    <row r="835" spans="3:5" ht="15.75" customHeight="1" x14ac:dyDescent="0.2">
      <c r="C835" s="7"/>
      <c r="D835" s="7"/>
      <c r="E835" s="7"/>
    </row>
    <row r="836" spans="3:5" ht="15.75" customHeight="1" x14ac:dyDescent="0.2">
      <c r="C836" s="7"/>
      <c r="D836" s="7"/>
      <c r="E836" s="7"/>
    </row>
    <row r="837" spans="3:5" ht="15.75" customHeight="1" x14ac:dyDescent="0.2">
      <c r="C837" s="7"/>
      <c r="D837" s="7"/>
      <c r="E837" s="7"/>
    </row>
    <row r="838" spans="3:5" ht="15.75" customHeight="1" x14ac:dyDescent="0.2">
      <c r="C838" s="7"/>
      <c r="D838" s="7"/>
      <c r="E838" s="7"/>
    </row>
    <row r="839" spans="3:5" ht="15.75" customHeight="1" x14ac:dyDescent="0.2">
      <c r="C839" s="7"/>
      <c r="D839" s="7"/>
      <c r="E839" s="7"/>
    </row>
    <row r="840" spans="3:5" ht="15.75" customHeight="1" x14ac:dyDescent="0.2">
      <c r="C840" s="7"/>
      <c r="D840" s="7"/>
      <c r="E840" s="7"/>
    </row>
    <row r="841" spans="3:5" ht="15.75" customHeight="1" x14ac:dyDescent="0.2">
      <c r="C841" s="7"/>
      <c r="D841" s="7"/>
      <c r="E841" s="7"/>
    </row>
    <row r="842" spans="3:5" ht="15.75" customHeight="1" x14ac:dyDescent="0.2">
      <c r="C842" s="7"/>
      <c r="D842" s="7"/>
      <c r="E842" s="7"/>
    </row>
    <row r="843" spans="3:5" ht="15.75" customHeight="1" x14ac:dyDescent="0.2">
      <c r="C843" s="7"/>
      <c r="D843" s="7"/>
      <c r="E843" s="7"/>
    </row>
    <row r="844" spans="3:5" ht="15.75" customHeight="1" x14ac:dyDescent="0.2">
      <c r="C844" s="7"/>
      <c r="D844" s="7"/>
      <c r="E844" s="7"/>
    </row>
    <row r="845" spans="3:5" ht="15.75" customHeight="1" x14ac:dyDescent="0.2">
      <c r="C845" s="7"/>
      <c r="D845" s="7"/>
      <c r="E845" s="7"/>
    </row>
    <row r="846" spans="3:5" ht="15.75" customHeight="1" x14ac:dyDescent="0.2">
      <c r="C846" s="7"/>
      <c r="D846" s="7"/>
      <c r="E846" s="7"/>
    </row>
    <row r="847" spans="3:5" ht="15.75" customHeight="1" x14ac:dyDescent="0.2">
      <c r="C847" s="7"/>
      <c r="D847" s="7"/>
      <c r="E847" s="7"/>
    </row>
    <row r="848" spans="3:5" ht="15.75" customHeight="1" x14ac:dyDescent="0.2">
      <c r="C848" s="7"/>
      <c r="D848" s="7"/>
      <c r="E848" s="7"/>
    </row>
    <row r="849" spans="3:5" ht="15.75" customHeight="1" x14ac:dyDescent="0.2">
      <c r="C849" s="7"/>
      <c r="D849" s="7"/>
      <c r="E849" s="7"/>
    </row>
    <row r="850" spans="3:5" ht="15.75" customHeight="1" x14ac:dyDescent="0.2">
      <c r="C850" s="7"/>
      <c r="D850" s="7"/>
      <c r="E850" s="7"/>
    </row>
    <row r="851" spans="3:5" ht="15.75" customHeight="1" x14ac:dyDescent="0.2">
      <c r="C851" s="7"/>
      <c r="D851" s="7"/>
      <c r="E851" s="7"/>
    </row>
    <row r="852" spans="3:5" ht="15.75" customHeight="1" x14ac:dyDescent="0.2">
      <c r="C852" s="7"/>
      <c r="D852" s="7"/>
      <c r="E852" s="7"/>
    </row>
    <row r="853" spans="3:5" ht="15.75" customHeight="1" x14ac:dyDescent="0.2">
      <c r="C853" s="7"/>
      <c r="D853" s="7"/>
      <c r="E853" s="7"/>
    </row>
    <row r="854" spans="3:5" ht="15.75" customHeight="1" x14ac:dyDescent="0.2">
      <c r="C854" s="7"/>
      <c r="D854" s="7"/>
      <c r="E854" s="7"/>
    </row>
    <row r="855" spans="3:5" ht="15.75" customHeight="1" x14ac:dyDescent="0.2">
      <c r="C855" s="7"/>
      <c r="D855" s="7"/>
      <c r="E855" s="7"/>
    </row>
    <row r="856" spans="3:5" ht="15.75" customHeight="1" x14ac:dyDescent="0.2">
      <c r="C856" s="7"/>
      <c r="D856" s="7"/>
      <c r="E856" s="7"/>
    </row>
    <row r="857" spans="3:5" ht="15.75" customHeight="1" x14ac:dyDescent="0.2">
      <c r="C857" s="7"/>
      <c r="D857" s="7"/>
      <c r="E857" s="7"/>
    </row>
    <row r="858" spans="3:5" ht="15.75" customHeight="1" x14ac:dyDescent="0.2">
      <c r="C858" s="7"/>
      <c r="D858" s="7"/>
      <c r="E858" s="7"/>
    </row>
    <row r="859" spans="3:5" ht="15.75" customHeight="1" x14ac:dyDescent="0.2">
      <c r="C859" s="7"/>
      <c r="D859" s="7"/>
      <c r="E859" s="7"/>
    </row>
    <row r="860" spans="3:5" ht="15.75" customHeight="1" x14ac:dyDescent="0.2">
      <c r="C860" s="7"/>
      <c r="D860" s="7"/>
      <c r="E860" s="7"/>
    </row>
    <row r="861" spans="3:5" ht="15.75" customHeight="1" x14ac:dyDescent="0.2">
      <c r="C861" s="7"/>
      <c r="D861" s="7"/>
      <c r="E861" s="7"/>
    </row>
    <row r="862" spans="3:5" ht="15.75" customHeight="1" x14ac:dyDescent="0.2">
      <c r="C862" s="7"/>
      <c r="D862" s="7"/>
      <c r="E862" s="7"/>
    </row>
    <row r="863" spans="3:5" ht="15.75" customHeight="1" x14ac:dyDescent="0.2">
      <c r="C863" s="7"/>
      <c r="D863" s="7"/>
      <c r="E863" s="7"/>
    </row>
    <row r="864" spans="3:5" ht="15.75" customHeight="1" x14ac:dyDescent="0.2">
      <c r="C864" s="7"/>
      <c r="D864" s="7"/>
      <c r="E864" s="7"/>
    </row>
    <row r="865" spans="3:5" ht="15.75" customHeight="1" x14ac:dyDescent="0.2">
      <c r="C865" s="7"/>
      <c r="D865" s="7"/>
      <c r="E865" s="7"/>
    </row>
    <row r="866" spans="3:5" ht="15.75" customHeight="1" x14ac:dyDescent="0.2">
      <c r="C866" s="7"/>
      <c r="D866" s="7"/>
      <c r="E866" s="7"/>
    </row>
    <row r="867" spans="3:5" ht="15.75" customHeight="1" x14ac:dyDescent="0.2">
      <c r="C867" s="7"/>
      <c r="D867" s="7"/>
      <c r="E867" s="7"/>
    </row>
    <row r="868" spans="3:5" ht="15.75" customHeight="1" x14ac:dyDescent="0.2">
      <c r="C868" s="7"/>
      <c r="D868" s="7"/>
      <c r="E868" s="7"/>
    </row>
    <row r="869" spans="3:5" ht="15.75" customHeight="1" x14ac:dyDescent="0.2">
      <c r="C869" s="7"/>
      <c r="D869" s="7"/>
      <c r="E869" s="7"/>
    </row>
    <row r="870" spans="3:5" ht="15.75" customHeight="1" x14ac:dyDescent="0.2">
      <c r="C870" s="7"/>
      <c r="D870" s="7"/>
      <c r="E870" s="7"/>
    </row>
    <row r="871" spans="3:5" ht="15.75" customHeight="1" x14ac:dyDescent="0.2">
      <c r="C871" s="7"/>
      <c r="D871" s="7"/>
      <c r="E871" s="7"/>
    </row>
    <row r="872" spans="3:5" ht="15.75" customHeight="1" x14ac:dyDescent="0.2">
      <c r="C872" s="7"/>
      <c r="D872" s="7"/>
      <c r="E872" s="7"/>
    </row>
    <row r="873" spans="3:5" ht="15.75" customHeight="1" x14ac:dyDescent="0.2">
      <c r="C873" s="7"/>
      <c r="D873" s="7"/>
      <c r="E873" s="7"/>
    </row>
    <row r="874" spans="3:5" ht="15.75" customHeight="1" x14ac:dyDescent="0.2">
      <c r="C874" s="7"/>
      <c r="D874" s="7"/>
      <c r="E874" s="7"/>
    </row>
    <row r="875" spans="3:5" ht="15.75" customHeight="1" x14ac:dyDescent="0.2">
      <c r="C875" s="7"/>
      <c r="D875" s="7"/>
      <c r="E875" s="7"/>
    </row>
    <row r="876" spans="3:5" ht="15.75" customHeight="1" x14ac:dyDescent="0.2">
      <c r="C876" s="7"/>
      <c r="D876" s="7"/>
      <c r="E876" s="7"/>
    </row>
    <row r="877" spans="3:5" ht="15.75" customHeight="1" x14ac:dyDescent="0.2">
      <c r="C877" s="7"/>
      <c r="D877" s="7"/>
      <c r="E877" s="7"/>
    </row>
    <row r="878" spans="3:5" ht="15.75" customHeight="1" x14ac:dyDescent="0.2">
      <c r="C878" s="7"/>
      <c r="D878" s="7"/>
      <c r="E878" s="7"/>
    </row>
    <row r="879" spans="3:5" ht="15.75" customHeight="1" x14ac:dyDescent="0.2">
      <c r="C879" s="7"/>
      <c r="D879" s="7"/>
      <c r="E879" s="7"/>
    </row>
    <row r="880" spans="3:5" ht="15.75" customHeight="1" x14ac:dyDescent="0.2">
      <c r="C880" s="7"/>
      <c r="D880" s="7"/>
      <c r="E880" s="7"/>
    </row>
    <row r="881" spans="3:5" ht="15.75" customHeight="1" x14ac:dyDescent="0.2">
      <c r="C881" s="7"/>
      <c r="D881" s="7"/>
      <c r="E881" s="7"/>
    </row>
    <row r="882" spans="3:5" ht="15.75" customHeight="1" x14ac:dyDescent="0.2">
      <c r="C882" s="7"/>
      <c r="D882" s="7"/>
      <c r="E882" s="7"/>
    </row>
    <row r="883" spans="3:5" ht="15.75" customHeight="1" x14ac:dyDescent="0.2">
      <c r="C883" s="7"/>
      <c r="D883" s="7"/>
      <c r="E883" s="7"/>
    </row>
    <row r="884" spans="3:5" ht="15.75" customHeight="1" x14ac:dyDescent="0.2">
      <c r="C884" s="7"/>
      <c r="D884" s="7"/>
      <c r="E884" s="7"/>
    </row>
    <row r="885" spans="3:5" ht="15.75" customHeight="1" x14ac:dyDescent="0.2">
      <c r="C885" s="7"/>
      <c r="D885" s="7"/>
      <c r="E885" s="7"/>
    </row>
    <row r="886" spans="3:5" ht="15.75" customHeight="1" x14ac:dyDescent="0.2">
      <c r="C886" s="7"/>
      <c r="D886" s="7"/>
      <c r="E886" s="7"/>
    </row>
    <row r="887" spans="3:5" ht="15.75" customHeight="1" x14ac:dyDescent="0.2">
      <c r="C887" s="7"/>
      <c r="D887" s="7"/>
      <c r="E887" s="7"/>
    </row>
    <row r="888" spans="3:5" ht="15.75" customHeight="1" x14ac:dyDescent="0.2">
      <c r="C888" s="7"/>
      <c r="D888" s="7"/>
      <c r="E888" s="7"/>
    </row>
    <row r="889" spans="3:5" ht="15.75" customHeight="1" x14ac:dyDescent="0.2">
      <c r="C889" s="7"/>
      <c r="D889" s="7"/>
      <c r="E889" s="7"/>
    </row>
    <row r="890" spans="3:5" ht="15.75" customHeight="1" x14ac:dyDescent="0.2">
      <c r="C890" s="7"/>
      <c r="D890" s="7"/>
      <c r="E890" s="7"/>
    </row>
    <row r="891" spans="3:5" ht="15.75" customHeight="1" x14ac:dyDescent="0.2">
      <c r="C891" s="7"/>
      <c r="D891" s="7"/>
      <c r="E891" s="7"/>
    </row>
    <row r="892" spans="3:5" ht="15.75" customHeight="1" x14ac:dyDescent="0.2">
      <c r="C892" s="7"/>
      <c r="D892" s="7"/>
      <c r="E892" s="7"/>
    </row>
    <row r="893" spans="3:5" ht="15.75" customHeight="1" x14ac:dyDescent="0.2">
      <c r="C893" s="7"/>
      <c r="D893" s="7"/>
      <c r="E893" s="7"/>
    </row>
    <row r="894" spans="3:5" ht="15.75" customHeight="1" x14ac:dyDescent="0.2">
      <c r="C894" s="7"/>
      <c r="D894" s="7"/>
      <c r="E894" s="7"/>
    </row>
    <row r="895" spans="3:5" ht="15.75" customHeight="1" x14ac:dyDescent="0.2">
      <c r="C895" s="7"/>
      <c r="D895" s="7"/>
      <c r="E895" s="7"/>
    </row>
    <row r="896" spans="3:5" ht="15.75" customHeight="1" x14ac:dyDescent="0.2">
      <c r="C896" s="7"/>
      <c r="D896" s="7"/>
      <c r="E896" s="7"/>
    </row>
    <row r="897" spans="3:5" ht="15.75" customHeight="1" x14ac:dyDescent="0.2">
      <c r="C897" s="7"/>
      <c r="D897" s="7"/>
      <c r="E897" s="7"/>
    </row>
    <row r="898" spans="3:5" ht="15.75" customHeight="1" x14ac:dyDescent="0.2">
      <c r="C898" s="7"/>
      <c r="D898" s="7"/>
      <c r="E898" s="7"/>
    </row>
    <row r="899" spans="3:5" ht="15.75" customHeight="1" x14ac:dyDescent="0.2">
      <c r="C899" s="7"/>
      <c r="D899" s="7"/>
      <c r="E899" s="7"/>
    </row>
    <row r="900" spans="3:5" ht="15.75" customHeight="1" x14ac:dyDescent="0.2">
      <c r="C900" s="7"/>
      <c r="D900" s="7"/>
      <c r="E900" s="7"/>
    </row>
    <row r="901" spans="3:5" ht="15.75" customHeight="1" x14ac:dyDescent="0.2">
      <c r="C901" s="7"/>
      <c r="D901" s="7"/>
      <c r="E901" s="7"/>
    </row>
    <row r="902" spans="3:5" ht="15.75" customHeight="1" x14ac:dyDescent="0.2">
      <c r="C902" s="7"/>
      <c r="D902" s="7"/>
      <c r="E902" s="7"/>
    </row>
    <row r="903" spans="3:5" ht="15.75" customHeight="1" x14ac:dyDescent="0.2">
      <c r="C903" s="7"/>
      <c r="D903" s="7"/>
      <c r="E903" s="7"/>
    </row>
    <row r="904" spans="3:5" ht="15.75" customHeight="1" x14ac:dyDescent="0.2">
      <c r="C904" s="7"/>
      <c r="D904" s="7"/>
      <c r="E904" s="7"/>
    </row>
    <row r="905" spans="3:5" ht="15.75" customHeight="1" x14ac:dyDescent="0.2">
      <c r="C905" s="7"/>
      <c r="D905" s="7"/>
      <c r="E905" s="7"/>
    </row>
    <row r="906" spans="3:5" ht="15.75" customHeight="1" x14ac:dyDescent="0.2">
      <c r="C906" s="7"/>
      <c r="D906" s="7"/>
      <c r="E906" s="7"/>
    </row>
    <row r="907" spans="3:5" ht="15.75" customHeight="1" x14ac:dyDescent="0.2">
      <c r="C907" s="7"/>
      <c r="D907" s="7"/>
      <c r="E907" s="7"/>
    </row>
    <row r="908" spans="3:5" ht="15.75" customHeight="1" x14ac:dyDescent="0.2">
      <c r="C908" s="7"/>
      <c r="D908" s="7"/>
      <c r="E908" s="7"/>
    </row>
    <row r="909" spans="3:5" ht="15.75" customHeight="1" x14ac:dyDescent="0.2">
      <c r="C909" s="7"/>
      <c r="D909" s="7"/>
      <c r="E909" s="7"/>
    </row>
    <row r="910" spans="3:5" ht="15.75" customHeight="1" x14ac:dyDescent="0.2">
      <c r="C910" s="7"/>
      <c r="D910" s="7"/>
      <c r="E910" s="7"/>
    </row>
    <row r="911" spans="3:5" ht="15.75" customHeight="1" x14ac:dyDescent="0.2">
      <c r="C911" s="7"/>
      <c r="D911" s="7"/>
      <c r="E911" s="7"/>
    </row>
    <row r="912" spans="3:5" ht="15.75" customHeight="1" x14ac:dyDescent="0.2">
      <c r="C912" s="7"/>
      <c r="D912" s="7"/>
      <c r="E912" s="7"/>
    </row>
    <row r="913" spans="3:5" ht="15.75" customHeight="1" x14ac:dyDescent="0.2">
      <c r="C913" s="7"/>
      <c r="D913" s="7"/>
      <c r="E913" s="7"/>
    </row>
    <row r="914" spans="3:5" ht="15.75" customHeight="1" x14ac:dyDescent="0.2">
      <c r="C914" s="7"/>
      <c r="D914" s="7"/>
      <c r="E914" s="7"/>
    </row>
    <row r="915" spans="3:5" ht="15.75" customHeight="1" x14ac:dyDescent="0.2">
      <c r="C915" s="7"/>
      <c r="D915" s="7"/>
      <c r="E915" s="7"/>
    </row>
    <row r="916" spans="3:5" ht="15.75" customHeight="1" x14ac:dyDescent="0.2">
      <c r="C916" s="7"/>
      <c r="D916" s="7"/>
      <c r="E916" s="7"/>
    </row>
    <row r="917" spans="3:5" ht="15.75" customHeight="1" x14ac:dyDescent="0.2">
      <c r="C917" s="7"/>
      <c r="D917" s="7"/>
      <c r="E917" s="7"/>
    </row>
    <row r="918" spans="3:5" ht="15.75" customHeight="1" x14ac:dyDescent="0.2">
      <c r="C918" s="7"/>
      <c r="D918" s="7"/>
      <c r="E918" s="7"/>
    </row>
    <row r="919" spans="3:5" ht="15.75" customHeight="1" x14ac:dyDescent="0.2">
      <c r="C919" s="7"/>
      <c r="D919" s="7"/>
      <c r="E919" s="7"/>
    </row>
    <row r="920" spans="3:5" ht="15.75" customHeight="1" x14ac:dyDescent="0.2">
      <c r="C920" s="7"/>
      <c r="D920" s="7"/>
      <c r="E920" s="7"/>
    </row>
    <row r="921" spans="3:5" ht="15.75" customHeight="1" x14ac:dyDescent="0.2">
      <c r="C921" s="7"/>
      <c r="D921" s="7"/>
      <c r="E921" s="7"/>
    </row>
    <row r="922" spans="3:5" ht="15.75" customHeight="1" x14ac:dyDescent="0.2">
      <c r="C922" s="7"/>
      <c r="D922" s="7"/>
      <c r="E922" s="7"/>
    </row>
    <row r="923" spans="3:5" ht="15.75" customHeight="1" x14ac:dyDescent="0.2">
      <c r="C923" s="7"/>
      <c r="D923" s="7"/>
      <c r="E923" s="7"/>
    </row>
    <row r="924" spans="3:5" ht="15.75" customHeight="1" x14ac:dyDescent="0.2">
      <c r="C924" s="7"/>
      <c r="D924" s="7"/>
      <c r="E924" s="7"/>
    </row>
    <row r="925" spans="3:5" ht="15.75" customHeight="1" x14ac:dyDescent="0.2">
      <c r="C925" s="7"/>
      <c r="D925" s="7"/>
      <c r="E925" s="7"/>
    </row>
    <row r="926" spans="3:5" ht="15.75" customHeight="1" x14ac:dyDescent="0.2">
      <c r="C926" s="7"/>
      <c r="D926" s="7"/>
      <c r="E926" s="7"/>
    </row>
    <row r="927" spans="3:5" ht="15.75" customHeight="1" x14ac:dyDescent="0.2">
      <c r="C927" s="7"/>
      <c r="D927" s="7"/>
      <c r="E927" s="7"/>
    </row>
    <row r="928" spans="3:5" ht="15.75" customHeight="1" x14ac:dyDescent="0.2">
      <c r="C928" s="7"/>
      <c r="D928" s="7"/>
      <c r="E928" s="7"/>
    </row>
    <row r="929" spans="3:5" ht="15.75" customHeight="1" x14ac:dyDescent="0.2">
      <c r="C929" s="7"/>
      <c r="D929" s="7"/>
      <c r="E929" s="7"/>
    </row>
    <row r="930" spans="3:5" ht="15.75" customHeight="1" x14ac:dyDescent="0.2">
      <c r="C930" s="7"/>
      <c r="D930" s="7"/>
      <c r="E930" s="7"/>
    </row>
    <row r="931" spans="3:5" ht="15.75" customHeight="1" x14ac:dyDescent="0.2">
      <c r="C931" s="7"/>
      <c r="D931" s="7"/>
      <c r="E931" s="7"/>
    </row>
    <row r="932" spans="3:5" ht="15.75" customHeight="1" x14ac:dyDescent="0.2">
      <c r="C932" s="7"/>
      <c r="D932" s="7"/>
      <c r="E932" s="7"/>
    </row>
    <row r="933" spans="3:5" ht="15.75" customHeight="1" x14ac:dyDescent="0.2">
      <c r="C933" s="7"/>
      <c r="D933" s="7"/>
      <c r="E933" s="7"/>
    </row>
    <row r="934" spans="3:5" ht="15.75" customHeight="1" x14ac:dyDescent="0.2">
      <c r="C934" s="7"/>
      <c r="D934" s="7"/>
      <c r="E934" s="7"/>
    </row>
    <row r="935" spans="3:5" ht="15.75" customHeight="1" x14ac:dyDescent="0.2">
      <c r="C935" s="7"/>
      <c r="D935" s="7"/>
      <c r="E935" s="7"/>
    </row>
    <row r="936" spans="3:5" ht="15.75" customHeight="1" x14ac:dyDescent="0.2">
      <c r="C936" s="7"/>
      <c r="D936" s="7"/>
      <c r="E936" s="7"/>
    </row>
    <row r="937" spans="3:5" ht="15.75" customHeight="1" x14ac:dyDescent="0.2">
      <c r="C937" s="7"/>
      <c r="D937" s="7"/>
      <c r="E937" s="7"/>
    </row>
    <row r="938" spans="3:5" ht="15.75" customHeight="1" x14ac:dyDescent="0.2">
      <c r="C938" s="7"/>
      <c r="D938" s="7"/>
      <c r="E938" s="7"/>
    </row>
    <row r="939" spans="3:5" ht="15.75" customHeight="1" x14ac:dyDescent="0.2">
      <c r="C939" s="7"/>
      <c r="D939" s="7"/>
      <c r="E939" s="7"/>
    </row>
    <row r="940" spans="3:5" ht="15.75" customHeight="1" x14ac:dyDescent="0.2">
      <c r="C940" s="7"/>
      <c r="D940" s="7"/>
      <c r="E940" s="7"/>
    </row>
    <row r="941" spans="3:5" ht="15.75" customHeight="1" x14ac:dyDescent="0.2">
      <c r="C941" s="7"/>
      <c r="D941" s="7"/>
      <c r="E941" s="7"/>
    </row>
    <row r="942" spans="3:5" ht="15.75" customHeight="1" x14ac:dyDescent="0.2">
      <c r="C942" s="7"/>
      <c r="D942" s="7"/>
      <c r="E942" s="7"/>
    </row>
    <row r="943" spans="3:5" ht="15.75" customHeight="1" x14ac:dyDescent="0.2">
      <c r="C943" s="7"/>
      <c r="D943" s="7"/>
      <c r="E943" s="7"/>
    </row>
    <row r="944" spans="3:5" ht="15.75" customHeight="1" x14ac:dyDescent="0.2">
      <c r="C944" s="7"/>
      <c r="D944" s="7"/>
      <c r="E944" s="7"/>
    </row>
    <row r="945" spans="3:5" ht="15.75" customHeight="1" x14ac:dyDescent="0.2">
      <c r="C945" s="7"/>
      <c r="D945" s="7"/>
      <c r="E945" s="7"/>
    </row>
    <row r="946" spans="3:5" ht="15.75" customHeight="1" x14ac:dyDescent="0.2">
      <c r="C946" s="7"/>
      <c r="D946" s="7"/>
      <c r="E946" s="7"/>
    </row>
    <row r="947" spans="3:5" ht="15.75" customHeight="1" x14ac:dyDescent="0.2">
      <c r="C947" s="7"/>
      <c r="D947" s="7"/>
      <c r="E947" s="7"/>
    </row>
    <row r="948" spans="3:5" ht="15.75" customHeight="1" x14ac:dyDescent="0.2">
      <c r="C948" s="7"/>
      <c r="D948" s="7"/>
      <c r="E948" s="7"/>
    </row>
    <row r="949" spans="3:5" ht="15.75" customHeight="1" x14ac:dyDescent="0.2">
      <c r="C949" s="7"/>
      <c r="D949" s="7"/>
      <c r="E949" s="7"/>
    </row>
    <row r="950" spans="3:5" ht="15.75" customHeight="1" x14ac:dyDescent="0.2">
      <c r="C950" s="7"/>
      <c r="D950" s="7"/>
      <c r="E950" s="7"/>
    </row>
    <row r="951" spans="3:5" ht="15.75" customHeight="1" x14ac:dyDescent="0.2">
      <c r="C951" s="7"/>
      <c r="D951" s="7"/>
      <c r="E951" s="7"/>
    </row>
    <row r="952" spans="3:5" ht="15.75" customHeight="1" x14ac:dyDescent="0.2">
      <c r="C952" s="7"/>
      <c r="D952" s="7"/>
      <c r="E952" s="7"/>
    </row>
    <row r="953" spans="3:5" ht="15.75" customHeight="1" x14ac:dyDescent="0.2">
      <c r="C953" s="7"/>
      <c r="D953" s="7"/>
      <c r="E953" s="7"/>
    </row>
    <row r="954" spans="3:5" ht="15.75" customHeight="1" x14ac:dyDescent="0.2">
      <c r="C954" s="7"/>
      <c r="D954" s="7"/>
      <c r="E954" s="7"/>
    </row>
    <row r="955" spans="3:5" ht="15.75" customHeight="1" x14ac:dyDescent="0.2">
      <c r="C955" s="7"/>
      <c r="D955" s="7"/>
      <c r="E955" s="7"/>
    </row>
    <row r="956" spans="3:5" ht="15.75" customHeight="1" x14ac:dyDescent="0.2">
      <c r="C956" s="7"/>
      <c r="D956" s="7"/>
      <c r="E956" s="7"/>
    </row>
    <row r="957" spans="3:5" ht="15.75" customHeight="1" x14ac:dyDescent="0.2">
      <c r="C957" s="7"/>
      <c r="D957" s="7"/>
      <c r="E957" s="7"/>
    </row>
    <row r="958" spans="3:5" ht="15.75" customHeight="1" x14ac:dyDescent="0.2">
      <c r="C958" s="7"/>
      <c r="D958" s="7"/>
      <c r="E958" s="7"/>
    </row>
    <row r="959" spans="3:5" ht="15.75" customHeight="1" x14ac:dyDescent="0.2">
      <c r="C959" s="7"/>
      <c r="D959" s="7"/>
      <c r="E959" s="7"/>
    </row>
    <row r="960" spans="3:5" ht="15.75" customHeight="1" x14ac:dyDescent="0.2">
      <c r="C960" s="7"/>
      <c r="D960" s="7"/>
      <c r="E960" s="7"/>
    </row>
    <row r="961" spans="3:5" ht="15.75" customHeight="1" x14ac:dyDescent="0.2">
      <c r="C961" s="7"/>
      <c r="D961" s="7"/>
      <c r="E961" s="7"/>
    </row>
    <row r="962" spans="3:5" ht="15.75" customHeight="1" x14ac:dyDescent="0.2">
      <c r="C962" s="7"/>
      <c r="D962" s="7"/>
      <c r="E962" s="7"/>
    </row>
    <row r="963" spans="3:5" ht="15.75" customHeight="1" x14ac:dyDescent="0.2">
      <c r="C963" s="7"/>
      <c r="D963" s="7"/>
      <c r="E963" s="7"/>
    </row>
    <row r="964" spans="3:5" ht="15.75" customHeight="1" x14ac:dyDescent="0.2">
      <c r="C964" s="7"/>
      <c r="D964" s="7"/>
      <c r="E964" s="7"/>
    </row>
    <row r="965" spans="3:5" ht="15.75" customHeight="1" x14ac:dyDescent="0.2">
      <c r="C965" s="7"/>
      <c r="D965" s="7"/>
      <c r="E965" s="7"/>
    </row>
    <row r="966" spans="3:5" ht="15.75" customHeight="1" x14ac:dyDescent="0.2">
      <c r="C966" s="7"/>
      <c r="D966" s="7"/>
      <c r="E966" s="7"/>
    </row>
    <row r="967" spans="3:5" ht="15.75" customHeight="1" x14ac:dyDescent="0.2">
      <c r="C967" s="7"/>
      <c r="D967" s="7"/>
      <c r="E967" s="7"/>
    </row>
    <row r="968" spans="3:5" ht="15.75" customHeight="1" x14ac:dyDescent="0.2">
      <c r="C968" s="7"/>
      <c r="D968" s="7"/>
      <c r="E968" s="7"/>
    </row>
    <row r="969" spans="3:5" ht="15.75" customHeight="1" x14ac:dyDescent="0.2">
      <c r="C969" s="7"/>
      <c r="D969" s="7"/>
      <c r="E969" s="7"/>
    </row>
    <row r="970" spans="3:5" ht="15.75" customHeight="1" x14ac:dyDescent="0.2">
      <c r="C970" s="7"/>
      <c r="D970" s="7"/>
      <c r="E970" s="7"/>
    </row>
    <row r="971" spans="3:5" ht="15.75" customHeight="1" x14ac:dyDescent="0.2">
      <c r="C971" s="7"/>
      <c r="D971" s="7"/>
      <c r="E971" s="7"/>
    </row>
    <row r="972" spans="3:5" ht="15.75" customHeight="1" x14ac:dyDescent="0.2">
      <c r="C972" s="7"/>
      <c r="D972" s="7"/>
      <c r="E972" s="7"/>
    </row>
    <row r="973" spans="3:5" ht="15.75" customHeight="1" x14ac:dyDescent="0.2">
      <c r="C973" s="7"/>
      <c r="D973" s="7"/>
      <c r="E973" s="7"/>
    </row>
    <row r="974" spans="3:5" ht="15.75" customHeight="1" x14ac:dyDescent="0.2">
      <c r="C974" s="7"/>
      <c r="D974" s="7"/>
      <c r="E974" s="7"/>
    </row>
    <row r="975" spans="3:5" ht="15.75" customHeight="1" x14ac:dyDescent="0.2">
      <c r="C975" s="7"/>
      <c r="D975" s="7"/>
      <c r="E975" s="7"/>
    </row>
    <row r="976" spans="3:5" ht="15.75" customHeight="1" x14ac:dyDescent="0.2">
      <c r="C976" s="7"/>
      <c r="D976" s="7"/>
      <c r="E976" s="7"/>
    </row>
    <row r="977" spans="3:5" ht="15.75" customHeight="1" x14ac:dyDescent="0.2">
      <c r="C977" s="7"/>
      <c r="D977" s="7"/>
      <c r="E977" s="7"/>
    </row>
    <row r="978" spans="3:5" ht="15.75" customHeight="1" x14ac:dyDescent="0.2">
      <c r="C978" s="7"/>
      <c r="D978" s="7"/>
      <c r="E978" s="7"/>
    </row>
    <row r="979" spans="3:5" ht="15.75" customHeight="1" x14ac:dyDescent="0.2">
      <c r="C979" s="7"/>
      <c r="D979" s="7"/>
      <c r="E979" s="7"/>
    </row>
    <row r="980" spans="3:5" ht="15.75" customHeight="1" x14ac:dyDescent="0.2">
      <c r="C980" s="7"/>
      <c r="D980" s="7"/>
      <c r="E980" s="7"/>
    </row>
  </sheetData>
  <mergeCells count="47">
    <mergeCell ref="A57:B57"/>
    <mergeCell ref="C57:F57"/>
    <mergeCell ref="H64:T64"/>
    <mergeCell ref="H65:T65"/>
    <mergeCell ref="A58:B58"/>
    <mergeCell ref="C58:F58"/>
    <mergeCell ref="I58:N58"/>
    <mergeCell ref="Q58:T58"/>
    <mergeCell ref="C60:E60"/>
    <mergeCell ref="I60:L60"/>
    <mergeCell ref="H61:T61"/>
    <mergeCell ref="C50:E50"/>
    <mergeCell ref="I57:N57"/>
    <mergeCell ref="Q57:T57"/>
    <mergeCell ref="J50:T50"/>
    <mergeCell ref="J51:T51"/>
    <mergeCell ref="C54:E54"/>
    <mergeCell ref="I54:N54"/>
    <mergeCell ref="Q54:T54"/>
    <mergeCell ref="C47:E47"/>
    <mergeCell ref="C48:E48"/>
    <mergeCell ref="H48:I48"/>
    <mergeCell ref="J48:T48"/>
    <mergeCell ref="C49:E49"/>
    <mergeCell ref="J49:T49"/>
    <mergeCell ref="B45:I45"/>
    <mergeCell ref="A1:V1"/>
    <mergeCell ref="A2:V2"/>
    <mergeCell ref="A3:V3"/>
    <mergeCell ref="A8:A9"/>
    <mergeCell ref="B8:B9"/>
    <mergeCell ref="D8:D9"/>
    <mergeCell ref="E8:E9"/>
    <mergeCell ref="A19:A28"/>
    <mergeCell ref="A34:A36"/>
    <mergeCell ref="H8:V8"/>
    <mergeCell ref="A18:V18"/>
    <mergeCell ref="A13:V13"/>
    <mergeCell ref="A10:V10"/>
    <mergeCell ref="A37:V37"/>
    <mergeCell ref="F34:F36"/>
    <mergeCell ref="F8:F9"/>
    <mergeCell ref="G8:G9"/>
    <mergeCell ref="A14:A16"/>
    <mergeCell ref="F14:F16"/>
    <mergeCell ref="F19:F28"/>
    <mergeCell ref="G19:G28"/>
  </mergeCells>
  <printOptions horizontalCentered="1"/>
  <pageMargins left="0.34653465346534656" right="0.32673267326732675" top="0.60396039603960394" bottom="0.44554455445544561" header="0" footer="0"/>
  <pageSetup paperSize="5" orientation="landscape"/>
  <rowBreaks count="1" manualBreakCount="1">
    <brk id="17" man="1"/>
  </rowBreaks>
  <colBreaks count="2" manualBreakCount="2">
    <brk man="1"/>
    <brk id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2025 - 1st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Cristina David</cp:lastModifiedBy>
  <dcterms:created xsi:type="dcterms:W3CDTF">2024-01-03T07:55:13Z</dcterms:created>
  <dcterms:modified xsi:type="dcterms:W3CDTF">2025-03-05T03:15:49Z</dcterms:modified>
</cp:coreProperties>
</file>