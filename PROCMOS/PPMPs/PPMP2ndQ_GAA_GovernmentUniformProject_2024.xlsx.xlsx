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st Quarter" sheetId="1" r:id="rId4"/>
    <sheet state="visible" name="2nd Quarter" sheetId="2" r:id="rId5"/>
  </sheets>
  <definedNames/>
  <calcPr/>
</workbook>
</file>

<file path=xl/sharedStrings.xml><?xml version="1.0" encoding="utf-8"?>
<sst xmlns="http://schemas.openxmlformats.org/spreadsheetml/2006/main" count="487" uniqueCount="275">
  <si>
    <t>PROJECT PROCUREMENT MANAGEMENT PLAN (PPMP) 2024</t>
  </si>
  <si>
    <t>For 1st Quarter of CY 2024</t>
  </si>
  <si>
    <t>END-USER/UNIT: OD-TIPS</t>
  </si>
  <si>
    <t>Charged to: Performance Evaluation of the Long and Short Staple Spun Natural Textile Fiber (NTF)-Blended Yarns for RA 9242-Compliance Corporate Dress Apparel (Government Uniform Project)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</si>
  <si>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</si>
  <si>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</si>
  <si>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</si>
  <si>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</si>
  <si>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</si>
  <si>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</si>
  <si>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</si>
  <si>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</si>
  <si>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</si>
  <si>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</si>
  <si>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</si>
  <si>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</si>
  <si>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</si>
  <si>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</si>
  <si>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</si>
  <si>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</si>
  <si>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</si>
  <si>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</si>
  <si>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</si>
  <si>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</si>
  <si>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</si>
  <si>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</si>
  <si>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</si>
  <si>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</si>
  <si>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</si>
  <si>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Air Humidifier with Essential Oil Diffuser</t>
  </si>
  <si>
    <t>5 unit</t>
  </si>
  <si>
    <t>Shopping</t>
  </si>
  <si>
    <t>45days</t>
  </si>
  <si>
    <t>Specifications: 
Type:Ultrasonic Humidifier</t>
  </si>
  <si>
    <t xml:space="preserve">       - Power supply: USB charging
       - LED lights</t>
  </si>
  <si>
    <t xml:space="preserve">       -Certification:CE</t>
  </si>
  <si>
    <t xml:space="preserve">       -Material: ABS + PP + electrical part</t>
  </si>
  <si>
    <t xml:space="preserve">       -Color: White</t>
  </si>
  <si>
    <t xml:space="preserve">       -Capacity: 4000 mL</t>
  </si>
  <si>
    <t>*Automatically turn off without water</t>
  </si>
  <si>
    <t>Water-based essential oil, 1000 mL
      -Fresh bamboo, 
      -Peppermint, 
      -lavender, 
      -eucalyptus, 
      -green tea</t>
  </si>
  <si>
    <t>10 bottles</t>
  </si>
  <si>
    <t>Transporation and Delivery Expenses</t>
  </si>
  <si>
    <t>Courier Fee</t>
  </si>
  <si>
    <t>1 lot</t>
  </si>
  <si>
    <t>CA</t>
  </si>
  <si>
    <t>Transportation Expenses for Competition of Judge and Speaker</t>
  </si>
  <si>
    <t xml:space="preserve"> Dr. Dennis E. Montera</t>
  </si>
  <si>
    <t>Ms. Alma M. Quinto</t>
  </si>
  <si>
    <t xml:space="preserve"> of National Commission of Culture and Arts</t>
  </si>
  <si>
    <t>Representation</t>
  </si>
  <si>
    <t xml:space="preserve">Meals for Handloom Weaving Technical Committee Meeting
</t>
  </si>
  <si>
    <t>40 pax</t>
  </si>
  <si>
    <t>15 days</t>
  </si>
  <si>
    <t>Meals for National Footwear Technical Working Group Meeting</t>
  </si>
  <si>
    <t>50 pax</t>
  </si>
  <si>
    <t>Meals for Innovation Dialogue: Textile Producers</t>
  </si>
  <si>
    <t>Meals Philippine Tropical Fabrics Technical Committee Meeting</t>
  </si>
  <si>
    <t>30 pax</t>
  </si>
  <si>
    <t>Meals Inaugaration of the Meltblown Nonwoven Line, MOA Signing Ceremony - Spunlaid Nonwovens</t>
  </si>
  <si>
    <t>Laboratory Supplies</t>
  </si>
  <si>
    <t>Hydrogen Peroxide, Technical Grade 25 L/cby</t>
  </si>
  <si>
    <t>9 cby</t>
  </si>
  <si>
    <t>Sodium Hydroxide, Liquid 48% 30 kg/cby</t>
  </si>
  <si>
    <t>130 cby</t>
  </si>
  <si>
    <t>Small Value Procurement</t>
  </si>
  <si>
    <t>Sodium Metabisulfite, Technical Grade</t>
  </si>
  <si>
    <t>180 kg</t>
  </si>
  <si>
    <t>Anionic Detergent</t>
  </si>
  <si>
    <t>50 gal</t>
  </si>
  <si>
    <t>Acetic Acid, Technical Grade 20 kg/cby</t>
  </si>
  <si>
    <t>38 cby</t>
  </si>
  <si>
    <t>Other Supplies</t>
  </si>
  <si>
    <r>
      <rPr>
        <rFont val="Arial"/>
        <b/>
        <color theme="1"/>
        <sz val="10.0"/>
      </rPr>
      <t xml:space="preserve">"PAPER CONE 4°20’  
 </t>
    </r>
    <r>
      <rPr>
        <rFont val="Arial"/>
        <b val="0"/>
        <color theme="1"/>
        <sz val="10.0"/>
      </rPr>
      <t xml:space="preserve">Specifications:
 TOP ID: 27 mm ± 1.0 mm
 BOTTOM ID: 59 mm ± 1.0 mm
 LENGTH: 170 mm ± 1.0 mm
 THICKNESS: 2 mm 
 WEIGHT: 40 g ± 2g"
</t>
    </r>
  </si>
  <si>
    <t>5000 pcs</t>
  </si>
  <si>
    <r>
      <rPr>
        <rFont val="Arial"/>
        <b/>
        <color theme="1"/>
        <sz val="10.0"/>
      </rPr>
      <t xml:space="preserve">DECORTICATED PINEAPPLE LEAF FIBERS </t>
    </r>
    <r>
      <rPr>
        <rFont val="Arial"/>
        <color theme="1"/>
        <sz val="10.0"/>
      </rPr>
      <t xml:space="preserve">
 Hawaiian or Formosa Variety
 Note: Including VAT and Delivery to ICYT Bldg., DOST-PTRI
 Bicutan, Taguig City</t>
    </r>
  </si>
  <si>
    <t>1500 kg</t>
  </si>
  <si>
    <t>30 days</t>
  </si>
  <si>
    <r>
      <rPr>
        <rFont val="Arial"/>
        <b/>
        <color theme="1"/>
        <sz val="10.0"/>
      </rPr>
      <t xml:space="preserve">GINNED COTTON FIBER </t>
    </r>
    <r>
      <rPr>
        <rFont val="Arial"/>
        <color theme="1"/>
        <sz val="10.0"/>
      </rPr>
      <t xml:space="preserve">
 Note: Including VAT and Delivery to ICYT Bldg., DOST-PTRI
 Bicutan, Taguig City</t>
    </r>
  </si>
  <si>
    <t>Pineapple-based powerloom woven fabric</t>
  </si>
  <si>
    <t>1100 yards</t>
  </si>
  <si>
    <t>Direct Contracting</t>
  </si>
  <si>
    <t>- at least 5% pineapple fiber content</t>
  </si>
  <si>
    <t>- Assorted Colors</t>
  </si>
  <si>
    <t>- Fabric width: at least 55 inches</t>
  </si>
  <si>
    <t>- 11 rolls at 100 yards per roll</t>
  </si>
  <si>
    <t>Pineapple-based attire</t>
  </si>
  <si>
    <t>1 pc</t>
  </si>
  <si>
    <t xml:space="preserve">Button down woven shirt with cotton and pineaapple leaf fiber </t>
  </si>
  <si>
    <t>PiñaSeda Barong</t>
  </si>
  <si>
    <t>1 set</t>
  </si>
  <si>
    <t>Specifications:</t>
  </si>
  <si>
    <t>- 70% Pina; 30% Silk</t>
  </si>
  <si>
    <t>- Pechera Hand embroidery design</t>
  </si>
  <si>
    <t>For tech demonstration of Shibori Dyeing Technique using nat dyes and for design conceptualization and curation of creative workshop space</t>
  </si>
  <si>
    <t>FUELS, OILS, LUBRICANTS</t>
  </si>
  <si>
    <t>Diesel, 210 L/drum</t>
  </si>
  <si>
    <t>30 drums</t>
  </si>
  <si>
    <t>Other Professional Services</t>
  </si>
  <si>
    <t>ENZYME FINISHING and DYEING of Powerloom woven fabrics</t>
  </si>
  <si>
    <t>Weight: 40.7kgs</t>
  </si>
  <si>
    <t>Warp: 100% Polyester</t>
  </si>
  <si>
    <t>Warp: 70% cotton/ 30% Pineapple Leaf Fiber</t>
  </si>
  <si>
    <t>Shade: White, Beige, Yellow</t>
  </si>
  <si>
    <r>
      <rPr>
        <rFont val="Arial"/>
        <b/>
        <color theme="1"/>
        <sz val="10.0"/>
      </rPr>
      <t xml:space="preserve">Design and Prototype 
</t>
    </r>
    <r>
      <rPr>
        <rFont val="Arial"/>
        <color theme="1"/>
        <sz val="10.0"/>
      </rPr>
      <t>PTF attires for selected government officials
Piña Barong
Barong using PTF
Camisa</t>
    </r>
  </si>
  <si>
    <t xml:space="preserve">
5
1
2</t>
  </si>
  <si>
    <t>Design and Prototype Development</t>
  </si>
  <si>
    <t>12 looks, 20-30 pcs, ready-to-wear apparel made of bamboo and pineapple-based fabrics</t>
  </si>
  <si>
    <t>Professional Services for DOST-PTRI Ambassadors</t>
  </si>
  <si>
    <t>Scientific, Artistic Works</t>
  </si>
  <si>
    <t xml:space="preserve">Yarn dyeing service for cotton </t>
  </si>
  <si>
    <t xml:space="preserve">old rose TCX 17-1518 </t>
  </si>
  <si>
    <t xml:space="preserve">black beauty TCX 19-3911 </t>
  </si>
  <si>
    <t xml:space="preserve">brilliant white TCX 11-4001 </t>
  </si>
  <si>
    <t xml:space="preserve">bamboo (yellow) TCX 14-0740 </t>
  </si>
  <si>
    <t xml:space="preserve">banana palm (green) TCX 18-0230 </t>
  </si>
  <si>
    <t xml:space="preserve">regatta (blue) TCX 18-4039 </t>
  </si>
  <si>
    <t xml:space="preserve">aster purple TCX 17-3826 </t>
  </si>
  <si>
    <t xml:space="preserve">copper tan (orange) TCX 16-1338 </t>
  </si>
  <si>
    <t>Earth red TCX 18-1631</t>
  </si>
  <si>
    <t>*10 kg yarn per color</t>
  </si>
  <si>
    <t>Preventive Maintenance of Airconditioning Units:</t>
  </si>
  <si>
    <t>Koppel Floor Mounted Aircon-General Cleaning (Gallery)
Koppel Wall Mounted Aircon-General Cleaning (Pantry)
LG Wall Mounted Aircon-General Cleaning
LG Wall Mounted Aircon-General Cleaning (Mezzanine)
Koppel Floor Mounted Aircon-General Cleaning (TIPS)
Koppel Wall Mounted Aircon-General Cleaning (TIPS)</t>
  </si>
  <si>
    <t>Automatic glass door repair (gallery)</t>
  </si>
  <si>
    <t>Embroidery Design and Production</t>
  </si>
  <si>
    <t>Two new design using Philippine motifs</t>
  </si>
  <si>
    <t>On 100 yards Silk fabric</t>
  </si>
  <si>
    <t>Sewing of PTF blazers for exhibitors</t>
  </si>
  <si>
    <t>4 pcs</t>
  </si>
  <si>
    <t>Opened Pineapple Fibers</t>
  </si>
  <si>
    <t>TELArawan: Photography Contest</t>
  </si>
  <si>
    <t xml:space="preserve">1 lot </t>
  </si>
  <si>
    <t>- DOST Pick Award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</si>
  <si>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</si>
  <si>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</si>
  <si>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</si>
  <si>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</si>
  <si>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</si>
  <si>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</si>
  <si>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</si>
  <si>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</si>
  <si>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</si>
  <si>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</si>
  <si>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</si>
  <si>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</si>
  <si>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</si>
  <si>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</si>
  <si>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</si>
  <si>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</si>
  <si>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2nd Quarter of CY 2024</t>
  </si>
  <si>
    <t xml:space="preserve">April </t>
  </si>
  <si>
    <t>May</t>
  </si>
  <si>
    <t>June</t>
  </si>
  <si>
    <t>Video Meeting Camera
Still image: 1280 x 960 1.2MP (True)
Image sensor: 1/6""CMOS, 640×480 Pixels (350K Pixels)
Framerate: 30fps at VGA Mode
Lens: 4.0 mm
View angle: 60°
Microphone: Built-in, Noise Suppression
Computer interface: USB 2.0"</t>
  </si>
  <si>
    <t>15 pcs</t>
  </si>
  <si>
    <t>45 days</t>
  </si>
  <si>
    <t>Audio Headset with Microphone
Cable length: 2.4 m
USB-A connector
Noise Cancelling Mic
Adjustable Headband</t>
  </si>
  <si>
    <t>Office Desk
Top Panel: 25 mm MFC board with PVC banding
Side Panels: 18 mm MFC board with PVC banding
Comes with 2 wire management holes
With leveling glides to keep it steady
Dimensions: 120 (W) x 60(D) x 75(H) cm
Color: Beech/Dark Grey</t>
  </si>
  <si>
    <t>5 pcs</t>
  </si>
  <si>
    <t xml:space="preserve">Epson EcoTank L6490 A4 Ink Tank Printer
Printer Type:
Print, Scan, Copy, Fax with ADF
Print Method:
PrecisionCore Printhead
Nozzle Configuration:
400 x 1 nozzles (Black), 128 x 1 nozzles per Colour (Cyan, Magenta, Yellow)
Maximum Resolution:
4800 x 1200 dpi
Automatic 2-sided Printing:
Yes
Copy Function
Maximum Copy Size:
Legal
Copy Resolution:
600 x 600 dpi
Max Copies:
99 copies
Scanner Type:
Flatbed colour image scanner
Optical Resolution:
1200 x 2400 dpi
Maximum Scan Area:
216 x 297 mm
Inclusion of:
Black Ink
Cyan Ink
Magenta Ink
Yellow Ink
</t>
  </si>
  <si>
    <t xml:space="preserve">Epson EcoTank L3216 A4 All-in-One Ink Tank Printer
Inclusion of:
Black Ink
Cyan Ink
Magenta Ink
Yellow Ink
</t>
  </si>
  <si>
    <t>2 set</t>
  </si>
  <si>
    <t>Laptop Charger for ASUS P1411CEA-EB1075, AD2108320, 45W</t>
  </si>
  <si>
    <t>STUDIO FLASH MOONLIGHT SET
"3 x 400Ws Strobes
Softbox with Speed Ring
40″ Umbrella (White/Black)
40″ Umbrella (Silver/Black)
2 x Standard Bowens-Type Reflector
3 x Light Stands (6.6′)
XT-16 Wireless Power-Control Trigger
Carrying Case"</t>
  </si>
  <si>
    <t xml:space="preserve">LED Light Tube
 * For Photo, Video &amp; Film Production 
 * 2700-7500K CCT; RGB Mode 
 * Output: 647 Lux at 3.3' for Each Light 
 * Onboard, Wireless, DMX &amp; App Control 
 * CRI 97 | TLCI 98 | TM-30 94 &amp; 101 
 * Built-In Rechargeable Battery; AC Power 
 * Works with Optional Barndoors &amp; Grid 
 * 15 Preset Special Effects 
 * T12 or 1/4"-20 Mounting 
 * Includes Adapters, Mounting Clips &amp; Bag </t>
  </si>
  <si>
    <t>PORTABLE ROLLUP CHROMA GREEN SCREEN BACKGROUND STAND 
Wrinkle Resistant
Oxford Chroma Green Material
Aluminum Housing
250cm x 200cm Maximum Height
Hydraulic Assisted
Dimensions (Extended) : 250 x 200 cm</t>
  </si>
  <si>
    <t>FLASH SPEEDLIGHT WITH LITHIUM ION BATTERY
Built-In 2.4GHz X Wireless Radio System
Compatible with Nikon i-TTL
Guide Number: 118′ at ISO 100 and 105mm
Zoom Range: 24-105mm (14mm with Panel)
Tilts from -7 to 90°
Rotates 270°
Wireless Master/Slave TTL Functionality
Recycle Time: 0.1-2.2 Seconds
High-Speed, 1st &amp; 2nd Curtain Sync
Runs on Two AA Batteries</t>
  </si>
  <si>
    <t xml:space="preserve">Universal Tower Extension Cord 16-Gang with Switch
Wire length: 1.83 meters
16 gang
Voltage: 250 volts
Materials: ABS Plastic and Copper Wire
Built-in safety circuit breaker
built-in lighting protector
</t>
  </si>
  <si>
    <t>3 pcs</t>
  </si>
  <si>
    <t>Extension Wheel 10-Meter Cord Length 10A - WEW-10M/U
Cord Length: 15 meters
Rigid brass strips for internal connection.
With REAL grounding system connection for safety.
With built-in safety circuit breaker.
With built-in lightning protector.
Maximum wattage: 2500W.
 Current: 10A.
Voltage: 250V</t>
  </si>
  <si>
    <t>8-Gang 10A 2000W 3Meter Extension Cord with USB Port
Cord Length: 3 meters
With Individual Switch Control
With 2 USB Ports at 5V 2A
With Surge Protection
Cable Length: 4 meter
Socket type: 5 Gang Multipurpose Sockets
Maximum Load Capacity: 6A 1500 Watts
Input Voltage: 250Vac, 50/60Hz
Product Dimension: 3.5 x 7 x 36 cm</t>
  </si>
  <si>
    <t>30 packs AA Batteries / 4s</t>
  </si>
  <si>
    <t>10 packs AAA Batteries / 4s</t>
  </si>
  <si>
    <t>50 packs Vellum Board / A4 / 10s</t>
  </si>
  <si>
    <t>4 packs Parchment Paper / A4 / 10s</t>
  </si>
  <si>
    <t>6 pcs toner Original Hp 206A W2110A (Black)</t>
  </si>
  <si>
    <t>6 pcs toner Original Hp 206A W2110A (Cyan)</t>
  </si>
  <si>
    <t>6 pcs toner Original Hp 206A W2110A (Magenta)</t>
  </si>
  <si>
    <t>6 pcs toner Original Hp 206A W2110A (Yellow)</t>
  </si>
  <si>
    <t>5 pcs toner Original Color LaserJet Pro M252n (201A) black</t>
  </si>
  <si>
    <t>5 pcs toner Original Color LaserJet Pro M252n (201A) cyan</t>
  </si>
  <si>
    <t>5 pcs toner Original Color LaserJet Pro M252n (201A) Magenta</t>
  </si>
  <si>
    <t>5 pcs toner Original Color LaserJet Pro M252n (201A) Yellow</t>
  </si>
  <si>
    <t>4 bottles Original Epson L6490, (008) Black</t>
  </si>
  <si>
    <t>3 bottles Original Epson L6490, (008) Cyan</t>
  </si>
  <si>
    <t>3 bottles Original Epson L6490, (008) Magenta</t>
  </si>
  <si>
    <t>3 bottles Original Epson L6490, (008) Yellow</t>
  </si>
  <si>
    <t>3 pcs toner Original  Hp 103A, (W1103A) Black</t>
  </si>
  <si>
    <t>3 pcs Portable SSD, 1 TB</t>
  </si>
  <si>
    <t>3 powerbank, 20000 mAh, 2 x USB-A (output), Type-C (input/output)</t>
  </si>
  <si>
    <t>5 pcs USB 3.0 Flash drive, USB-A, Up to 150MB/s read perf.</t>
  </si>
  <si>
    <t>10 pcs headset, with microphone, noise cancellation,</t>
  </si>
  <si>
    <t>2 pcs card reader, Type-C 3-in-1 Multi-Card Reader, USB 3.0 with Docking Station</t>
  </si>
  <si>
    <t>4 pcs Wireless mouse, 1000 DPI, Bluetooth, USB receiver, High Precision Optical Tracking</t>
  </si>
  <si>
    <t>15 boxes Bond Paper, A4, Sub-20, 5 reams/box</t>
  </si>
  <si>
    <t>10 boxes Bond paper Letter size, Sub-20, 5 reams/box</t>
  </si>
  <si>
    <t>10 boxes Bond Paper, Long, Sub-20, 5 reams/box</t>
  </si>
  <si>
    <t>8 boxes Sign pen, black, gel, 0.5 mm, 12 pcs/box</t>
  </si>
  <si>
    <t>4 boxes Ballpoint, ballpen, black, 12 pcs/box</t>
  </si>
  <si>
    <t>3 pcs single hole puncher</t>
  </si>
  <si>
    <t>3 roll Abaca twine</t>
  </si>
  <si>
    <t>10 packs Safety pin #2</t>
  </si>
  <si>
    <t>10 packs Safety pin #3</t>
  </si>
  <si>
    <t>10 packs Safety pin #4</t>
  </si>
  <si>
    <t>10 packs Colored Multi-Purpose paper, Rose,  A4, 25 sheets/pack</t>
  </si>
  <si>
    <t>25 rolls Double-sided Tape, 24 mm</t>
  </si>
  <si>
    <t>10 rolls Bubble wrap, 1x5m</t>
  </si>
  <si>
    <t>30 rolls Masking Tape, 24 mm</t>
  </si>
  <si>
    <t>50 rolls Masking Tape, 48 mm</t>
  </si>
  <si>
    <t>20 rolls Transparent Tape, 24 mm</t>
  </si>
  <si>
    <t>40 rolls Transparent Tape, 48 mm</t>
  </si>
  <si>
    <t>30 boxes Vinyl Paper Clip, 33 mm</t>
  </si>
  <si>
    <t>30 boxes Vinyl Paper Clip, 50 mm</t>
  </si>
  <si>
    <t>10 boxes Stainless Steel Paper Clip, 50 mm</t>
  </si>
  <si>
    <t>2 boxes Paper Fastener, Plastic, 50 sets/box</t>
  </si>
  <si>
    <t xml:space="preserve">20 packs "SIGN HERE" Page Markers, 5 colors, 150 sheets/pack
</t>
  </si>
  <si>
    <t>5 packs Reusable multi-purpose tack</t>
  </si>
  <si>
    <t>20 pcs Permanent Marker (Ultra Fine Point - Black)</t>
  </si>
  <si>
    <t xml:space="preserve">1 pcs Kneaded Eraser </t>
  </si>
  <si>
    <t>10 boxes interfolded paper towel, 150 pulls per pack, 30 packs/box</t>
  </si>
  <si>
    <t>10 packs Bathroom Tissue, 2 ply, 12 rolls/pack</t>
  </si>
  <si>
    <t>20 gallons Ethyl Alcohol, 70%, FDA product notification</t>
  </si>
  <si>
    <t>Stretch Wrap
-500 mm x 200 m
-Clear</t>
  </si>
  <si>
    <t>40 pcs</t>
  </si>
  <si>
    <t>P.E Plastic Clear 40 x 60 inches 50pcs/pack</t>
  </si>
  <si>
    <t>4 pack</t>
  </si>
  <si>
    <r>
      <rPr>
        <rFont val="Arial"/>
        <b/>
        <color rgb="FF000000"/>
        <sz val="11.0"/>
      </rPr>
      <t xml:space="preserve">"PAPER CONE 4°20’  </t>
    </r>
    <r>
      <rPr>
        <rFont val="Arial"/>
        <color rgb="FF000000"/>
        <sz val="11.0"/>
      </rPr>
      <t xml:space="preserve">
 Specifications:
 TOP ID: 27 mm ± 1.0 mm
 BOTTOM ID: 59 mm ± 1.0 mm
 LENGTH: 170 mm ± 1.0 mm
 THICKNESS: 2 mm 
 WEIGHT: 40 g ± 2g"
Color: 100% Cotton - Blue ; Cot/PALF - Green ; Cot/Abaca - Brown and Cot/Banana - Yellow
</t>
    </r>
    <r>
      <rPr>
        <rFont val="Arial"/>
        <b/>
        <color rgb="FF000000"/>
        <sz val="11.0"/>
      </rPr>
      <t>Note: 1k pcs per color</t>
    </r>
  </si>
  <si>
    <t>Semi-Expandable Supplies</t>
  </si>
  <si>
    <t>PC Desktop
Processor: 10th Gen Intel® Core i3-10105 (6 MB cache, 4 cores, 8 threads, 3.70 GHz to 4.40 GHz Turbo) 
Storage: 1TB HDD
Memory: 8 GB, 1 x 8 GB, DDR4 RAM
O.S: Licensed Latest Version
Graphics: Intel UHD Graphics
Peripherals: USB Keyboard and Mouse
24inch FullHD Monitor
Office Productivity Software (Latest Version)</t>
  </si>
  <si>
    <t>Laptop 
"Processor: Intel® Core™ i7-12650H
Storage:         
512GB M.2 PCIe NVMe SSD
Memory: 8GB 3200MHz DDR4
O.S: Licensed Latest Version
Graphics: GeForce RTX™ 3050
Display: 15.6” Full-HD 144Hz IPS
Office Productivity Software (Latest Version)"</t>
  </si>
  <si>
    <t>10 lot</t>
  </si>
  <si>
    <t>TNVS</t>
  </si>
  <si>
    <t>30 lot</t>
  </si>
  <si>
    <t>Trucking Fee</t>
  </si>
  <si>
    <t>20 lot</t>
  </si>
  <si>
    <t xml:space="preserve"> </t>
  </si>
  <si>
    <t>Meals</t>
  </si>
  <si>
    <t>50 lot</t>
  </si>
  <si>
    <t>Meals for April 24, 2024 GPPB, QC</t>
  </si>
  <si>
    <t>20 pax</t>
  </si>
  <si>
    <t>PiñaSeda Barong and Dress</t>
  </si>
  <si>
    <t>1 sets</t>
  </si>
  <si>
    <t>- 60% Pina; 40% Silk</t>
  </si>
  <si>
    <t>- Calado embroidery</t>
  </si>
  <si>
    <t xml:space="preserve">Design and Prototyping of three (3) Government Uniforms using PTF for
Males: Polo barong, suit, gala </t>
  </si>
  <si>
    <t>Design and Prototyping of Government Uniforms using PTF for:
Females: Blouse, blazer, gala
Females and males: jacket</t>
  </si>
  <si>
    <t xml:space="preserve">1 lot  </t>
  </si>
  <si>
    <r>
      <rPr>
        <rFont val="Arial"/>
        <b/>
        <color theme="1"/>
      </rPr>
      <t xml:space="preserve">Poly/pineapple fabric
</t>
    </r>
    <r>
      <rPr>
        <rFont val="Arial"/>
        <color theme="1"/>
      </rPr>
      <t>PTF-compliant, twill weave
Color: Navy blue</t>
    </r>
  </si>
  <si>
    <t>Sodium Hydroxide 48% t.g. 39 kg/cby</t>
  </si>
  <si>
    <t xml:space="preserve">Sodium Silicate, T.G. 1 liter </t>
  </si>
  <si>
    <t>Sodium Metabisulfite, T.G</t>
  </si>
  <si>
    <t>Chemical resistant gloves</t>
  </si>
  <si>
    <t>All purpose liquid detergent cleaner</t>
  </si>
  <si>
    <t>Acetic Acid, Glacial, 8&amp;3,II, 30 kg</t>
  </si>
  <si>
    <t>Design and Prototype</t>
  </si>
  <si>
    <t>PTF Attires for Selected government officials</t>
  </si>
  <si>
    <t>Piña Barong</t>
  </si>
  <si>
    <t>Barong using PTF</t>
  </si>
  <si>
    <t>Camisa</t>
  </si>
  <si>
    <t>Sewing of PTF uniform design for the following agency per agreed design
-Government Procurement Policy Board
-University of the Philippines
-Department of Science &amp; Technology</t>
  </si>
  <si>
    <t>12 sets</t>
  </si>
  <si>
    <t>7 pcs</t>
  </si>
  <si>
    <t>Opened Abaca Fiber</t>
  </si>
  <si>
    <t>700kg</t>
  </si>
  <si>
    <t>Dyeing and Finishing Services of 100 meters (27 kg) of woven fabric</t>
  </si>
  <si>
    <t>Dyeing Specifications</t>
  </si>
  <si>
    <t>Pantone 11-4001 TCX (Brilliant White)</t>
  </si>
  <si>
    <t>Blended fabric, Cotton-Pineapple, Plain Weave</t>
  </si>
  <si>
    <t>Finishing Specifications:</t>
  </si>
  <si>
    <t>Enzyme treatment of blended fabrics</t>
  </si>
  <si>
    <t>Cellulase Enzyme chemicals will be provided by PTRI</t>
  </si>
  <si>
    <t>Transportation and Delivery Expenses</t>
  </si>
  <si>
    <t>hauling of Textile Materials and other Collaterals per the attached List of Items</t>
  </si>
  <si>
    <t>Destination: Aklan Provincial Capitol</t>
  </si>
  <si>
    <t>Inclusive of tax, Fuel, Toll, driver, meals and other incidental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</si>
</sst>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/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u/>
      <sz val="9.0"/>
      <color theme="1"/>
      <name val="Arial"/>
    </font>
    <font>
      <u/>
      <sz val="8.0"/>
      <color theme="1"/>
      <name val="Arial"/>
    </font>
    <font>
      <b/>
      <color theme="1"/>
      <name val="Arial"/>
    </font>
    <font>
      <b/>
      <u/>
      <color theme="1"/>
      <name val="Arial"/>
    </font>
    <font>
      <color rgb="FF000000"/>
      <name val="Arial"/>
    </font>
    <font>
      <sz val="11.0"/>
      <color rgb="FF000000"/>
      <name val="Arial"/>
    </font>
    <font>
      <i/>
      <sz val="10.0"/>
      <color theme="1"/>
      <name val="Arial"/>
    </font>
    <font>
      <b/>
      <u/>
      <sz val="10.0"/>
      <color theme="1"/>
      <name val="Arial"/>
    </font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6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center"/>
    </xf>
    <xf borderId="3" fillId="0" fontId="7" numFmtId="4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4" fillId="0" fontId="6" numFmtId="0" xfId="0" applyBorder="1" applyFont="1"/>
    <xf borderId="5" fillId="0" fontId="6" numFmtId="0" xfId="0" applyBorder="1" applyFont="1"/>
    <xf borderId="4" fillId="0" fontId="7" numFmtId="0" xfId="0" applyAlignment="1" applyBorder="1" applyFont="1">
      <alignment horizontal="center" vertical="top"/>
    </xf>
    <xf borderId="4" fillId="0" fontId="7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2" fontId="9" numFmtId="0" xfId="0" applyAlignment="1" applyBorder="1" applyFill="1" applyFont="1">
      <alignment vertical="bottom"/>
    </xf>
    <xf borderId="4" fillId="2" fontId="8" numFmtId="0" xfId="0" applyAlignment="1" applyBorder="1" applyFont="1">
      <alignment horizontal="center" vertical="center"/>
    </xf>
    <xf borderId="4" fillId="2" fontId="8" numFmtId="4" xfId="0" applyAlignment="1" applyBorder="1" applyFont="1" applyNumberFormat="1">
      <alignment horizontal="center" vertical="center"/>
    </xf>
    <xf borderId="3" fillId="2" fontId="8" numFmtId="0" xfId="0" applyAlignment="1" applyBorder="1" applyFont="1">
      <alignment horizontal="center" vertical="top"/>
    </xf>
    <xf borderId="3" fillId="2" fontId="8" numFmtId="0" xfId="0" applyAlignment="1" applyBorder="1" applyFont="1">
      <alignment vertical="top"/>
    </xf>
    <xf borderId="3" fillId="2" fontId="8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center"/>
    </xf>
    <xf borderId="4" fillId="0" fontId="8" numFmtId="4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top"/>
    </xf>
    <xf borderId="3" fillId="0" fontId="8" numFmtId="0" xfId="0" applyAlignment="1" applyBorder="1" applyFont="1">
      <alignment vertical="top"/>
    </xf>
    <xf borderId="3" fillId="0" fontId="8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6" fillId="0" fontId="8" numFmtId="0" xfId="0" applyAlignment="1" applyBorder="1" applyFont="1">
      <alignment horizontal="center" readingOrder="0" shrinkToFit="0" vertical="center" wrapText="0"/>
    </xf>
    <xf borderId="4" fillId="0" fontId="8" numFmtId="4" xfId="0" applyAlignment="1" applyBorder="1" applyFont="1" applyNumberFormat="1">
      <alignment horizontal="center" readingOrder="0" vertical="center"/>
    </xf>
    <xf borderId="6" fillId="0" fontId="8" numFmtId="4" xfId="0" applyAlignment="1" applyBorder="1" applyFont="1" applyNumberFormat="1">
      <alignment horizontal="center" vertical="top"/>
    </xf>
    <xf borderId="6" fillId="0" fontId="8" numFmtId="0" xfId="0" applyAlignment="1" applyBorder="1" applyFont="1">
      <alignment readingOrder="0" vertical="top"/>
    </xf>
    <xf borderId="6" fillId="0" fontId="8" numFmtId="0" xfId="0" applyAlignment="1" applyBorder="1" applyFont="1">
      <alignment vertical="top"/>
    </xf>
    <xf borderId="6" fillId="0" fontId="8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center"/>
    </xf>
    <xf borderId="6" fillId="0" fontId="8" numFmtId="4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center" vertical="top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top"/>
    </xf>
    <xf borderId="6" fillId="0" fontId="8" numFmtId="0" xfId="0" applyAlignment="1" applyBorder="1" applyFont="1">
      <alignment shrinkToFit="0" vertical="bottom" wrapText="1"/>
    </xf>
    <xf borderId="6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vertical="top"/>
    </xf>
    <xf borderId="4" fillId="0" fontId="8" numFmtId="0" xfId="0" applyAlignment="1" applyBorder="1" applyFont="1">
      <alignment vertical="top"/>
    </xf>
    <xf borderId="5" fillId="3" fontId="8" numFmtId="0" xfId="0" applyAlignment="1" applyBorder="1" applyFill="1" applyFont="1">
      <alignment vertical="bottom"/>
    </xf>
    <xf borderId="4" fillId="0" fontId="8" numFmtId="0" xfId="0" applyAlignment="1" applyBorder="1" applyFont="1">
      <alignment readingOrder="0" vertical="bottom"/>
    </xf>
    <xf borderId="4" fillId="0" fontId="8" numFmtId="4" xfId="0" applyAlignment="1" applyBorder="1" applyFont="1" applyNumberFormat="1">
      <alignment horizontal="center" vertical="top"/>
    </xf>
    <xf borderId="4" fillId="4" fontId="9" numFmtId="0" xfId="0" applyAlignment="1" applyBorder="1" applyFill="1" applyFont="1">
      <alignment vertical="bottom"/>
    </xf>
    <xf borderId="4" fillId="4" fontId="8" numFmtId="0" xfId="0" applyAlignment="1" applyBorder="1" applyFont="1">
      <alignment horizontal="center" vertical="center"/>
    </xf>
    <xf borderId="4" fillId="4" fontId="8" numFmtId="4" xfId="0" applyAlignment="1" applyBorder="1" applyFont="1" applyNumberFormat="1">
      <alignment horizontal="center" vertical="center"/>
    </xf>
    <xf borderId="4" fillId="4" fontId="8" numFmtId="0" xfId="0" applyAlignment="1" applyBorder="1" applyFont="1">
      <alignment horizontal="center" vertical="top"/>
    </xf>
    <xf borderId="4" fillId="4" fontId="8" numFmtId="0" xfId="0" applyAlignment="1" applyBorder="1" applyFont="1">
      <alignment vertical="top"/>
    </xf>
    <xf borderId="4" fillId="4" fontId="8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4" fillId="0" fontId="8" numFmtId="0" xfId="0" applyAlignment="1" applyBorder="1" applyFont="1">
      <alignment shrinkToFit="0" vertical="bottom" wrapText="1"/>
    </xf>
    <xf borderId="4" fillId="5" fontId="8" numFmtId="0" xfId="0" applyAlignment="1" applyBorder="1" applyFill="1" applyFont="1">
      <alignment shrinkToFit="0" vertical="bottom" wrapText="1"/>
    </xf>
    <xf borderId="4" fillId="2" fontId="8" numFmtId="0" xfId="0" applyAlignment="1" applyBorder="1" applyFont="1">
      <alignment horizontal="center" vertical="top"/>
    </xf>
    <xf borderId="4" fillId="2" fontId="8" numFmtId="0" xfId="0" applyAlignment="1" applyBorder="1" applyFont="1">
      <alignment vertical="top"/>
    </xf>
    <xf borderId="4" fillId="2" fontId="8" numFmtId="0" xfId="0" applyAlignment="1" applyBorder="1" applyFont="1">
      <alignment vertical="bottom"/>
    </xf>
    <xf borderId="4" fillId="0" fontId="9" numFmtId="0" xfId="0" applyAlignment="1" applyBorder="1" applyFont="1">
      <alignment readingOrder="0" shrinkToFit="0" vertical="bottom" wrapText="1"/>
    </xf>
    <xf borderId="4" fillId="0" fontId="8" numFmtId="0" xfId="0" applyAlignment="1" applyBorder="1" applyFont="1">
      <alignment readingOrder="0" shrinkToFit="0" vertical="bottom" wrapText="1"/>
    </xf>
    <xf borderId="4" fillId="0" fontId="9" numFmtId="0" xfId="0" applyAlignment="1" applyBorder="1" applyFont="1">
      <alignment vertical="top"/>
    </xf>
    <xf borderId="4" fillId="0" fontId="9" numFmtId="0" xfId="0" applyAlignment="1" applyBorder="1" applyFont="1">
      <alignment vertical="bottom"/>
    </xf>
    <xf borderId="6" fillId="0" fontId="9" numFmtId="0" xfId="0" applyBorder="1" applyFont="1"/>
    <xf borderId="4" fillId="0" fontId="8" numFmtId="0" xfId="0" applyAlignment="1" applyBorder="1" applyFont="1">
      <alignment horizontal="center" readingOrder="0" vertical="center"/>
    </xf>
    <xf borderId="4" fillId="0" fontId="8" numFmtId="0" xfId="0" applyBorder="1" applyFont="1"/>
    <xf borderId="6" fillId="0" fontId="8" numFmtId="0" xfId="0" applyBorder="1" applyFont="1"/>
    <xf borderId="4" fillId="0" fontId="9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8" numFmtId="4" xfId="0" applyAlignment="1" applyBorder="1" applyFont="1" applyNumberFormat="1">
      <alignment horizontal="center" readingOrder="0" vertical="bottom"/>
    </xf>
    <xf borderId="6" fillId="0" fontId="10" numFmtId="0" xfId="0" applyBorder="1" applyFont="1"/>
    <xf borderId="6" fillId="0" fontId="8" numFmtId="0" xfId="0" applyAlignment="1" applyBorder="1" applyFont="1">
      <alignment horizontal="center" vertical="center"/>
    </xf>
    <xf borderId="6" fillId="0" fontId="11" numFmtId="0" xfId="0" applyBorder="1" applyFont="1"/>
    <xf borderId="6" fillId="3" fontId="10" numFmtId="0" xfId="0" applyBorder="1" applyFont="1"/>
    <xf borderId="6" fillId="0" fontId="8" numFmtId="0" xfId="0" applyAlignment="1" applyBorder="1" applyFont="1">
      <alignment horizontal="center" readingOrder="0" vertical="center"/>
    </xf>
    <xf borderId="6" fillId="0" fontId="8" numFmtId="4" xfId="0" applyAlignment="1" applyBorder="1" applyFont="1" applyNumberFormat="1">
      <alignment horizontal="center" readingOrder="0" vertical="center"/>
    </xf>
    <xf borderId="6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6" fillId="0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bottom"/>
    </xf>
    <xf borderId="7" fillId="0" fontId="2" numFmtId="4" xfId="0" applyAlignment="1" applyBorder="1" applyFont="1" applyNumberFormat="1">
      <alignment horizontal="center" vertical="center"/>
    </xf>
    <xf borderId="0" fillId="0" fontId="12" numFmtId="0" xfId="0" applyAlignment="1" applyFont="1">
      <alignment vertical="bottom"/>
    </xf>
    <xf borderId="0" fillId="0" fontId="1" numFmtId="4" xfId="0" applyAlignment="1" applyFont="1" applyNumberFormat="1">
      <alignment horizontal="center"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11" numFmtId="0" xfId="0" applyAlignment="1" applyFont="1">
      <alignment horizontal="center" vertical="center"/>
    </xf>
    <xf borderId="0" fillId="0" fontId="11" numFmtId="4" xfId="0" applyAlignment="1" applyFont="1" applyNumberFormat="1">
      <alignment horizontal="center" vertical="center"/>
    </xf>
    <xf borderId="0" fillId="0" fontId="11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4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4" fillId="0" fontId="7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vertical="bottom"/>
    </xf>
    <xf borderId="4" fillId="2" fontId="7" numFmtId="0" xfId="0" applyAlignment="1" applyBorder="1" applyFont="1">
      <alignment vertical="bottom"/>
    </xf>
    <xf borderId="4" fillId="2" fontId="3" numFmtId="0" xfId="0" applyAlignment="1" applyBorder="1" applyFont="1">
      <alignment horizontal="center" vertical="bottom"/>
    </xf>
    <xf borderId="4" fillId="2" fontId="3" numFmtId="4" xfId="0" applyAlignment="1" applyBorder="1" applyFont="1" applyNumberFormat="1">
      <alignment horizontal="center" vertical="bottom"/>
    </xf>
    <xf borderId="3" fillId="2" fontId="3" numFmtId="0" xfId="0" applyAlignment="1" applyBorder="1" applyFont="1">
      <alignment horizontal="center" vertical="top"/>
    </xf>
    <xf borderId="3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8" fillId="0" fontId="8" numFmtId="0" xfId="0" applyAlignment="1" applyBorder="1" applyFont="1">
      <alignment horizontal="center" vertical="center"/>
    </xf>
    <xf borderId="8" fillId="0" fontId="8" numFmtId="4" xfId="0" applyAlignment="1" applyBorder="1" applyFont="1" applyNumberFormat="1">
      <alignment horizontal="center" readingOrder="0" vertical="center"/>
    </xf>
    <xf borderId="8" fillId="0" fontId="8" numFmtId="4" xfId="0" applyAlignment="1" applyBorder="1" applyFont="1" applyNumberFormat="1">
      <alignment horizontal="center" vertical="center"/>
    </xf>
    <xf borderId="8" fillId="0" fontId="8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vertical="center"/>
    </xf>
    <xf borderId="0" fillId="0" fontId="8" numFmtId="0" xfId="0" applyAlignment="1" applyFont="1">
      <alignment vertical="bottom"/>
    </xf>
    <xf borderId="5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 vertical="bottom"/>
    </xf>
    <xf borderId="6" fillId="0" fontId="2" numFmtId="0" xfId="0" applyBorder="1" applyFont="1"/>
    <xf borderId="9" fillId="0" fontId="2" numFmtId="0" xfId="0" applyAlignment="1" applyBorder="1" applyFont="1">
      <alignment horizontal="center" vertical="center"/>
    </xf>
    <xf borderId="6" fillId="0" fontId="2" numFmtId="4" xfId="0" applyAlignment="1" applyBorder="1" applyFont="1" applyNumberFormat="1">
      <alignment horizontal="center" vertical="center"/>
    </xf>
    <xf borderId="3" fillId="5" fontId="16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readingOrder="0" vertical="center"/>
    </xf>
    <xf borderId="5" fillId="0" fontId="2" numFmtId="0" xfId="0" applyBorder="1" applyFont="1"/>
    <xf borderId="2" fillId="0" fontId="6" numFmtId="0" xfId="0" applyBorder="1" applyFont="1"/>
    <xf borderId="5" fillId="0" fontId="2" numFmtId="4" xfId="0" applyAlignment="1" applyBorder="1" applyFont="1" applyNumberFormat="1">
      <alignment horizontal="center" vertical="center"/>
    </xf>
    <xf borderId="3" fillId="0" fontId="6" numFmtId="0" xfId="0" applyBorder="1" applyFont="1"/>
    <xf borderId="5" fillId="0" fontId="2" numFmtId="49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horizontal="center" shrinkToFit="0" vertical="center" wrapText="1"/>
    </xf>
    <xf borderId="5" fillId="0" fontId="2" numFmtId="49" xfId="0" applyAlignment="1" applyBorder="1" applyFont="1" applyNumberFormat="1">
      <alignment readingOrder="0"/>
    </xf>
    <xf borderId="6" fillId="0" fontId="2" numFmtId="49" xfId="0" applyBorder="1" applyFont="1" applyNumberFormat="1"/>
    <xf borderId="2" fillId="0" fontId="2" numFmtId="0" xfId="0" applyAlignment="1" applyBorder="1" applyFont="1">
      <alignment horizontal="center" shrinkToFit="0" vertical="center" wrapText="1"/>
    </xf>
    <xf borderId="5" fillId="0" fontId="2" numFmtId="49" xfId="0" applyBorder="1" applyFont="1" applyNumberFormat="1"/>
    <xf borderId="5" fillId="0" fontId="2" numFmtId="4" xfId="0" applyAlignment="1" applyBorder="1" applyFont="1" applyNumberFormat="1">
      <alignment horizontal="center" readingOrder="0" shrinkToFit="0" vertical="center" wrapText="1"/>
    </xf>
    <xf borderId="6" fillId="0" fontId="2" numFmtId="49" xfId="0" applyAlignment="1" applyBorder="1" applyFont="1" applyNumberFormat="1">
      <alignment vertical="bottom"/>
    </xf>
    <xf borderId="5" fillId="0" fontId="2" numFmtId="49" xfId="0" applyAlignment="1" applyBorder="1" applyFont="1" applyNumberFormat="1">
      <alignment shrinkToFit="0" vertical="bottom" wrapText="1"/>
    </xf>
    <xf borderId="4" fillId="0" fontId="2" numFmtId="49" xfId="0" applyAlignment="1" applyBorder="1" applyFont="1" applyNumberFormat="1">
      <alignment readingOrder="0"/>
    </xf>
    <xf borderId="6" fillId="5" fontId="16" numFmtId="0" xfId="0" applyAlignment="1" applyBorder="1" applyFont="1">
      <alignment horizontal="center" readingOrder="0" vertical="center"/>
    </xf>
    <xf borderId="6" fillId="3" fontId="8" numFmtId="4" xfId="0" applyAlignment="1" applyBorder="1" applyFont="1" applyNumberFormat="1">
      <alignment horizontal="center" readingOrder="0" vertical="center"/>
    </xf>
    <xf borderId="0" fillId="5" fontId="16" numFmtId="0" xfId="0" applyAlignment="1" applyFont="1">
      <alignment horizontal="center" readingOrder="0" vertical="center"/>
    </xf>
    <xf borderId="6" fillId="6" fontId="8" numFmtId="0" xfId="0" applyAlignment="1" applyBorder="1" applyFill="1" applyFont="1">
      <alignment vertical="bottom"/>
    </xf>
    <xf borderId="0" fillId="0" fontId="17" numFmtId="0" xfId="0" applyAlignment="1" applyFont="1">
      <alignment horizontal="left" readingOrder="0" shrinkToFit="0" vertical="bottom" wrapText="1"/>
    </xf>
    <xf borderId="6" fillId="2" fontId="9" numFmtId="0" xfId="0" applyAlignment="1" applyBorder="1" applyFont="1">
      <alignment readingOrder="0" vertical="bottom"/>
    </xf>
    <xf borderId="8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vertical="center"/>
    </xf>
    <xf borderId="5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4" fillId="0" fontId="3" numFmtId="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bottom"/>
    </xf>
    <xf borderId="5" fillId="6" fontId="8" numFmtId="0" xfId="0" applyAlignment="1" applyBorder="1" applyFont="1">
      <alignment vertical="bottom"/>
    </xf>
    <xf borderId="4" fillId="0" fontId="8" numFmtId="0" xfId="0" applyAlignment="1" applyBorder="1" applyFont="1">
      <alignment readingOrder="0" vertical="center"/>
    </xf>
    <xf borderId="6" fillId="0" fontId="11" numFmtId="0" xfId="0" applyAlignment="1" applyBorder="1" applyFont="1">
      <alignment vertical="center"/>
    </xf>
    <xf borderId="4" fillId="4" fontId="7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center"/>
    </xf>
    <xf borderId="4" fillId="4" fontId="3" numFmtId="4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vertical="center"/>
    </xf>
    <xf borderId="4" fillId="4" fontId="3" numFmtId="0" xfId="0" applyAlignment="1" applyBorder="1" applyFont="1">
      <alignment vertical="bottom"/>
    </xf>
    <xf borderId="5" fillId="0" fontId="16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center" wrapText="0"/>
    </xf>
    <xf borderId="4" fillId="0" fontId="16" numFmtId="4" xfId="0" applyAlignment="1" applyBorder="1" applyFont="1" applyNumberFormat="1">
      <alignment horizontal="center" readingOrder="0" shrinkToFit="0" vertical="center" wrapText="0"/>
    </xf>
    <xf borderId="4" fillId="0" fontId="16" numFmtId="0" xfId="0" applyAlignment="1" applyBorder="1" applyFont="1">
      <alignment horizontal="center" shrinkToFit="0" vertical="center" wrapText="0"/>
    </xf>
    <xf borderId="4" fillId="0" fontId="16" numFmtId="0" xfId="0" applyAlignment="1" applyBorder="1" applyFont="1">
      <alignment shrinkToFit="0" vertical="center" wrapText="0"/>
    </xf>
    <xf borderId="4" fillId="0" fontId="16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4" fillId="2" fontId="3" numFmtId="0" xfId="0" applyAlignment="1" applyBorder="1" applyFont="1">
      <alignment horizontal="center" vertical="top"/>
    </xf>
    <xf borderId="4" fillId="0" fontId="8" numFmtId="4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horizontal="left" readingOrder="0" vertical="center"/>
    </xf>
    <xf borderId="4" fillId="0" fontId="11" numFmtId="0" xfId="0" applyAlignment="1" applyBorder="1" applyFont="1">
      <alignment readingOrder="0" shrinkToFit="0" vertical="center" wrapText="1"/>
    </xf>
    <xf borderId="6" fillId="0" fontId="11" numFmtId="0" xfId="0" applyAlignment="1" applyBorder="1" applyFont="1">
      <alignment readingOrder="0" vertical="center"/>
    </xf>
    <xf borderId="6" fillId="0" fontId="11" numFmtId="4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vertical="bottom"/>
    </xf>
    <xf borderId="4" fillId="4" fontId="3" numFmtId="4" xfId="0" applyAlignment="1" applyBorder="1" applyFont="1" applyNumberFormat="1">
      <alignment horizontal="center" vertical="bottom"/>
    </xf>
    <xf borderId="4" fillId="4" fontId="3" numFmtId="0" xfId="0" applyAlignment="1" applyBorder="1" applyFont="1">
      <alignment horizontal="center" vertical="top"/>
    </xf>
    <xf borderId="4" fillId="7" fontId="7" numFmtId="0" xfId="0" applyAlignment="1" applyBorder="1" applyFill="1" applyFont="1">
      <alignment vertical="bottom"/>
    </xf>
    <xf borderId="4" fillId="7" fontId="8" numFmtId="0" xfId="0" applyAlignment="1" applyBorder="1" applyFont="1">
      <alignment horizontal="center" vertical="bottom"/>
    </xf>
    <xf borderId="4" fillId="7" fontId="8" numFmtId="4" xfId="0" applyAlignment="1" applyBorder="1" applyFont="1" applyNumberFormat="1">
      <alignment horizontal="center" vertical="bottom"/>
    </xf>
    <xf borderId="4" fillId="7" fontId="8" numFmtId="0" xfId="0" applyAlignment="1" applyBorder="1" applyFont="1">
      <alignment horizontal="center" vertical="top"/>
    </xf>
    <xf borderId="4" fillId="7" fontId="8" numFmtId="0" xfId="0" applyAlignment="1" applyBorder="1" applyFont="1">
      <alignment vertical="bottom"/>
    </xf>
    <xf borderId="6" fillId="0" fontId="11" numFmtId="0" xfId="0" applyAlignment="1" applyBorder="1" applyFont="1">
      <alignment readingOrder="0"/>
    </xf>
    <xf borderId="6" fillId="0" fontId="11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vertical="bottom"/>
    </xf>
    <xf borderId="6" fillId="0" fontId="8" numFmtId="0" xfId="0" applyAlignment="1" applyBorder="1" applyFont="1">
      <alignment horizontal="center"/>
    </xf>
    <xf borderId="6" fillId="0" fontId="8" numFmtId="4" xfId="0" applyAlignment="1" applyBorder="1" applyFont="1" applyNumberFormat="1">
      <alignment horizontal="center"/>
    </xf>
    <xf borderId="6" fillId="0" fontId="8" numFmtId="4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/>
    </xf>
    <xf borderId="6" fillId="3" fontId="8" numFmtId="0" xfId="0" applyBorder="1" applyFont="1"/>
    <xf borderId="6" fillId="0" fontId="8" numFmtId="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 vertical="top"/>
    </xf>
    <xf borderId="5" fillId="3" fontId="8" numFmtId="0" xfId="0" applyBorder="1" applyFont="1"/>
    <xf borderId="4" fillId="0" fontId="9" numFmtId="0" xfId="0" applyBorder="1" applyFont="1"/>
    <xf borderId="4" fillId="0" fontId="8" numFmtId="0" xfId="0" applyAlignment="1" applyBorder="1" applyFont="1">
      <alignment horizontal="center" readingOrder="0"/>
    </xf>
    <xf borderId="4" fillId="0" fontId="8" numFmtId="4" xfId="0" applyAlignment="1" applyBorder="1" applyFont="1" applyNumberFormat="1">
      <alignment horizontal="center" readingOrder="0"/>
    </xf>
    <xf borderId="0" fillId="0" fontId="8" numFmtId="0" xfId="0" applyFont="1"/>
    <xf borderId="6" fillId="0" fontId="9" numFmtId="0" xfId="0" applyAlignment="1" applyBorder="1" applyFont="1">
      <alignment readingOrder="0"/>
    </xf>
    <xf borderId="6" fillId="0" fontId="8" numFmtId="4" xfId="0" applyAlignment="1" applyBorder="1" applyFont="1" applyNumberFormat="1">
      <alignment horizontal="center" readingOrder="0" vertical="bottom"/>
    </xf>
    <xf borderId="6" fillId="0" fontId="18" numFmtId="0" xfId="0" applyAlignment="1" applyBorder="1" applyFont="1">
      <alignment readingOrder="0"/>
    </xf>
    <xf borderId="4" fillId="0" fontId="3" numFmtId="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vertical="top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6" fillId="0" fontId="10" numFmtId="4" xfId="0" applyAlignment="1" applyBorder="1" applyFont="1" applyNumberFormat="1">
      <alignment horizontal="center" readingOrder="0"/>
    </xf>
    <xf borderId="6" fillId="0" fontId="10" numFmtId="4" xfId="0" applyAlignment="1" applyBorder="1" applyFont="1" applyNumberFormat="1">
      <alignment horizontal="center" readingOrder="0" vertical="bottom"/>
    </xf>
    <xf borderId="6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 vertical="bottom"/>
    </xf>
    <xf borderId="6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7" fillId="0" fontId="8" numFmtId="4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top"/>
    </xf>
    <xf borderId="0" fillId="0" fontId="19" numFmtId="0" xfId="0" applyAlignment="1" applyFont="1">
      <alignment vertical="bottom"/>
    </xf>
    <xf borderId="0" fillId="0" fontId="9" numFmtId="4" xfId="0" applyAlignment="1" applyFont="1" applyNumberFormat="1">
      <alignment horizontal="center" vertical="bottom"/>
    </xf>
    <xf borderId="0" fillId="0" fontId="20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11" numFmtId="4" xfId="0" applyAlignment="1" applyFont="1" applyNumberFormat="1">
      <alignment horizontal="center"/>
    </xf>
    <xf borderId="0" fillId="0" fontId="11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  <col customWidth="1" min="5" max="5" width="17.88"/>
    <col customWidth="1" min="6" max="6" width="26.13"/>
    <col customWidth="1" min="7" max="7" width="16.25"/>
    <col customWidth="1" min="13" max="13" width="20.38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C4" s="6"/>
      <c r="D4" s="7"/>
      <c r="E4" s="7"/>
      <c r="F4" s="8"/>
      <c r="G4" s="9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C5" s="6"/>
      <c r="D5" s="7"/>
      <c r="E5" s="7"/>
      <c r="F5" s="8"/>
      <c r="G5" s="9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3</v>
      </c>
      <c r="G6" s="9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4</v>
      </c>
      <c r="B7" s="13"/>
      <c r="C7" s="14"/>
      <c r="D7" s="15"/>
      <c r="E7" s="15"/>
      <c r="F7" s="16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"/>
      <c r="X7" s="2"/>
      <c r="Y7" s="2"/>
      <c r="Z7" s="2"/>
    </row>
    <row r="8">
      <c r="A8" s="19" t="s">
        <v>5</v>
      </c>
      <c r="B8" s="20" t="s">
        <v>6</v>
      </c>
      <c r="C8" s="21" t="s">
        <v>7</v>
      </c>
      <c r="D8" s="22" t="s">
        <v>8</v>
      </c>
      <c r="E8" s="22" t="s">
        <v>9</v>
      </c>
      <c r="F8" s="23" t="s">
        <v>10</v>
      </c>
      <c r="G8" s="23" t="s">
        <v>11</v>
      </c>
      <c r="H8" s="24" t="s">
        <v>12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25"/>
      <c r="W8" s="2"/>
      <c r="X8" s="2"/>
      <c r="Y8" s="2"/>
      <c r="Z8" s="2"/>
    </row>
    <row r="9">
      <c r="A9" s="26"/>
      <c r="B9" s="25"/>
      <c r="C9" s="21" t="s">
        <v>13</v>
      </c>
      <c r="D9" s="25"/>
      <c r="E9" s="25"/>
      <c r="F9" s="25"/>
      <c r="G9" s="25"/>
      <c r="H9" s="27" t="s">
        <v>14</v>
      </c>
      <c r="I9" s="28" t="s">
        <v>15</v>
      </c>
      <c r="J9" s="28" t="s">
        <v>16</v>
      </c>
      <c r="K9" s="28" t="s">
        <v>17</v>
      </c>
      <c r="L9" s="28" t="s">
        <v>18</v>
      </c>
      <c r="M9" s="28" t="s">
        <v>19</v>
      </c>
      <c r="N9" s="28" t="s">
        <v>20</v>
      </c>
      <c r="O9" s="28" t="s">
        <v>21</v>
      </c>
      <c r="P9" s="28" t="s">
        <v>22</v>
      </c>
      <c r="Q9" s="28" t="s">
        <v>23</v>
      </c>
      <c r="R9" s="28" t="s">
        <v>24</v>
      </c>
      <c r="S9" s="28" t="s">
        <v>25</v>
      </c>
      <c r="T9" s="28" t="s">
        <v>26</v>
      </c>
      <c r="U9" s="28" t="s">
        <v>27</v>
      </c>
      <c r="V9" s="28" t="s">
        <v>27</v>
      </c>
      <c r="W9" s="2"/>
      <c r="X9" s="2"/>
      <c r="Y9" s="2"/>
      <c r="Z9" s="2"/>
    </row>
    <row r="10">
      <c r="A10" s="29"/>
      <c r="B10" s="30" t="s">
        <v>28</v>
      </c>
      <c r="C10" s="31"/>
      <c r="D10" s="32"/>
      <c r="E10" s="32"/>
      <c r="F10" s="33"/>
      <c r="G10" s="34"/>
      <c r="H10" s="34"/>
      <c r="I10" s="35"/>
      <c r="J10" s="35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7"/>
      <c r="W10" s="2"/>
      <c r="X10" s="2"/>
      <c r="Y10" s="2"/>
      <c r="Z10" s="2"/>
    </row>
    <row r="11">
      <c r="A11" s="29"/>
      <c r="B11" s="38"/>
      <c r="C11" s="39"/>
      <c r="D11" s="40"/>
      <c r="E11" s="40"/>
      <c r="F11" s="41"/>
      <c r="G11" s="42"/>
      <c r="H11" s="42"/>
      <c r="I11" s="43"/>
      <c r="J11" s="43"/>
      <c r="K11" s="43"/>
      <c r="L11" s="43"/>
      <c r="M11" s="43"/>
      <c r="N11" s="43"/>
      <c r="O11" s="44"/>
      <c r="P11" s="44"/>
      <c r="Q11" s="44"/>
      <c r="R11" s="44"/>
      <c r="S11" s="44"/>
      <c r="T11" s="44"/>
      <c r="U11" s="44"/>
      <c r="V11" s="45"/>
      <c r="W11" s="2"/>
      <c r="X11" s="2"/>
      <c r="Y11" s="2"/>
      <c r="Z11" s="2"/>
    </row>
    <row r="12">
      <c r="A12" s="29"/>
      <c r="B12" s="46" t="s">
        <v>29</v>
      </c>
      <c r="C12" s="47" t="s">
        <v>30</v>
      </c>
      <c r="D12" s="48">
        <v>1300.0</v>
      </c>
      <c r="E12" s="40">
        <f>D12*5</f>
        <v>6500</v>
      </c>
      <c r="F12" s="49" t="s">
        <v>31</v>
      </c>
      <c r="G12" s="50" t="s">
        <v>32</v>
      </c>
      <c r="H12" s="51"/>
      <c r="I12" s="52"/>
      <c r="J12" s="52"/>
      <c r="K12" s="52"/>
      <c r="L12" s="52"/>
      <c r="M12" s="52"/>
      <c r="N12" s="52"/>
      <c r="O12" s="53"/>
      <c r="P12" s="53"/>
      <c r="Q12" s="53"/>
      <c r="R12" s="53"/>
      <c r="S12" s="53"/>
      <c r="T12" s="53"/>
      <c r="U12" s="53"/>
      <c r="V12" s="53"/>
      <c r="W12" s="2"/>
      <c r="X12" s="2"/>
      <c r="Y12" s="2"/>
      <c r="Z12" s="2"/>
    </row>
    <row r="13">
      <c r="A13" s="29"/>
      <c r="B13" s="54" t="s">
        <v>33</v>
      </c>
      <c r="C13" s="55"/>
      <c r="D13" s="55"/>
      <c r="E13" s="56"/>
      <c r="F13" s="57"/>
      <c r="G13" s="51"/>
      <c r="H13" s="51"/>
      <c r="I13" s="52"/>
      <c r="J13" s="52"/>
      <c r="K13" s="52"/>
      <c r="L13" s="52"/>
      <c r="M13" s="52"/>
      <c r="N13" s="52"/>
      <c r="O13" s="53"/>
      <c r="P13" s="53"/>
      <c r="Q13" s="53"/>
      <c r="R13" s="53"/>
      <c r="S13" s="53"/>
      <c r="T13" s="53"/>
      <c r="U13" s="53"/>
      <c r="V13" s="53"/>
      <c r="W13" s="2"/>
      <c r="X13" s="2"/>
      <c r="Y13" s="2"/>
      <c r="Z13" s="2"/>
    </row>
    <row r="14">
      <c r="A14" s="29"/>
      <c r="B14" s="58" t="s">
        <v>34</v>
      </c>
      <c r="C14" s="39"/>
      <c r="D14" s="40"/>
      <c r="E14" s="40"/>
      <c r="F14" s="57"/>
      <c r="G14" s="51"/>
      <c r="H14" s="51"/>
      <c r="I14" s="52"/>
      <c r="J14" s="52"/>
      <c r="K14" s="52"/>
      <c r="L14" s="52"/>
      <c r="M14" s="52"/>
      <c r="N14" s="52"/>
      <c r="O14" s="53"/>
      <c r="P14" s="53"/>
      <c r="Q14" s="53"/>
      <c r="R14" s="53"/>
      <c r="S14" s="53"/>
      <c r="T14" s="53"/>
      <c r="U14" s="53"/>
      <c r="V14" s="53"/>
      <c r="W14" s="2"/>
      <c r="X14" s="2"/>
      <c r="Y14" s="2"/>
      <c r="Z14" s="2"/>
    </row>
    <row r="15">
      <c r="A15" s="29"/>
      <c r="B15" s="58" t="s">
        <v>35</v>
      </c>
      <c r="C15" s="39"/>
      <c r="D15" s="40"/>
      <c r="E15" s="40"/>
      <c r="F15" s="57"/>
      <c r="G15" s="51"/>
      <c r="H15" s="51"/>
      <c r="I15" s="52"/>
      <c r="J15" s="52"/>
      <c r="K15" s="52"/>
      <c r="L15" s="52"/>
      <c r="M15" s="52"/>
      <c r="N15" s="52"/>
      <c r="O15" s="53"/>
      <c r="P15" s="53"/>
      <c r="Q15" s="53"/>
      <c r="R15" s="53"/>
      <c r="S15" s="53"/>
      <c r="T15" s="53"/>
      <c r="U15" s="53"/>
      <c r="V15" s="53"/>
      <c r="W15" s="2"/>
      <c r="X15" s="2"/>
      <c r="Y15" s="2"/>
      <c r="Z15" s="2"/>
    </row>
    <row r="16">
      <c r="A16" s="29"/>
      <c r="B16" s="58" t="s">
        <v>36</v>
      </c>
      <c r="C16" s="39"/>
      <c r="D16" s="40"/>
      <c r="E16" s="40"/>
      <c r="F16" s="57"/>
      <c r="G16" s="51"/>
      <c r="H16" s="51"/>
      <c r="I16" s="52"/>
      <c r="J16" s="52"/>
      <c r="K16" s="52"/>
      <c r="L16" s="52"/>
      <c r="M16" s="52"/>
      <c r="N16" s="52"/>
      <c r="O16" s="53"/>
      <c r="P16" s="53"/>
      <c r="Q16" s="53"/>
      <c r="R16" s="53"/>
      <c r="S16" s="53"/>
      <c r="T16" s="53"/>
      <c r="U16" s="53"/>
      <c r="V16" s="53"/>
      <c r="W16" s="2"/>
      <c r="X16" s="2"/>
      <c r="Y16" s="2"/>
      <c r="Z16" s="2"/>
    </row>
    <row r="17">
      <c r="A17" s="29"/>
      <c r="B17" s="58" t="s">
        <v>37</v>
      </c>
      <c r="C17" s="39"/>
      <c r="D17" s="40"/>
      <c r="E17" s="40"/>
      <c r="F17" s="57"/>
      <c r="G17" s="51"/>
      <c r="H17" s="51"/>
      <c r="I17" s="52"/>
      <c r="J17" s="52"/>
      <c r="K17" s="52"/>
      <c r="L17" s="52"/>
      <c r="M17" s="52"/>
      <c r="N17" s="52"/>
      <c r="O17" s="53"/>
      <c r="P17" s="53"/>
      <c r="Q17" s="53"/>
      <c r="R17" s="53"/>
      <c r="S17" s="53"/>
      <c r="T17" s="53"/>
      <c r="U17" s="53"/>
      <c r="V17" s="53"/>
      <c r="W17" s="2"/>
      <c r="X17" s="2"/>
      <c r="Y17" s="2"/>
      <c r="Z17" s="2"/>
    </row>
    <row r="18">
      <c r="A18" s="29"/>
      <c r="B18" s="58" t="s">
        <v>38</v>
      </c>
      <c r="C18" s="39"/>
      <c r="D18" s="40"/>
      <c r="E18" s="40"/>
      <c r="F18" s="57"/>
      <c r="G18" s="51"/>
      <c r="H18" s="51"/>
      <c r="I18" s="52"/>
      <c r="J18" s="52"/>
      <c r="K18" s="52"/>
      <c r="L18" s="52"/>
      <c r="M18" s="52"/>
      <c r="N18" s="52"/>
      <c r="O18" s="53"/>
      <c r="P18" s="53"/>
      <c r="Q18" s="53"/>
      <c r="R18" s="53"/>
      <c r="S18" s="53"/>
      <c r="T18" s="53"/>
      <c r="U18" s="53"/>
      <c r="V18" s="53"/>
      <c r="W18" s="2"/>
      <c r="X18" s="2"/>
      <c r="Y18" s="2"/>
      <c r="Z18" s="2"/>
    </row>
    <row r="19">
      <c r="A19" s="29"/>
      <c r="B19" s="58" t="s">
        <v>39</v>
      </c>
      <c r="C19" s="59"/>
      <c r="D19" s="40"/>
      <c r="E19" s="40"/>
      <c r="F19" s="49"/>
      <c r="G19" s="60"/>
      <c r="H19" s="51"/>
      <c r="I19" s="52"/>
      <c r="J19" s="52"/>
      <c r="K19" s="52"/>
      <c r="L19" s="52"/>
      <c r="M19" s="52"/>
      <c r="N19" s="52"/>
      <c r="O19" s="53"/>
      <c r="P19" s="53"/>
      <c r="Q19" s="53"/>
      <c r="R19" s="53"/>
      <c r="S19" s="53"/>
      <c r="T19" s="53"/>
      <c r="U19" s="53"/>
      <c r="V19" s="53"/>
      <c r="W19" s="2"/>
      <c r="X19" s="2"/>
      <c r="Y19" s="2"/>
      <c r="Z19" s="2"/>
    </row>
    <row r="20">
      <c r="A20" s="29"/>
      <c r="B20" s="61" t="s">
        <v>40</v>
      </c>
      <c r="C20" s="62" t="s">
        <v>41</v>
      </c>
      <c r="D20" s="62">
        <v>500.0</v>
      </c>
      <c r="E20" s="62">
        <f>D20*10</f>
        <v>5000</v>
      </c>
      <c r="F20" s="49" t="s">
        <v>31</v>
      </c>
      <c r="G20" s="50" t="s">
        <v>32</v>
      </c>
      <c r="H20" s="51"/>
      <c r="I20" s="52"/>
      <c r="J20" s="52"/>
      <c r="K20" s="52"/>
      <c r="L20" s="52"/>
      <c r="M20" s="52"/>
      <c r="N20" s="52"/>
      <c r="O20" s="53"/>
      <c r="P20" s="53"/>
      <c r="Q20" s="53"/>
      <c r="R20" s="53"/>
      <c r="S20" s="53"/>
      <c r="T20" s="53"/>
      <c r="U20" s="53"/>
      <c r="V20" s="53"/>
      <c r="W20" s="2"/>
      <c r="X20" s="2"/>
      <c r="Y20" s="2"/>
      <c r="Z20" s="2"/>
    </row>
    <row r="21">
      <c r="A21" s="29"/>
      <c r="B21" s="30" t="s">
        <v>42</v>
      </c>
      <c r="C21" s="39"/>
      <c r="D21" s="40"/>
      <c r="E21" s="40"/>
      <c r="F21" s="63"/>
      <c r="G21" s="64"/>
      <c r="H21" s="64"/>
      <c r="I21" s="38"/>
      <c r="J21" s="38"/>
      <c r="K21" s="38"/>
      <c r="L21" s="38"/>
      <c r="M21" s="38"/>
      <c r="N21" s="38"/>
      <c r="O21" s="45"/>
      <c r="P21" s="45"/>
      <c r="Q21" s="45"/>
      <c r="R21" s="45"/>
      <c r="S21" s="45"/>
      <c r="T21" s="45"/>
      <c r="U21" s="45"/>
      <c r="V21" s="45"/>
      <c r="W21" s="2"/>
      <c r="X21" s="2"/>
      <c r="Y21" s="2"/>
      <c r="Z21" s="2"/>
    </row>
    <row r="22">
      <c r="A22" s="29"/>
      <c r="B22" s="38" t="s">
        <v>43</v>
      </c>
      <c r="C22" s="39" t="s">
        <v>44</v>
      </c>
      <c r="D22" s="40">
        <v>215.0</v>
      </c>
      <c r="E22" s="40">
        <v>215.0</v>
      </c>
      <c r="F22" s="63" t="s">
        <v>31</v>
      </c>
      <c r="G22" s="64" t="s">
        <v>45</v>
      </c>
      <c r="H22" s="63">
        <v>1.0</v>
      </c>
      <c r="I22" s="38"/>
      <c r="J22" s="38"/>
      <c r="K22" s="38"/>
      <c r="L22" s="38"/>
      <c r="M22" s="38"/>
      <c r="N22" s="38"/>
      <c r="O22" s="45"/>
      <c r="P22" s="45"/>
      <c r="Q22" s="45"/>
      <c r="R22" s="45"/>
      <c r="S22" s="45"/>
      <c r="T22" s="45"/>
      <c r="U22" s="45"/>
      <c r="V22" s="45"/>
      <c r="W22" s="2"/>
      <c r="X22" s="2"/>
      <c r="Y22" s="2"/>
      <c r="Z22" s="2"/>
    </row>
    <row r="23">
      <c r="A23" s="29"/>
      <c r="B23" s="38"/>
      <c r="C23" s="39"/>
      <c r="D23" s="40"/>
      <c r="E23" s="40"/>
      <c r="F23" s="63"/>
      <c r="G23" s="64"/>
      <c r="H23" s="64"/>
      <c r="I23" s="38"/>
      <c r="J23" s="38"/>
      <c r="K23" s="38"/>
      <c r="L23" s="38"/>
      <c r="M23" s="38"/>
      <c r="N23" s="38"/>
      <c r="O23" s="45"/>
      <c r="P23" s="45"/>
      <c r="Q23" s="45"/>
      <c r="R23" s="45"/>
      <c r="S23" s="45"/>
      <c r="T23" s="45"/>
      <c r="U23" s="45"/>
      <c r="V23" s="45"/>
      <c r="W23" s="2"/>
      <c r="X23" s="2"/>
      <c r="Y23" s="2"/>
      <c r="Z23" s="2"/>
    </row>
    <row r="24">
      <c r="A24" s="65"/>
      <c r="B24" s="66" t="s">
        <v>46</v>
      </c>
      <c r="C24" s="39" t="s">
        <v>44</v>
      </c>
      <c r="D24" s="48"/>
      <c r="E24" s="48">
        <v>10000.0</v>
      </c>
      <c r="F24" s="67" t="s">
        <v>31</v>
      </c>
      <c r="G24" s="64"/>
      <c r="H24" s="64"/>
      <c r="I24" s="38"/>
      <c r="J24" s="38"/>
      <c r="K24" s="38"/>
      <c r="L24" s="38"/>
      <c r="M24" s="38"/>
      <c r="N24" s="38"/>
      <c r="O24" s="45"/>
      <c r="P24" s="45"/>
      <c r="Q24" s="45"/>
      <c r="R24" s="45"/>
      <c r="S24" s="45"/>
      <c r="T24" s="45"/>
      <c r="U24" s="45"/>
      <c r="V24" s="45"/>
      <c r="W24" s="2"/>
      <c r="X24" s="2"/>
      <c r="Y24" s="2"/>
      <c r="Z24" s="2"/>
    </row>
    <row r="25">
      <c r="A25" s="29"/>
      <c r="B25" s="38" t="s">
        <v>47</v>
      </c>
      <c r="C25" s="39"/>
      <c r="D25" s="40"/>
      <c r="E25" s="40"/>
      <c r="F25" s="63"/>
      <c r="G25" s="64"/>
      <c r="H25" s="64"/>
      <c r="I25" s="38"/>
      <c r="J25" s="38"/>
      <c r="K25" s="38"/>
      <c r="L25" s="38"/>
      <c r="M25" s="38"/>
      <c r="N25" s="38"/>
      <c r="O25" s="45"/>
      <c r="P25" s="45"/>
      <c r="Q25" s="45"/>
      <c r="R25" s="45"/>
      <c r="S25" s="45"/>
      <c r="T25" s="45"/>
      <c r="U25" s="45"/>
      <c r="V25" s="45"/>
      <c r="W25" s="2"/>
      <c r="X25" s="2"/>
      <c r="Y25" s="2"/>
      <c r="Z25" s="2"/>
    </row>
    <row r="26">
      <c r="A26" s="29"/>
      <c r="B26" s="38" t="s">
        <v>48</v>
      </c>
      <c r="C26" s="39"/>
      <c r="D26" s="40"/>
      <c r="E26" s="40"/>
      <c r="F26" s="63"/>
      <c r="G26" s="64"/>
      <c r="H26" s="64"/>
      <c r="I26" s="38"/>
      <c r="J26" s="38"/>
      <c r="K26" s="38"/>
      <c r="L26" s="38"/>
      <c r="M26" s="38"/>
      <c r="N26" s="38"/>
      <c r="O26" s="45"/>
      <c r="P26" s="45"/>
      <c r="Q26" s="45"/>
      <c r="R26" s="45"/>
      <c r="S26" s="45"/>
      <c r="T26" s="45"/>
      <c r="U26" s="45"/>
      <c r="V26" s="45"/>
      <c r="W26" s="2"/>
      <c r="X26" s="2"/>
      <c r="Y26" s="2"/>
      <c r="Z26" s="2"/>
    </row>
    <row r="27">
      <c r="A27" s="29"/>
      <c r="B27" s="38" t="s">
        <v>49</v>
      </c>
      <c r="C27" s="39"/>
      <c r="D27" s="40"/>
      <c r="E27" s="40"/>
      <c r="F27" s="63"/>
      <c r="G27" s="64"/>
      <c r="H27" s="64"/>
      <c r="I27" s="38"/>
      <c r="J27" s="38"/>
      <c r="K27" s="38"/>
      <c r="L27" s="38"/>
      <c r="M27" s="38"/>
      <c r="N27" s="38"/>
      <c r="O27" s="45"/>
      <c r="P27" s="45"/>
      <c r="Q27" s="45"/>
      <c r="R27" s="45"/>
      <c r="S27" s="45"/>
      <c r="T27" s="45"/>
      <c r="U27" s="45"/>
      <c r="V27" s="45"/>
      <c r="W27" s="2"/>
      <c r="X27" s="2"/>
      <c r="Y27" s="2"/>
      <c r="Z27" s="2"/>
    </row>
    <row r="28">
      <c r="A28" s="29"/>
      <c r="B28" s="38"/>
      <c r="C28" s="39"/>
      <c r="D28" s="40"/>
      <c r="E28" s="40"/>
      <c r="F28" s="63"/>
      <c r="G28" s="64"/>
      <c r="H28" s="64"/>
      <c r="I28" s="38"/>
      <c r="J28" s="38"/>
      <c r="K28" s="38"/>
      <c r="L28" s="38"/>
      <c r="M28" s="38"/>
      <c r="N28" s="38"/>
      <c r="O28" s="45"/>
      <c r="P28" s="45"/>
      <c r="Q28" s="45"/>
      <c r="R28" s="45"/>
      <c r="S28" s="45"/>
      <c r="T28" s="45"/>
      <c r="U28" s="45"/>
      <c r="V28" s="45"/>
      <c r="W28" s="2"/>
      <c r="X28" s="2"/>
      <c r="Y28" s="2"/>
      <c r="Z28" s="2"/>
    </row>
    <row r="29">
      <c r="A29" s="29"/>
      <c r="B29" s="68" t="s">
        <v>50</v>
      </c>
      <c r="C29" s="69"/>
      <c r="D29" s="70"/>
      <c r="E29" s="70"/>
      <c r="F29" s="71"/>
      <c r="G29" s="72"/>
      <c r="H29" s="72"/>
      <c r="I29" s="73"/>
      <c r="J29" s="73"/>
      <c r="K29" s="73"/>
      <c r="L29" s="73"/>
      <c r="M29" s="73"/>
      <c r="N29" s="73"/>
      <c r="O29" s="74"/>
      <c r="P29" s="74"/>
      <c r="Q29" s="74"/>
      <c r="R29" s="74"/>
      <c r="S29" s="74"/>
      <c r="T29" s="74"/>
      <c r="U29" s="74"/>
      <c r="V29" s="74"/>
      <c r="W29" s="2"/>
      <c r="X29" s="2"/>
      <c r="Y29" s="2"/>
      <c r="Z29" s="2"/>
    </row>
    <row r="30" ht="22.5" customHeight="1">
      <c r="A30" s="29"/>
      <c r="B30" s="75" t="s">
        <v>51</v>
      </c>
      <c r="C30" s="39" t="s">
        <v>52</v>
      </c>
      <c r="D30" s="40">
        <v>750.0</v>
      </c>
      <c r="E30" s="40">
        <f>40*750</f>
        <v>30000</v>
      </c>
      <c r="F30" s="63" t="s">
        <v>31</v>
      </c>
      <c r="G30" s="64" t="s">
        <v>53</v>
      </c>
      <c r="H30" s="63">
        <v>40.0</v>
      </c>
      <c r="I30" s="38"/>
      <c r="J30" s="38"/>
      <c r="K30" s="38"/>
      <c r="L30" s="38"/>
      <c r="M30" s="38"/>
      <c r="N30" s="38"/>
      <c r="O30" s="45"/>
      <c r="P30" s="45"/>
      <c r="Q30" s="45"/>
      <c r="R30" s="45"/>
      <c r="S30" s="45"/>
      <c r="T30" s="45"/>
      <c r="U30" s="45"/>
      <c r="V30" s="45"/>
      <c r="W30" s="2"/>
      <c r="X30" s="2"/>
      <c r="Y30" s="2"/>
      <c r="Z30" s="2"/>
    </row>
    <row r="31">
      <c r="A31" s="29"/>
      <c r="B31" s="76" t="s">
        <v>54</v>
      </c>
      <c r="C31" s="39" t="s">
        <v>55</v>
      </c>
      <c r="D31" s="40">
        <v>1000.0</v>
      </c>
      <c r="E31" s="40">
        <f>50*1000</f>
        <v>50000</v>
      </c>
      <c r="F31" s="63" t="s">
        <v>31</v>
      </c>
      <c r="G31" s="64" t="s">
        <v>53</v>
      </c>
      <c r="H31" s="63">
        <v>50.0</v>
      </c>
      <c r="I31" s="38"/>
      <c r="J31" s="38"/>
      <c r="K31" s="38"/>
      <c r="L31" s="38"/>
      <c r="M31" s="38"/>
      <c r="N31" s="38"/>
      <c r="O31" s="45"/>
      <c r="P31" s="45"/>
      <c r="Q31" s="45"/>
      <c r="R31" s="45"/>
      <c r="S31" s="45"/>
      <c r="T31" s="45"/>
      <c r="U31" s="45"/>
      <c r="V31" s="45"/>
      <c r="W31" s="2"/>
      <c r="X31" s="2"/>
      <c r="Y31" s="2"/>
      <c r="Z31" s="2"/>
    </row>
    <row r="32">
      <c r="A32" s="29"/>
      <c r="B32" s="76" t="s">
        <v>56</v>
      </c>
      <c r="C32" s="39" t="s">
        <v>52</v>
      </c>
      <c r="D32" s="40">
        <v>750.0</v>
      </c>
      <c r="E32" s="40">
        <f>40*750</f>
        <v>30000</v>
      </c>
      <c r="F32" s="63" t="s">
        <v>31</v>
      </c>
      <c r="G32" s="64" t="s">
        <v>53</v>
      </c>
      <c r="H32" s="63">
        <v>40.0</v>
      </c>
      <c r="I32" s="38"/>
      <c r="J32" s="38"/>
      <c r="K32" s="38"/>
      <c r="L32" s="38"/>
      <c r="M32" s="38"/>
      <c r="N32" s="38"/>
      <c r="O32" s="45"/>
      <c r="P32" s="45"/>
      <c r="Q32" s="45"/>
      <c r="R32" s="45"/>
      <c r="S32" s="45"/>
      <c r="T32" s="45"/>
      <c r="U32" s="45"/>
      <c r="V32" s="45"/>
      <c r="W32" s="2"/>
      <c r="X32" s="2"/>
      <c r="Y32" s="2"/>
      <c r="Z32" s="2"/>
    </row>
    <row r="33">
      <c r="A33" s="29"/>
      <c r="B33" s="76" t="s">
        <v>57</v>
      </c>
      <c r="C33" s="39" t="s">
        <v>58</v>
      </c>
      <c r="D33" s="40">
        <v>750.0</v>
      </c>
      <c r="E33" s="40">
        <f t="shared" ref="E33:E34" si="1">30*750</f>
        <v>22500</v>
      </c>
      <c r="F33" s="63" t="s">
        <v>31</v>
      </c>
      <c r="G33" s="64" t="s">
        <v>53</v>
      </c>
      <c r="H33" s="63">
        <v>30.0</v>
      </c>
      <c r="I33" s="38"/>
      <c r="J33" s="38"/>
      <c r="K33" s="38"/>
      <c r="L33" s="38"/>
      <c r="M33" s="38"/>
      <c r="N33" s="38"/>
      <c r="O33" s="45"/>
      <c r="P33" s="45"/>
      <c r="Q33" s="45"/>
      <c r="R33" s="45"/>
      <c r="S33" s="45"/>
      <c r="T33" s="45"/>
      <c r="U33" s="45"/>
      <c r="V33" s="45"/>
      <c r="W33" s="2"/>
      <c r="X33" s="2"/>
      <c r="Y33" s="2"/>
      <c r="Z33" s="2"/>
    </row>
    <row r="34">
      <c r="A34" s="29"/>
      <c r="B34" s="75" t="s">
        <v>59</v>
      </c>
      <c r="C34" s="39" t="s">
        <v>58</v>
      </c>
      <c r="D34" s="40">
        <v>750.0</v>
      </c>
      <c r="E34" s="40">
        <f t="shared" si="1"/>
        <v>22500</v>
      </c>
      <c r="F34" s="63" t="s">
        <v>31</v>
      </c>
      <c r="G34" s="64" t="s">
        <v>53</v>
      </c>
      <c r="H34" s="63">
        <v>30.0</v>
      </c>
      <c r="I34" s="38"/>
      <c r="J34" s="38"/>
      <c r="K34" s="38"/>
      <c r="L34" s="38"/>
      <c r="M34" s="38"/>
      <c r="N34" s="38"/>
      <c r="O34" s="45"/>
      <c r="P34" s="45"/>
      <c r="Q34" s="45"/>
      <c r="R34" s="45"/>
      <c r="S34" s="45"/>
      <c r="T34" s="45"/>
      <c r="U34" s="45"/>
      <c r="V34" s="45"/>
      <c r="W34" s="2"/>
      <c r="X34" s="2"/>
      <c r="Y34" s="2"/>
      <c r="Z34" s="2"/>
    </row>
    <row r="35">
      <c r="A35" s="29"/>
      <c r="B35" s="38"/>
      <c r="C35" s="39"/>
      <c r="D35" s="40"/>
      <c r="E35" s="40"/>
      <c r="F35" s="63"/>
      <c r="G35" s="64"/>
      <c r="H35" s="64"/>
      <c r="I35" s="38"/>
      <c r="J35" s="38"/>
      <c r="K35" s="38"/>
      <c r="L35" s="38"/>
      <c r="M35" s="38"/>
      <c r="N35" s="38"/>
      <c r="O35" s="45"/>
      <c r="P35" s="45"/>
      <c r="Q35" s="45"/>
      <c r="R35" s="45"/>
      <c r="S35" s="45"/>
      <c r="T35" s="45"/>
      <c r="U35" s="45"/>
      <c r="V35" s="45"/>
      <c r="W35" s="2"/>
      <c r="X35" s="2"/>
      <c r="Y35" s="2"/>
      <c r="Z35" s="2"/>
    </row>
    <row r="36">
      <c r="A36" s="29"/>
      <c r="B36" s="30" t="s">
        <v>60</v>
      </c>
      <c r="C36" s="31"/>
      <c r="D36" s="32"/>
      <c r="E36" s="32"/>
      <c r="F36" s="77"/>
      <c r="G36" s="78"/>
      <c r="H36" s="78"/>
      <c r="I36" s="79"/>
      <c r="J36" s="79"/>
      <c r="K36" s="79"/>
      <c r="L36" s="79"/>
      <c r="M36" s="79"/>
      <c r="N36" s="79"/>
      <c r="O36" s="37"/>
      <c r="P36" s="37"/>
      <c r="Q36" s="37"/>
      <c r="R36" s="37"/>
      <c r="S36" s="37"/>
      <c r="T36" s="37"/>
      <c r="U36" s="37"/>
      <c r="V36" s="37"/>
      <c r="W36" s="2"/>
      <c r="X36" s="2"/>
      <c r="Y36" s="2"/>
      <c r="Z36" s="2"/>
    </row>
    <row r="37">
      <c r="A37" s="29"/>
      <c r="B37" s="38" t="s">
        <v>61</v>
      </c>
      <c r="C37" s="39" t="s">
        <v>62</v>
      </c>
      <c r="D37" s="40">
        <v>8000.0</v>
      </c>
      <c r="E37" s="40">
        <f>9*D37</f>
        <v>72000</v>
      </c>
      <c r="F37" s="67" t="s">
        <v>31</v>
      </c>
      <c r="G37" s="64" t="s">
        <v>53</v>
      </c>
      <c r="H37" s="63">
        <v>9.0</v>
      </c>
      <c r="I37" s="38"/>
      <c r="J37" s="38"/>
      <c r="K37" s="38"/>
      <c r="L37" s="38"/>
      <c r="M37" s="38"/>
      <c r="N37" s="38"/>
      <c r="O37" s="45"/>
      <c r="P37" s="45"/>
      <c r="Q37" s="45"/>
      <c r="R37" s="45"/>
      <c r="S37" s="45"/>
      <c r="T37" s="45"/>
      <c r="U37" s="45"/>
      <c r="V37" s="45"/>
      <c r="W37" s="2"/>
      <c r="X37" s="2"/>
      <c r="Y37" s="2"/>
      <c r="Z37" s="2"/>
    </row>
    <row r="38">
      <c r="A38" s="29"/>
      <c r="B38" s="38" t="s">
        <v>63</v>
      </c>
      <c r="C38" s="39" t="s">
        <v>64</v>
      </c>
      <c r="D38" s="40">
        <v>3000.0</v>
      </c>
      <c r="E38" s="40">
        <f>D38*130</f>
        <v>390000</v>
      </c>
      <c r="F38" s="67" t="s">
        <v>65</v>
      </c>
      <c r="G38" s="64" t="s">
        <v>53</v>
      </c>
      <c r="H38" s="63">
        <v>130.0</v>
      </c>
      <c r="I38" s="38"/>
      <c r="J38" s="38"/>
      <c r="K38" s="38"/>
      <c r="L38" s="38"/>
      <c r="M38" s="38"/>
      <c r="N38" s="38"/>
      <c r="O38" s="45"/>
      <c r="P38" s="45"/>
      <c r="Q38" s="45"/>
      <c r="R38" s="45"/>
      <c r="S38" s="45"/>
      <c r="T38" s="45"/>
      <c r="U38" s="45"/>
      <c r="V38" s="45"/>
      <c r="W38" s="2"/>
      <c r="X38" s="2"/>
      <c r="Y38" s="2"/>
      <c r="Z38" s="2"/>
    </row>
    <row r="39">
      <c r="A39" s="29"/>
      <c r="B39" s="38" t="s">
        <v>66</v>
      </c>
      <c r="C39" s="39" t="s">
        <v>67</v>
      </c>
      <c r="D39" s="40">
        <v>350.0</v>
      </c>
      <c r="E39" s="40">
        <f>180*350</f>
        <v>63000</v>
      </c>
      <c r="F39" s="67" t="s">
        <v>65</v>
      </c>
      <c r="G39" s="64" t="s">
        <v>53</v>
      </c>
      <c r="H39" s="63">
        <v>180.0</v>
      </c>
      <c r="I39" s="38"/>
      <c r="J39" s="38"/>
      <c r="K39" s="38"/>
      <c r="L39" s="38"/>
      <c r="M39" s="38"/>
      <c r="N39" s="38"/>
      <c r="O39" s="45"/>
      <c r="P39" s="45"/>
      <c r="Q39" s="45"/>
      <c r="R39" s="45"/>
      <c r="S39" s="45"/>
      <c r="T39" s="45"/>
      <c r="U39" s="45"/>
      <c r="V39" s="45"/>
      <c r="W39" s="2"/>
      <c r="X39" s="2"/>
      <c r="Y39" s="2"/>
      <c r="Z39" s="2"/>
    </row>
    <row r="40">
      <c r="A40" s="29"/>
      <c r="B40" s="38" t="s">
        <v>68</v>
      </c>
      <c r="C40" s="39" t="s">
        <v>69</v>
      </c>
      <c r="D40" s="40">
        <v>700.0</v>
      </c>
      <c r="E40" s="40">
        <f>50*700</f>
        <v>35000</v>
      </c>
      <c r="F40" s="67" t="s">
        <v>31</v>
      </c>
      <c r="G40" s="64" t="s">
        <v>53</v>
      </c>
      <c r="H40" s="63">
        <v>50.0</v>
      </c>
      <c r="I40" s="38"/>
      <c r="J40" s="38"/>
      <c r="K40" s="38"/>
      <c r="L40" s="38"/>
      <c r="M40" s="38"/>
      <c r="N40" s="38"/>
      <c r="O40" s="45"/>
      <c r="P40" s="45"/>
      <c r="Q40" s="45"/>
      <c r="R40" s="45"/>
      <c r="S40" s="45"/>
      <c r="T40" s="45"/>
      <c r="U40" s="45"/>
      <c r="V40" s="45"/>
      <c r="W40" s="2"/>
      <c r="X40" s="2"/>
      <c r="Y40" s="2"/>
      <c r="Z40" s="2"/>
    </row>
    <row r="41">
      <c r="A41" s="29"/>
      <c r="B41" s="38" t="s">
        <v>70</v>
      </c>
      <c r="C41" s="39" t="s">
        <v>71</v>
      </c>
      <c r="D41" s="40">
        <v>9500.0</v>
      </c>
      <c r="E41" s="40">
        <f>38*9500</f>
        <v>361000</v>
      </c>
      <c r="F41" s="67" t="s">
        <v>65</v>
      </c>
      <c r="G41" s="64" t="s">
        <v>53</v>
      </c>
      <c r="H41" s="63">
        <v>38.0</v>
      </c>
      <c r="I41" s="38"/>
      <c r="J41" s="38"/>
      <c r="K41" s="38"/>
      <c r="L41" s="38"/>
      <c r="M41" s="38"/>
      <c r="N41" s="38"/>
      <c r="O41" s="45"/>
      <c r="P41" s="45"/>
      <c r="Q41" s="45"/>
      <c r="R41" s="45"/>
      <c r="S41" s="45"/>
      <c r="T41" s="45"/>
      <c r="U41" s="45"/>
      <c r="V41" s="45"/>
      <c r="W41" s="2"/>
      <c r="X41" s="2"/>
      <c r="Y41" s="2"/>
      <c r="Z41" s="2"/>
    </row>
    <row r="42">
      <c r="A42" s="29"/>
      <c r="B42" s="30" t="s">
        <v>72</v>
      </c>
      <c r="C42" s="31"/>
      <c r="D42" s="32"/>
      <c r="E42" s="32"/>
      <c r="F42" s="77"/>
      <c r="G42" s="78"/>
      <c r="H42" s="78"/>
      <c r="I42" s="79"/>
      <c r="J42" s="79"/>
      <c r="K42" s="79"/>
      <c r="L42" s="79"/>
      <c r="M42" s="79"/>
      <c r="N42" s="79"/>
      <c r="O42" s="37"/>
      <c r="P42" s="37"/>
      <c r="Q42" s="37"/>
      <c r="R42" s="37"/>
      <c r="S42" s="37"/>
      <c r="T42" s="37"/>
      <c r="U42" s="37"/>
      <c r="V42" s="37"/>
      <c r="W42" s="2"/>
      <c r="X42" s="2"/>
      <c r="Y42" s="2"/>
      <c r="Z42" s="2"/>
    </row>
    <row r="43" ht="91.5" customHeight="1">
      <c r="A43" s="29"/>
      <c r="B43" s="80" t="s">
        <v>73</v>
      </c>
      <c r="C43" s="39" t="s">
        <v>74</v>
      </c>
      <c r="D43" s="40">
        <v>55.0</v>
      </c>
      <c r="E43" s="40">
        <f>5000*55</f>
        <v>275000</v>
      </c>
      <c r="F43" s="63" t="s">
        <v>65</v>
      </c>
      <c r="G43" s="64" t="s">
        <v>53</v>
      </c>
      <c r="H43" s="63">
        <v>55.0</v>
      </c>
      <c r="I43" s="38"/>
      <c r="J43" s="38"/>
      <c r="K43" s="38"/>
      <c r="L43" s="38"/>
      <c r="M43" s="38"/>
      <c r="N43" s="38"/>
      <c r="O43" s="45"/>
      <c r="P43" s="45"/>
      <c r="Q43" s="45"/>
      <c r="R43" s="45"/>
      <c r="S43" s="45"/>
      <c r="T43" s="45"/>
      <c r="U43" s="45"/>
      <c r="V43" s="45"/>
      <c r="W43" s="2"/>
      <c r="X43" s="2"/>
      <c r="Y43" s="2"/>
      <c r="Z43" s="2"/>
    </row>
    <row r="44">
      <c r="A44" s="29"/>
      <c r="B44" s="81" t="s">
        <v>75</v>
      </c>
      <c r="C44" s="39" t="s">
        <v>76</v>
      </c>
      <c r="D44" s="40">
        <v>600.0</v>
      </c>
      <c r="E44" s="40">
        <f>1500*600</f>
        <v>900000</v>
      </c>
      <c r="F44" s="63" t="s">
        <v>65</v>
      </c>
      <c r="G44" s="64" t="s">
        <v>77</v>
      </c>
      <c r="H44" s="63">
        <v>1500.0</v>
      </c>
      <c r="I44" s="38"/>
      <c r="J44" s="38"/>
      <c r="K44" s="38"/>
      <c r="L44" s="38"/>
      <c r="M44" s="38"/>
      <c r="N44" s="38"/>
      <c r="O44" s="45"/>
      <c r="P44" s="45"/>
      <c r="Q44" s="45"/>
      <c r="R44" s="45"/>
      <c r="S44" s="45"/>
      <c r="T44" s="45"/>
      <c r="U44" s="45"/>
      <c r="V44" s="45"/>
      <c r="W44" s="2"/>
      <c r="X44" s="2"/>
      <c r="Y44" s="2"/>
      <c r="Z44" s="2"/>
    </row>
    <row r="45">
      <c r="A45" s="29"/>
      <c r="B45" s="81" t="s">
        <v>78</v>
      </c>
      <c r="C45" s="39" t="s">
        <v>76</v>
      </c>
      <c r="D45" s="40">
        <v>140.0</v>
      </c>
      <c r="E45" s="40">
        <f>1500*140</f>
        <v>210000</v>
      </c>
      <c r="F45" s="63" t="s">
        <v>65</v>
      </c>
      <c r="G45" s="64" t="s">
        <v>77</v>
      </c>
      <c r="H45" s="63">
        <v>1500.0</v>
      </c>
      <c r="I45" s="38"/>
      <c r="J45" s="38"/>
      <c r="K45" s="38"/>
      <c r="L45" s="38"/>
      <c r="M45" s="38"/>
      <c r="N45" s="38"/>
      <c r="O45" s="45"/>
      <c r="P45" s="45"/>
      <c r="Q45" s="45"/>
      <c r="R45" s="45"/>
      <c r="S45" s="45"/>
      <c r="T45" s="45"/>
      <c r="U45" s="45"/>
      <c r="V45" s="45"/>
      <c r="W45" s="2"/>
      <c r="X45" s="2"/>
      <c r="Y45" s="2"/>
      <c r="Z45" s="2"/>
    </row>
    <row r="46">
      <c r="A46" s="29"/>
      <c r="B46" s="38"/>
      <c r="C46" s="39"/>
      <c r="D46" s="40"/>
      <c r="E46" s="40"/>
      <c r="F46" s="63"/>
      <c r="G46" s="64"/>
      <c r="H46" s="64"/>
      <c r="I46" s="38"/>
      <c r="J46" s="38"/>
      <c r="K46" s="38"/>
      <c r="L46" s="38"/>
      <c r="M46" s="38"/>
      <c r="N46" s="38"/>
      <c r="O46" s="45"/>
      <c r="P46" s="45"/>
      <c r="Q46" s="45"/>
      <c r="R46" s="45"/>
      <c r="S46" s="45"/>
      <c r="T46" s="45"/>
      <c r="U46" s="45"/>
      <c r="V46" s="45"/>
      <c r="W46" s="2"/>
      <c r="X46" s="2"/>
      <c r="Y46" s="2"/>
      <c r="Z46" s="2"/>
    </row>
    <row r="47">
      <c r="A47" s="29"/>
      <c r="B47" s="82" t="s">
        <v>79</v>
      </c>
      <c r="C47" s="39" t="s">
        <v>80</v>
      </c>
      <c r="D47" s="40">
        <v>150.0</v>
      </c>
      <c r="E47" s="40">
        <f>1100*150</f>
        <v>165000</v>
      </c>
      <c r="F47" s="63" t="s">
        <v>81</v>
      </c>
      <c r="G47" s="64" t="s">
        <v>53</v>
      </c>
      <c r="H47" s="63">
        <v>1100.0</v>
      </c>
      <c r="I47" s="38"/>
      <c r="J47" s="38"/>
      <c r="K47" s="38"/>
      <c r="L47" s="38"/>
      <c r="M47" s="38"/>
      <c r="N47" s="38"/>
      <c r="O47" s="45"/>
      <c r="P47" s="45"/>
      <c r="Q47" s="45"/>
      <c r="R47" s="45"/>
      <c r="S47" s="45"/>
      <c r="T47" s="45"/>
      <c r="U47" s="45"/>
      <c r="V47" s="45"/>
      <c r="W47" s="2"/>
      <c r="X47" s="2"/>
      <c r="Y47" s="2"/>
      <c r="Z47" s="2"/>
    </row>
    <row r="48">
      <c r="A48" s="29"/>
      <c r="B48" s="38" t="s">
        <v>82</v>
      </c>
      <c r="C48" s="39"/>
      <c r="D48" s="40"/>
      <c r="E48" s="40"/>
      <c r="F48" s="63"/>
      <c r="G48" s="64"/>
      <c r="H48" s="64"/>
      <c r="I48" s="38"/>
      <c r="J48" s="38"/>
      <c r="K48" s="38"/>
      <c r="L48" s="38"/>
      <c r="M48" s="38"/>
      <c r="N48" s="38"/>
      <c r="O48" s="45"/>
      <c r="P48" s="45"/>
      <c r="Q48" s="45"/>
      <c r="R48" s="45"/>
      <c r="S48" s="45"/>
      <c r="T48" s="45"/>
      <c r="U48" s="45"/>
      <c r="V48" s="45"/>
      <c r="W48" s="2"/>
      <c r="X48" s="2"/>
      <c r="Y48" s="2"/>
      <c r="Z48" s="2"/>
    </row>
    <row r="49">
      <c r="A49" s="29"/>
      <c r="B49" s="38" t="s">
        <v>83</v>
      </c>
      <c r="C49" s="39"/>
      <c r="D49" s="40"/>
      <c r="E49" s="40"/>
      <c r="F49" s="63"/>
      <c r="G49" s="64"/>
      <c r="H49" s="64"/>
      <c r="I49" s="38"/>
      <c r="J49" s="38"/>
      <c r="K49" s="38"/>
      <c r="L49" s="38"/>
      <c r="M49" s="38"/>
      <c r="N49" s="38"/>
      <c r="O49" s="45"/>
      <c r="P49" s="45"/>
      <c r="Q49" s="45"/>
      <c r="R49" s="45"/>
      <c r="S49" s="45"/>
      <c r="T49" s="45"/>
      <c r="U49" s="45"/>
      <c r="V49" s="45"/>
      <c r="W49" s="2"/>
      <c r="X49" s="2"/>
      <c r="Y49" s="2"/>
      <c r="Z49" s="2"/>
    </row>
    <row r="50">
      <c r="A50" s="29"/>
      <c r="B50" s="38" t="s">
        <v>84</v>
      </c>
      <c r="C50" s="39"/>
      <c r="D50" s="40"/>
      <c r="E50" s="40"/>
      <c r="F50" s="63"/>
      <c r="G50" s="64"/>
      <c r="H50" s="64"/>
      <c r="I50" s="38"/>
      <c r="J50" s="38"/>
      <c r="K50" s="38"/>
      <c r="L50" s="38"/>
      <c r="M50" s="38"/>
      <c r="N50" s="38"/>
      <c r="O50" s="45"/>
      <c r="P50" s="45"/>
      <c r="Q50" s="45"/>
      <c r="R50" s="45"/>
      <c r="S50" s="45"/>
      <c r="T50" s="45"/>
      <c r="U50" s="45"/>
      <c r="V50" s="45"/>
      <c r="W50" s="2"/>
      <c r="X50" s="2"/>
      <c r="Y50" s="2"/>
      <c r="Z50" s="2"/>
    </row>
    <row r="51">
      <c r="A51" s="29"/>
      <c r="B51" s="38" t="s">
        <v>85</v>
      </c>
      <c r="C51" s="39"/>
      <c r="D51" s="40"/>
      <c r="E51" s="40"/>
      <c r="F51" s="63"/>
      <c r="G51" s="64"/>
      <c r="H51" s="64"/>
      <c r="I51" s="38"/>
      <c r="J51" s="38"/>
      <c r="K51" s="38"/>
      <c r="L51" s="38"/>
      <c r="M51" s="38"/>
      <c r="N51" s="38"/>
      <c r="O51" s="45"/>
      <c r="P51" s="45"/>
      <c r="Q51" s="45"/>
      <c r="R51" s="45"/>
      <c r="S51" s="45"/>
      <c r="T51" s="45"/>
      <c r="U51" s="45"/>
      <c r="V51" s="45"/>
      <c r="W51" s="2"/>
      <c r="X51" s="2"/>
      <c r="Y51" s="2"/>
      <c r="Z51" s="2"/>
    </row>
    <row r="52">
      <c r="A52" s="29"/>
      <c r="B52" s="38"/>
      <c r="C52" s="39"/>
      <c r="D52" s="40"/>
      <c r="E52" s="40"/>
      <c r="F52" s="63"/>
      <c r="G52" s="64"/>
      <c r="H52" s="64"/>
      <c r="I52" s="38"/>
      <c r="J52" s="38"/>
      <c r="K52" s="38"/>
      <c r="L52" s="38"/>
      <c r="M52" s="38"/>
      <c r="N52" s="38"/>
      <c r="O52" s="45"/>
      <c r="P52" s="45"/>
      <c r="Q52" s="45"/>
      <c r="R52" s="45"/>
      <c r="S52" s="45"/>
      <c r="T52" s="45"/>
      <c r="U52" s="45"/>
      <c r="V52" s="45"/>
      <c r="W52" s="2"/>
      <c r="X52" s="2"/>
      <c r="Y52" s="2"/>
      <c r="Z52" s="2"/>
    </row>
    <row r="53">
      <c r="A53" s="29"/>
      <c r="B53" s="83" t="s">
        <v>86</v>
      </c>
      <c r="C53" s="39" t="s">
        <v>87</v>
      </c>
      <c r="D53" s="40">
        <v>6000.0</v>
      </c>
      <c r="E53" s="40">
        <v>6000.0</v>
      </c>
      <c r="F53" s="63" t="s">
        <v>81</v>
      </c>
      <c r="G53" s="64" t="s">
        <v>53</v>
      </c>
      <c r="H53" s="63">
        <v>6000.0</v>
      </c>
      <c r="I53" s="38"/>
      <c r="J53" s="38"/>
      <c r="K53" s="38"/>
      <c r="L53" s="38"/>
      <c r="M53" s="38"/>
      <c r="N53" s="38"/>
      <c r="O53" s="45"/>
      <c r="P53" s="45"/>
      <c r="Q53" s="45"/>
      <c r="R53" s="45"/>
      <c r="S53" s="45"/>
      <c r="T53" s="45"/>
      <c r="U53" s="45"/>
      <c r="V53" s="45"/>
      <c r="W53" s="2"/>
      <c r="X53" s="2"/>
      <c r="Y53" s="2"/>
      <c r="Z53" s="2"/>
    </row>
    <row r="54">
      <c r="A54" s="29"/>
      <c r="B54" s="75" t="s">
        <v>88</v>
      </c>
      <c r="C54" s="39"/>
      <c r="D54" s="40"/>
      <c r="E54" s="40"/>
      <c r="F54" s="63"/>
      <c r="G54" s="64"/>
      <c r="H54" s="64"/>
      <c r="I54" s="38"/>
      <c r="J54" s="38"/>
      <c r="K54" s="38"/>
      <c r="L54" s="38"/>
      <c r="M54" s="38"/>
      <c r="N54" s="38"/>
      <c r="O54" s="45"/>
      <c r="P54" s="45"/>
      <c r="Q54" s="45"/>
      <c r="R54" s="45"/>
      <c r="S54" s="45"/>
      <c r="T54" s="45"/>
      <c r="U54" s="45"/>
      <c r="V54" s="45"/>
      <c r="W54" s="2"/>
      <c r="X54" s="2"/>
      <c r="Y54" s="2"/>
      <c r="Z54" s="2"/>
    </row>
    <row r="55">
      <c r="A55" s="29"/>
      <c r="B55" s="38"/>
      <c r="C55" s="39"/>
      <c r="D55" s="40"/>
      <c r="E55" s="40"/>
      <c r="F55" s="63"/>
      <c r="G55" s="64"/>
      <c r="H55" s="64"/>
      <c r="I55" s="38"/>
      <c r="J55" s="38"/>
      <c r="K55" s="38"/>
      <c r="L55" s="38"/>
      <c r="M55" s="38"/>
      <c r="N55" s="38"/>
      <c r="O55" s="45"/>
      <c r="P55" s="45"/>
      <c r="Q55" s="45"/>
      <c r="R55" s="45"/>
      <c r="S55" s="45"/>
      <c r="T55" s="45"/>
      <c r="U55" s="45"/>
      <c r="V55" s="45"/>
      <c r="W55" s="2"/>
      <c r="X55" s="2"/>
      <c r="Y55" s="2"/>
      <c r="Z55" s="2"/>
    </row>
    <row r="56">
      <c r="A56" s="29"/>
      <c r="B56" s="84" t="s">
        <v>89</v>
      </c>
      <c r="C56" s="85" t="s">
        <v>90</v>
      </c>
      <c r="D56" s="48">
        <v>40000.0</v>
      </c>
      <c r="E56" s="48">
        <v>40000.0</v>
      </c>
      <c r="F56" s="63" t="s">
        <v>81</v>
      </c>
      <c r="G56" s="64" t="s">
        <v>53</v>
      </c>
      <c r="H56" s="64"/>
      <c r="I56" s="38"/>
      <c r="J56" s="38"/>
      <c r="K56" s="38"/>
      <c r="L56" s="38"/>
      <c r="M56" s="38"/>
      <c r="N56" s="38"/>
      <c r="O56" s="45"/>
      <c r="P56" s="45"/>
      <c r="Q56" s="45"/>
      <c r="R56" s="45"/>
      <c r="S56" s="45"/>
      <c r="T56" s="45"/>
      <c r="U56" s="45"/>
      <c r="V56" s="45"/>
      <c r="W56" s="2"/>
      <c r="X56" s="2"/>
      <c r="Y56" s="2"/>
      <c r="Z56" s="2"/>
    </row>
    <row r="57">
      <c r="A57" s="29"/>
      <c r="B57" s="86" t="s">
        <v>91</v>
      </c>
      <c r="C57" s="39"/>
      <c r="D57" s="40"/>
      <c r="E57" s="40"/>
      <c r="F57" s="63"/>
      <c r="G57" s="64"/>
      <c r="H57" s="64"/>
      <c r="I57" s="38"/>
      <c r="J57" s="38"/>
      <c r="K57" s="38"/>
      <c r="L57" s="38"/>
      <c r="M57" s="38"/>
      <c r="N57" s="38"/>
      <c r="O57" s="45"/>
      <c r="P57" s="45"/>
      <c r="Q57" s="45"/>
      <c r="R57" s="45"/>
      <c r="S57" s="45"/>
      <c r="T57" s="45"/>
      <c r="U57" s="45"/>
      <c r="V57" s="45"/>
      <c r="W57" s="2"/>
      <c r="X57" s="2"/>
      <c r="Y57" s="2"/>
      <c r="Z57" s="2"/>
    </row>
    <row r="58">
      <c r="A58" s="29"/>
      <c r="B58" s="86" t="s">
        <v>92</v>
      </c>
      <c r="C58" s="39"/>
      <c r="D58" s="40"/>
      <c r="E58" s="40"/>
      <c r="F58" s="63"/>
      <c r="G58" s="64"/>
      <c r="H58" s="64"/>
      <c r="I58" s="38"/>
      <c r="J58" s="38"/>
      <c r="K58" s="38"/>
      <c r="L58" s="38"/>
      <c r="M58" s="38"/>
      <c r="N58" s="38"/>
      <c r="O58" s="45"/>
      <c r="P58" s="45"/>
      <c r="Q58" s="45"/>
      <c r="R58" s="45"/>
      <c r="S58" s="45"/>
      <c r="T58" s="45"/>
      <c r="U58" s="45"/>
      <c r="V58" s="45"/>
      <c r="W58" s="2"/>
      <c r="X58" s="2"/>
      <c r="Y58" s="2"/>
      <c r="Z58" s="2"/>
    </row>
    <row r="59">
      <c r="A59" s="29"/>
      <c r="B59" s="87" t="s">
        <v>93</v>
      </c>
      <c r="C59" s="39"/>
      <c r="D59" s="40"/>
      <c r="E59" s="40"/>
      <c r="F59" s="63"/>
      <c r="G59" s="64"/>
      <c r="H59" s="64"/>
      <c r="I59" s="38"/>
      <c r="J59" s="38"/>
      <c r="K59" s="38"/>
      <c r="L59" s="38"/>
      <c r="M59" s="38"/>
      <c r="N59" s="38"/>
      <c r="O59" s="45"/>
      <c r="P59" s="45"/>
      <c r="Q59" s="45"/>
      <c r="R59" s="45"/>
      <c r="S59" s="45"/>
      <c r="T59" s="45"/>
      <c r="U59" s="45"/>
      <c r="V59" s="45"/>
      <c r="W59" s="2"/>
      <c r="X59" s="2"/>
      <c r="Y59" s="2"/>
      <c r="Z59" s="2"/>
    </row>
    <row r="60">
      <c r="A60" s="29"/>
      <c r="B60" s="38"/>
      <c r="C60" s="39"/>
      <c r="D60" s="40"/>
      <c r="E60" s="40"/>
      <c r="F60" s="63"/>
      <c r="G60" s="64"/>
      <c r="H60" s="64"/>
      <c r="I60" s="38"/>
      <c r="J60" s="38"/>
      <c r="K60" s="38"/>
      <c r="L60" s="38"/>
      <c r="M60" s="38"/>
      <c r="N60" s="38"/>
      <c r="O60" s="45"/>
      <c r="P60" s="45"/>
      <c r="Q60" s="45"/>
      <c r="R60" s="45"/>
      <c r="S60" s="45"/>
      <c r="T60" s="45"/>
      <c r="U60" s="45"/>
      <c r="V60" s="45"/>
      <c r="W60" s="2"/>
      <c r="X60" s="2"/>
      <c r="Y60" s="2"/>
      <c r="Z60" s="2"/>
    </row>
    <row r="61">
      <c r="A61" s="29"/>
      <c r="B61" s="81" t="s">
        <v>94</v>
      </c>
      <c r="C61" s="85" t="s">
        <v>44</v>
      </c>
      <c r="D61" s="48">
        <v>30000.0</v>
      </c>
      <c r="E61" s="48">
        <v>30000.0</v>
      </c>
      <c r="F61" s="63" t="s">
        <v>81</v>
      </c>
      <c r="G61" s="64" t="s">
        <v>53</v>
      </c>
      <c r="H61" s="64"/>
      <c r="I61" s="38"/>
      <c r="J61" s="38"/>
      <c r="K61" s="38"/>
      <c r="L61" s="38"/>
      <c r="M61" s="38"/>
      <c r="N61" s="38"/>
      <c r="O61" s="45"/>
      <c r="P61" s="45"/>
      <c r="Q61" s="45"/>
      <c r="R61" s="45"/>
      <c r="S61" s="45"/>
      <c r="T61" s="45"/>
      <c r="U61" s="45"/>
      <c r="V61" s="45"/>
      <c r="W61" s="2"/>
      <c r="X61" s="2"/>
      <c r="Y61" s="2"/>
      <c r="Z61" s="2"/>
    </row>
    <row r="62">
      <c r="A62" s="29"/>
      <c r="B62" s="38"/>
      <c r="C62" s="39"/>
      <c r="D62" s="40"/>
      <c r="E62" s="40"/>
      <c r="F62" s="63"/>
      <c r="G62" s="64"/>
      <c r="H62" s="64"/>
      <c r="I62" s="38"/>
      <c r="J62" s="38"/>
      <c r="K62" s="38"/>
      <c r="L62" s="38"/>
      <c r="M62" s="38"/>
      <c r="N62" s="38"/>
      <c r="O62" s="45"/>
      <c r="P62" s="45"/>
      <c r="Q62" s="45"/>
      <c r="R62" s="45"/>
      <c r="S62" s="45"/>
      <c r="T62" s="45"/>
      <c r="U62" s="45"/>
      <c r="V62" s="45"/>
      <c r="W62" s="2"/>
      <c r="X62" s="2"/>
      <c r="Y62" s="2"/>
      <c r="Z62" s="2"/>
    </row>
    <row r="63">
      <c r="A63" s="29"/>
      <c r="B63" s="68" t="s">
        <v>95</v>
      </c>
      <c r="C63" s="69"/>
      <c r="D63" s="70"/>
      <c r="E63" s="70"/>
      <c r="F63" s="71"/>
      <c r="G63" s="72"/>
      <c r="H63" s="72"/>
      <c r="I63" s="73"/>
      <c r="J63" s="73"/>
      <c r="K63" s="73"/>
      <c r="L63" s="73"/>
      <c r="M63" s="73"/>
      <c r="N63" s="73"/>
      <c r="O63" s="74"/>
      <c r="P63" s="74"/>
      <c r="Q63" s="74"/>
      <c r="R63" s="74"/>
      <c r="S63" s="74"/>
      <c r="T63" s="74"/>
      <c r="U63" s="74"/>
      <c r="V63" s="74"/>
      <c r="W63" s="2"/>
      <c r="X63" s="2"/>
      <c r="Y63" s="2"/>
      <c r="Z63" s="2"/>
    </row>
    <row r="64">
      <c r="A64" s="29"/>
      <c r="B64" s="38" t="s">
        <v>96</v>
      </c>
      <c r="C64" s="39" t="s">
        <v>97</v>
      </c>
      <c r="D64" s="48">
        <v>18000.0</v>
      </c>
      <c r="E64" s="48">
        <v>540000.0</v>
      </c>
      <c r="F64" s="63" t="s">
        <v>65</v>
      </c>
      <c r="G64" s="64" t="s">
        <v>53</v>
      </c>
      <c r="H64" s="63">
        <v>30.0</v>
      </c>
      <c r="I64" s="38"/>
      <c r="J64" s="38"/>
      <c r="K64" s="38"/>
      <c r="L64" s="38"/>
      <c r="M64" s="38"/>
      <c r="N64" s="38"/>
      <c r="O64" s="45"/>
      <c r="P64" s="45"/>
      <c r="Q64" s="45"/>
      <c r="R64" s="45"/>
      <c r="S64" s="45"/>
      <c r="T64" s="45"/>
      <c r="U64" s="45"/>
      <c r="V64" s="45"/>
      <c r="W64" s="2"/>
      <c r="X64" s="2"/>
      <c r="Y64" s="2"/>
      <c r="Z64" s="2"/>
    </row>
    <row r="65">
      <c r="A65" s="29"/>
      <c r="B65" s="38"/>
      <c r="C65" s="39"/>
      <c r="D65" s="40"/>
      <c r="E65" s="40"/>
      <c r="F65" s="63"/>
      <c r="G65" s="64"/>
      <c r="H65" s="64"/>
      <c r="I65" s="38"/>
      <c r="J65" s="38"/>
      <c r="K65" s="38"/>
      <c r="L65" s="38"/>
      <c r="M65" s="38"/>
      <c r="N65" s="38"/>
      <c r="O65" s="45"/>
      <c r="P65" s="45"/>
      <c r="Q65" s="45"/>
      <c r="R65" s="45"/>
      <c r="S65" s="45"/>
      <c r="T65" s="45"/>
      <c r="U65" s="45"/>
      <c r="V65" s="45"/>
      <c r="W65" s="2"/>
      <c r="X65" s="2"/>
      <c r="Y65" s="2"/>
      <c r="Z65" s="2"/>
    </row>
    <row r="66">
      <c r="A66" s="29"/>
      <c r="B66" s="30" t="s">
        <v>98</v>
      </c>
      <c r="C66" s="31"/>
      <c r="D66" s="32"/>
      <c r="E66" s="32"/>
      <c r="F66" s="77"/>
      <c r="G66" s="78"/>
      <c r="H66" s="78"/>
      <c r="I66" s="79"/>
      <c r="J66" s="79"/>
      <c r="K66" s="79"/>
      <c r="L66" s="79"/>
      <c r="M66" s="79"/>
      <c r="N66" s="79"/>
      <c r="O66" s="37"/>
      <c r="P66" s="37"/>
      <c r="Q66" s="37"/>
      <c r="R66" s="37"/>
      <c r="S66" s="37"/>
      <c r="T66" s="37"/>
      <c r="U66" s="37"/>
      <c r="V66" s="37"/>
      <c r="W66" s="2"/>
      <c r="X66" s="2"/>
      <c r="Y66" s="2"/>
      <c r="Z66" s="2"/>
    </row>
    <row r="67">
      <c r="A67" s="29"/>
      <c r="B67" s="88" t="s">
        <v>99</v>
      </c>
      <c r="C67" s="39" t="s">
        <v>44</v>
      </c>
      <c r="D67" s="40">
        <v>30000.0</v>
      </c>
      <c r="E67" s="40">
        <v>30000.0</v>
      </c>
      <c r="F67" s="89" t="s">
        <v>81</v>
      </c>
      <c r="G67" s="86" t="s">
        <v>53</v>
      </c>
      <c r="H67" s="63">
        <v>1.0</v>
      </c>
      <c r="I67" s="38"/>
      <c r="J67" s="38"/>
      <c r="K67" s="38"/>
      <c r="L67" s="38"/>
      <c r="M67" s="38"/>
      <c r="N67" s="38"/>
      <c r="O67" s="45"/>
      <c r="P67" s="45"/>
      <c r="Q67" s="45"/>
      <c r="R67" s="45"/>
      <c r="S67" s="45"/>
      <c r="T67" s="45"/>
      <c r="U67" s="45"/>
      <c r="V67" s="45"/>
      <c r="W67" s="2"/>
      <c r="X67" s="2"/>
      <c r="Y67" s="2"/>
      <c r="Z67" s="2"/>
    </row>
    <row r="68">
      <c r="A68" s="29"/>
      <c r="B68" s="38" t="s">
        <v>100</v>
      </c>
      <c r="C68" s="39"/>
      <c r="D68" s="40"/>
      <c r="E68" s="40"/>
      <c r="F68" s="63"/>
      <c r="G68" s="64"/>
      <c r="H68" s="64"/>
      <c r="I68" s="38"/>
      <c r="J68" s="38"/>
      <c r="K68" s="38"/>
      <c r="L68" s="38"/>
      <c r="M68" s="38"/>
      <c r="N68" s="38"/>
      <c r="O68" s="45"/>
      <c r="P68" s="45"/>
      <c r="Q68" s="45"/>
      <c r="R68" s="45"/>
      <c r="S68" s="45"/>
      <c r="T68" s="45"/>
      <c r="U68" s="45"/>
      <c r="V68" s="45"/>
      <c r="W68" s="2"/>
      <c r="X68" s="2"/>
      <c r="Y68" s="2"/>
      <c r="Z68" s="2"/>
    </row>
    <row r="69">
      <c r="A69" s="29"/>
      <c r="B69" s="75" t="s">
        <v>101</v>
      </c>
      <c r="C69" s="39"/>
      <c r="D69" s="40"/>
      <c r="E69" s="40"/>
      <c r="F69" s="63"/>
      <c r="G69" s="64"/>
      <c r="H69" s="64"/>
      <c r="I69" s="38"/>
      <c r="J69" s="38"/>
      <c r="K69" s="38"/>
      <c r="L69" s="38"/>
      <c r="M69" s="38"/>
      <c r="N69" s="38"/>
      <c r="O69" s="45"/>
      <c r="P69" s="45"/>
      <c r="Q69" s="45"/>
      <c r="R69" s="45"/>
      <c r="S69" s="45"/>
      <c r="T69" s="45"/>
      <c r="U69" s="45"/>
      <c r="V69" s="45"/>
      <c r="W69" s="2"/>
      <c r="X69" s="2"/>
      <c r="Y69" s="2"/>
      <c r="Z69" s="2"/>
    </row>
    <row r="70">
      <c r="A70" s="29"/>
      <c r="B70" s="75" t="s">
        <v>102</v>
      </c>
      <c r="C70" s="39"/>
      <c r="D70" s="40"/>
      <c r="E70" s="40"/>
      <c r="F70" s="63"/>
      <c r="G70" s="64"/>
      <c r="H70" s="64"/>
      <c r="I70" s="38"/>
      <c r="J70" s="38"/>
      <c r="K70" s="38"/>
      <c r="L70" s="38"/>
      <c r="M70" s="38"/>
      <c r="N70" s="38"/>
      <c r="O70" s="45"/>
      <c r="P70" s="45"/>
      <c r="Q70" s="45"/>
      <c r="R70" s="45"/>
      <c r="S70" s="45"/>
      <c r="T70" s="45"/>
      <c r="U70" s="45"/>
      <c r="V70" s="45"/>
      <c r="W70" s="2"/>
      <c r="X70" s="2"/>
      <c r="Y70" s="2"/>
      <c r="Z70" s="2"/>
    </row>
    <row r="71">
      <c r="A71" s="29"/>
      <c r="B71" s="75" t="s">
        <v>103</v>
      </c>
      <c r="C71" s="39"/>
      <c r="D71" s="40"/>
      <c r="E71" s="40"/>
      <c r="F71" s="63"/>
      <c r="G71" s="64"/>
      <c r="H71" s="64"/>
      <c r="I71" s="38"/>
      <c r="J71" s="38"/>
      <c r="K71" s="38"/>
      <c r="L71" s="38"/>
      <c r="M71" s="38"/>
      <c r="N71" s="38"/>
      <c r="O71" s="45"/>
      <c r="P71" s="45"/>
      <c r="Q71" s="45"/>
      <c r="R71" s="45"/>
      <c r="S71" s="45"/>
      <c r="T71" s="45"/>
      <c r="U71" s="45"/>
      <c r="V71" s="45"/>
      <c r="W71" s="2"/>
      <c r="X71" s="2"/>
      <c r="Y71" s="2"/>
      <c r="Z71" s="2"/>
    </row>
    <row r="72">
      <c r="A72" s="29"/>
      <c r="B72" s="38"/>
      <c r="C72" s="39"/>
      <c r="D72" s="40"/>
      <c r="E72" s="40"/>
      <c r="F72" s="63"/>
      <c r="G72" s="64"/>
      <c r="H72" s="64"/>
      <c r="I72" s="38"/>
      <c r="J72" s="38"/>
      <c r="K72" s="38"/>
      <c r="L72" s="38"/>
      <c r="M72" s="38"/>
      <c r="N72" s="38"/>
      <c r="O72" s="45"/>
      <c r="P72" s="45"/>
      <c r="Q72" s="45"/>
      <c r="R72" s="45"/>
      <c r="S72" s="45"/>
      <c r="T72" s="45"/>
      <c r="U72" s="45"/>
      <c r="V72" s="45"/>
      <c r="W72" s="2"/>
      <c r="X72" s="2"/>
      <c r="Y72" s="2"/>
      <c r="Z72" s="2"/>
    </row>
    <row r="73">
      <c r="A73" s="29"/>
      <c r="B73" s="66" t="s">
        <v>104</v>
      </c>
      <c r="C73" s="85" t="s">
        <v>105</v>
      </c>
      <c r="D73" s="40"/>
      <c r="E73" s="40"/>
      <c r="F73" s="63"/>
      <c r="G73" s="64"/>
      <c r="H73" s="64"/>
      <c r="I73" s="38"/>
      <c r="J73" s="38"/>
      <c r="K73" s="38"/>
      <c r="L73" s="38"/>
      <c r="M73" s="38"/>
      <c r="N73" s="38"/>
      <c r="O73" s="45"/>
      <c r="P73" s="45"/>
      <c r="Q73" s="45"/>
      <c r="R73" s="45"/>
      <c r="S73" s="45"/>
      <c r="T73" s="45"/>
      <c r="U73" s="45"/>
      <c r="V73" s="45"/>
      <c r="W73" s="2"/>
      <c r="X73" s="2"/>
      <c r="Y73" s="2"/>
      <c r="Z73" s="2"/>
    </row>
    <row r="74">
      <c r="A74" s="29"/>
      <c r="B74" s="38"/>
      <c r="C74" s="39"/>
      <c r="D74" s="40"/>
      <c r="E74" s="40"/>
      <c r="F74" s="63"/>
      <c r="G74" s="64"/>
      <c r="H74" s="64"/>
      <c r="I74" s="38"/>
      <c r="J74" s="38"/>
      <c r="K74" s="38"/>
      <c r="L74" s="38"/>
      <c r="M74" s="38"/>
      <c r="N74" s="38"/>
      <c r="O74" s="45"/>
      <c r="P74" s="45"/>
      <c r="Q74" s="45"/>
      <c r="R74" s="45"/>
      <c r="S74" s="45"/>
      <c r="T74" s="45"/>
      <c r="U74" s="45"/>
      <c r="V74" s="45"/>
      <c r="W74" s="2"/>
      <c r="X74" s="2"/>
      <c r="Y74" s="2"/>
      <c r="Z74" s="2"/>
    </row>
    <row r="75">
      <c r="A75" s="29"/>
      <c r="B75" s="83" t="s">
        <v>106</v>
      </c>
      <c r="C75" s="39" t="s">
        <v>44</v>
      </c>
      <c r="D75" s="40">
        <v>325000.0</v>
      </c>
      <c r="E75" s="40">
        <f>250000+75000</f>
        <v>325000</v>
      </c>
      <c r="F75" s="89" t="s">
        <v>81</v>
      </c>
      <c r="G75" s="64" t="s">
        <v>53</v>
      </c>
      <c r="H75" s="63">
        <v>1.0</v>
      </c>
      <c r="I75" s="38"/>
      <c r="J75" s="38"/>
      <c r="K75" s="38"/>
      <c r="L75" s="38"/>
      <c r="M75" s="38"/>
      <c r="N75" s="38"/>
      <c r="O75" s="45"/>
      <c r="P75" s="45"/>
      <c r="Q75" s="45"/>
      <c r="R75" s="45"/>
      <c r="S75" s="45"/>
      <c r="T75" s="45"/>
      <c r="U75" s="45"/>
      <c r="V75" s="45"/>
      <c r="W75" s="2"/>
      <c r="X75" s="2"/>
      <c r="Y75" s="2"/>
      <c r="Z75" s="2"/>
    </row>
    <row r="76">
      <c r="A76" s="29"/>
      <c r="B76" s="75" t="s">
        <v>107</v>
      </c>
      <c r="C76" s="39"/>
      <c r="D76" s="40"/>
      <c r="E76" s="40"/>
      <c r="F76" s="63"/>
      <c r="G76" s="64"/>
      <c r="H76" s="64"/>
      <c r="I76" s="38"/>
      <c r="J76" s="38"/>
      <c r="K76" s="38"/>
      <c r="L76" s="38"/>
      <c r="M76" s="38"/>
      <c r="N76" s="38"/>
      <c r="O76" s="45"/>
      <c r="P76" s="45"/>
      <c r="Q76" s="45"/>
      <c r="R76" s="45"/>
      <c r="S76" s="45"/>
      <c r="T76" s="45"/>
      <c r="U76" s="45"/>
      <c r="V76" s="45"/>
      <c r="W76" s="2"/>
      <c r="X76" s="2"/>
      <c r="Y76" s="2"/>
      <c r="Z76" s="2"/>
    </row>
    <row r="77">
      <c r="A77" s="29"/>
      <c r="B77" s="38"/>
      <c r="C77" s="39"/>
      <c r="D77" s="40"/>
      <c r="E77" s="40"/>
      <c r="F77" s="63"/>
      <c r="G77" s="64"/>
      <c r="H77" s="64"/>
      <c r="I77" s="38"/>
      <c r="J77" s="38"/>
      <c r="K77" s="38"/>
      <c r="L77" s="38"/>
      <c r="M77" s="38"/>
      <c r="N77" s="38"/>
      <c r="O77" s="45"/>
      <c r="P77" s="45"/>
      <c r="Q77" s="45"/>
      <c r="R77" s="45"/>
      <c r="S77" s="45"/>
      <c r="T77" s="45"/>
      <c r="U77" s="45"/>
      <c r="V77" s="45"/>
      <c r="W77" s="2"/>
      <c r="X77" s="2"/>
      <c r="Y77" s="2"/>
      <c r="Z77" s="2"/>
    </row>
    <row r="78">
      <c r="A78" s="29"/>
      <c r="B78" s="83" t="s">
        <v>108</v>
      </c>
      <c r="C78" s="39" t="s">
        <v>44</v>
      </c>
      <c r="D78" s="40">
        <v>80000.0</v>
      </c>
      <c r="E78" s="40">
        <v>80000.0</v>
      </c>
      <c r="F78" s="63" t="s">
        <v>109</v>
      </c>
      <c r="G78" s="64" t="s">
        <v>53</v>
      </c>
      <c r="H78" s="63">
        <v>1.0</v>
      </c>
      <c r="I78" s="38"/>
      <c r="J78" s="38"/>
      <c r="K78" s="38"/>
      <c r="L78" s="38"/>
      <c r="M78" s="38"/>
      <c r="N78" s="38"/>
      <c r="O78" s="45"/>
      <c r="P78" s="45"/>
      <c r="Q78" s="45"/>
      <c r="R78" s="45"/>
      <c r="S78" s="45"/>
      <c r="T78" s="45"/>
      <c r="U78" s="45"/>
      <c r="V78" s="45"/>
      <c r="W78" s="2"/>
      <c r="X78" s="2"/>
      <c r="Y78" s="2"/>
      <c r="Z78" s="2"/>
    </row>
    <row r="79">
      <c r="A79" s="29"/>
      <c r="B79" s="38"/>
      <c r="C79" s="39"/>
      <c r="D79" s="40"/>
      <c r="E79" s="40"/>
      <c r="F79" s="63"/>
      <c r="G79" s="64"/>
      <c r="H79" s="64"/>
      <c r="I79" s="38"/>
      <c r="J79" s="38"/>
      <c r="K79" s="38"/>
      <c r="L79" s="38"/>
      <c r="M79" s="38"/>
      <c r="N79" s="38"/>
      <c r="O79" s="45"/>
      <c r="P79" s="45"/>
      <c r="Q79" s="45"/>
      <c r="R79" s="45"/>
      <c r="S79" s="45"/>
      <c r="T79" s="45"/>
      <c r="U79" s="45"/>
      <c r="V79" s="45"/>
      <c r="W79" s="2"/>
      <c r="X79" s="2"/>
      <c r="Y79" s="2"/>
      <c r="Z79" s="2"/>
    </row>
    <row r="80">
      <c r="A80" s="29"/>
      <c r="B80" s="83" t="s">
        <v>110</v>
      </c>
      <c r="C80" s="39" t="s">
        <v>44</v>
      </c>
      <c r="D80" s="40">
        <v>180000.0</v>
      </c>
      <c r="E80" s="40">
        <f>2000*90</f>
        <v>180000</v>
      </c>
      <c r="F80" s="63" t="s">
        <v>65</v>
      </c>
      <c r="G80" s="64" t="s">
        <v>77</v>
      </c>
      <c r="H80" s="64"/>
      <c r="I80" s="38"/>
      <c r="J80" s="90">
        <v>1.0</v>
      </c>
      <c r="K80" s="38"/>
      <c r="L80" s="38"/>
      <c r="M80" s="38"/>
      <c r="N80" s="38"/>
      <c r="O80" s="45"/>
      <c r="P80" s="45"/>
      <c r="Q80" s="45"/>
      <c r="R80" s="45"/>
      <c r="S80" s="45"/>
      <c r="T80" s="45"/>
      <c r="U80" s="45"/>
      <c r="V80" s="45"/>
      <c r="W80" s="2"/>
      <c r="X80" s="2"/>
      <c r="Y80" s="2"/>
      <c r="Z80" s="2"/>
    </row>
    <row r="81">
      <c r="A81" s="29"/>
      <c r="B81" s="38" t="s">
        <v>111</v>
      </c>
      <c r="C81" s="39"/>
      <c r="D81" s="40"/>
      <c r="E81" s="40"/>
      <c r="F81" s="63"/>
      <c r="G81" s="64"/>
      <c r="H81" s="64"/>
      <c r="I81" s="38"/>
      <c r="J81" s="38"/>
      <c r="K81" s="38"/>
      <c r="L81" s="38"/>
      <c r="M81" s="38"/>
      <c r="N81" s="38"/>
      <c r="O81" s="45"/>
      <c r="P81" s="45"/>
      <c r="Q81" s="45"/>
      <c r="R81" s="45"/>
      <c r="S81" s="45"/>
      <c r="T81" s="45"/>
      <c r="U81" s="45"/>
      <c r="V81" s="45"/>
      <c r="W81" s="2"/>
      <c r="X81" s="2"/>
      <c r="Y81" s="2"/>
      <c r="Z81" s="2"/>
    </row>
    <row r="82">
      <c r="A82" s="29"/>
      <c r="B82" s="38" t="s">
        <v>112</v>
      </c>
      <c r="C82" s="39"/>
      <c r="D82" s="40"/>
      <c r="E82" s="40"/>
      <c r="F82" s="63"/>
      <c r="G82" s="64"/>
      <c r="H82" s="64"/>
      <c r="I82" s="38"/>
      <c r="J82" s="38"/>
      <c r="K82" s="38"/>
      <c r="L82" s="38"/>
      <c r="M82" s="38"/>
      <c r="N82" s="38"/>
      <c r="O82" s="45"/>
      <c r="P82" s="45"/>
      <c r="Q82" s="45"/>
      <c r="R82" s="45"/>
      <c r="S82" s="45"/>
      <c r="T82" s="45"/>
      <c r="U82" s="45"/>
      <c r="V82" s="45"/>
      <c r="W82" s="2"/>
      <c r="X82" s="2"/>
      <c r="Y82" s="2"/>
      <c r="Z82" s="2"/>
    </row>
    <row r="83">
      <c r="A83" s="29"/>
      <c r="B83" s="38" t="s">
        <v>113</v>
      </c>
      <c r="C83" s="39"/>
      <c r="D83" s="40"/>
      <c r="E83" s="40"/>
      <c r="F83" s="63"/>
      <c r="G83" s="64"/>
      <c r="H83" s="64"/>
      <c r="I83" s="38"/>
      <c r="J83" s="38"/>
      <c r="K83" s="38"/>
      <c r="L83" s="38"/>
      <c r="M83" s="38"/>
      <c r="N83" s="38"/>
      <c r="O83" s="45"/>
      <c r="P83" s="45"/>
      <c r="Q83" s="45"/>
      <c r="R83" s="45"/>
      <c r="S83" s="45"/>
      <c r="T83" s="45"/>
      <c r="U83" s="45"/>
      <c r="V83" s="45"/>
      <c r="W83" s="2"/>
      <c r="X83" s="2"/>
      <c r="Y83" s="2"/>
      <c r="Z83" s="2"/>
    </row>
    <row r="84">
      <c r="A84" s="29"/>
      <c r="B84" s="38" t="s">
        <v>114</v>
      </c>
      <c r="C84" s="39"/>
      <c r="D84" s="40"/>
      <c r="E84" s="40"/>
      <c r="F84" s="63"/>
      <c r="G84" s="64"/>
      <c r="H84" s="64"/>
      <c r="I84" s="38"/>
      <c r="J84" s="38"/>
      <c r="K84" s="38"/>
      <c r="L84" s="38"/>
      <c r="M84" s="38"/>
      <c r="N84" s="38"/>
      <c r="O84" s="45"/>
      <c r="P84" s="45"/>
      <c r="Q84" s="45"/>
      <c r="R84" s="45"/>
      <c r="S84" s="45"/>
      <c r="T84" s="45"/>
      <c r="U84" s="45"/>
      <c r="V84" s="45"/>
      <c r="W84" s="2"/>
      <c r="X84" s="2"/>
      <c r="Y84" s="2"/>
      <c r="Z84" s="2"/>
    </row>
    <row r="85">
      <c r="A85" s="29"/>
      <c r="B85" s="38" t="s">
        <v>115</v>
      </c>
      <c r="C85" s="39"/>
      <c r="D85" s="40"/>
      <c r="E85" s="40"/>
      <c r="F85" s="63"/>
      <c r="G85" s="64"/>
      <c r="H85" s="64"/>
      <c r="I85" s="38"/>
      <c r="J85" s="38"/>
      <c r="K85" s="38"/>
      <c r="L85" s="38"/>
      <c r="M85" s="38"/>
      <c r="N85" s="38"/>
      <c r="O85" s="45"/>
      <c r="P85" s="45"/>
      <c r="Q85" s="45"/>
      <c r="R85" s="45"/>
      <c r="S85" s="45"/>
      <c r="T85" s="45"/>
      <c r="U85" s="45"/>
      <c r="V85" s="45"/>
      <c r="W85" s="2"/>
      <c r="X85" s="2"/>
      <c r="Y85" s="2"/>
      <c r="Z85" s="2"/>
    </row>
    <row r="86">
      <c r="A86" s="29"/>
      <c r="B86" s="38" t="s">
        <v>116</v>
      </c>
      <c r="C86" s="39"/>
      <c r="D86" s="40"/>
      <c r="E86" s="40"/>
      <c r="F86" s="63"/>
      <c r="G86" s="64"/>
      <c r="H86" s="64"/>
      <c r="I86" s="38"/>
      <c r="J86" s="38"/>
      <c r="K86" s="38"/>
      <c r="L86" s="38"/>
      <c r="M86" s="38"/>
      <c r="N86" s="38"/>
      <c r="O86" s="45"/>
      <c r="P86" s="45"/>
      <c r="Q86" s="45"/>
      <c r="R86" s="45"/>
      <c r="S86" s="45"/>
      <c r="T86" s="45"/>
      <c r="U86" s="45"/>
      <c r="V86" s="45"/>
      <c r="W86" s="2"/>
      <c r="X86" s="2"/>
      <c r="Y86" s="2"/>
      <c r="Z86" s="2"/>
    </row>
    <row r="87">
      <c r="A87" s="29"/>
      <c r="B87" s="38" t="s">
        <v>117</v>
      </c>
      <c r="C87" s="39"/>
      <c r="D87" s="40"/>
      <c r="E87" s="40"/>
      <c r="F87" s="63"/>
      <c r="G87" s="64"/>
      <c r="H87" s="64"/>
      <c r="I87" s="38"/>
      <c r="J87" s="38"/>
      <c r="K87" s="38"/>
      <c r="L87" s="38"/>
      <c r="M87" s="38"/>
      <c r="N87" s="38"/>
      <c r="O87" s="45"/>
      <c r="P87" s="45"/>
      <c r="Q87" s="45"/>
      <c r="R87" s="45"/>
      <c r="S87" s="45"/>
      <c r="T87" s="45"/>
      <c r="U87" s="45"/>
      <c r="V87" s="45"/>
      <c r="W87" s="2"/>
      <c r="X87" s="2"/>
      <c r="Y87" s="2"/>
      <c r="Z87" s="2"/>
    </row>
    <row r="88">
      <c r="A88" s="29"/>
      <c r="B88" s="38" t="s">
        <v>118</v>
      </c>
      <c r="C88" s="39"/>
      <c r="D88" s="40"/>
      <c r="E88" s="40"/>
      <c r="F88" s="63"/>
      <c r="G88" s="64"/>
      <c r="H88" s="64"/>
      <c r="I88" s="38"/>
      <c r="J88" s="38"/>
      <c r="K88" s="38"/>
      <c r="L88" s="38"/>
      <c r="M88" s="38"/>
      <c r="N88" s="38"/>
      <c r="O88" s="45"/>
      <c r="P88" s="45"/>
      <c r="Q88" s="45"/>
      <c r="R88" s="45"/>
      <c r="S88" s="45"/>
      <c r="T88" s="45"/>
      <c r="U88" s="45"/>
      <c r="V88" s="45"/>
      <c r="W88" s="2"/>
      <c r="X88" s="2"/>
      <c r="Y88" s="2"/>
      <c r="Z88" s="2"/>
    </row>
    <row r="89">
      <c r="A89" s="29"/>
      <c r="B89" s="38" t="s">
        <v>119</v>
      </c>
      <c r="C89" s="39"/>
      <c r="D89" s="40"/>
      <c r="E89" s="40"/>
      <c r="F89" s="63"/>
      <c r="G89" s="64"/>
      <c r="H89" s="64"/>
      <c r="I89" s="38"/>
      <c r="J89" s="38"/>
      <c r="K89" s="38"/>
      <c r="L89" s="38"/>
      <c r="M89" s="38"/>
      <c r="N89" s="38"/>
      <c r="O89" s="45"/>
      <c r="P89" s="45"/>
      <c r="Q89" s="45"/>
      <c r="R89" s="45"/>
      <c r="S89" s="45"/>
      <c r="T89" s="45"/>
      <c r="U89" s="45"/>
      <c r="V89" s="45"/>
      <c r="W89" s="2"/>
      <c r="X89" s="2"/>
      <c r="Y89" s="2"/>
      <c r="Z89" s="2"/>
    </row>
    <row r="90">
      <c r="A90" s="29"/>
      <c r="B90" s="83" t="s">
        <v>120</v>
      </c>
      <c r="C90" s="39"/>
      <c r="D90" s="40"/>
      <c r="E90" s="40"/>
      <c r="F90" s="63"/>
      <c r="G90" s="64"/>
      <c r="H90" s="64"/>
      <c r="I90" s="38"/>
      <c r="J90" s="38"/>
      <c r="K90" s="38"/>
      <c r="L90" s="38"/>
      <c r="M90" s="38"/>
      <c r="N90" s="38"/>
      <c r="O90" s="45"/>
      <c r="P90" s="45"/>
      <c r="Q90" s="45"/>
      <c r="R90" s="45"/>
      <c r="S90" s="45"/>
      <c r="T90" s="45"/>
      <c r="U90" s="45"/>
      <c r="V90" s="45"/>
      <c r="W90" s="2"/>
      <c r="X90" s="2"/>
      <c r="Y90" s="2"/>
      <c r="Z90" s="2"/>
    </row>
    <row r="91">
      <c r="A91" s="29"/>
      <c r="B91" s="38"/>
      <c r="C91" s="39"/>
      <c r="D91" s="40"/>
      <c r="E91" s="40"/>
      <c r="F91" s="63"/>
      <c r="G91" s="64"/>
      <c r="H91" s="64"/>
      <c r="I91" s="38"/>
      <c r="J91" s="38"/>
      <c r="K91" s="38"/>
      <c r="L91" s="38"/>
      <c r="M91" s="38"/>
      <c r="N91" s="38"/>
      <c r="O91" s="45"/>
      <c r="P91" s="45"/>
      <c r="Q91" s="45"/>
      <c r="R91" s="45"/>
      <c r="S91" s="45"/>
      <c r="T91" s="45"/>
      <c r="U91" s="45"/>
      <c r="V91" s="45"/>
      <c r="W91" s="2"/>
      <c r="X91" s="2"/>
      <c r="Y91" s="2"/>
      <c r="Z91" s="2"/>
    </row>
    <row r="92">
      <c r="A92" s="29"/>
      <c r="B92" s="91" t="s">
        <v>121</v>
      </c>
      <c r="C92" s="85" t="s">
        <v>44</v>
      </c>
      <c r="D92" s="48">
        <v>18900.0</v>
      </c>
      <c r="E92" s="48">
        <v>18900.0</v>
      </c>
      <c r="F92" s="63"/>
      <c r="G92" s="64"/>
      <c r="H92" s="64"/>
      <c r="I92" s="38"/>
      <c r="J92" s="92">
        <v>1.0</v>
      </c>
      <c r="K92" s="38"/>
      <c r="L92" s="38"/>
      <c r="M92" s="38"/>
      <c r="N92" s="38"/>
      <c r="O92" s="45"/>
      <c r="P92" s="45"/>
      <c r="Q92" s="45"/>
      <c r="R92" s="45"/>
      <c r="S92" s="45"/>
      <c r="T92" s="45"/>
      <c r="U92" s="45"/>
      <c r="V92" s="45"/>
      <c r="W92" s="2"/>
      <c r="X92" s="2"/>
      <c r="Y92" s="2"/>
      <c r="Z92" s="2"/>
    </row>
    <row r="93" ht="87.0" customHeight="1">
      <c r="A93" s="29"/>
      <c r="B93" s="66" t="s">
        <v>122</v>
      </c>
      <c r="C93" s="39"/>
      <c r="D93" s="40"/>
      <c r="E93" s="40"/>
      <c r="F93" s="63"/>
      <c r="G93" s="64"/>
      <c r="H93" s="64"/>
      <c r="I93" s="38"/>
      <c r="J93" s="38"/>
      <c r="K93" s="38"/>
      <c r="L93" s="38"/>
      <c r="M93" s="38"/>
      <c r="N93" s="38"/>
      <c r="O93" s="45"/>
      <c r="P93" s="45"/>
      <c r="Q93" s="45"/>
      <c r="R93" s="45"/>
      <c r="S93" s="45"/>
      <c r="T93" s="45"/>
      <c r="U93" s="45"/>
      <c r="V93" s="45"/>
      <c r="W93" s="2"/>
      <c r="X93" s="2"/>
      <c r="Y93" s="2"/>
      <c r="Z93" s="2"/>
    </row>
    <row r="94">
      <c r="A94" s="29"/>
      <c r="B94" s="66"/>
      <c r="C94" s="39"/>
      <c r="D94" s="40"/>
      <c r="E94" s="40"/>
      <c r="F94" s="63"/>
      <c r="G94" s="64"/>
      <c r="H94" s="64"/>
      <c r="I94" s="38"/>
      <c r="J94" s="38"/>
      <c r="K94" s="38"/>
      <c r="L94" s="38"/>
      <c r="M94" s="38"/>
      <c r="N94" s="38"/>
      <c r="O94" s="45"/>
      <c r="P94" s="45"/>
      <c r="Q94" s="45"/>
      <c r="R94" s="45"/>
      <c r="S94" s="45"/>
      <c r="T94" s="45"/>
      <c r="U94" s="45"/>
      <c r="V94" s="45"/>
      <c r="W94" s="2"/>
      <c r="X94" s="2"/>
      <c r="Y94" s="2"/>
      <c r="Z94" s="2"/>
    </row>
    <row r="95">
      <c r="A95" s="29"/>
      <c r="B95" s="66" t="s">
        <v>123</v>
      </c>
      <c r="C95" s="85" t="s">
        <v>44</v>
      </c>
      <c r="D95" s="48">
        <v>4000.0</v>
      </c>
      <c r="E95" s="48">
        <v>4000.0</v>
      </c>
      <c r="F95" s="93"/>
      <c r="G95" s="64"/>
      <c r="H95" s="64"/>
      <c r="I95" s="38"/>
      <c r="J95" s="66">
        <v>1.0</v>
      </c>
      <c r="K95" s="38"/>
      <c r="L95" s="38"/>
      <c r="M95" s="38"/>
      <c r="N95" s="38"/>
      <c r="O95" s="45"/>
      <c r="P95" s="45"/>
      <c r="Q95" s="45"/>
      <c r="R95" s="45"/>
      <c r="S95" s="45"/>
      <c r="T95" s="45"/>
      <c r="U95" s="45"/>
      <c r="V95" s="45"/>
      <c r="W95" s="2"/>
      <c r="X95" s="2"/>
      <c r="Y95" s="2"/>
      <c r="Z95" s="2"/>
    </row>
    <row r="96">
      <c r="A96" s="29"/>
      <c r="B96" s="38"/>
      <c r="C96" s="39"/>
      <c r="D96" s="40"/>
      <c r="E96" s="40"/>
      <c r="F96" s="63"/>
      <c r="G96" s="64"/>
      <c r="H96" s="64"/>
      <c r="I96" s="38"/>
      <c r="J96" s="38"/>
      <c r="K96" s="38"/>
      <c r="L96" s="38"/>
      <c r="M96" s="38"/>
      <c r="N96" s="38"/>
      <c r="O96" s="45"/>
      <c r="P96" s="45"/>
      <c r="Q96" s="45"/>
      <c r="R96" s="45"/>
      <c r="S96" s="45"/>
      <c r="T96" s="45"/>
      <c r="U96" s="45"/>
      <c r="V96" s="45"/>
      <c r="W96" s="2"/>
      <c r="X96" s="2"/>
      <c r="Y96" s="2"/>
      <c r="Z96" s="2"/>
    </row>
    <row r="97">
      <c r="A97" s="65"/>
      <c r="B97" s="91" t="s">
        <v>124</v>
      </c>
      <c r="C97" s="85" t="s">
        <v>44</v>
      </c>
      <c r="D97" s="40"/>
      <c r="E97" s="48">
        <v>20000.0</v>
      </c>
      <c r="F97" s="63" t="s">
        <v>81</v>
      </c>
      <c r="G97" s="66" t="s">
        <v>53</v>
      </c>
      <c r="H97" s="64"/>
      <c r="I97" s="38"/>
      <c r="J97" s="66">
        <v>1.0</v>
      </c>
      <c r="K97" s="38"/>
      <c r="L97" s="38"/>
      <c r="M97" s="38"/>
      <c r="N97" s="38"/>
      <c r="O97" s="45"/>
      <c r="P97" s="45"/>
      <c r="Q97" s="45"/>
      <c r="R97" s="45"/>
      <c r="S97" s="45"/>
      <c r="T97" s="45"/>
      <c r="U97" s="45"/>
      <c r="V97" s="45"/>
      <c r="W97" s="2"/>
      <c r="X97" s="2"/>
      <c r="Y97" s="2"/>
      <c r="Z97" s="2"/>
    </row>
    <row r="98">
      <c r="A98" s="29"/>
      <c r="B98" s="66" t="s">
        <v>125</v>
      </c>
      <c r="C98" s="39"/>
      <c r="D98" s="40"/>
      <c r="E98" s="40"/>
      <c r="F98" s="63"/>
      <c r="G98" s="64"/>
      <c r="H98" s="64"/>
      <c r="I98" s="38"/>
      <c r="J98" s="38"/>
      <c r="K98" s="38"/>
      <c r="L98" s="38"/>
      <c r="M98" s="38"/>
      <c r="N98" s="38"/>
      <c r="O98" s="45"/>
      <c r="P98" s="45"/>
      <c r="Q98" s="45"/>
      <c r="R98" s="45"/>
      <c r="S98" s="45"/>
      <c r="T98" s="45"/>
      <c r="U98" s="45"/>
      <c r="V98" s="45"/>
      <c r="W98" s="2"/>
      <c r="X98" s="2"/>
      <c r="Y98" s="2"/>
      <c r="Z98" s="2"/>
    </row>
    <row r="99">
      <c r="A99" s="29"/>
      <c r="B99" s="66" t="s">
        <v>126</v>
      </c>
      <c r="C99" s="39"/>
      <c r="D99" s="40"/>
      <c r="E99" s="40"/>
      <c r="F99" s="63"/>
      <c r="G99" s="64"/>
      <c r="H99" s="64"/>
      <c r="I99" s="38"/>
      <c r="J99" s="38"/>
      <c r="K99" s="38"/>
      <c r="L99" s="38"/>
      <c r="M99" s="38"/>
      <c r="N99" s="38"/>
      <c r="O99" s="45"/>
      <c r="P99" s="45"/>
      <c r="Q99" s="45"/>
      <c r="R99" s="45"/>
      <c r="S99" s="45"/>
      <c r="T99" s="45"/>
      <c r="U99" s="45"/>
      <c r="V99" s="45"/>
      <c r="W99" s="2"/>
      <c r="X99" s="2"/>
      <c r="Y99" s="2"/>
      <c r="Z99" s="2"/>
    </row>
    <row r="100">
      <c r="A100" s="94"/>
      <c r="B100" s="87"/>
      <c r="C100" s="95"/>
      <c r="D100" s="95"/>
      <c r="E100" s="95"/>
      <c r="F100" s="87"/>
      <c r="G100" s="87"/>
      <c r="H100" s="87"/>
      <c r="I100" s="87"/>
      <c r="J100" s="87"/>
      <c r="K100" s="87"/>
      <c r="L100" s="94"/>
      <c r="M100" s="94"/>
      <c r="N100" s="94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7"/>
      <c r="B101" s="87" t="s">
        <v>127</v>
      </c>
      <c r="C101" s="98" t="s">
        <v>128</v>
      </c>
      <c r="D101" s="99">
        <v>7500.0</v>
      </c>
      <c r="E101" s="56">
        <f>7500*4</f>
        <v>30000</v>
      </c>
      <c r="F101" s="63" t="s">
        <v>81</v>
      </c>
      <c r="G101" s="66" t="s">
        <v>53</v>
      </c>
      <c r="H101" s="87"/>
      <c r="I101" s="87"/>
      <c r="J101" s="87"/>
      <c r="K101" s="87"/>
      <c r="L101" s="94"/>
      <c r="M101" s="94"/>
      <c r="N101" s="94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4"/>
      <c r="B102" s="87"/>
      <c r="C102" s="95"/>
      <c r="D102" s="95"/>
      <c r="E102" s="95"/>
      <c r="F102" s="87"/>
      <c r="G102" s="87"/>
      <c r="H102" s="87"/>
      <c r="I102" s="87"/>
      <c r="J102" s="87"/>
      <c r="K102" s="87"/>
      <c r="L102" s="94"/>
      <c r="M102" s="94"/>
      <c r="N102" s="94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4"/>
      <c r="B103" s="100" t="s">
        <v>129</v>
      </c>
      <c r="C103" s="98">
        <v>560.0</v>
      </c>
      <c r="D103" s="98">
        <v>1500.0</v>
      </c>
      <c r="E103" s="56">
        <f>1500*C103</f>
        <v>840000</v>
      </c>
      <c r="F103" s="63" t="s">
        <v>65</v>
      </c>
      <c r="G103" s="64" t="s">
        <v>77</v>
      </c>
      <c r="H103" s="87"/>
      <c r="I103" s="87"/>
      <c r="J103" s="87"/>
      <c r="K103" s="87"/>
      <c r="L103" s="94"/>
      <c r="M103" s="94"/>
      <c r="N103" s="94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4"/>
      <c r="B104" s="87"/>
      <c r="C104" s="95"/>
      <c r="D104" s="95"/>
      <c r="E104" s="95"/>
      <c r="F104" s="87"/>
      <c r="G104" s="87"/>
      <c r="H104" s="87"/>
      <c r="I104" s="87"/>
      <c r="J104" s="87"/>
      <c r="K104" s="87"/>
      <c r="L104" s="94"/>
      <c r="M104" s="94"/>
      <c r="N104" s="94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4"/>
      <c r="B105" s="100" t="s">
        <v>130</v>
      </c>
      <c r="C105" s="98" t="s">
        <v>131</v>
      </c>
      <c r="D105" s="99">
        <v>3000.0</v>
      </c>
      <c r="E105" s="99">
        <v>3000.0</v>
      </c>
      <c r="F105" s="87"/>
      <c r="G105" s="87"/>
      <c r="H105" s="87"/>
      <c r="I105" s="87"/>
      <c r="J105" s="87"/>
      <c r="K105" s="87"/>
      <c r="L105" s="94"/>
      <c r="M105" s="94"/>
      <c r="N105" s="94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4"/>
      <c r="B106" s="101" t="s">
        <v>132</v>
      </c>
      <c r="C106" s="95"/>
      <c r="D106" s="95"/>
      <c r="E106" s="95"/>
      <c r="F106" s="87"/>
      <c r="G106" s="87"/>
      <c r="H106" s="87"/>
      <c r="I106" s="87"/>
      <c r="J106" s="87"/>
      <c r="K106" s="87"/>
      <c r="L106" s="94"/>
      <c r="M106" s="94"/>
      <c r="N106" s="94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4"/>
      <c r="B107" s="87"/>
      <c r="C107" s="102"/>
      <c r="D107" s="102"/>
      <c r="E107" s="102"/>
      <c r="F107" s="94"/>
      <c r="G107" s="94"/>
      <c r="H107" s="94"/>
      <c r="I107" s="94"/>
      <c r="J107" s="94"/>
      <c r="K107" s="94"/>
      <c r="L107" s="94"/>
      <c r="M107" s="94"/>
      <c r="N107" s="94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29"/>
      <c r="B108" s="103" t="s">
        <v>133</v>
      </c>
      <c r="C108" s="13"/>
      <c r="D108" s="13"/>
      <c r="E108" s="13"/>
      <c r="F108" s="13"/>
      <c r="G108" s="13"/>
      <c r="H108" s="13"/>
      <c r="I108" s="25"/>
      <c r="J108" s="38"/>
      <c r="K108" s="38"/>
      <c r="L108" s="38"/>
      <c r="M108" s="38"/>
      <c r="N108" s="38"/>
      <c r="O108" s="45"/>
      <c r="P108" s="45"/>
      <c r="Q108" s="45"/>
      <c r="R108" s="45"/>
      <c r="S108" s="45"/>
      <c r="T108" s="45"/>
      <c r="U108" s="45"/>
      <c r="V108" s="45"/>
      <c r="W108" s="2"/>
      <c r="X108" s="2"/>
      <c r="Y108" s="2"/>
      <c r="Z108" s="2"/>
    </row>
    <row r="109">
      <c r="A109" s="2"/>
      <c r="B109" s="10"/>
      <c r="C109" s="6"/>
      <c r="D109" s="7"/>
      <c r="E109" s="104"/>
      <c r="F109" s="8"/>
      <c r="G109" s="9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5" t="s">
        <v>134</v>
      </c>
      <c r="C110" s="6"/>
      <c r="D110" s="7"/>
      <c r="E110" s="106">
        <v>1.95E7</v>
      </c>
      <c r="F110" s="8"/>
      <c r="G110" s="9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0"/>
      <c r="C111" s="6"/>
      <c r="D111" s="7"/>
      <c r="E111" s="7"/>
      <c r="F111" s="8"/>
      <c r="G111" s="9"/>
      <c r="H111" s="9"/>
      <c r="I111" s="2"/>
      <c r="J111" s="2"/>
      <c r="U111" s="2"/>
      <c r="V111" s="2"/>
      <c r="W111" s="2"/>
      <c r="X111" s="2"/>
      <c r="Y111" s="2"/>
      <c r="Z111" s="2"/>
    </row>
    <row r="112">
      <c r="A112" s="107" t="s">
        <v>135</v>
      </c>
      <c r="E112" s="7"/>
      <c r="F112" s="8"/>
      <c r="G112" s="9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0"/>
      <c r="C113" s="6"/>
      <c r="D113" s="7"/>
      <c r="E113" s="7"/>
      <c r="F113" s="8"/>
      <c r="G113" s="9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8" t="s">
        <v>136</v>
      </c>
      <c r="C114" s="109" t="s">
        <v>137</v>
      </c>
      <c r="F114" s="8"/>
      <c r="G114" s="9"/>
      <c r="H114" s="9"/>
      <c r="I114" s="108" t="s">
        <v>138</v>
      </c>
      <c r="O114" s="2"/>
      <c r="P114" s="2"/>
      <c r="Q114" s="108" t="s">
        <v>139</v>
      </c>
      <c r="U114" s="2"/>
      <c r="V114" s="2"/>
      <c r="X114" s="2"/>
      <c r="Y114" s="2"/>
      <c r="Z114" s="2"/>
    </row>
    <row r="115">
      <c r="A115" s="2"/>
      <c r="B115" s="10"/>
      <c r="C115" s="6"/>
      <c r="D115" s="7"/>
      <c r="E115" s="7"/>
      <c r="F115" s="8"/>
      <c r="G115" s="9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0"/>
      <c r="C116" s="6"/>
      <c r="D116" s="7"/>
      <c r="E116" s="7"/>
      <c r="F116" s="8"/>
      <c r="G116" s="9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0" t="s">
        <v>140</v>
      </c>
      <c r="C117" s="109" t="s">
        <v>141</v>
      </c>
      <c r="G117" s="9"/>
      <c r="H117" s="9"/>
      <c r="I117" s="108" t="s">
        <v>142</v>
      </c>
      <c r="O117" s="2"/>
      <c r="P117" s="2"/>
      <c r="Q117" s="108" t="s">
        <v>143</v>
      </c>
      <c r="U117" s="2"/>
      <c r="V117" s="2"/>
      <c r="Y117" s="2"/>
      <c r="Z117" s="2"/>
    </row>
    <row r="118">
      <c r="A118" s="2" t="s">
        <v>144</v>
      </c>
      <c r="C118" s="6" t="s">
        <v>145</v>
      </c>
      <c r="G118" s="9"/>
      <c r="H118" s="9"/>
      <c r="I118" s="2" t="s">
        <v>146</v>
      </c>
      <c r="O118" s="2"/>
      <c r="P118" s="2"/>
      <c r="Q118" s="2" t="s">
        <v>147</v>
      </c>
      <c r="U118" s="2"/>
      <c r="V118" s="2"/>
      <c r="W118" s="2"/>
      <c r="X118" s="2"/>
      <c r="Y118" s="2"/>
      <c r="Z118" s="2"/>
    </row>
    <row r="119">
      <c r="A119" s="2"/>
      <c r="B119" s="10"/>
      <c r="C119" s="6"/>
      <c r="D119" s="7"/>
      <c r="E119" s="7"/>
      <c r="F119" s="8"/>
      <c r="G119" s="9"/>
      <c r="H119" s="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 t="s">
        <v>148</v>
      </c>
      <c r="C120" s="111" t="s">
        <v>148</v>
      </c>
      <c r="F120" s="8"/>
      <c r="G120" s="9"/>
      <c r="H120" s="9"/>
      <c r="I120" s="10" t="s">
        <v>148</v>
      </c>
      <c r="M120" s="2"/>
      <c r="N120" s="2"/>
      <c r="O120" s="2"/>
      <c r="P120" s="2"/>
      <c r="Q120" s="10" t="s">
        <v>148</v>
      </c>
      <c r="U120" s="2"/>
      <c r="V120" s="2"/>
      <c r="W120" s="2"/>
      <c r="X120" s="2"/>
      <c r="Y120" s="2"/>
      <c r="Z120" s="2"/>
    </row>
    <row r="121">
      <c r="A121" s="2"/>
      <c r="B121" s="10"/>
      <c r="C121" s="6"/>
      <c r="D121" s="7"/>
      <c r="E121" s="7"/>
      <c r="F121" s="8"/>
      <c r="G121" s="9"/>
      <c r="H121" s="9"/>
      <c r="U121" s="2"/>
      <c r="V121" s="2"/>
      <c r="W121" s="2"/>
      <c r="X121" s="2"/>
      <c r="Y121" s="2"/>
      <c r="Z121" s="2"/>
    </row>
    <row r="122">
      <c r="A122" s="2"/>
      <c r="B122" s="10"/>
      <c r="C122" s="6"/>
      <c r="D122" s="7"/>
      <c r="E122" s="7"/>
      <c r="F122" s="8"/>
      <c r="G122" s="9"/>
      <c r="H122" s="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0"/>
      <c r="C123" s="6"/>
      <c r="D123" s="7"/>
      <c r="E123" s="7"/>
      <c r="F123" s="8"/>
      <c r="G123" s="9"/>
      <c r="H123" s="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0"/>
      <c r="C124" s="6"/>
      <c r="D124" s="7"/>
      <c r="E124" s="7"/>
      <c r="F124" s="8"/>
      <c r="G124" s="9"/>
      <c r="H124" s="9"/>
      <c r="U124" s="2"/>
      <c r="V124" s="2"/>
      <c r="W124" s="2"/>
      <c r="X124" s="2"/>
      <c r="Y124" s="2"/>
      <c r="Z124" s="2"/>
    </row>
    <row r="125">
      <c r="A125" s="2"/>
      <c r="B125" s="10"/>
      <c r="C125" s="6"/>
      <c r="D125" s="7"/>
      <c r="E125" s="7"/>
      <c r="F125" s="8"/>
      <c r="G125" s="9"/>
      <c r="H125" s="9"/>
      <c r="U125" s="2"/>
      <c r="V125" s="2"/>
      <c r="W125" s="2"/>
      <c r="X125" s="2"/>
      <c r="Y125" s="2"/>
      <c r="Z125" s="2"/>
    </row>
    <row r="126">
      <c r="A126" s="2"/>
      <c r="B126" s="10"/>
      <c r="C126" s="6"/>
      <c r="D126" s="7"/>
      <c r="E126" s="7"/>
      <c r="F126" s="8"/>
      <c r="G126" s="9"/>
      <c r="H126" s="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0"/>
      <c r="C127" s="6"/>
      <c r="D127" s="7"/>
      <c r="E127" s="7"/>
      <c r="F127" s="8"/>
      <c r="G127" s="9"/>
      <c r="H127" s="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0"/>
      <c r="C128" s="6"/>
      <c r="D128" s="7"/>
      <c r="E128" s="7"/>
      <c r="F128" s="8"/>
      <c r="G128" s="9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0"/>
      <c r="C129" s="6"/>
      <c r="D129" s="7"/>
      <c r="E129" s="7"/>
      <c r="F129" s="8"/>
      <c r="G129" s="9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0"/>
      <c r="C130" s="6"/>
      <c r="D130" s="7"/>
      <c r="E130" s="7"/>
      <c r="F130" s="8"/>
      <c r="G130" s="9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0"/>
      <c r="C131" s="6"/>
      <c r="D131" s="7"/>
      <c r="E131" s="7"/>
      <c r="F131" s="8"/>
      <c r="G131" s="9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0"/>
      <c r="C132" s="6"/>
      <c r="D132" s="7"/>
      <c r="E132" s="7"/>
      <c r="F132" s="8"/>
      <c r="G132" s="9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0"/>
      <c r="C133" s="6"/>
      <c r="D133" s="7"/>
      <c r="E133" s="7"/>
      <c r="F133" s="8"/>
      <c r="G133" s="9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0"/>
      <c r="C134" s="6"/>
      <c r="D134" s="7"/>
      <c r="E134" s="7"/>
      <c r="F134" s="8"/>
      <c r="G134" s="9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0"/>
      <c r="C135" s="6"/>
      <c r="D135" s="7"/>
      <c r="E135" s="7"/>
      <c r="F135" s="8"/>
      <c r="G135" s="9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0"/>
      <c r="C136" s="6"/>
      <c r="D136" s="7"/>
      <c r="E136" s="7"/>
      <c r="F136" s="8"/>
      <c r="G136" s="9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0"/>
      <c r="C137" s="6"/>
      <c r="D137" s="7"/>
      <c r="E137" s="7"/>
      <c r="F137" s="8"/>
      <c r="G137" s="9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0"/>
      <c r="C138" s="6"/>
      <c r="D138" s="7"/>
      <c r="E138" s="7"/>
      <c r="F138" s="8"/>
      <c r="G138" s="9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0"/>
      <c r="C139" s="6"/>
      <c r="D139" s="7"/>
      <c r="E139" s="7"/>
      <c r="F139" s="8"/>
      <c r="G139" s="9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0"/>
      <c r="C140" s="6"/>
      <c r="D140" s="7"/>
      <c r="E140" s="7"/>
      <c r="F140" s="8"/>
      <c r="G140" s="9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0"/>
      <c r="C141" s="6"/>
      <c r="D141" s="7"/>
      <c r="E141" s="7"/>
      <c r="F141" s="8"/>
      <c r="G141" s="9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0"/>
      <c r="C142" s="6"/>
      <c r="D142" s="7"/>
      <c r="E142" s="7"/>
      <c r="F142" s="8"/>
      <c r="G142" s="9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0"/>
      <c r="C143" s="6"/>
      <c r="D143" s="7"/>
      <c r="E143" s="7"/>
      <c r="F143" s="8"/>
      <c r="G143" s="9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0"/>
      <c r="C144" s="6"/>
      <c r="D144" s="7"/>
      <c r="E144" s="7"/>
      <c r="F144" s="8"/>
      <c r="G144" s="9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0"/>
      <c r="C145" s="6"/>
      <c r="D145" s="7"/>
      <c r="E145" s="7"/>
      <c r="F145" s="8"/>
      <c r="G145" s="9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0"/>
      <c r="C146" s="6"/>
      <c r="D146" s="7"/>
      <c r="E146" s="7"/>
      <c r="F146" s="8"/>
      <c r="G146" s="9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0"/>
      <c r="C147" s="6"/>
      <c r="D147" s="7"/>
      <c r="E147" s="7"/>
      <c r="F147" s="8"/>
      <c r="G147" s="9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0"/>
      <c r="C148" s="6"/>
      <c r="D148" s="7"/>
      <c r="E148" s="7"/>
      <c r="F148" s="8"/>
      <c r="G148" s="9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0"/>
      <c r="C149" s="6"/>
      <c r="D149" s="7"/>
      <c r="E149" s="7"/>
      <c r="F149" s="8"/>
      <c r="G149" s="9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0"/>
      <c r="C150" s="6"/>
      <c r="D150" s="7"/>
      <c r="E150" s="7"/>
      <c r="F150" s="8"/>
      <c r="G150" s="9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0"/>
      <c r="C151" s="6"/>
      <c r="D151" s="7"/>
      <c r="E151" s="7"/>
      <c r="F151" s="8"/>
      <c r="G151" s="9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0"/>
      <c r="C152" s="6"/>
      <c r="D152" s="7"/>
      <c r="E152" s="7"/>
      <c r="F152" s="8"/>
      <c r="G152" s="9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0"/>
      <c r="C153" s="6"/>
      <c r="D153" s="7"/>
      <c r="E153" s="7"/>
      <c r="F153" s="8"/>
      <c r="G153" s="9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0"/>
      <c r="C154" s="6"/>
      <c r="D154" s="7"/>
      <c r="E154" s="7"/>
      <c r="F154" s="8"/>
      <c r="G154" s="9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0"/>
      <c r="C155" s="6"/>
      <c r="D155" s="7"/>
      <c r="E155" s="7"/>
      <c r="F155" s="8"/>
      <c r="G155" s="9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0"/>
      <c r="C156" s="6"/>
      <c r="D156" s="7"/>
      <c r="E156" s="7"/>
      <c r="F156" s="8"/>
      <c r="G156" s="9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0"/>
      <c r="C157" s="6"/>
      <c r="D157" s="7"/>
      <c r="E157" s="7"/>
      <c r="F157" s="8"/>
      <c r="G157" s="9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0"/>
      <c r="C158" s="6"/>
      <c r="D158" s="7"/>
      <c r="E158" s="7"/>
      <c r="F158" s="8"/>
      <c r="G158" s="9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0"/>
      <c r="C159" s="6"/>
      <c r="D159" s="7"/>
      <c r="E159" s="7"/>
      <c r="F159" s="8"/>
      <c r="G159" s="9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0"/>
      <c r="C160" s="6"/>
      <c r="D160" s="7"/>
      <c r="E160" s="7"/>
      <c r="F160" s="8"/>
      <c r="G160" s="9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0"/>
      <c r="C161" s="6"/>
      <c r="D161" s="7"/>
      <c r="E161" s="7"/>
      <c r="F161" s="8"/>
      <c r="G161" s="9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0"/>
      <c r="C162" s="6"/>
      <c r="D162" s="7"/>
      <c r="E162" s="7"/>
      <c r="F162" s="8"/>
      <c r="G162" s="9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0"/>
      <c r="C163" s="6"/>
      <c r="D163" s="7"/>
      <c r="E163" s="7"/>
      <c r="F163" s="8"/>
      <c r="G163" s="9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0"/>
      <c r="C164" s="6"/>
      <c r="D164" s="7"/>
      <c r="E164" s="7"/>
      <c r="F164" s="8"/>
      <c r="G164" s="9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0"/>
      <c r="C165" s="6"/>
      <c r="D165" s="7"/>
      <c r="E165" s="7"/>
      <c r="F165" s="8"/>
      <c r="G165" s="9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0"/>
      <c r="C166" s="6"/>
      <c r="D166" s="7"/>
      <c r="E166" s="7"/>
      <c r="F166" s="8"/>
      <c r="G166" s="9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0"/>
      <c r="C167" s="6"/>
      <c r="D167" s="7"/>
      <c r="E167" s="7"/>
      <c r="F167" s="8"/>
      <c r="G167" s="9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0"/>
      <c r="C168" s="6"/>
      <c r="D168" s="7"/>
      <c r="E168" s="7"/>
      <c r="F168" s="8"/>
      <c r="G168" s="9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0"/>
      <c r="C169" s="6"/>
      <c r="D169" s="7"/>
      <c r="E169" s="7"/>
      <c r="F169" s="8"/>
      <c r="G169" s="9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0"/>
      <c r="C170" s="6"/>
      <c r="D170" s="7"/>
      <c r="E170" s="7"/>
      <c r="F170" s="8"/>
      <c r="G170" s="9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0"/>
      <c r="C171" s="6"/>
      <c r="D171" s="7"/>
      <c r="E171" s="7"/>
      <c r="F171" s="8"/>
      <c r="G171" s="9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0"/>
      <c r="C172" s="6"/>
      <c r="D172" s="7"/>
      <c r="E172" s="7"/>
      <c r="F172" s="8"/>
      <c r="G172" s="9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0"/>
      <c r="C173" s="6"/>
      <c r="D173" s="7"/>
      <c r="E173" s="7"/>
      <c r="F173" s="8"/>
      <c r="G173" s="9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0"/>
      <c r="C174" s="6"/>
      <c r="D174" s="7"/>
      <c r="E174" s="7"/>
      <c r="F174" s="8"/>
      <c r="G174" s="9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0"/>
      <c r="C175" s="6"/>
      <c r="D175" s="7"/>
      <c r="E175" s="7"/>
      <c r="F175" s="8"/>
      <c r="G175" s="9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0"/>
      <c r="C176" s="6"/>
      <c r="D176" s="7"/>
      <c r="E176" s="7"/>
      <c r="F176" s="8"/>
      <c r="G176" s="9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0"/>
      <c r="C177" s="6"/>
      <c r="D177" s="7"/>
      <c r="E177" s="7"/>
      <c r="F177" s="8"/>
      <c r="G177" s="9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0"/>
      <c r="C178" s="6"/>
      <c r="D178" s="7"/>
      <c r="E178" s="7"/>
      <c r="F178" s="8"/>
      <c r="G178" s="9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0"/>
      <c r="C179" s="6"/>
      <c r="D179" s="7"/>
      <c r="E179" s="7"/>
      <c r="F179" s="8"/>
      <c r="G179" s="9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0"/>
      <c r="C180" s="6"/>
      <c r="D180" s="7"/>
      <c r="E180" s="7"/>
      <c r="F180" s="8"/>
      <c r="G180" s="9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0"/>
      <c r="C181" s="6"/>
      <c r="D181" s="7"/>
      <c r="E181" s="7"/>
      <c r="F181" s="8"/>
      <c r="G181" s="9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0"/>
      <c r="C182" s="6"/>
      <c r="D182" s="7"/>
      <c r="E182" s="7"/>
      <c r="F182" s="8"/>
      <c r="G182" s="9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0"/>
      <c r="C183" s="6"/>
      <c r="D183" s="7"/>
      <c r="E183" s="7"/>
      <c r="F183" s="8"/>
      <c r="G183" s="9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0"/>
      <c r="C184" s="6"/>
      <c r="D184" s="7"/>
      <c r="E184" s="7"/>
      <c r="F184" s="8"/>
      <c r="G184" s="9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0"/>
      <c r="C185" s="6"/>
      <c r="D185" s="7"/>
      <c r="E185" s="7"/>
      <c r="F185" s="8"/>
      <c r="G185" s="9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0"/>
      <c r="C186" s="6"/>
      <c r="D186" s="7"/>
      <c r="E186" s="7"/>
      <c r="F186" s="8"/>
      <c r="G186" s="9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0"/>
      <c r="C187" s="6"/>
      <c r="D187" s="7"/>
      <c r="E187" s="7"/>
      <c r="F187" s="8"/>
      <c r="G187" s="9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0"/>
      <c r="C188" s="6"/>
      <c r="D188" s="7"/>
      <c r="E188" s="7"/>
      <c r="F188" s="8"/>
      <c r="G188" s="9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0"/>
      <c r="C189" s="6"/>
      <c r="D189" s="7"/>
      <c r="E189" s="7"/>
      <c r="F189" s="8"/>
      <c r="G189" s="9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0"/>
      <c r="C190" s="6"/>
      <c r="D190" s="7"/>
      <c r="E190" s="7"/>
      <c r="F190" s="8"/>
      <c r="G190" s="9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0"/>
      <c r="C191" s="6"/>
      <c r="D191" s="7"/>
      <c r="E191" s="7"/>
      <c r="F191" s="8"/>
      <c r="G191" s="9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0"/>
      <c r="C192" s="6"/>
      <c r="D192" s="7"/>
      <c r="E192" s="7"/>
      <c r="F192" s="8"/>
      <c r="G192" s="9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0"/>
      <c r="C193" s="6"/>
      <c r="D193" s="7"/>
      <c r="E193" s="7"/>
      <c r="F193" s="8"/>
      <c r="G193" s="9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0"/>
      <c r="C194" s="6"/>
      <c r="D194" s="7"/>
      <c r="E194" s="7"/>
      <c r="F194" s="8"/>
      <c r="G194" s="9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0"/>
      <c r="C195" s="6"/>
      <c r="D195" s="7"/>
      <c r="E195" s="7"/>
      <c r="F195" s="8"/>
      <c r="G195" s="9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0"/>
      <c r="C196" s="6"/>
      <c r="D196" s="7"/>
      <c r="E196" s="7"/>
      <c r="F196" s="8"/>
      <c r="G196" s="9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0"/>
      <c r="C197" s="6"/>
      <c r="D197" s="7"/>
      <c r="E197" s="7"/>
      <c r="F197" s="8"/>
      <c r="G197" s="9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0"/>
      <c r="C198" s="6"/>
      <c r="D198" s="7"/>
      <c r="E198" s="7"/>
      <c r="F198" s="8"/>
      <c r="G198" s="9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0"/>
      <c r="C199" s="6"/>
      <c r="D199" s="7"/>
      <c r="E199" s="7"/>
      <c r="F199" s="8"/>
      <c r="G199" s="9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0"/>
      <c r="C200" s="6"/>
      <c r="D200" s="7"/>
      <c r="E200" s="7"/>
      <c r="F200" s="8"/>
      <c r="G200" s="9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0"/>
      <c r="C201" s="6"/>
      <c r="D201" s="7"/>
      <c r="E201" s="7"/>
      <c r="F201" s="8"/>
      <c r="G201" s="9"/>
      <c r="H201" s="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0"/>
      <c r="C202" s="6"/>
      <c r="D202" s="7"/>
      <c r="E202" s="7"/>
      <c r="F202" s="8"/>
      <c r="G202" s="9"/>
      <c r="H202" s="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0"/>
      <c r="C203" s="6"/>
      <c r="D203" s="7"/>
      <c r="E203" s="7"/>
      <c r="F203" s="8"/>
      <c r="G203" s="9"/>
      <c r="H203" s="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0"/>
      <c r="C204" s="6"/>
      <c r="D204" s="7"/>
      <c r="E204" s="7"/>
      <c r="F204" s="8"/>
      <c r="G204" s="9"/>
      <c r="H204" s="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0"/>
      <c r="C205" s="6"/>
      <c r="D205" s="7"/>
      <c r="E205" s="7"/>
      <c r="F205" s="8"/>
      <c r="G205" s="9"/>
      <c r="H205" s="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0"/>
      <c r="C206" s="6"/>
      <c r="D206" s="7"/>
      <c r="E206" s="7"/>
      <c r="F206" s="8"/>
      <c r="G206" s="9"/>
      <c r="H206" s="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0"/>
      <c r="C207" s="6"/>
      <c r="D207" s="7"/>
      <c r="E207" s="7"/>
      <c r="F207" s="8"/>
      <c r="G207" s="9"/>
      <c r="H207" s="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0"/>
      <c r="C208" s="6"/>
      <c r="D208" s="7"/>
      <c r="E208" s="7"/>
      <c r="F208" s="8"/>
      <c r="G208" s="9"/>
      <c r="H208" s="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0"/>
      <c r="C209" s="6"/>
      <c r="D209" s="7"/>
      <c r="E209" s="7"/>
      <c r="F209" s="8"/>
      <c r="G209" s="9"/>
      <c r="H209" s="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0"/>
      <c r="C210" s="6"/>
      <c r="D210" s="7"/>
      <c r="E210" s="7"/>
      <c r="F210" s="8"/>
      <c r="G210" s="9"/>
      <c r="H210" s="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0"/>
      <c r="C211" s="6"/>
      <c r="D211" s="7"/>
      <c r="E211" s="7"/>
      <c r="F211" s="8"/>
      <c r="G211" s="9"/>
      <c r="H211" s="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0"/>
      <c r="C212" s="6"/>
      <c r="D212" s="7"/>
      <c r="E212" s="7"/>
      <c r="F212" s="8"/>
      <c r="G212" s="9"/>
      <c r="H212" s="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0"/>
      <c r="C213" s="6"/>
      <c r="D213" s="7"/>
      <c r="E213" s="7"/>
      <c r="F213" s="8"/>
      <c r="G213" s="9"/>
      <c r="H213" s="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0"/>
      <c r="C214" s="6"/>
      <c r="D214" s="7"/>
      <c r="E214" s="7"/>
      <c r="F214" s="8"/>
      <c r="G214" s="9"/>
      <c r="H214" s="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0"/>
      <c r="C215" s="6"/>
      <c r="D215" s="7"/>
      <c r="E215" s="7"/>
      <c r="F215" s="8"/>
      <c r="G215" s="9"/>
      <c r="H215" s="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0"/>
      <c r="C216" s="6"/>
      <c r="D216" s="7"/>
      <c r="E216" s="7"/>
      <c r="F216" s="8"/>
      <c r="G216" s="9"/>
      <c r="H216" s="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0"/>
      <c r="C217" s="6"/>
      <c r="D217" s="7"/>
      <c r="E217" s="7"/>
      <c r="F217" s="8"/>
      <c r="G217" s="9"/>
      <c r="H217" s="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0"/>
      <c r="C218" s="6"/>
      <c r="D218" s="7"/>
      <c r="E218" s="7"/>
      <c r="F218" s="8"/>
      <c r="G218" s="9"/>
      <c r="H218" s="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0"/>
      <c r="C219" s="6"/>
      <c r="D219" s="7"/>
      <c r="E219" s="7"/>
      <c r="F219" s="8"/>
      <c r="G219" s="9"/>
      <c r="H219" s="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0"/>
      <c r="C220" s="6"/>
      <c r="D220" s="7"/>
      <c r="E220" s="7"/>
      <c r="F220" s="8"/>
      <c r="G220" s="9"/>
      <c r="H220" s="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0"/>
      <c r="C221" s="6"/>
      <c r="D221" s="7"/>
      <c r="E221" s="7"/>
      <c r="F221" s="8"/>
      <c r="G221" s="9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0"/>
      <c r="C222" s="6"/>
      <c r="D222" s="7"/>
      <c r="E222" s="7"/>
      <c r="F222" s="8"/>
      <c r="G222" s="9"/>
      <c r="H222" s="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0"/>
      <c r="C223" s="6"/>
      <c r="D223" s="7"/>
      <c r="E223" s="7"/>
      <c r="F223" s="8"/>
      <c r="G223" s="9"/>
      <c r="H223" s="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0"/>
      <c r="C224" s="6"/>
      <c r="D224" s="7"/>
      <c r="E224" s="7"/>
      <c r="F224" s="8"/>
      <c r="G224" s="9"/>
      <c r="H224" s="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0"/>
      <c r="C225" s="6"/>
      <c r="D225" s="7"/>
      <c r="E225" s="7"/>
      <c r="F225" s="8"/>
      <c r="G225" s="9"/>
      <c r="H225" s="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0"/>
      <c r="C226" s="6"/>
      <c r="D226" s="7"/>
      <c r="E226" s="7"/>
      <c r="F226" s="8"/>
      <c r="G226" s="9"/>
      <c r="H226" s="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0"/>
      <c r="C227" s="6"/>
      <c r="D227" s="7"/>
      <c r="E227" s="7"/>
      <c r="F227" s="8"/>
      <c r="G227" s="9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0"/>
      <c r="C228" s="6"/>
      <c r="D228" s="7"/>
      <c r="E228" s="7"/>
      <c r="F228" s="8"/>
      <c r="G228" s="9"/>
      <c r="H228" s="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0"/>
      <c r="C229" s="6"/>
      <c r="D229" s="7"/>
      <c r="E229" s="7"/>
      <c r="F229" s="8"/>
      <c r="G229" s="9"/>
      <c r="H229" s="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0"/>
      <c r="C230" s="6"/>
      <c r="D230" s="7"/>
      <c r="E230" s="7"/>
      <c r="F230" s="8"/>
      <c r="G230" s="9"/>
      <c r="H230" s="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0"/>
      <c r="C231" s="6"/>
      <c r="D231" s="7"/>
      <c r="E231" s="7"/>
      <c r="F231" s="8"/>
      <c r="G231" s="9"/>
      <c r="H231" s="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0"/>
      <c r="C232" s="6"/>
      <c r="D232" s="7"/>
      <c r="E232" s="7"/>
      <c r="F232" s="8"/>
      <c r="G232" s="9"/>
      <c r="H232" s="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0"/>
      <c r="C233" s="6"/>
      <c r="D233" s="7"/>
      <c r="E233" s="7"/>
      <c r="F233" s="8"/>
      <c r="G233" s="9"/>
      <c r="H233" s="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0"/>
      <c r="C234" s="6"/>
      <c r="D234" s="7"/>
      <c r="E234" s="7"/>
      <c r="F234" s="8"/>
      <c r="G234" s="9"/>
      <c r="H234" s="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0"/>
      <c r="C235" s="6"/>
      <c r="D235" s="7"/>
      <c r="E235" s="7"/>
      <c r="F235" s="8"/>
      <c r="G235" s="9"/>
      <c r="H235" s="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0"/>
      <c r="C236" s="6"/>
      <c r="D236" s="7"/>
      <c r="E236" s="7"/>
      <c r="F236" s="8"/>
      <c r="G236" s="9"/>
      <c r="H236" s="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0"/>
      <c r="C237" s="6"/>
      <c r="D237" s="7"/>
      <c r="E237" s="7"/>
      <c r="F237" s="8"/>
      <c r="G237" s="9"/>
      <c r="H237" s="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0"/>
      <c r="C238" s="6"/>
      <c r="D238" s="7"/>
      <c r="E238" s="7"/>
      <c r="F238" s="8"/>
      <c r="G238" s="9"/>
      <c r="H238" s="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0"/>
      <c r="C239" s="6"/>
      <c r="D239" s="7"/>
      <c r="E239" s="7"/>
      <c r="F239" s="8"/>
      <c r="G239" s="9"/>
      <c r="H239" s="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0"/>
      <c r="C240" s="6"/>
      <c r="D240" s="7"/>
      <c r="E240" s="7"/>
      <c r="F240" s="8"/>
      <c r="G240" s="9"/>
      <c r="H240" s="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0"/>
      <c r="C241" s="6"/>
      <c r="D241" s="7"/>
      <c r="E241" s="7"/>
      <c r="F241" s="8"/>
      <c r="G241" s="9"/>
      <c r="H241" s="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0"/>
      <c r="C242" s="6"/>
      <c r="D242" s="7"/>
      <c r="E242" s="7"/>
      <c r="F242" s="8"/>
      <c r="G242" s="9"/>
      <c r="H242" s="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0"/>
      <c r="C243" s="6"/>
      <c r="D243" s="7"/>
      <c r="E243" s="7"/>
      <c r="F243" s="8"/>
      <c r="G243" s="9"/>
      <c r="H243" s="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0"/>
      <c r="C244" s="6"/>
      <c r="D244" s="7"/>
      <c r="E244" s="7"/>
      <c r="F244" s="8"/>
      <c r="G244" s="9"/>
      <c r="H244" s="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0"/>
      <c r="C245" s="6"/>
      <c r="D245" s="7"/>
      <c r="E245" s="7"/>
      <c r="F245" s="8"/>
      <c r="G245" s="9"/>
      <c r="H245" s="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0"/>
      <c r="C246" s="6"/>
      <c r="D246" s="7"/>
      <c r="E246" s="7"/>
      <c r="F246" s="8"/>
      <c r="G246" s="9"/>
      <c r="H246" s="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0"/>
      <c r="C247" s="6"/>
      <c r="D247" s="7"/>
      <c r="E247" s="7"/>
      <c r="F247" s="8"/>
      <c r="G247" s="9"/>
      <c r="H247" s="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0"/>
      <c r="C248" s="6"/>
      <c r="D248" s="7"/>
      <c r="E248" s="7"/>
      <c r="F248" s="8"/>
      <c r="G248" s="9"/>
      <c r="H248" s="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0"/>
      <c r="C249" s="6"/>
      <c r="D249" s="7"/>
      <c r="E249" s="7"/>
      <c r="F249" s="8"/>
      <c r="G249" s="9"/>
      <c r="H249" s="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0"/>
      <c r="C250" s="6"/>
      <c r="D250" s="7"/>
      <c r="E250" s="7"/>
      <c r="F250" s="8"/>
      <c r="G250" s="9"/>
      <c r="H250" s="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0"/>
      <c r="C251" s="6"/>
      <c r="D251" s="7"/>
      <c r="E251" s="7"/>
      <c r="F251" s="8"/>
      <c r="G251" s="9"/>
      <c r="H251" s="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0"/>
      <c r="C252" s="6"/>
      <c r="D252" s="7"/>
      <c r="E252" s="7"/>
      <c r="F252" s="8"/>
      <c r="G252" s="9"/>
      <c r="H252" s="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0"/>
      <c r="C253" s="6"/>
      <c r="D253" s="7"/>
      <c r="E253" s="7"/>
      <c r="F253" s="8"/>
      <c r="G253" s="9"/>
      <c r="H253" s="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0"/>
      <c r="C254" s="6"/>
      <c r="D254" s="7"/>
      <c r="E254" s="7"/>
      <c r="F254" s="8"/>
      <c r="G254" s="9"/>
      <c r="H254" s="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0"/>
      <c r="C255" s="6"/>
      <c r="D255" s="7"/>
      <c r="E255" s="7"/>
      <c r="F255" s="8"/>
      <c r="G255" s="9"/>
      <c r="H255" s="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0"/>
      <c r="C256" s="6"/>
      <c r="D256" s="7"/>
      <c r="E256" s="7"/>
      <c r="F256" s="8"/>
      <c r="G256" s="9"/>
      <c r="H256" s="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0"/>
      <c r="C257" s="6"/>
      <c r="D257" s="7"/>
      <c r="E257" s="7"/>
      <c r="F257" s="8"/>
      <c r="G257" s="9"/>
      <c r="H257" s="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0"/>
      <c r="C258" s="6"/>
      <c r="D258" s="7"/>
      <c r="E258" s="7"/>
      <c r="F258" s="8"/>
      <c r="G258" s="9"/>
      <c r="H258" s="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0"/>
      <c r="C259" s="6"/>
      <c r="D259" s="7"/>
      <c r="E259" s="7"/>
      <c r="F259" s="8"/>
      <c r="G259" s="9"/>
      <c r="H259" s="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0"/>
      <c r="C260" s="6"/>
      <c r="D260" s="7"/>
      <c r="E260" s="7"/>
      <c r="F260" s="8"/>
      <c r="G260" s="9"/>
      <c r="H260" s="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0"/>
      <c r="C261" s="6"/>
      <c r="D261" s="7"/>
      <c r="E261" s="7"/>
      <c r="F261" s="8"/>
      <c r="G261" s="9"/>
      <c r="H261" s="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0"/>
      <c r="C262" s="6"/>
      <c r="D262" s="7"/>
      <c r="E262" s="7"/>
      <c r="F262" s="8"/>
      <c r="G262" s="9"/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0"/>
      <c r="C263" s="6"/>
      <c r="D263" s="7"/>
      <c r="E263" s="7"/>
      <c r="F263" s="8"/>
      <c r="G263" s="9"/>
      <c r="H263" s="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0"/>
      <c r="C264" s="6"/>
      <c r="D264" s="7"/>
      <c r="E264" s="7"/>
      <c r="F264" s="8"/>
      <c r="G264" s="9"/>
      <c r="H264" s="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0"/>
      <c r="C265" s="6"/>
      <c r="D265" s="7"/>
      <c r="E265" s="7"/>
      <c r="F265" s="8"/>
      <c r="G265" s="9"/>
      <c r="H265" s="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0"/>
      <c r="C266" s="6"/>
      <c r="D266" s="7"/>
      <c r="E266" s="7"/>
      <c r="F266" s="8"/>
      <c r="G266" s="9"/>
      <c r="H266" s="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0"/>
      <c r="C267" s="6"/>
      <c r="D267" s="7"/>
      <c r="E267" s="7"/>
      <c r="F267" s="8"/>
      <c r="G267" s="9"/>
      <c r="H267" s="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0"/>
      <c r="C268" s="6"/>
      <c r="D268" s="7"/>
      <c r="E268" s="7"/>
      <c r="F268" s="8"/>
      <c r="G268" s="9"/>
      <c r="H268" s="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0"/>
      <c r="C269" s="6"/>
      <c r="D269" s="7"/>
      <c r="E269" s="7"/>
      <c r="F269" s="8"/>
      <c r="G269" s="9"/>
      <c r="H269" s="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0"/>
      <c r="C270" s="6"/>
      <c r="D270" s="7"/>
      <c r="E270" s="7"/>
      <c r="F270" s="8"/>
      <c r="G270" s="9"/>
      <c r="H270" s="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0"/>
      <c r="C271" s="6"/>
      <c r="D271" s="7"/>
      <c r="E271" s="7"/>
      <c r="F271" s="8"/>
      <c r="G271" s="9"/>
      <c r="H271" s="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0"/>
      <c r="C272" s="6"/>
      <c r="D272" s="7"/>
      <c r="E272" s="7"/>
      <c r="F272" s="8"/>
      <c r="G272" s="9"/>
      <c r="H272" s="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0"/>
      <c r="C273" s="6"/>
      <c r="D273" s="7"/>
      <c r="E273" s="7"/>
      <c r="F273" s="8"/>
      <c r="G273" s="9"/>
      <c r="H273" s="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0"/>
      <c r="C274" s="6"/>
      <c r="D274" s="7"/>
      <c r="E274" s="7"/>
      <c r="F274" s="8"/>
      <c r="G274" s="9"/>
      <c r="H274" s="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0"/>
      <c r="C275" s="6"/>
      <c r="D275" s="7"/>
      <c r="E275" s="7"/>
      <c r="F275" s="8"/>
      <c r="G275" s="9"/>
      <c r="H275" s="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0"/>
      <c r="C276" s="6"/>
      <c r="D276" s="7"/>
      <c r="E276" s="7"/>
      <c r="F276" s="8"/>
      <c r="G276" s="9"/>
      <c r="H276" s="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0"/>
      <c r="C277" s="6"/>
      <c r="D277" s="7"/>
      <c r="E277" s="7"/>
      <c r="F277" s="8"/>
      <c r="G277" s="9"/>
      <c r="H277" s="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0"/>
      <c r="C278" s="6"/>
      <c r="D278" s="7"/>
      <c r="E278" s="7"/>
      <c r="F278" s="8"/>
      <c r="G278" s="9"/>
      <c r="H278" s="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0"/>
      <c r="C279" s="6"/>
      <c r="D279" s="7"/>
      <c r="E279" s="7"/>
      <c r="F279" s="8"/>
      <c r="G279" s="9"/>
      <c r="H279" s="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0"/>
      <c r="C280" s="6"/>
      <c r="D280" s="7"/>
      <c r="E280" s="7"/>
      <c r="F280" s="8"/>
      <c r="G280" s="9"/>
      <c r="H280" s="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0"/>
      <c r="C281" s="6"/>
      <c r="D281" s="7"/>
      <c r="E281" s="7"/>
      <c r="F281" s="8"/>
      <c r="G281" s="9"/>
      <c r="H281" s="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0"/>
      <c r="C282" s="6"/>
      <c r="D282" s="7"/>
      <c r="E282" s="7"/>
      <c r="F282" s="8"/>
      <c r="G282" s="9"/>
      <c r="H282" s="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0"/>
      <c r="C283" s="6"/>
      <c r="D283" s="7"/>
      <c r="E283" s="7"/>
      <c r="F283" s="8"/>
      <c r="G283" s="9"/>
      <c r="H283" s="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0"/>
      <c r="C284" s="6"/>
      <c r="D284" s="7"/>
      <c r="E284" s="7"/>
      <c r="F284" s="8"/>
      <c r="G284" s="9"/>
      <c r="H284" s="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0"/>
      <c r="C285" s="6"/>
      <c r="D285" s="7"/>
      <c r="E285" s="7"/>
      <c r="F285" s="8"/>
      <c r="G285" s="9"/>
      <c r="H285" s="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0"/>
      <c r="C286" s="6"/>
      <c r="D286" s="7"/>
      <c r="E286" s="7"/>
      <c r="F286" s="8"/>
      <c r="G286" s="9"/>
      <c r="H286" s="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0"/>
      <c r="C287" s="6"/>
      <c r="D287" s="7"/>
      <c r="E287" s="7"/>
      <c r="F287" s="8"/>
      <c r="G287" s="9"/>
      <c r="H287" s="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0"/>
      <c r="C288" s="6"/>
      <c r="D288" s="7"/>
      <c r="E288" s="7"/>
      <c r="F288" s="8"/>
      <c r="G288" s="9"/>
      <c r="H288" s="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0"/>
      <c r="C289" s="6"/>
      <c r="D289" s="7"/>
      <c r="E289" s="7"/>
      <c r="F289" s="8"/>
      <c r="G289" s="9"/>
      <c r="H289" s="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0"/>
      <c r="C290" s="6"/>
      <c r="D290" s="7"/>
      <c r="E290" s="7"/>
      <c r="F290" s="8"/>
      <c r="G290" s="9"/>
      <c r="H290" s="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0"/>
      <c r="C291" s="6"/>
      <c r="D291" s="7"/>
      <c r="E291" s="7"/>
      <c r="F291" s="8"/>
      <c r="G291" s="9"/>
      <c r="H291" s="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0"/>
      <c r="C292" s="6"/>
      <c r="D292" s="7"/>
      <c r="E292" s="7"/>
      <c r="F292" s="8"/>
      <c r="G292" s="9"/>
      <c r="H292" s="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0"/>
      <c r="C293" s="6"/>
      <c r="D293" s="7"/>
      <c r="E293" s="7"/>
      <c r="F293" s="8"/>
      <c r="G293" s="9"/>
      <c r="H293" s="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0"/>
      <c r="C294" s="6"/>
      <c r="D294" s="7"/>
      <c r="E294" s="7"/>
      <c r="F294" s="8"/>
      <c r="G294" s="9"/>
      <c r="H294" s="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0"/>
      <c r="C295" s="6"/>
      <c r="D295" s="7"/>
      <c r="E295" s="7"/>
      <c r="F295" s="8"/>
      <c r="G295" s="9"/>
      <c r="H295" s="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0"/>
      <c r="C296" s="6"/>
      <c r="D296" s="7"/>
      <c r="E296" s="7"/>
      <c r="F296" s="8"/>
      <c r="G296" s="9"/>
      <c r="H296" s="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0"/>
      <c r="C297" s="6"/>
      <c r="D297" s="7"/>
      <c r="E297" s="7"/>
      <c r="F297" s="8"/>
      <c r="G297" s="9"/>
      <c r="H297" s="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0"/>
      <c r="C298" s="6"/>
      <c r="D298" s="7"/>
      <c r="E298" s="7"/>
      <c r="F298" s="8"/>
      <c r="G298" s="9"/>
      <c r="H298" s="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0"/>
      <c r="C299" s="6"/>
      <c r="D299" s="7"/>
      <c r="E299" s="7"/>
      <c r="F299" s="8"/>
      <c r="G299" s="9"/>
      <c r="H299" s="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0"/>
      <c r="C300" s="6"/>
      <c r="D300" s="7"/>
      <c r="E300" s="7"/>
      <c r="F300" s="8"/>
      <c r="G300" s="9"/>
      <c r="H300" s="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0"/>
      <c r="C301" s="6"/>
      <c r="D301" s="7"/>
      <c r="E301" s="7"/>
      <c r="F301" s="8"/>
      <c r="G301" s="9"/>
      <c r="H301" s="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0"/>
      <c r="C302" s="6"/>
      <c r="D302" s="7"/>
      <c r="E302" s="7"/>
      <c r="F302" s="8"/>
      <c r="G302" s="9"/>
      <c r="H302" s="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0"/>
      <c r="C303" s="6"/>
      <c r="D303" s="7"/>
      <c r="E303" s="7"/>
      <c r="F303" s="8"/>
      <c r="G303" s="9"/>
      <c r="H303" s="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0"/>
      <c r="C304" s="6"/>
      <c r="D304" s="7"/>
      <c r="E304" s="7"/>
      <c r="F304" s="8"/>
      <c r="G304" s="9"/>
      <c r="H304" s="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0"/>
      <c r="C305" s="6"/>
      <c r="D305" s="7"/>
      <c r="E305" s="7"/>
      <c r="F305" s="8"/>
      <c r="G305" s="9"/>
      <c r="H305" s="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0"/>
      <c r="C306" s="6"/>
      <c r="D306" s="7"/>
      <c r="E306" s="7"/>
      <c r="F306" s="8"/>
      <c r="G306" s="9"/>
      <c r="H306" s="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0"/>
      <c r="C307" s="6"/>
      <c r="D307" s="7"/>
      <c r="E307" s="7"/>
      <c r="F307" s="8"/>
      <c r="G307" s="9"/>
      <c r="H307" s="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0"/>
      <c r="C308" s="6"/>
      <c r="D308" s="7"/>
      <c r="E308" s="7"/>
      <c r="F308" s="8"/>
      <c r="G308" s="9"/>
      <c r="H308" s="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0"/>
      <c r="C309" s="6"/>
      <c r="D309" s="7"/>
      <c r="E309" s="7"/>
      <c r="F309" s="8"/>
      <c r="G309" s="9"/>
      <c r="H309" s="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0"/>
      <c r="C310" s="6"/>
      <c r="D310" s="7"/>
      <c r="E310" s="7"/>
      <c r="F310" s="8"/>
      <c r="G310" s="9"/>
      <c r="H310" s="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0"/>
      <c r="C311" s="6"/>
      <c r="D311" s="7"/>
      <c r="E311" s="7"/>
      <c r="F311" s="8"/>
      <c r="G311" s="9"/>
      <c r="H311" s="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0"/>
      <c r="C312" s="6"/>
      <c r="D312" s="7"/>
      <c r="E312" s="7"/>
      <c r="F312" s="8"/>
      <c r="G312" s="9"/>
      <c r="H312" s="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0"/>
      <c r="C313" s="6"/>
      <c r="D313" s="7"/>
      <c r="E313" s="7"/>
      <c r="F313" s="8"/>
      <c r="G313" s="9"/>
      <c r="H313" s="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0"/>
      <c r="C314" s="6"/>
      <c r="D314" s="7"/>
      <c r="E314" s="7"/>
      <c r="F314" s="8"/>
      <c r="G314" s="9"/>
      <c r="H314" s="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0"/>
      <c r="C315" s="6"/>
      <c r="D315" s="7"/>
      <c r="E315" s="7"/>
      <c r="F315" s="8"/>
      <c r="G315" s="9"/>
      <c r="H315" s="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0"/>
      <c r="C316" s="6"/>
      <c r="D316" s="7"/>
      <c r="E316" s="7"/>
      <c r="F316" s="8"/>
      <c r="G316" s="9"/>
      <c r="H316" s="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0"/>
      <c r="C317" s="6"/>
      <c r="D317" s="7"/>
      <c r="E317" s="7"/>
      <c r="F317" s="8"/>
      <c r="G317" s="9"/>
      <c r="H317" s="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0"/>
      <c r="C318" s="6"/>
      <c r="D318" s="7"/>
      <c r="E318" s="7"/>
      <c r="F318" s="8"/>
      <c r="G318" s="9"/>
      <c r="H318" s="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0"/>
      <c r="C319" s="6"/>
      <c r="D319" s="7"/>
      <c r="E319" s="7"/>
      <c r="F319" s="8"/>
      <c r="G319" s="9"/>
      <c r="H319" s="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0"/>
      <c r="C320" s="6"/>
      <c r="D320" s="7"/>
      <c r="E320" s="7"/>
      <c r="F320" s="8"/>
      <c r="G320" s="9"/>
      <c r="H320" s="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0"/>
      <c r="C321" s="6"/>
      <c r="D321" s="7"/>
      <c r="E321" s="7"/>
      <c r="F321" s="8"/>
      <c r="G321" s="9"/>
      <c r="H321" s="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0"/>
      <c r="C322" s="6"/>
      <c r="D322" s="7"/>
      <c r="E322" s="7"/>
      <c r="F322" s="8"/>
      <c r="G322" s="9"/>
      <c r="H322" s="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0"/>
      <c r="C323" s="6"/>
      <c r="D323" s="7"/>
      <c r="E323" s="7"/>
      <c r="F323" s="8"/>
      <c r="G323" s="9"/>
      <c r="H323" s="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0"/>
      <c r="C324" s="6"/>
      <c r="D324" s="7"/>
      <c r="E324" s="7"/>
      <c r="F324" s="8"/>
      <c r="G324" s="9"/>
      <c r="H324" s="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0"/>
      <c r="C325" s="6"/>
      <c r="D325" s="7"/>
      <c r="E325" s="7"/>
      <c r="F325" s="8"/>
      <c r="G325" s="9"/>
      <c r="H325" s="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0"/>
      <c r="C326" s="6"/>
      <c r="D326" s="7"/>
      <c r="E326" s="7"/>
      <c r="F326" s="8"/>
      <c r="G326" s="9"/>
      <c r="H326" s="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0"/>
      <c r="C327" s="6"/>
      <c r="D327" s="7"/>
      <c r="E327" s="7"/>
      <c r="F327" s="8"/>
      <c r="G327" s="9"/>
      <c r="H327" s="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0"/>
      <c r="C328" s="6"/>
      <c r="D328" s="7"/>
      <c r="E328" s="7"/>
      <c r="F328" s="8"/>
      <c r="G328" s="9"/>
      <c r="H328" s="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0"/>
      <c r="C329" s="6"/>
      <c r="D329" s="7"/>
      <c r="E329" s="7"/>
      <c r="F329" s="8"/>
      <c r="G329" s="9"/>
      <c r="H329" s="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0"/>
      <c r="C330" s="6"/>
      <c r="D330" s="7"/>
      <c r="E330" s="7"/>
      <c r="F330" s="8"/>
      <c r="G330" s="9"/>
      <c r="H330" s="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0"/>
      <c r="C331" s="6"/>
      <c r="D331" s="7"/>
      <c r="E331" s="7"/>
      <c r="F331" s="8"/>
      <c r="G331" s="9"/>
      <c r="H331" s="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0"/>
      <c r="C332" s="6"/>
      <c r="D332" s="7"/>
      <c r="E332" s="7"/>
      <c r="F332" s="8"/>
      <c r="G332" s="9"/>
      <c r="H332" s="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0"/>
      <c r="C333" s="6"/>
      <c r="D333" s="7"/>
      <c r="E333" s="7"/>
      <c r="F333" s="8"/>
      <c r="G333" s="9"/>
      <c r="H333" s="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0"/>
      <c r="C334" s="6"/>
      <c r="D334" s="7"/>
      <c r="E334" s="7"/>
      <c r="F334" s="8"/>
      <c r="G334" s="9"/>
      <c r="H334" s="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0"/>
      <c r="C335" s="6"/>
      <c r="D335" s="7"/>
      <c r="E335" s="7"/>
      <c r="F335" s="8"/>
      <c r="G335" s="9"/>
      <c r="H335" s="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0"/>
      <c r="C336" s="6"/>
      <c r="D336" s="7"/>
      <c r="E336" s="7"/>
      <c r="F336" s="8"/>
      <c r="G336" s="9"/>
      <c r="H336" s="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0"/>
      <c r="C337" s="6"/>
      <c r="D337" s="7"/>
      <c r="E337" s="7"/>
      <c r="F337" s="8"/>
      <c r="G337" s="9"/>
      <c r="H337" s="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0"/>
      <c r="C338" s="6"/>
      <c r="D338" s="7"/>
      <c r="E338" s="7"/>
      <c r="F338" s="8"/>
      <c r="G338" s="9"/>
      <c r="H338" s="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0"/>
      <c r="C339" s="6"/>
      <c r="D339" s="7"/>
      <c r="E339" s="7"/>
      <c r="F339" s="8"/>
      <c r="G339" s="9"/>
      <c r="H339" s="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0"/>
      <c r="C340" s="6"/>
      <c r="D340" s="7"/>
      <c r="E340" s="7"/>
      <c r="F340" s="8"/>
      <c r="G340" s="9"/>
      <c r="H340" s="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0"/>
      <c r="C341" s="6"/>
      <c r="D341" s="7"/>
      <c r="E341" s="7"/>
      <c r="F341" s="8"/>
      <c r="G341" s="9"/>
      <c r="H341" s="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0"/>
      <c r="C342" s="6"/>
      <c r="D342" s="7"/>
      <c r="E342" s="7"/>
      <c r="F342" s="8"/>
      <c r="G342" s="9"/>
      <c r="H342" s="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0"/>
      <c r="C343" s="6"/>
      <c r="D343" s="7"/>
      <c r="E343" s="7"/>
      <c r="F343" s="8"/>
      <c r="G343" s="9"/>
      <c r="H343" s="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0"/>
      <c r="C344" s="6"/>
      <c r="D344" s="7"/>
      <c r="E344" s="7"/>
      <c r="F344" s="8"/>
      <c r="G344" s="9"/>
      <c r="H344" s="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0"/>
      <c r="C345" s="6"/>
      <c r="D345" s="7"/>
      <c r="E345" s="7"/>
      <c r="F345" s="8"/>
      <c r="G345" s="9"/>
      <c r="H345" s="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0"/>
      <c r="C346" s="6"/>
      <c r="D346" s="7"/>
      <c r="E346" s="7"/>
      <c r="F346" s="8"/>
      <c r="G346" s="9"/>
      <c r="H346" s="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0"/>
      <c r="C347" s="6"/>
      <c r="D347" s="7"/>
      <c r="E347" s="7"/>
      <c r="F347" s="8"/>
      <c r="G347" s="9"/>
      <c r="H347" s="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0"/>
      <c r="C348" s="6"/>
      <c r="D348" s="7"/>
      <c r="E348" s="7"/>
      <c r="F348" s="8"/>
      <c r="G348" s="9"/>
      <c r="H348" s="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0"/>
      <c r="C349" s="6"/>
      <c r="D349" s="7"/>
      <c r="E349" s="7"/>
      <c r="F349" s="8"/>
      <c r="G349" s="9"/>
      <c r="H349" s="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0"/>
      <c r="C350" s="6"/>
      <c r="D350" s="7"/>
      <c r="E350" s="7"/>
      <c r="F350" s="8"/>
      <c r="G350" s="9"/>
      <c r="H350" s="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0"/>
      <c r="C351" s="6"/>
      <c r="D351" s="7"/>
      <c r="E351" s="7"/>
      <c r="F351" s="8"/>
      <c r="G351" s="9"/>
      <c r="H351" s="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0"/>
      <c r="C352" s="6"/>
      <c r="D352" s="7"/>
      <c r="E352" s="7"/>
      <c r="F352" s="8"/>
      <c r="G352" s="9"/>
      <c r="H352" s="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0"/>
      <c r="C353" s="6"/>
      <c r="D353" s="7"/>
      <c r="E353" s="7"/>
      <c r="F353" s="8"/>
      <c r="G353" s="9"/>
      <c r="H353" s="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0"/>
      <c r="C354" s="6"/>
      <c r="D354" s="7"/>
      <c r="E354" s="7"/>
      <c r="F354" s="8"/>
      <c r="G354" s="9"/>
      <c r="H354" s="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0"/>
      <c r="C355" s="6"/>
      <c r="D355" s="7"/>
      <c r="E355" s="7"/>
      <c r="F355" s="8"/>
      <c r="G355" s="9"/>
      <c r="H355" s="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0"/>
      <c r="C356" s="6"/>
      <c r="D356" s="7"/>
      <c r="E356" s="7"/>
      <c r="F356" s="8"/>
      <c r="G356" s="9"/>
      <c r="H356" s="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0"/>
      <c r="C357" s="6"/>
      <c r="D357" s="7"/>
      <c r="E357" s="7"/>
      <c r="F357" s="8"/>
      <c r="G357" s="9"/>
      <c r="H357" s="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0"/>
      <c r="C358" s="6"/>
      <c r="D358" s="7"/>
      <c r="E358" s="7"/>
      <c r="F358" s="8"/>
      <c r="G358" s="9"/>
      <c r="H358" s="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0"/>
      <c r="C359" s="6"/>
      <c r="D359" s="7"/>
      <c r="E359" s="7"/>
      <c r="F359" s="8"/>
      <c r="G359" s="9"/>
      <c r="H359" s="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0"/>
      <c r="C360" s="6"/>
      <c r="D360" s="7"/>
      <c r="E360" s="7"/>
      <c r="F360" s="8"/>
      <c r="G360" s="9"/>
      <c r="H360" s="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0"/>
      <c r="C361" s="6"/>
      <c r="D361" s="7"/>
      <c r="E361" s="7"/>
      <c r="F361" s="8"/>
      <c r="G361" s="9"/>
      <c r="H361" s="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0"/>
      <c r="C362" s="6"/>
      <c r="D362" s="7"/>
      <c r="E362" s="7"/>
      <c r="F362" s="8"/>
      <c r="G362" s="9"/>
      <c r="H362" s="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0"/>
      <c r="C363" s="6"/>
      <c r="D363" s="7"/>
      <c r="E363" s="7"/>
      <c r="F363" s="8"/>
      <c r="G363" s="9"/>
      <c r="H363" s="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0"/>
      <c r="C364" s="6"/>
      <c r="D364" s="7"/>
      <c r="E364" s="7"/>
      <c r="F364" s="8"/>
      <c r="G364" s="9"/>
      <c r="H364" s="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0"/>
      <c r="C365" s="6"/>
      <c r="D365" s="7"/>
      <c r="E365" s="7"/>
      <c r="F365" s="8"/>
      <c r="G365" s="9"/>
      <c r="H365" s="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0"/>
      <c r="C366" s="6"/>
      <c r="D366" s="7"/>
      <c r="E366" s="7"/>
      <c r="F366" s="8"/>
      <c r="G366" s="9"/>
      <c r="H366" s="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0"/>
      <c r="C367" s="6"/>
      <c r="D367" s="7"/>
      <c r="E367" s="7"/>
      <c r="F367" s="8"/>
      <c r="G367" s="9"/>
      <c r="H367" s="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0"/>
      <c r="C368" s="6"/>
      <c r="D368" s="7"/>
      <c r="E368" s="7"/>
      <c r="F368" s="8"/>
      <c r="G368" s="9"/>
      <c r="H368" s="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0"/>
      <c r="C369" s="6"/>
      <c r="D369" s="7"/>
      <c r="E369" s="7"/>
      <c r="F369" s="8"/>
      <c r="G369" s="9"/>
      <c r="H369" s="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0"/>
      <c r="C370" s="6"/>
      <c r="D370" s="7"/>
      <c r="E370" s="7"/>
      <c r="F370" s="8"/>
      <c r="G370" s="9"/>
      <c r="H370" s="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0"/>
      <c r="C371" s="6"/>
      <c r="D371" s="7"/>
      <c r="E371" s="7"/>
      <c r="F371" s="8"/>
      <c r="G371" s="9"/>
      <c r="H371" s="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0"/>
      <c r="C372" s="6"/>
      <c r="D372" s="7"/>
      <c r="E372" s="7"/>
      <c r="F372" s="8"/>
      <c r="G372" s="9"/>
      <c r="H372" s="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0"/>
      <c r="C373" s="6"/>
      <c r="D373" s="7"/>
      <c r="E373" s="7"/>
      <c r="F373" s="8"/>
      <c r="G373" s="9"/>
      <c r="H373" s="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0"/>
      <c r="C374" s="6"/>
      <c r="D374" s="7"/>
      <c r="E374" s="7"/>
      <c r="F374" s="8"/>
      <c r="G374" s="9"/>
      <c r="H374" s="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0"/>
      <c r="C375" s="6"/>
      <c r="D375" s="7"/>
      <c r="E375" s="7"/>
      <c r="F375" s="8"/>
      <c r="G375" s="9"/>
      <c r="H375" s="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0"/>
      <c r="C376" s="6"/>
      <c r="D376" s="7"/>
      <c r="E376" s="7"/>
      <c r="F376" s="8"/>
      <c r="G376" s="9"/>
      <c r="H376" s="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0"/>
      <c r="C377" s="6"/>
      <c r="D377" s="7"/>
      <c r="E377" s="7"/>
      <c r="F377" s="8"/>
      <c r="G377" s="9"/>
      <c r="H377" s="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0"/>
      <c r="C378" s="6"/>
      <c r="D378" s="7"/>
      <c r="E378" s="7"/>
      <c r="F378" s="8"/>
      <c r="G378" s="9"/>
      <c r="H378" s="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0"/>
      <c r="C379" s="6"/>
      <c r="D379" s="7"/>
      <c r="E379" s="7"/>
      <c r="F379" s="8"/>
      <c r="G379" s="9"/>
      <c r="H379" s="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0"/>
      <c r="C380" s="6"/>
      <c r="D380" s="7"/>
      <c r="E380" s="7"/>
      <c r="F380" s="8"/>
      <c r="G380" s="9"/>
      <c r="H380" s="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0"/>
      <c r="C381" s="6"/>
      <c r="D381" s="7"/>
      <c r="E381" s="7"/>
      <c r="F381" s="8"/>
      <c r="G381" s="9"/>
      <c r="H381" s="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0"/>
      <c r="C382" s="6"/>
      <c r="D382" s="7"/>
      <c r="E382" s="7"/>
      <c r="F382" s="8"/>
      <c r="G382" s="9"/>
      <c r="H382" s="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0"/>
      <c r="C383" s="6"/>
      <c r="D383" s="7"/>
      <c r="E383" s="7"/>
      <c r="F383" s="8"/>
      <c r="G383" s="9"/>
      <c r="H383" s="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0"/>
      <c r="C384" s="6"/>
      <c r="D384" s="7"/>
      <c r="E384" s="7"/>
      <c r="F384" s="8"/>
      <c r="G384" s="9"/>
      <c r="H384" s="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0"/>
      <c r="C385" s="6"/>
      <c r="D385" s="7"/>
      <c r="E385" s="7"/>
      <c r="F385" s="8"/>
      <c r="G385" s="9"/>
      <c r="H385" s="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0"/>
      <c r="C386" s="6"/>
      <c r="D386" s="7"/>
      <c r="E386" s="7"/>
      <c r="F386" s="8"/>
      <c r="G386" s="9"/>
      <c r="H386" s="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0"/>
      <c r="C387" s="6"/>
      <c r="D387" s="7"/>
      <c r="E387" s="7"/>
      <c r="F387" s="8"/>
      <c r="G387" s="9"/>
      <c r="H387" s="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0"/>
      <c r="C388" s="6"/>
      <c r="D388" s="7"/>
      <c r="E388" s="7"/>
      <c r="F388" s="8"/>
      <c r="G388" s="9"/>
      <c r="H388" s="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0"/>
      <c r="C389" s="6"/>
      <c r="D389" s="7"/>
      <c r="E389" s="7"/>
      <c r="F389" s="8"/>
      <c r="G389" s="9"/>
      <c r="H389" s="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0"/>
      <c r="C390" s="6"/>
      <c r="D390" s="7"/>
      <c r="E390" s="7"/>
      <c r="F390" s="8"/>
      <c r="G390" s="9"/>
      <c r="H390" s="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0"/>
      <c r="C391" s="6"/>
      <c r="D391" s="7"/>
      <c r="E391" s="7"/>
      <c r="F391" s="8"/>
      <c r="G391" s="9"/>
      <c r="H391" s="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0"/>
      <c r="C392" s="6"/>
      <c r="D392" s="7"/>
      <c r="E392" s="7"/>
      <c r="F392" s="8"/>
      <c r="G392" s="9"/>
      <c r="H392" s="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0"/>
      <c r="C393" s="6"/>
      <c r="D393" s="7"/>
      <c r="E393" s="7"/>
      <c r="F393" s="8"/>
      <c r="G393" s="9"/>
      <c r="H393" s="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0"/>
      <c r="C394" s="6"/>
      <c r="D394" s="7"/>
      <c r="E394" s="7"/>
      <c r="F394" s="8"/>
      <c r="G394" s="9"/>
      <c r="H394" s="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0"/>
      <c r="C395" s="6"/>
      <c r="D395" s="7"/>
      <c r="E395" s="7"/>
      <c r="F395" s="8"/>
      <c r="G395" s="9"/>
      <c r="H395" s="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0"/>
      <c r="C396" s="6"/>
      <c r="D396" s="7"/>
      <c r="E396" s="7"/>
      <c r="F396" s="8"/>
      <c r="G396" s="9"/>
      <c r="H396" s="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0"/>
      <c r="C397" s="6"/>
      <c r="D397" s="7"/>
      <c r="E397" s="7"/>
      <c r="F397" s="8"/>
      <c r="G397" s="9"/>
      <c r="H397" s="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0"/>
      <c r="C398" s="6"/>
      <c r="D398" s="7"/>
      <c r="E398" s="7"/>
      <c r="F398" s="8"/>
      <c r="G398" s="9"/>
      <c r="H398" s="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0"/>
      <c r="C399" s="6"/>
      <c r="D399" s="7"/>
      <c r="E399" s="7"/>
      <c r="F399" s="8"/>
      <c r="G399" s="9"/>
      <c r="H399" s="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0"/>
      <c r="C400" s="6"/>
      <c r="D400" s="7"/>
      <c r="E400" s="7"/>
      <c r="F400" s="8"/>
      <c r="G400" s="9"/>
      <c r="H400" s="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0"/>
      <c r="C401" s="6"/>
      <c r="D401" s="7"/>
      <c r="E401" s="7"/>
      <c r="F401" s="8"/>
      <c r="G401" s="9"/>
      <c r="H401" s="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0"/>
      <c r="C402" s="6"/>
      <c r="D402" s="7"/>
      <c r="E402" s="7"/>
      <c r="F402" s="8"/>
      <c r="G402" s="9"/>
      <c r="H402" s="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0"/>
      <c r="C403" s="6"/>
      <c r="D403" s="7"/>
      <c r="E403" s="7"/>
      <c r="F403" s="8"/>
      <c r="G403" s="9"/>
      <c r="H403" s="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0"/>
      <c r="C404" s="6"/>
      <c r="D404" s="7"/>
      <c r="E404" s="7"/>
      <c r="F404" s="8"/>
      <c r="G404" s="9"/>
      <c r="H404" s="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0"/>
      <c r="C405" s="6"/>
      <c r="D405" s="7"/>
      <c r="E405" s="7"/>
      <c r="F405" s="8"/>
      <c r="G405" s="9"/>
      <c r="H405" s="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0"/>
      <c r="C406" s="6"/>
      <c r="D406" s="7"/>
      <c r="E406" s="7"/>
      <c r="F406" s="8"/>
      <c r="G406" s="9"/>
      <c r="H406" s="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0"/>
      <c r="C407" s="6"/>
      <c r="D407" s="7"/>
      <c r="E407" s="7"/>
      <c r="F407" s="8"/>
      <c r="G407" s="9"/>
      <c r="H407" s="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0"/>
      <c r="C408" s="6"/>
      <c r="D408" s="7"/>
      <c r="E408" s="7"/>
      <c r="F408" s="8"/>
      <c r="G408" s="9"/>
      <c r="H408" s="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0"/>
      <c r="C409" s="6"/>
      <c r="D409" s="7"/>
      <c r="E409" s="7"/>
      <c r="F409" s="8"/>
      <c r="G409" s="9"/>
      <c r="H409" s="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0"/>
      <c r="C410" s="6"/>
      <c r="D410" s="7"/>
      <c r="E410" s="7"/>
      <c r="F410" s="8"/>
      <c r="G410" s="9"/>
      <c r="H410" s="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0"/>
      <c r="C411" s="6"/>
      <c r="D411" s="7"/>
      <c r="E411" s="7"/>
      <c r="F411" s="8"/>
      <c r="G411" s="9"/>
      <c r="H411" s="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0"/>
      <c r="C412" s="6"/>
      <c r="D412" s="7"/>
      <c r="E412" s="7"/>
      <c r="F412" s="8"/>
      <c r="G412" s="9"/>
      <c r="H412" s="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0"/>
      <c r="C413" s="6"/>
      <c r="D413" s="7"/>
      <c r="E413" s="7"/>
      <c r="F413" s="8"/>
      <c r="G413" s="9"/>
      <c r="H413" s="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0"/>
      <c r="C414" s="6"/>
      <c r="D414" s="7"/>
      <c r="E414" s="7"/>
      <c r="F414" s="8"/>
      <c r="G414" s="9"/>
      <c r="H414" s="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0"/>
      <c r="C415" s="6"/>
      <c r="D415" s="7"/>
      <c r="E415" s="7"/>
      <c r="F415" s="8"/>
      <c r="G415" s="9"/>
      <c r="H415" s="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0"/>
      <c r="C416" s="6"/>
      <c r="D416" s="7"/>
      <c r="E416" s="7"/>
      <c r="F416" s="8"/>
      <c r="G416" s="9"/>
      <c r="H416" s="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0"/>
      <c r="C417" s="6"/>
      <c r="D417" s="7"/>
      <c r="E417" s="7"/>
      <c r="F417" s="8"/>
      <c r="G417" s="9"/>
      <c r="H417" s="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0"/>
      <c r="C418" s="6"/>
      <c r="D418" s="7"/>
      <c r="E418" s="7"/>
      <c r="F418" s="8"/>
      <c r="G418" s="9"/>
      <c r="H418" s="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0"/>
      <c r="C419" s="6"/>
      <c r="D419" s="7"/>
      <c r="E419" s="7"/>
      <c r="F419" s="8"/>
      <c r="G419" s="9"/>
      <c r="H419" s="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0"/>
      <c r="C420" s="6"/>
      <c r="D420" s="7"/>
      <c r="E420" s="7"/>
      <c r="F420" s="8"/>
      <c r="G420" s="9"/>
      <c r="H420" s="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0"/>
      <c r="C421" s="6"/>
      <c r="D421" s="7"/>
      <c r="E421" s="7"/>
      <c r="F421" s="8"/>
      <c r="G421" s="9"/>
      <c r="H421" s="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0"/>
      <c r="C422" s="6"/>
      <c r="D422" s="7"/>
      <c r="E422" s="7"/>
      <c r="F422" s="8"/>
      <c r="G422" s="9"/>
      <c r="H422" s="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0"/>
      <c r="C423" s="6"/>
      <c r="D423" s="7"/>
      <c r="E423" s="7"/>
      <c r="F423" s="8"/>
      <c r="G423" s="9"/>
      <c r="H423" s="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0"/>
      <c r="C424" s="6"/>
      <c r="D424" s="7"/>
      <c r="E424" s="7"/>
      <c r="F424" s="8"/>
      <c r="G424" s="9"/>
      <c r="H424" s="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0"/>
      <c r="C425" s="6"/>
      <c r="D425" s="7"/>
      <c r="E425" s="7"/>
      <c r="F425" s="8"/>
      <c r="G425" s="9"/>
      <c r="H425" s="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0"/>
      <c r="C426" s="6"/>
      <c r="D426" s="7"/>
      <c r="E426" s="7"/>
      <c r="F426" s="8"/>
      <c r="G426" s="9"/>
      <c r="H426" s="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0"/>
      <c r="C427" s="6"/>
      <c r="D427" s="7"/>
      <c r="E427" s="7"/>
      <c r="F427" s="8"/>
      <c r="G427" s="9"/>
      <c r="H427" s="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0"/>
      <c r="C428" s="6"/>
      <c r="D428" s="7"/>
      <c r="E428" s="7"/>
      <c r="F428" s="8"/>
      <c r="G428" s="9"/>
      <c r="H428" s="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0"/>
      <c r="C429" s="6"/>
      <c r="D429" s="7"/>
      <c r="E429" s="7"/>
      <c r="F429" s="8"/>
      <c r="G429" s="9"/>
      <c r="H429" s="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0"/>
      <c r="C430" s="6"/>
      <c r="D430" s="7"/>
      <c r="E430" s="7"/>
      <c r="F430" s="8"/>
      <c r="G430" s="9"/>
      <c r="H430" s="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0"/>
      <c r="C431" s="6"/>
      <c r="D431" s="7"/>
      <c r="E431" s="7"/>
      <c r="F431" s="8"/>
      <c r="G431" s="9"/>
      <c r="H431" s="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0"/>
      <c r="C432" s="6"/>
      <c r="D432" s="7"/>
      <c r="E432" s="7"/>
      <c r="F432" s="8"/>
      <c r="G432" s="9"/>
      <c r="H432" s="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0"/>
      <c r="C433" s="6"/>
      <c r="D433" s="7"/>
      <c r="E433" s="7"/>
      <c r="F433" s="8"/>
      <c r="G433" s="9"/>
      <c r="H433" s="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0"/>
      <c r="C434" s="6"/>
      <c r="D434" s="7"/>
      <c r="E434" s="7"/>
      <c r="F434" s="8"/>
      <c r="G434" s="9"/>
      <c r="H434" s="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0"/>
      <c r="C435" s="6"/>
      <c r="D435" s="7"/>
      <c r="E435" s="7"/>
      <c r="F435" s="8"/>
      <c r="G435" s="9"/>
      <c r="H435" s="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0"/>
      <c r="C436" s="6"/>
      <c r="D436" s="7"/>
      <c r="E436" s="7"/>
      <c r="F436" s="8"/>
      <c r="G436" s="9"/>
      <c r="H436" s="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0"/>
      <c r="C437" s="6"/>
      <c r="D437" s="7"/>
      <c r="E437" s="7"/>
      <c r="F437" s="8"/>
      <c r="G437" s="9"/>
      <c r="H437" s="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0"/>
      <c r="C438" s="6"/>
      <c r="D438" s="7"/>
      <c r="E438" s="7"/>
      <c r="F438" s="8"/>
      <c r="G438" s="9"/>
      <c r="H438" s="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0"/>
      <c r="C439" s="6"/>
      <c r="D439" s="7"/>
      <c r="E439" s="7"/>
      <c r="F439" s="8"/>
      <c r="G439" s="9"/>
      <c r="H439" s="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0"/>
      <c r="C440" s="6"/>
      <c r="D440" s="7"/>
      <c r="E440" s="7"/>
      <c r="F440" s="8"/>
      <c r="G440" s="9"/>
      <c r="H440" s="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0"/>
      <c r="C441" s="6"/>
      <c r="D441" s="7"/>
      <c r="E441" s="7"/>
      <c r="F441" s="8"/>
      <c r="G441" s="9"/>
      <c r="H441" s="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0"/>
      <c r="C442" s="6"/>
      <c r="D442" s="7"/>
      <c r="E442" s="7"/>
      <c r="F442" s="8"/>
      <c r="G442" s="9"/>
      <c r="H442" s="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0"/>
      <c r="C443" s="6"/>
      <c r="D443" s="7"/>
      <c r="E443" s="7"/>
      <c r="F443" s="8"/>
      <c r="G443" s="9"/>
      <c r="H443" s="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0"/>
      <c r="C444" s="6"/>
      <c r="D444" s="7"/>
      <c r="E444" s="7"/>
      <c r="F444" s="8"/>
      <c r="G444" s="9"/>
      <c r="H444" s="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0"/>
      <c r="C445" s="6"/>
      <c r="D445" s="7"/>
      <c r="E445" s="7"/>
      <c r="F445" s="8"/>
      <c r="G445" s="9"/>
      <c r="H445" s="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0"/>
      <c r="C446" s="6"/>
      <c r="D446" s="7"/>
      <c r="E446" s="7"/>
      <c r="F446" s="8"/>
      <c r="G446" s="9"/>
      <c r="H446" s="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0"/>
      <c r="C447" s="6"/>
      <c r="D447" s="7"/>
      <c r="E447" s="7"/>
      <c r="F447" s="8"/>
      <c r="G447" s="9"/>
      <c r="H447" s="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0"/>
      <c r="C448" s="6"/>
      <c r="D448" s="7"/>
      <c r="E448" s="7"/>
      <c r="F448" s="8"/>
      <c r="G448" s="9"/>
      <c r="H448" s="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0"/>
      <c r="C449" s="6"/>
      <c r="D449" s="7"/>
      <c r="E449" s="7"/>
      <c r="F449" s="8"/>
      <c r="G449" s="9"/>
      <c r="H449" s="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0"/>
      <c r="C450" s="6"/>
      <c r="D450" s="7"/>
      <c r="E450" s="7"/>
      <c r="F450" s="8"/>
      <c r="G450" s="9"/>
      <c r="H450" s="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0"/>
      <c r="C451" s="6"/>
      <c r="D451" s="7"/>
      <c r="E451" s="7"/>
      <c r="F451" s="8"/>
      <c r="G451" s="9"/>
      <c r="H451" s="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0"/>
      <c r="C452" s="6"/>
      <c r="D452" s="7"/>
      <c r="E452" s="7"/>
      <c r="F452" s="8"/>
      <c r="G452" s="9"/>
      <c r="H452" s="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0"/>
      <c r="C453" s="6"/>
      <c r="D453" s="7"/>
      <c r="E453" s="7"/>
      <c r="F453" s="8"/>
      <c r="G453" s="9"/>
      <c r="H453" s="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0"/>
      <c r="C454" s="6"/>
      <c r="D454" s="7"/>
      <c r="E454" s="7"/>
      <c r="F454" s="8"/>
      <c r="G454" s="9"/>
      <c r="H454" s="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0"/>
      <c r="C455" s="6"/>
      <c r="D455" s="7"/>
      <c r="E455" s="7"/>
      <c r="F455" s="8"/>
      <c r="G455" s="9"/>
      <c r="H455" s="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0"/>
      <c r="C456" s="6"/>
      <c r="D456" s="7"/>
      <c r="E456" s="7"/>
      <c r="F456" s="8"/>
      <c r="G456" s="9"/>
      <c r="H456" s="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0"/>
      <c r="C457" s="6"/>
      <c r="D457" s="7"/>
      <c r="E457" s="7"/>
      <c r="F457" s="8"/>
      <c r="G457" s="9"/>
      <c r="H457" s="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0"/>
      <c r="C458" s="6"/>
      <c r="D458" s="7"/>
      <c r="E458" s="7"/>
      <c r="F458" s="8"/>
      <c r="G458" s="9"/>
      <c r="H458" s="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0"/>
      <c r="C459" s="6"/>
      <c r="D459" s="7"/>
      <c r="E459" s="7"/>
      <c r="F459" s="8"/>
      <c r="G459" s="9"/>
      <c r="H459" s="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0"/>
      <c r="C460" s="6"/>
      <c r="D460" s="7"/>
      <c r="E460" s="7"/>
      <c r="F460" s="8"/>
      <c r="G460" s="9"/>
      <c r="H460" s="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0"/>
      <c r="C461" s="6"/>
      <c r="D461" s="7"/>
      <c r="E461" s="7"/>
      <c r="F461" s="8"/>
      <c r="G461" s="9"/>
      <c r="H461" s="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0"/>
      <c r="C462" s="6"/>
      <c r="D462" s="7"/>
      <c r="E462" s="7"/>
      <c r="F462" s="8"/>
      <c r="G462" s="9"/>
      <c r="H462" s="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0"/>
      <c r="C463" s="6"/>
      <c r="D463" s="7"/>
      <c r="E463" s="7"/>
      <c r="F463" s="8"/>
      <c r="G463" s="9"/>
      <c r="H463" s="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0"/>
      <c r="C464" s="6"/>
      <c r="D464" s="7"/>
      <c r="E464" s="7"/>
      <c r="F464" s="8"/>
      <c r="G464" s="9"/>
      <c r="H464" s="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0"/>
      <c r="C465" s="6"/>
      <c r="D465" s="7"/>
      <c r="E465" s="7"/>
      <c r="F465" s="8"/>
      <c r="G465" s="9"/>
      <c r="H465" s="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0"/>
      <c r="C466" s="6"/>
      <c r="D466" s="7"/>
      <c r="E466" s="7"/>
      <c r="F466" s="8"/>
      <c r="G466" s="9"/>
      <c r="H466" s="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0"/>
      <c r="C467" s="6"/>
      <c r="D467" s="7"/>
      <c r="E467" s="7"/>
      <c r="F467" s="8"/>
      <c r="G467" s="9"/>
      <c r="H467" s="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0"/>
      <c r="C468" s="6"/>
      <c r="D468" s="7"/>
      <c r="E468" s="7"/>
      <c r="F468" s="8"/>
      <c r="G468" s="9"/>
      <c r="H468" s="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0"/>
      <c r="C469" s="6"/>
      <c r="D469" s="7"/>
      <c r="E469" s="7"/>
      <c r="F469" s="8"/>
      <c r="G469" s="9"/>
      <c r="H469" s="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0"/>
      <c r="C470" s="6"/>
      <c r="D470" s="7"/>
      <c r="E470" s="7"/>
      <c r="F470" s="8"/>
      <c r="G470" s="9"/>
      <c r="H470" s="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0"/>
      <c r="C471" s="6"/>
      <c r="D471" s="7"/>
      <c r="E471" s="7"/>
      <c r="F471" s="8"/>
      <c r="G471" s="9"/>
      <c r="H471" s="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0"/>
      <c r="C472" s="6"/>
      <c r="D472" s="7"/>
      <c r="E472" s="7"/>
      <c r="F472" s="8"/>
      <c r="G472" s="9"/>
      <c r="H472" s="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0"/>
      <c r="C473" s="6"/>
      <c r="D473" s="7"/>
      <c r="E473" s="7"/>
      <c r="F473" s="8"/>
      <c r="G473" s="9"/>
      <c r="H473" s="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0"/>
      <c r="C474" s="6"/>
      <c r="D474" s="7"/>
      <c r="E474" s="7"/>
      <c r="F474" s="8"/>
      <c r="G474" s="9"/>
      <c r="H474" s="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0"/>
      <c r="C475" s="6"/>
      <c r="D475" s="7"/>
      <c r="E475" s="7"/>
      <c r="F475" s="8"/>
      <c r="G475" s="9"/>
      <c r="H475" s="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0"/>
      <c r="C476" s="6"/>
      <c r="D476" s="7"/>
      <c r="E476" s="7"/>
      <c r="F476" s="8"/>
      <c r="G476" s="9"/>
      <c r="H476" s="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0"/>
      <c r="C477" s="6"/>
      <c r="D477" s="7"/>
      <c r="E477" s="7"/>
      <c r="F477" s="8"/>
      <c r="G477" s="9"/>
      <c r="H477" s="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0"/>
      <c r="C478" s="6"/>
      <c r="D478" s="7"/>
      <c r="E478" s="7"/>
      <c r="F478" s="8"/>
      <c r="G478" s="9"/>
      <c r="H478" s="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0"/>
      <c r="C479" s="6"/>
      <c r="D479" s="7"/>
      <c r="E479" s="7"/>
      <c r="F479" s="8"/>
      <c r="G479" s="9"/>
      <c r="H479" s="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0"/>
      <c r="C480" s="6"/>
      <c r="D480" s="7"/>
      <c r="E480" s="7"/>
      <c r="F480" s="8"/>
      <c r="G480" s="9"/>
      <c r="H480" s="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0"/>
      <c r="C481" s="6"/>
      <c r="D481" s="7"/>
      <c r="E481" s="7"/>
      <c r="F481" s="8"/>
      <c r="G481" s="9"/>
      <c r="H481" s="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0"/>
      <c r="C482" s="6"/>
      <c r="D482" s="7"/>
      <c r="E482" s="7"/>
      <c r="F482" s="8"/>
      <c r="G482" s="9"/>
      <c r="H482" s="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0"/>
      <c r="C483" s="6"/>
      <c r="D483" s="7"/>
      <c r="E483" s="7"/>
      <c r="F483" s="8"/>
      <c r="G483" s="9"/>
      <c r="H483" s="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0"/>
      <c r="C484" s="6"/>
      <c r="D484" s="7"/>
      <c r="E484" s="7"/>
      <c r="F484" s="8"/>
      <c r="G484" s="9"/>
      <c r="H484" s="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0"/>
      <c r="C485" s="6"/>
      <c r="D485" s="7"/>
      <c r="E485" s="7"/>
      <c r="F485" s="8"/>
      <c r="G485" s="9"/>
      <c r="H485" s="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0"/>
      <c r="C486" s="6"/>
      <c r="D486" s="7"/>
      <c r="E486" s="7"/>
      <c r="F486" s="8"/>
      <c r="G486" s="9"/>
      <c r="H486" s="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0"/>
      <c r="C487" s="6"/>
      <c r="D487" s="7"/>
      <c r="E487" s="7"/>
      <c r="F487" s="8"/>
      <c r="G487" s="9"/>
      <c r="H487" s="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0"/>
      <c r="C488" s="6"/>
      <c r="D488" s="7"/>
      <c r="E488" s="7"/>
      <c r="F488" s="8"/>
      <c r="G488" s="9"/>
      <c r="H488" s="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0"/>
      <c r="C489" s="6"/>
      <c r="D489" s="7"/>
      <c r="E489" s="7"/>
      <c r="F489" s="8"/>
      <c r="G489" s="9"/>
      <c r="H489" s="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0"/>
      <c r="C490" s="6"/>
      <c r="D490" s="7"/>
      <c r="E490" s="7"/>
      <c r="F490" s="8"/>
      <c r="G490" s="9"/>
      <c r="H490" s="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0"/>
      <c r="C491" s="6"/>
      <c r="D491" s="7"/>
      <c r="E491" s="7"/>
      <c r="F491" s="8"/>
      <c r="G491" s="9"/>
      <c r="H491" s="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0"/>
      <c r="C492" s="6"/>
      <c r="D492" s="7"/>
      <c r="E492" s="7"/>
      <c r="F492" s="8"/>
      <c r="G492" s="9"/>
      <c r="H492" s="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0"/>
      <c r="C493" s="6"/>
      <c r="D493" s="7"/>
      <c r="E493" s="7"/>
      <c r="F493" s="8"/>
      <c r="G493" s="9"/>
      <c r="H493" s="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0"/>
      <c r="C494" s="6"/>
      <c r="D494" s="7"/>
      <c r="E494" s="7"/>
      <c r="F494" s="8"/>
      <c r="G494" s="9"/>
      <c r="H494" s="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0"/>
      <c r="C495" s="6"/>
      <c r="D495" s="7"/>
      <c r="E495" s="7"/>
      <c r="F495" s="8"/>
      <c r="G495" s="9"/>
      <c r="H495" s="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0"/>
      <c r="C496" s="6"/>
      <c r="D496" s="7"/>
      <c r="E496" s="7"/>
      <c r="F496" s="8"/>
      <c r="G496" s="9"/>
      <c r="H496" s="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0"/>
      <c r="C497" s="6"/>
      <c r="D497" s="7"/>
      <c r="E497" s="7"/>
      <c r="F497" s="8"/>
      <c r="G497" s="9"/>
      <c r="H497" s="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0"/>
      <c r="C498" s="6"/>
      <c r="D498" s="7"/>
      <c r="E498" s="7"/>
      <c r="F498" s="8"/>
      <c r="G498" s="9"/>
      <c r="H498" s="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0"/>
      <c r="C499" s="6"/>
      <c r="D499" s="7"/>
      <c r="E499" s="7"/>
      <c r="F499" s="8"/>
      <c r="G499" s="9"/>
      <c r="H499" s="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0"/>
      <c r="C500" s="6"/>
      <c r="D500" s="7"/>
      <c r="E500" s="7"/>
      <c r="F500" s="8"/>
      <c r="G500" s="9"/>
      <c r="H500" s="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0"/>
      <c r="C501" s="6"/>
      <c r="D501" s="7"/>
      <c r="E501" s="7"/>
      <c r="F501" s="8"/>
      <c r="G501" s="9"/>
      <c r="H501" s="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0"/>
      <c r="C502" s="6"/>
      <c r="D502" s="7"/>
      <c r="E502" s="7"/>
      <c r="F502" s="8"/>
      <c r="G502" s="9"/>
      <c r="H502" s="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0"/>
      <c r="C503" s="6"/>
      <c r="D503" s="7"/>
      <c r="E503" s="7"/>
      <c r="F503" s="8"/>
      <c r="G503" s="9"/>
      <c r="H503" s="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0"/>
      <c r="C504" s="6"/>
      <c r="D504" s="7"/>
      <c r="E504" s="7"/>
      <c r="F504" s="8"/>
      <c r="G504" s="9"/>
      <c r="H504" s="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0"/>
      <c r="C505" s="6"/>
      <c r="D505" s="7"/>
      <c r="E505" s="7"/>
      <c r="F505" s="8"/>
      <c r="G505" s="9"/>
      <c r="H505" s="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0"/>
      <c r="C506" s="6"/>
      <c r="D506" s="7"/>
      <c r="E506" s="7"/>
      <c r="F506" s="8"/>
      <c r="G506" s="9"/>
      <c r="H506" s="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0"/>
      <c r="C507" s="6"/>
      <c r="D507" s="7"/>
      <c r="E507" s="7"/>
      <c r="F507" s="8"/>
      <c r="G507" s="9"/>
      <c r="H507" s="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0"/>
      <c r="C508" s="6"/>
      <c r="D508" s="7"/>
      <c r="E508" s="7"/>
      <c r="F508" s="8"/>
      <c r="G508" s="9"/>
      <c r="H508" s="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0"/>
      <c r="C509" s="6"/>
      <c r="D509" s="7"/>
      <c r="E509" s="7"/>
      <c r="F509" s="8"/>
      <c r="G509" s="9"/>
      <c r="H509" s="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0"/>
      <c r="C510" s="6"/>
      <c r="D510" s="7"/>
      <c r="E510" s="7"/>
      <c r="F510" s="8"/>
      <c r="G510" s="9"/>
      <c r="H510" s="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0"/>
      <c r="C511" s="6"/>
      <c r="D511" s="7"/>
      <c r="E511" s="7"/>
      <c r="F511" s="8"/>
      <c r="G511" s="9"/>
      <c r="H511" s="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0"/>
      <c r="C512" s="6"/>
      <c r="D512" s="7"/>
      <c r="E512" s="7"/>
      <c r="F512" s="8"/>
      <c r="G512" s="9"/>
      <c r="H512" s="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0"/>
      <c r="C513" s="6"/>
      <c r="D513" s="7"/>
      <c r="E513" s="7"/>
      <c r="F513" s="8"/>
      <c r="G513" s="9"/>
      <c r="H513" s="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0"/>
      <c r="C514" s="6"/>
      <c r="D514" s="7"/>
      <c r="E514" s="7"/>
      <c r="F514" s="8"/>
      <c r="G514" s="9"/>
      <c r="H514" s="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0"/>
      <c r="C515" s="6"/>
      <c r="D515" s="7"/>
      <c r="E515" s="7"/>
      <c r="F515" s="8"/>
      <c r="G515" s="9"/>
      <c r="H515" s="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0"/>
      <c r="C516" s="6"/>
      <c r="D516" s="7"/>
      <c r="E516" s="7"/>
      <c r="F516" s="8"/>
      <c r="G516" s="9"/>
      <c r="H516" s="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0"/>
      <c r="C517" s="6"/>
      <c r="D517" s="7"/>
      <c r="E517" s="7"/>
      <c r="F517" s="8"/>
      <c r="G517" s="9"/>
      <c r="H517" s="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0"/>
      <c r="C518" s="6"/>
      <c r="D518" s="7"/>
      <c r="E518" s="7"/>
      <c r="F518" s="8"/>
      <c r="G518" s="9"/>
      <c r="H518" s="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0"/>
      <c r="C519" s="6"/>
      <c r="D519" s="7"/>
      <c r="E519" s="7"/>
      <c r="F519" s="8"/>
      <c r="G519" s="9"/>
      <c r="H519" s="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0"/>
      <c r="C520" s="6"/>
      <c r="D520" s="7"/>
      <c r="E520" s="7"/>
      <c r="F520" s="8"/>
      <c r="G520" s="9"/>
      <c r="H520" s="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0"/>
      <c r="C521" s="6"/>
      <c r="D521" s="7"/>
      <c r="E521" s="7"/>
      <c r="F521" s="8"/>
      <c r="G521" s="9"/>
      <c r="H521" s="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0"/>
      <c r="C522" s="6"/>
      <c r="D522" s="7"/>
      <c r="E522" s="7"/>
      <c r="F522" s="8"/>
      <c r="G522" s="9"/>
      <c r="H522" s="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0"/>
      <c r="C523" s="6"/>
      <c r="D523" s="7"/>
      <c r="E523" s="7"/>
      <c r="F523" s="8"/>
      <c r="G523" s="9"/>
      <c r="H523" s="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0"/>
      <c r="C524" s="6"/>
      <c r="D524" s="7"/>
      <c r="E524" s="7"/>
      <c r="F524" s="8"/>
      <c r="G524" s="9"/>
      <c r="H524" s="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0"/>
      <c r="C525" s="6"/>
      <c r="D525" s="7"/>
      <c r="E525" s="7"/>
      <c r="F525" s="8"/>
      <c r="G525" s="9"/>
      <c r="H525" s="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0"/>
      <c r="C526" s="6"/>
      <c r="D526" s="7"/>
      <c r="E526" s="7"/>
      <c r="F526" s="8"/>
      <c r="G526" s="9"/>
      <c r="H526" s="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0"/>
      <c r="C527" s="6"/>
      <c r="D527" s="7"/>
      <c r="E527" s="7"/>
      <c r="F527" s="8"/>
      <c r="G527" s="9"/>
      <c r="H527" s="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0"/>
      <c r="C528" s="6"/>
      <c r="D528" s="7"/>
      <c r="E528" s="7"/>
      <c r="F528" s="8"/>
      <c r="G528" s="9"/>
      <c r="H528" s="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0"/>
      <c r="C529" s="6"/>
      <c r="D529" s="7"/>
      <c r="E529" s="7"/>
      <c r="F529" s="8"/>
      <c r="G529" s="9"/>
      <c r="H529" s="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0"/>
      <c r="C530" s="6"/>
      <c r="D530" s="7"/>
      <c r="E530" s="7"/>
      <c r="F530" s="8"/>
      <c r="G530" s="9"/>
      <c r="H530" s="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0"/>
      <c r="C531" s="6"/>
      <c r="D531" s="7"/>
      <c r="E531" s="7"/>
      <c r="F531" s="8"/>
      <c r="G531" s="9"/>
      <c r="H531" s="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0"/>
      <c r="C532" s="6"/>
      <c r="D532" s="7"/>
      <c r="E532" s="7"/>
      <c r="F532" s="8"/>
      <c r="G532" s="9"/>
      <c r="H532" s="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0"/>
      <c r="C533" s="6"/>
      <c r="D533" s="7"/>
      <c r="E533" s="7"/>
      <c r="F533" s="8"/>
      <c r="G533" s="9"/>
      <c r="H533" s="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0"/>
      <c r="C534" s="6"/>
      <c r="D534" s="7"/>
      <c r="E534" s="7"/>
      <c r="F534" s="8"/>
      <c r="G534" s="9"/>
      <c r="H534" s="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0"/>
      <c r="C535" s="6"/>
      <c r="D535" s="7"/>
      <c r="E535" s="7"/>
      <c r="F535" s="8"/>
      <c r="G535" s="9"/>
      <c r="H535" s="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0"/>
      <c r="C536" s="6"/>
      <c r="D536" s="7"/>
      <c r="E536" s="7"/>
      <c r="F536" s="8"/>
      <c r="G536" s="9"/>
      <c r="H536" s="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0"/>
      <c r="C537" s="6"/>
      <c r="D537" s="7"/>
      <c r="E537" s="7"/>
      <c r="F537" s="8"/>
      <c r="G537" s="9"/>
      <c r="H537" s="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0"/>
      <c r="C538" s="6"/>
      <c r="D538" s="7"/>
      <c r="E538" s="7"/>
      <c r="F538" s="8"/>
      <c r="G538" s="9"/>
      <c r="H538" s="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0"/>
      <c r="C539" s="6"/>
      <c r="D539" s="7"/>
      <c r="E539" s="7"/>
      <c r="F539" s="8"/>
      <c r="G539" s="9"/>
      <c r="H539" s="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0"/>
      <c r="C540" s="6"/>
      <c r="D540" s="7"/>
      <c r="E540" s="7"/>
      <c r="F540" s="8"/>
      <c r="G540" s="9"/>
      <c r="H540" s="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0"/>
      <c r="C541" s="6"/>
      <c r="D541" s="7"/>
      <c r="E541" s="7"/>
      <c r="F541" s="8"/>
      <c r="G541" s="9"/>
      <c r="H541" s="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0"/>
      <c r="C542" s="6"/>
      <c r="D542" s="7"/>
      <c r="E542" s="7"/>
      <c r="F542" s="8"/>
      <c r="G542" s="9"/>
      <c r="H542" s="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0"/>
      <c r="C543" s="6"/>
      <c r="D543" s="7"/>
      <c r="E543" s="7"/>
      <c r="F543" s="8"/>
      <c r="G543" s="9"/>
      <c r="H543" s="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0"/>
      <c r="C544" s="6"/>
      <c r="D544" s="7"/>
      <c r="E544" s="7"/>
      <c r="F544" s="8"/>
      <c r="G544" s="9"/>
      <c r="H544" s="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0"/>
      <c r="C545" s="6"/>
      <c r="D545" s="7"/>
      <c r="E545" s="7"/>
      <c r="F545" s="8"/>
      <c r="G545" s="9"/>
      <c r="H545" s="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0"/>
      <c r="C546" s="6"/>
      <c r="D546" s="7"/>
      <c r="E546" s="7"/>
      <c r="F546" s="8"/>
      <c r="G546" s="9"/>
      <c r="H546" s="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0"/>
      <c r="C547" s="6"/>
      <c r="D547" s="7"/>
      <c r="E547" s="7"/>
      <c r="F547" s="8"/>
      <c r="G547" s="9"/>
      <c r="H547" s="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0"/>
      <c r="C548" s="6"/>
      <c r="D548" s="7"/>
      <c r="E548" s="7"/>
      <c r="F548" s="8"/>
      <c r="G548" s="9"/>
      <c r="H548" s="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0"/>
      <c r="C549" s="6"/>
      <c r="D549" s="7"/>
      <c r="E549" s="7"/>
      <c r="F549" s="8"/>
      <c r="G549" s="9"/>
      <c r="H549" s="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0"/>
      <c r="C550" s="6"/>
      <c r="D550" s="7"/>
      <c r="E550" s="7"/>
      <c r="F550" s="8"/>
      <c r="G550" s="9"/>
      <c r="H550" s="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0"/>
      <c r="C551" s="6"/>
      <c r="D551" s="7"/>
      <c r="E551" s="7"/>
      <c r="F551" s="8"/>
      <c r="G551" s="9"/>
      <c r="H551" s="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0"/>
      <c r="C552" s="6"/>
      <c r="D552" s="7"/>
      <c r="E552" s="7"/>
      <c r="F552" s="8"/>
      <c r="G552" s="9"/>
      <c r="H552" s="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0"/>
      <c r="C553" s="6"/>
      <c r="D553" s="7"/>
      <c r="E553" s="7"/>
      <c r="F553" s="8"/>
      <c r="G553" s="9"/>
      <c r="H553" s="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0"/>
      <c r="C554" s="6"/>
      <c r="D554" s="7"/>
      <c r="E554" s="7"/>
      <c r="F554" s="8"/>
      <c r="G554" s="9"/>
      <c r="H554" s="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0"/>
      <c r="C555" s="6"/>
      <c r="D555" s="7"/>
      <c r="E555" s="7"/>
      <c r="F555" s="8"/>
      <c r="G555" s="9"/>
      <c r="H555" s="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0"/>
      <c r="C556" s="6"/>
      <c r="D556" s="7"/>
      <c r="E556" s="7"/>
      <c r="F556" s="8"/>
      <c r="G556" s="9"/>
      <c r="H556" s="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0"/>
      <c r="C557" s="6"/>
      <c r="D557" s="7"/>
      <c r="E557" s="7"/>
      <c r="F557" s="8"/>
      <c r="G557" s="9"/>
      <c r="H557" s="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0"/>
      <c r="C558" s="6"/>
      <c r="D558" s="7"/>
      <c r="E558" s="7"/>
      <c r="F558" s="8"/>
      <c r="G558" s="9"/>
      <c r="H558" s="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0"/>
      <c r="C559" s="6"/>
      <c r="D559" s="7"/>
      <c r="E559" s="7"/>
      <c r="F559" s="8"/>
      <c r="G559" s="9"/>
      <c r="H559" s="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0"/>
      <c r="C560" s="6"/>
      <c r="D560" s="7"/>
      <c r="E560" s="7"/>
      <c r="F560" s="8"/>
      <c r="G560" s="9"/>
      <c r="H560" s="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0"/>
      <c r="C561" s="6"/>
      <c r="D561" s="7"/>
      <c r="E561" s="7"/>
      <c r="F561" s="8"/>
      <c r="G561" s="9"/>
      <c r="H561" s="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0"/>
      <c r="C562" s="6"/>
      <c r="D562" s="7"/>
      <c r="E562" s="7"/>
      <c r="F562" s="8"/>
      <c r="G562" s="9"/>
      <c r="H562" s="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0"/>
      <c r="C563" s="6"/>
      <c r="D563" s="7"/>
      <c r="E563" s="7"/>
      <c r="F563" s="8"/>
      <c r="G563" s="9"/>
      <c r="H563" s="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0"/>
      <c r="C564" s="6"/>
      <c r="D564" s="7"/>
      <c r="E564" s="7"/>
      <c r="F564" s="8"/>
      <c r="G564" s="9"/>
      <c r="H564" s="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0"/>
      <c r="C565" s="6"/>
      <c r="D565" s="7"/>
      <c r="E565" s="7"/>
      <c r="F565" s="8"/>
      <c r="G565" s="9"/>
      <c r="H565" s="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0"/>
      <c r="C566" s="6"/>
      <c r="D566" s="7"/>
      <c r="E566" s="7"/>
      <c r="F566" s="8"/>
      <c r="G566" s="9"/>
      <c r="H566" s="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0"/>
      <c r="C567" s="6"/>
      <c r="D567" s="7"/>
      <c r="E567" s="7"/>
      <c r="F567" s="8"/>
      <c r="G567" s="9"/>
      <c r="H567" s="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0"/>
      <c r="C568" s="6"/>
      <c r="D568" s="7"/>
      <c r="E568" s="7"/>
      <c r="F568" s="8"/>
      <c r="G568" s="9"/>
      <c r="H568" s="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0"/>
      <c r="C569" s="6"/>
      <c r="D569" s="7"/>
      <c r="E569" s="7"/>
      <c r="F569" s="8"/>
      <c r="G569" s="9"/>
      <c r="H569" s="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0"/>
      <c r="C570" s="6"/>
      <c r="D570" s="7"/>
      <c r="E570" s="7"/>
      <c r="F570" s="8"/>
      <c r="G570" s="9"/>
      <c r="H570" s="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0"/>
      <c r="C571" s="6"/>
      <c r="D571" s="7"/>
      <c r="E571" s="7"/>
      <c r="F571" s="8"/>
      <c r="G571" s="9"/>
      <c r="H571" s="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0"/>
      <c r="C572" s="6"/>
      <c r="D572" s="7"/>
      <c r="E572" s="7"/>
      <c r="F572" s="8"/>
      <c r="G572" s="9"/>
      <c r="H572" s="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0"/>
      <c r="C573" s="6"/>
      <c r="D573" s="7"/>
      <c r="E573" s="7"/>
      <c r="F573" s="8"/>
      <c r="G573" s="9"/>
      <c r="H573" s="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0"/>
      <c r="C574" s="6"/>
      <c r="D574" s="7"/>
      <c r="E574" s="7"/>
      <c r="F574" s="8"/>
      <c r="G574" s="9"/>
      <c r="H574" s="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0"/>
      <c r="C575" s="6"/>
      <c r="D575" s="7"/>
      <c r="E575" s="7"/>
      <c r="F575" s="8"/>
      <c r="G575" s="9"/>
      <c r="H575" s="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0"/>
      <c r="C576" s="6"/>
      <c r="D576" s="7"/>
      <c r="E576" s="7"/>
      <c r="F576" s="8"/>
      <c r="G576" s="9"/>
      <c r="H576" s="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0"/>
      <c r="C577" s="6"/>
      <c r="D577" s="7"/>
      <c r="E577" s="7"/>
      <c r="F577" s="8"/>
      <c r="G577" s="9"/>
      <c r="H577" s="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0"/>
      <c r="C578" s="6"/>
      <c r="D578" s="7"/>
      <c r="E578" s="7"/>
      <c r="F578" s="8"/>
      <c r="G578" s="9"/>
      <c r="H578" s="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0"/>
      <c r="C579" s="6"/>
      <c r="D579" s="7"/>
      <c r="E579" s="7"/>
      <c r="F579" s="8"/>
      <c r="G579" s="9"/>
      <c r="H579" s="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0"/>
      <c r="C580" s="6"/>
      <c r="D580" s="7"/>
      <c r="E580" s="7"/>
      <c r="F580" s="8"/>
      <c r="G580" s="9"/>
      <c r="H580" s="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0"/>
      <c r="C581" s="6"/>
      <c r="D581" s="7"/>
      <c r="E581" s="7"/>
      <c r="F581" s="8"/>
      <c r="G581" s="9"/>
      <c r="H581" s="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0"/>
      <c r="C582" s="6"/>
      <c r="D582" s="7"/>
      <c r="E582" s="7"/>
      <c r="F582" s="8"/>
      <c r="G582" s="9"/>
      <c r="H582" s="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0"/>
      <c r="C583" s="6"/>
      <c r="D583" s="7"/>
      <c r="E583" s="7"/>
      <c r="F583" s="8"/>
      <c r="G583" s="9"/>
      <c r="H583" s="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0"/>
      <c r="C584" s="6"/>
      <c r="D584" s="7"/>
      <c r="E584" s="7"/>
      <c r="F584" s="8"/>
      <c r="G584" s="9"/>
      <c r="H584" s="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0"/>
      <c r="C585" s="6"/>
      <c r="D585" s="7"/>
      <c r="E585" s="7"/>
      <c r="F585" s="8"/>
      <c r="G585" s="9"/>
      <c r="H585" s="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0"/>
      <c r="C586" s="6"/>
      <c r="D586" s="7"/>
      <c r="E586" s="7"/>
      <c r="F586" s="8"/>
      <c r="G586" s="9"/>
      <c r="H586" s="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0"/>
      <c r="C587" s="6"/>
      <c r="D587" s="7"/>
      <c r="E587" s="7"/>
      <c r="F587" s="8"/>
      <c r="G587" s="9"/>
      <c r="H587" s="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0"/>
      <c r="C588" s="6"/>
      <c r="D588" s="7"/>
      <c r="E588" s="7"/>
      <c r="F588" s="8"/>
      <c r="G588" s="9"/>
      <c r="H588" s="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0"/>
      <c r="C589" s="6"/>
      <c r="D589" s="7"/>
      <c r="E589" s="7"/>
      <c r="F589" s="8"/>
      <c r="G589" s="9"/>
      <c r="H589" s="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0"/>
      <c r="C590" s="6"/>
      <c r="D590" s="7"/>
      <c r="E590" s="7"/>
      <c r="F590" s="8"/>
      <c r="G590" s="9"/>
      <c r="H590" s="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0"/>
      <c r="C591" s="6"/>
      <c r="D591" s="7"/>
      <c r="E591" s="7"/>
      <c r="F591" s="8"/>
      <c r="G591" s="9"/>
      <c r="H591" s="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0"/>
      <c r="C592" s="6"/>
      <c r="D592" s="7"/>
      <c r="E592" s="7"/>
      <c r="F592" s="8"/>
      <c r="G592" s="9"/>
      <c r="H592" s="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0"/>
      <c r="C593" s="6"/>
      <c r="D593" s="7"/>
      <c r="E593" s="7"/>
      <c r="F593" s="8"/>
      <c r="G593" s="9"/>
      <c r="H593" s="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0"/>
      <c r="C594" s="6"/>
      <c r="D594" s="7"/>
      <c r="E594" s="7"/>
      <c r="F594" s="8"/>
      <c r="G594" s="9"/>
      <c r="H594" s="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0"/>
      <c r="C595" s="6"/>
      <c r="D595" s="7"/>
      <c r="E595" s="7"/>
      <c r="F595" s="8"/>
      <c r="G595" s="9"/>
      <c r="H595" s="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0"/>
      <c r="C596" s="6"/>
      <c r="D596" s="7"/>
      <c r="E596" s="7"/>
      <c r="F596" s="8"/>
      <c r="G596" s="9"/>
      <c r="H596" s="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0"/>
      <c r="C597" s="6"/>
      <c r="D597" s="7"/>
      <c r="E597" s="7"/>
      <c r="F597" s="8"/>
      <c r="G597" s="9"/>
      <c r="H597" s="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0"/>
      <c r="C598" s="6"/>
      <c r="D598" s="7"/>
      <c r="E598" s="7"/>
      <c r="F598" s="8"/>
      <c r="G598" s="9"/>
      <c r="H598" s="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0"/>
      <c r="C599" s="6"/>
      <c r="D599" s="7"/>
      <c r="E599" s="7"/>
      <c r="F599" s="8"/>
      <c r="G599" s="9"/>
      <c r="H599" s="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0"/>
      <c r="C600" s="6"/>
      <c r="D600" s="7"/>
      <c r="E600" s="7"/>
      <c r="F600" s="8"/>
      <c r="G600" s="9"/>
      <c r="H600" s="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0"/>
      <c r="C601" s="6"/>
      <c r="D601" s="7"/>
      <c r="E601" s="7"/>
      <c r="F601" s="8"/>
      <c r="G601" s="9"/>
      <c r="H601" s="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0"/>
      <c r="C602" s="6"/>
      <c r="D602" s="7"/>
      <c r="E602" s="7"/>
      <c r="F602" s="8"/>
      <c r="G602" s="9"/>
      <c r="H602" s="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0"/>
      <c r="C603" s="6"/>
      <c r="D603" s="7"/>
      <c r="E603" s="7"/>
      <c r="F603" s="8"/>
      <c r="G603" s="9"/>
      <c r="H603" s="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0"/>
      <c r="C604" s="6"/>
      <c r="D604" s="7"/>
      <c r="E604" s="7"/>
      <c r="F604" s="8"/>
      <c r="G604" s="9"/>
      <c r="H604" s="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0"/>
      <c r="C605" s="6"/>
      <c r="D605" s="7"/>
      <c r="E605" s="7"/>
      <c r="F605" s="8"/>
      <c r="G605" s="9"/>
      <c r="H605" s="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0"/>
      <c r="C606" s="6"/>
      <c r="D606" s="7"/>
      <c r="E606" s="7"/>
      <c r="F606" s="8"/>
      <c r="G606" s="9"/>
      <c r="H606" s="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0"/>
      <c r="C607" s="6"/>
      <c r="D607" s="7"/>
      <c r="E607" s="7"/>
      <c r="F607" s="8"/>
      <c r="G607" s="9"/>
      <c r="H607" s="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0"/>
      <c r="C608" s="6"/>
      <c r="D608" s="7"/>
      <c r="E608" s="7"/>
      <c r="F608" s="8"/>
      <c r="G608" s="9"/>
      <c r="H608" s="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0"/>
      <c r="C609" s="6"/>
      <c r="D609" s="7"/>
      <c r="E609" s="7"/>
      <c r="F609" s="8"/>
      <c r="G609" s="9"/>
      <c r="H609" s="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0"/>
      <c r="C610" s="6"/>
      <c r="D610" s="7"/>
      <c r="E610" s="7"/>
      <c r="F610" s="8"/>
      <c r="G610" s="9"/>
      <c r="H610" s="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0"/>
      <c r="C611" s="6"/>
      <c r="D611" s="7"/>
      <c r="E611" s="7"/>
      <c r="F611" s="8"/>
      <c r="G611" s="9"/>
      <c r="H611" s="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0"/>
      <c r="C612" s="6"/>
      <c r="D612" s="7"/>
      <c r="E612" s="7"/>
      <c r="F612" s="8"/>
      <c r="G612" s="9"/>
      <c r="H612" s="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0"/>
      <c r="C613" s="6"/>
      <c r="D613" s="7"/>
      <c r="E613" s="7"/>
      <c r="F613" s="8"/>
      <c r="G613" s="9"/>
      <c r="H613" s="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0"/>
      <c r="C614" s="6"/>
      <c r="D614" s="7"/>
      <c r="E614" s="7"/>
      <c r="F614" s="8"/>
      <c r="G614" s="9"/>
      <c r="H614" s="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0"/>
      <c r="C615" s="6"/>
      <c r="D615" s="7"/>
      <c r="E615" s="7"/>
      <c r="F615" s="8"/>
      <c r="G615" s="9"/>
      <c r="H615" s="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0"/>
      <c r="C616" s="6"/>
      <c r="D616" s="7"/>
      <c r="E616" s="7"/>
      <c r="F616" s="8"/>
      <c r="G616" s="9"/>
      <c r="H616" s="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0"/>
      <c r="C617" s="6"/>
      <c r="D617" s="7"/>
      <c r="E617" s="7"/>
      <c r="F617" s="8"/>
      <c r="G617" s="9"/>
      <c r="H617" s="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0"/>
      <c r="C618" s="6"/>
      <c r="D618" s="7"/>
      <c r="E618" s="7"/>
      <c r="F618" s="8"/>
      <c r="G618" s="9"/>
      <c r="H618" s="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0"/>
      <c r="C619" s="6"/>
      <c r="D619" s="7"/>
      <c r="E619" s="7"/>
      <c r="F619" s="8"/>
      <c r="G619" s="9"/>
      <c r="H619" s="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0"/>
      <c r="C620" s="6"/>
      <c r="D620" s="7"/>
      <c r="E620" s="7"/>
      <c r="F620" s="8"/>
      <c r="G620" s="9"/>
      <c r="H620" s="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0"/>
      <c r="C621" s="6"/>
      <c r="D621" s="7"/>
      <c r="E621" s="7"/>
      <c r="F621" s="8"/>
      <c r="G621" s="9"/>
      <c r="H621" s="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0"/>
      <c r="C622" s="6"/>
      <c r="D622" s="7"/>
      <c r="E622" s="7"/>
      <c r="F622" s="8"/>
      <c r="G622" s="9"/>
      <c r="H622" s="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0"/>
      <c r="C623" s="6"/>
      <c r="D623" s="7"/>
      <c r="E623" s="7"/>
      <c r="F623" s="8"/>
      <c r="G623" s="9"/>
      <c r="H623" s="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0"/>
      <c r="C624" s="6"/>
      <c r="D624" s="7"/>
      <c r="E624" s="7"/>
      <c r="F624" s="8"/>
      <c r="G624" s="9"/>
      <c r="H624" s="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0"/>
      <c r="C625" s="6"/>
      <c r="D625" s="7"/>
      <c r="E625" s="7"/>
      <c r="F625" s="8"/>
      <c r="G625" s="9"/>
      <c r="H625" s="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0"/>
      <c r="C626" s="6"/>
      <c r="D626" s="7"/>
      <c r="E626" s="7"/>
      <c r="F626" s="8"/>
      <c r="G626" s="9"/>
      <c r="H626" s="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0"/>
      <c r="C627" s="6"/>
      <c r="D627" s="7"/>
      <c r="E627" s="7"/>
      <c r="F627" s="8"/>
      <c r="G627" s="9"/>
      <c r="H627" s="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0"/>
      <c r="C628" s="6"/>
      <c r="D628" s="7"/>
      <c r="E628" s="7"/>
      <c r="F628" s="8"/>
      <c r="G628" s="9"/>
      <c r="H628" s="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0"/>
      <c r="C629" s="6"/>
      <c r="D629" s="7"/>
      <c r="E629" s="7"/>
      <c r="F629" s="8"/>
      <c r="G629" s="9"/>
      <c r="H629" s="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0"/>
      <c r="C630" s="6"/>
      <c r="D630" s="7"/>
      <c r="E630" s="7"/>
      <c r="F630" s="8"/>
      <c r="G630" s="9"/>
      <c r="H630" s="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0"/>
      <c r="C631" s="6"/>
      <c r="D631" s="7"/>
      <c r="E631" s="7"/>
      <c r="F631" s="8"/>
      <c r="G631" s="9"/>
      <c r="H631" s="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0"/>
      <c r="C632" s="6"/>
      <c r="D632" s="7"/>
      <c r="E632" s="7"/>
      <c r="F632" s="8"/>
      <c r="G632" s="9"/>
      <c r="H632" s="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0"/>
      <c r="C633" s="6"/>
      <c r="D633" s="7"/>
      <c r="E633" s="7"/>
      <c r="F633" s="8"/>
      <c r="G633" s="9"/>
      <c r="H633" s="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0"/>
      <c r="C634" s="6"/>
      <c r="D634" s="7"/>
      <c r="E634" s="7"/>
      <c r="F634" s="8"/>
      <c r="G634" s="9"/>
      <c r="H634" s="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0"/>
      <c r="C635" s="6"/>
      <c r="D635" s="7"/>
      <c r="E635" s="7"/>
      <c r="F635" s="8"/>
      <c r="G635" s="9"/>
      <c r="H635" s="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0"/>
      <c r="C636" s="6"/>
      <c r="D636" s="7"/>
      <c r="E636" s="7"/>
      <c r="F636" s="8"/>
      <c r="G636" s="9"/>
      <c r="H636" s="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0"/>
      <c r="C637" s="6"/>
      <c r="D637" s="7"/>
      <c r="E637" s="7"/>
      <c r="F637" s="8"/>
      <c r="G637" s="9"/>
      <c r="H637" s="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0"/>
      <c r="C638" s="6"/>
      <c r="D638" s="7"/>
      <c r="E638" s="7"/>
      <c r="F638" s="8"/>
      <c r="G638" s="9"/>
      <c r="H638" s="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0"/>
      <c r="C639" s="6"/>
      <c r="D639" s="7"/>
      <c r="E639" s="7"/>
      <c r="F639" s="8"/>
      <c r="G639" s="9"/>
      <c r="H639" s="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0"/>
      <c r="C640" s="6"/>
      <c r="D640" s="7"/>
      <c r="E640" s="7"/>
      <c r="F640" s="8"/>
      <c r="G640" s="9"/>
      <c r="H640" s="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0"/>
      <c r="C641" s="6"/>
      <c r="D641" s="7"/>
      <c r="E641" s="7"/>
      <c r="F641" s="8"/>
      <c r="G641" s="9"/>
      <c r="H641" s="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0"/>
      <c r="C642" s="6"/>
      <c r="D642" s="7"/>
      <c r="E642" s="7"/>
      <c r="F642" s="8"/>
      <c r="G642" s="9"/>
      <c r="H642" s="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0"/>
      <c r="C643" s="6"/>
      <c r="D643" s="7"/>
      <c r="E643" s="7"/>
      <c r="F643" s="8"/>
      <c r="G643" s="9"/>
      <c r="H643" s="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0"/>
      <c r="C644" s="6"/>
      <c r="D644" s="7"/>
      <c r="E644" s="7"/>
      <c r="F644" s="8"/>
      <c r="G644" s="9"/>
      <c r="H644" s="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0"/>
      <c r="C645" s="6"/>
      <c r="D645" s="7"/>
      <c r="E645" s="7"/>
      <c r="F645" s="8"/>
      <c r="G645" s="9"/>
      <c r="H645" s="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0"/>
      <c r="C646" s="6"/>
      <c r="D646" s="7"/>
      <c r="E646" s="7"/>
      <c r="F646" s="8"/>
      <c r="G646" s="9"/>
      <c r="H646" s="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0"/>
      <c r="C647" s="6"/>
      <c r="D647" s="7"/>
      <c r="E647" s="7"/>
      <c r="F647" s="8"/>
      <c r="G647" s="9"/>
      <c r="H647" s="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0"/>
      <c r="C648" s="6"/>
      <c r="D648" s="7"/>
      <c r="E648" s="7"/>
      <c r="F648" s="8"/>
      <c r="G648" s="9"/>
      <c r="H648" s="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0"/>
      <c r="C649" s="6"/>
      <c r="D649" s="7"/>
      <c r="E649" s="7"/>
      <c r="F649" s="8"/>
      <c r="G649" s="9"/>
      <c r="H649" s="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0"/>
      <c r="C650" s="6"/>
      <c r="D650" s="7"/>
      <c r="E650" s="7"/>
      <c r="F650" s="8"/>
      <c r="G650" s="9"/>
      <c r="H650" s="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0"/>
      <c r="C651" s="6"/>
      <c r="D651" s="7"/>
      <c r="E651" s="7"/>
      <c r="F651" s="8"/>
      <c r="G651" s="9"/>
      <c r="H651" s="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0"/>
      <c r="C652" s="6"/>
      <c r="D652" s="7"/>
      <c r="E652" s="7"/>
      <c r="F652" s="8"/>
      <c r="G652" s="9"/>
      <c r="H652" s="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0"/>
      <c r="C653" s="6"/>
      <c r="D653" s="7"/>
      <c r="E653" s="7"/>
      <c r="F653" s="8"/>
      <c r="G653" s="9"/>
      <c r="H653" s="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0"/>
      <c r="C654" s="6"/>
      <c r="D654" s="7"/>
      <c r="E654" s="7"/>
      <c r="F654" s="8"/>
      <c r="G654" s="9"/>
      <c r="H654" s="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0"/>
      <c r="C655" s="6"/>
      <c r="D655" s="7"/>
      <c r="E655" s="7"/>
      <c r="F655" s="8"/>
      <c r="G655" s="9"/>
      <c r="H655" s="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0"/>
      <c r="C656" s="6"/>
      <c r="D656" s="7"/>
      <c r="E656" s="7"/>
      <c r="F656" s="8"/>
      <c r="G656" s="9"/>
      <c r="H656" s="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0"/>
      <c r="C657" s="6"/>
      <c r="D657" s="7"/>
      <c r="E657" s="7"/>
      <c r="F657" s="8"/>
      <c r="G657" s="9"/>
      <c r="H657" s="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0"/>
      <c r="C658" s="6"/>
      <c r="D658" s="7"/>
      <c r="E658" s="7"/>
      <c r="F658" s="8"/>
      <c r="G658" s="9"/>
      <c r="H658" s="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0"/>
      <c r="C659" s="6"/>
      <c r="D659" s="7"/>
      <c r="E659" s="7"/>
      <c r="F659" s="8"/>
      <c r="G659" s="9"/>
      <c r="H659" s="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0"/>
      <c r="C660" s="6"/>
      <c r="D660" s="7"/>
      <c r="E660" s="7"/>
      <c r="F660" s="8"/>
      <c r="G660" s="9"/>
      <c r="H660" s="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0"/>
      <c r="C661" s="6"/>
      <c r="D661" s="7"/>
      <c r="E661" s="7"/>
      <c r="F661" s="8"/>
      <c r="G661" s="9"/>
      <c r="H661" s="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0"/>
      <c r="C662" s="6"/>
      <c r="D662" s="7"/>
      <c r="E662" s="7"/>
      <c r="F662" s="8"/>
      <c r="G662" s="9"/>
      <c r="H662" s="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0"/>
      <c r="C663" s="6"/>
      <c r="D663" s="7"/>
      <c r="E663" s="7"/>
      <c r="F663" s="8"/>
      <c r="G663" s="9"/>
      <c r="H663" s="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0"/>
      <c r="C664" s="6"/>
      <c r="D664" s="7"/>
      <c r="E664" s="7"/>
      <c r="F664" s="8"/>
      <c r="G664" s="9"/>
      <c r="H664" s="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0"/>
      <c r="C665" s="6"/>
      <c r="D665" s="7"/>
      <c r="E665" s="7"/>
      <c r="F665" s="8"/>
      <c r="G665" s="9"/>
      <c r="H665" s="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0"/>
      <c r="C666" s="6"/>
      <c r="D666" s="7"/>
      <c r="E666" s="7"/>
      <c r="F666" s="8"/>
      <c r="G666" s="9"/>
      <c r="H666" s="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0"/>
      <c r="C667" s="6"/>
      <c r="D667" s="7"/>
      <c r="E667" s="7"/>
      <c r="F667" s="8"/>
      <c r="G667" s="9"/>
      <c r="H667" s="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0"/>
      <c r="C668" s="6"/>
      <c r="D668" s="7"/>
      <c r="E668" s="7"/>
      <c r="F668" s="8"/>
      <c r="G668" s="9"/>
      <c r="H668" s="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0"/>
      <c r="C669" s="6"/>
      <c r="D669" s="7"/>
      <c r="E669" s="7"/>
      <c r="F669" s="8"/>
      <c r="G669" s="9"/>
      <c r="H669" s="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0"/>
      <c r="C670" s="6"/>
      <c r="D670" s="7"/>
      <c r="E670" s="7"/>
      <c r="F670" s="8"/>
      <c r="G670" s="9"/>
      <c r="H670" s="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0"/>
      <c r="C671" s="6"/>
      <c r="D671" s="7"/>
      <c r="E671" s="7"/>
      <c r="F671" s="8"/>
      <c r="G671" s="9"/>
      <c r="H671" s="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0"/>
      <c r="C672" s="6"/>
      <c r="D672" s="7"/>
      <c r="E672" s="7"/>
      <c r="F672" s="8"/>
      <c r="G672" s="9"/>
      <c r="H672" s="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0"/>
      <c r="C673" s="6"/>
      <c r="D673" s="7"/>
      <c r="E673" s="7"/>
      <c r="F673" s="8"/>
      <c r="G673" s="9"/>
      <c r="H673" s="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0"/>
      <c r="C674" s="6"/>
      <c r="D674" s="7"/>
      <c r="E674" s="7"/>
      <c r="F674" s="8"/>
      <c r="G674" s="9"/>
      <c r="H674" s="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0"/>
      <c r="C675" s="6"/>
      <c r="D675" s="7"/>
      <c r="E675" s="7"/>
      <c r="F675" s="8"/>
      <c r="G675" s="9"/>
      <c r="H675" s="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0"/>
      <c r="C676" s="6"/>
      <c r="D676" s="7"/>
      <c r="E676" s="7"/>
      <c r="F676" s="8"/>
      <c r="G676" s="9"/>
      <c r="H676" s="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0"/>
      <c r="C677" s="6"/>
      <c r="D677" s="7"/>
      <c r="E677" s="7"/>
      <c r="F677" s="8"/>
      <c r="G677" s="9"/>
      <c r="H677" s="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0"/>
      <c r="C678" s="6"/>
      <c r="D678" s="7"/>
      <c r="E678" s="7"/>
      <c r="F678" s="8"/>
      <c r="G678" s="9"/>
      <c r="H678" s="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0"/>
      <c r="C679" s="6"/>
      <c r="D679" s="7"/>
      <c r="E679" s="7"/>
      <c r="F679" s="8"/>
      <c r="G679" s="9"/>
      <c r="H679" s="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0"/>
      <c r="C680" s="6"/>
      <c r="D680" s="7"/>
      <c r="E680" s="7"/>
      <c r="F680" s="8"/>
      <c r="G680" s="9"/>
      <c r="H680" s="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0"/>
      <c r="C681" s="6"/>
      <c r="D681" s="7"/>
      <c r="E681" s="7"/>
      <c r="F681" s="8"/>
      <c r="G681" s="9"/>
      <c r="H681" s="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0"/>
      <c r="C682" s="6"/>
      <c r="D682" s="7"/>
      <c r="E682" s="7"/>
      <c r="F682" s="8"/>
      <c r="G682" s="9"/>
      <c r="H682" s="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0"/>
      <c r="C683" s="6"/>
      <c r="D683" s="7"/>
      <c r="E683" s="7"/>
      <c r="F683" s="8"/>
      <c r="G683" s="9"/>
      <c r="H683" s="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0"/>
      <c r="C684" s="6"/>
      <c r="D684" s="7"/>
      <c r="E684" s="7"/>
      <c r="F684" s="8"/>
      <c r="G684" s="9"/>
      <c r="H684" s="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0"/>
      <c r="C685" s="6"/>
      <c r="D685" s="7"/>
      <c r="E685" s="7"/>
      <c r="F685" s="8"/>
      <c r="G685" s="9"/>
      <c r="H685" s="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0"/>
      <c r="C686" s="6"/>
      <c r="D686" s="7"/>
      <c r="E686" s="7"/>
      <c r="F686" s="8"/>
      <c r="G686" s="9"/>
      <c r="H686" s="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0"/>
      <c r="C687" s="6"/>
      <c r="D687" s="7"/>
      <c r="E687" s="7"/>
      <c r="F687" s="8"/>
      <c r="G687" s="9"/>
      <c r="H687" s="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0"/>
      <c r="C688" s="6"/>
      <c r="D688" s="7"/>
      <c r="E688" s="7"/>
      <c r="F688" s="8"/>
      <c r="G688" s="9"/>
      <c r="H688" s="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0"/>
      <c r="C689" s="6"/>
      <c r="D689" s="7"/>
      <c r="E689" s="7"/>
      <c r="F689" s="8"/>
      <c r="G689" s="9"/>
      <c r="H689" s="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0"/>
      <c r="C690" s="6"/>
      <c r="D690" s="7"/>
      <c r="E690" s="7"/>
      <c r="F690" s="8"/>
      <c r="G690" s="9"/>
      <c r="H690" s="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0"/>
      <c r="C691" s="6"/>
      <c r="D691" s="7"/>
      <c r="E691" s="7"/>
      <c r="F691" s="8"/>
      <c r="G691" s="9"/>
      <c r="H691" s="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0"/>
      <c r="C692" s="6"/>
      <c r="D692" s="7"/>
      <c r="E692" s="7"/>
      <c r="F692" s="8"/>
      <c r="G692" s="9"/>
      <c r="H692" s="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0"/>
      <c r="C693" s="6"/>
      <c r="D693" s="7"/>
      <c r="E693" s="7"/>
      <c r="F693" s="8"/>
      <c r="G693" s="9"/>
      <c r="H693" s="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0"/>
      <c r="C694" s="6"/>
      <c r="D694" s="7"/>
      <c r="E694" s="7"/>
      <c r="F694" s="8"/>
      <c r="G694" s="9"/>
      <c r="H694" s="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0"/>
      <c r="C695" s="6"/>
      <c r="D695" s="7"/>
      <c r="E695" s="7"/>
      <c r="F695" s="8"/>
      <c r="G695" s="9"/>
      <c r="H695" s="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0"/>
      <c r="C696" s="6"/>
      <c r="D696" s="7"/>
      <c r="E696" s="7"/>
      <c r="F696" s="8"/>
      <c r="G696" s="9"/>
      <c r="H696" s="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0"/>
      <c r="C697" s="6"/>
      <c r="D697" s="7"/>
      <c r="E697" s="7"/>
      <c r="F697" s="8"/>
      <c r="G697" s="9"/>
      <c r="H697" s="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0"/>
      <c r="C698" s="6"/>
      <c r="D698" s="7"/>
      <c r="E698" s="7"/>
      <c r="F698" s="8"/>
      <c r="G698" s="9"/>
      <c r="H698" s="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0"/>
      <c r="C699" s="6"/>
      <c r="D699" s="7"/>
      <c r="E699" s="7"/>
      <c r="F699" s="8"/>
      <c r="G699" s="9"/>
      <c r="H699" s="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0"/>
      <c r="C700" s="6"/>
      <c r="D700" s="7"/>
      <c r="E700" s="7"/>
      <c r="F700" s="8"/>
      <c r="G700" s="9"/>
      <c r="H700" s="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0"/>
      <c r="C701" s="6"/>
      <c r="D701" s="7"/>
      <c r="E701" s="7"/>
      <c r="F701" s="8"/>
      <c r="G701" s="9"/>
      <c r="H701" s="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0"/>
      <c r="C702" s="6"/>
      <c r="D702" s="7"/>
      <c r="E702" s="7"/>
      <c r="F702" s="8"/>
      <c r="G702" s="9"/>
      <c r="H702" s="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0"/>
      <c r="C703" s="6"/>
      <c r="D703" s="7"/>
      <c r="E703" s="7"/>
      <c r="F703" s="8"/>
      <c r="G703" s="9"/>
      <c r="H703" s="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0"/>
      <c r="C704" s="6"/>
      <c r="D704" s="7"/>
      <c r="E704" s="7"/>
      <c r="F704" s="8"/>
      <c r="G704" s="9"/>
      <c r="H704" s="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0"/>
      <c r="C705" s="6"/>
      <c r="D705" s="7"/>
      <c r="E705" s="7"/>
      <c r="F705" s="8"/>
      <c r="G705" s="9"/>
      <c r="H705" s="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0"/>
      <c r="C706" s="6"/>
      <c r="D706" s="7"/>
      <c r="E706" s="7"/>
      <c r="F706" s="8"/>
      <c r="G706" s="9"/>
      <c r="H706" s="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0"/>
      <c r="C707" s="6"/>
      <c r="D707" s="7"/>
      <c r="E707" s="7"/>
      <c r="F707" s="8"/>
      <c r="G707" s="9"/>
      <c r="H707" s="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0"/>
      <c r="C708" s="6"/>
      <c r="D708" s="7"/>
      <c r="E708" s="7"/>
      <c r="F708" s="8"/>
      <c r="G708" s="9"/>
      <c r="H708" s="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0"/>
      <c r="C709" s="6"/>
      <c r="D709" s="7"/>
      <c r="E709" s="7"/>
      <c r="F709" s="8"/>
      <c r="G709" s="9"/>
      <c r="H709" s="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0"/>
      <c r="C710" s="6"/>
      <c r="D710" s="7"/>
      <c r="E710" s="7"/>
      <c r="F710" s="8"/>
      <c r="G710" s="9"/>
      <c r="H710" s="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0"/>
      <c r="C711" s="6"/>
      <c r="D711" s="7"/>
      <c r="E711" s="7"/>
      <c r="F711" s="8"/>
      <c r="G711" s="9"/>
      <c r="H711" s="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0"/>
      <c r="C712" s="6"/>
      <c r="D712" s="7"/>
      <c r="E712" s="7"/>
      <c r="F712" s="8"/>
      <c r="G712" s="9"/>
      <c r="H712" s="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0"/>
      <c r="C713" s="6"/>
      <c r="D713" s="7"/>
      <c r="E713" s="7"/>
      <c r="F713" s="8"/>
      <c r="G713" s="9"/>
      <c r="H713" s="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0"/>
      <c r="C714" s="6"/>
      <c r="D714" s="7"/>
      <c r="E714" s="7"/>
      <c r="F714" s="8"/>
      <c r="G714" s="9"/>
      <c r="H714" s="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0"/>
      <c r="C715" s="6"/>
      <c r="D715" s="7"/>
      <c r="E715" s="7"/>
      <c r="F715" s="8"/>
      <c r="G715" s="9"/>
      <c r="H715" s="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0"/>
      <c r="C716" s="6"/>
      <c r="D716" s="7"/>
      <c r="E716" s="7"/>
      <c r="F716" s="8"/>
      <c r="G716" s="9"/>
      <c r="H716" s="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0"/>
      <c r="C717" s="6"/>
      <c r="D717" s="7"/>
      <c r="E717" s="7"/>
      <c r="F717" s="8"/>
      <c r="G717" s="9"/>
      <c r="H717" s="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0"/>
      <c r="C718" s="6"/>
      <c r="D718" s="7"/>
      <c r="E718" s="7"/>
      <c r="F718" s="8"/>
      <c r="G718" s="9"/>
      <c r="H718" s="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0"/>
      <c r="C719" s="6"/>
      <c r="D719" s="7"/>
      <c r="E719" s="7"/>
      <c r="F719" s="8"/>
      <c r="G719" s="9"/>
      <c r="H719" s="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0"/>
      <c r="C720" s="6"/>
      <c r="D720" s="7"/>
      <c r="E720" s="7"/>
      <c r="F720" s="8"/>
      <c r="G720" s="9"/>
      <c r="H720" s="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0"/>
      <c r="C721" s="6"/>
      <c r="D721" s="7"/>
      <c r="E721" s="7"/>
      <c r="F721" s="8"/>
      <c r="G721" s="9"/>
      <c r="H721" s="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0"/>
      <c r="C722" s="6"/>
      <c r="D722" s="7"/>
      <c r="E722" s="7"/>
      <c r="F722" s="8"/>
      <c r="G722" s="9"/>
      <c r="H722" s="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0"/>
      <c r="C723" s="6"/>
      <c r="D723" s="7"/>
      <c r="E723" s="7"/>
      <c r="F723" s="8"/>
      <c r="G723" s="9"/>
      <c r="H723" s="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0"/>
      <c r="C724" s="6"/>
      <c r="D724" s="7"/>
      <c r="E724" s="7"/>
      <c r="F724" s="8"/>
      <c r="G724" s="9"/>
      <c r="H724" s="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0"/>
      <c r="C725" s="6"/>
      <c r="D725" s="7"/>
      <c r="E725" s="7"/>
      <c r="F725" s="8"/>
      <c r="G725" s="9"/>
      <c r="H725" s="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0"/>
      <c r="C726" s="6"/>
      <c r="D726" s="7"/>
      <c r="E726" s="7"/>
      <c r="F726" s="8"/>
      <c r="G726" s="9"/>
      <c r="H726" s="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0"/>
      <c r="C727" s="6"/>
      <c r="D727" s="7"/>
      <c r="E727" s="7"/>
      <c r="F727" s="8"/>
      <c r="G727" s="9"/>
      <c r="H727" s="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0"/>
      <c r="C728" s="6"/>
      <c r="D728" s="7"/>
      <c r="E728" s="7"/>
      <c r="F728" s="8"/>
      <c r="G728" s="9"/>
      <c r="H728" s="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0"/>
      <c r="C729" s="6"/>
      <c r="D729" s="7"/>
      <c r="E729" s="7"/>
      <c r="F729" s="8"/>
      <c r="G729" s="9"/>
      <c r="H729" s="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0"/>
      <c r="C730" s="6"/>
      <c r="D730" s="7"/>
      <c r="E730" s="7"/>
      <c r="F730" s="8"/>
      <c r="G730" s="9"/>
      <c r="H730" s="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0"/>
      <c r="C731" s="6"/>
      <c r="D731" s="7"/>
      <c r="E731" s="7"/>
      <c r="F731" s="8"/>
      <c r="G731" s="9"/>
      <c r="H731" s="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0"/>
      <c r="C732" s="6"/>
      <c r="D732" s="7"/>
      <c r="E732" s="7"/>
      <c r="F732" s="8"/>
      <c r="G732" s="9"/>
      <c r="H732" s="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0"/>
      <c r="C733" s="6"/>
      <c r="D733" s="7"/>
      <c r="E733" s="7"/>
      <c r="F733" s="8"/>
      <c r="G733" s="9"/>
      <c r="H733" s="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0"/>
      <c r="C734" s="6"/>
      <c r="D734" s="7"/>
      <c r="E734" s="7"/>
      <c r="F734" s="8"/>
      <c r="G734" s="9"/>
      <c r="H734" s="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0"/>
      <c r="C735" s="6"/>
      <c r="D735" s="7"/>
      <c r="E735" s="7"/>
      <c r="F735" s="8"/>
      <c r="G735" s="9"/>
      <c r="H735" s="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0"/>
      <c r="C736" s="6"/>
      <c r="D736" s="7"/>
      <c r="E736" s="7"/>
      <c r="F736" s="8"/>
      <c r="G736" s="9"/>
      <c r="H736" s="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0"/>
      <c r="C737" s="6"/>
      <c r="D737" s="7"/>
      <c r="E737" s="7"/>
      <c r="F737" s="8"/>
      <c r="G737" s="9"/>
      <c r="H737" s="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0"/>
      <c r="C738" s="6"/>
      <c r="D738" s="7"/>
      <c r="E738" s="7"/>
      <c r="F738" s="8"/>
      <c r="G738" s="9"/>
      <c r="H738" s="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0"/>
      <c r="C739" s="6"/>
      <c r="D739" s="7"/>
      <c r="E739" s="7"/>
      <c r="F739" s="8"/>
      <c r="G739" s="9"/>
      <c r="H739" s="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0"/>
      <c r="C740" s="6"/>
      <c r="D740" s="7"/>
      <c r="E740" s="7"/>
      <c r="F740" s="8"/>
      <c r="G740" s="9"/>
      <c r="H740" s="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0"/>
      <c r="C741" s="6"/>
      <c r="D741" s="7"/>
      <c r="E741" s="7"/>
      <c r="F741" s="8"/>
      <c r="G741" s="9"/>
      <c r="H741" s="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0"/>
      <c r="C742" s="6"/>
      <c r="D742" s="7"/>
      <c r="E742" s="7"/>
      <c r="F742" s="8"/>
      <c r="G742" s="9"/>
      <c r="H742" s="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0"/>
      <c r="C743" s="6"/>
      <c r="D743" s="7"/>
      <c r="E743" s="7"/>
      <c r="F743" s="8"/>
      <c r="G743" s="9"/>
      <c r="H743" s="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0"/>
      <c r="C744" s="6"/>
      <c r="D744" s="7"/>
      <c r="E744" s="7"/>
      <c r="F744" s="8"/>
      <c r="G744" s="9"/>
      <c r="H744" s="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0"/>
      <c r="C745" s="6"/>
      <c r="D745" s="7"/>
      <c r="E745" s="7"/>
      <c r="F745" s="8"/>
      <c r="G745" s="9"/>
      <c r="H745" s="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0"/>
      <c r="C746" s="6"/>
      <c r="D746" s="7"/>
      <c r="E746" s="7"/>
      <c r="F746" s="8"/>
      <c r="G746" s="9"/>
      <c r="H746" s="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0"/>
      <c r="C747" s="6"/>
      <c r="D747" s="7"/>
      <c r="E747" s="7"/>
      <c r="F747" s="8"/>
      <c r="G747" s="9"/>
      <c r="H747" s="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0"/>
      <c r="C748" s="6"/>
      <c r="D748" s="7"/>
      <c r="E748" s="7"/>
      <c r="F748" s="8"/>
      <c r="G748" s="9"/>
      <c r="H748" s="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0"/>
      <c r="C749" s="6"/>
      <c r="D749" s="7"/>
      <c r="E749" s="7"/>
      <c r="F749" s="8"/>
      <c r="G749" s="9"/>
      <c r="H749" s="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0"/>
      <c r="C750" s="6"/>
      <c r="D750" s="7"/>
      <c r="E750" s="7"/>
      <c r="F750" s="8"/>
      <c r="G750" s="9"/>
      <c r="H750" s="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0"/>
      <c r="C751" s="6"/>
      <c r="D751" s="7"/>
      <c r="E751" s="7"/>
      <c r="F751" s="8"/>
      <c r="G751" s="9"/>
      <c r="H751" s="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0"/>
      <c r="C752" s="6"/>
      <c r="D752" s="7"/>
      <c r="E752" s="7"/>
      <c r="F752" s="8"/>
      <c r="G752" s="9"/>
      <c r="H752" s="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0"/>
      <c r="C753" s="6"/>
      <c r="D753" s="7"/>
      <c r="E753" s="7"/>
      <c r="F753" s="8"/>
      <c r="G753" s="9"/>
      <c r="H753" s="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0"/>
      <c r="C754" s="6"/>
      <c r="D754" s="7"/>
      <c r="E754" s="7"/>
      <c r="F754" s="8"/>
      <c r="G754" s="9"/>
      <c r="H754" s="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0"/>
      <c r="C755" s="6"/>
      <c r="D755" s="7"/>
      <c r="E755" s="7"/>
      <c r="F755" s="8"/>
      <c r="G755" s="9"/>
      <c r="H755" s="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0"/>
      <c r="C756" s="6"/>
      <c r="D756" s="7"/>
      <c r="E756" s="7"/>
      <c r="F756" s="8"/>
      <c r="G756" s="9"/>
      <c r="H756" s="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0"/>
      <c r="C757" s="6"/>
      <c r="D757" s="7"/>
      <c r="E757" s="7"/>
      <c r="F757" s="8"/>
      <c r="G757" s="9"/>
      <c r="H757" s="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0"/>
      <c r="C758" s="6"/>
      <c r="D758" s="7"/>
      <c r="E758" s="7"/>
      <c r="F758" s="8"/>
      <c r="G758" s="9"/>
      <c r="H758" s="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0"/>
      <c r="C759" s="6"/>
      <c r="D759" s="7"/>
      <c r="E759" s="7"/>
      <c r="F759" s="8"/>
      <c r="G759" s="9"/>
      <c r="H759" s="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0"/>
      <c r="C760" s="6"/>
      <c r="D760" s="7"/>
      <c r="E760" s="7"/>
      <c r="F760" s="8"/>
      <c r="G760" s="9"/>
      <c r="H760" s="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0"/>
      <c r="C761" s="6"/>
      <c r="D761" s="7"/>
      <c r="E761" s="7"/>
      <c r="F761" s="8"/>
      <c r="G761" s="9"/>
      <c r="H761" s="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0"/>
      <c r="C762" s="6"/>
      <c r="D762" s="7"/>
      <c r="E762" s="7"/>
      <c r="F762" s="8"/>
      <c r="G762" s="9"/>
      <c r="H762" s="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0"/>
      <c r="C763" s="6"/>
      <c r="D763" s="7"/>
      <c r="E763" s="7"/>
      <c r="F763" s="8"/>
      <c r="G763" s="9"/>
      <c r="H763" s="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0"/>
      <c r="C764" s="6"/>
      <c r="D764" s="7"/>
      <c r="E764" s="7"/>
      <c r="F764" s="8"/>
      <c r="G764" s="9"/>
      <c r="H764" s="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0"/>
      <c r="C765" s="6"/>
      <c r="D765" s="7"/>
      <c r="E765" s="7"/>
      <c r="F765" s="8"/>
      <c r="G765" s="9"/>
      <c r="H765" s="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0"/>
      <c r="C766" s="6"/>
      <c r="D766" s="7"/>
      <c r="E766" s="7"/>
      <c r="F766" s="8"/>
      <c r="G766" s="9"/>
      <c r="H766" s="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0"/>
      <c r="C767" s="6"/>
      <c r="D767" s="7"/>
      <c r="E767" s="7"/>
      <c r="F767" s="8"/>
      <c r="G767" s="9"/>
      <c r="H767" s="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0"/>
      <c r="C768" s="6"/>
      <c r="D768" s="7"/>
      <c r="E768" s="7"/>
      <c r="F768" s="8"/>
      <c r="G768" s="9"/>
      <c r="H768" s="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0"/>
      <c r="C769" s="6"/>
      <c r="D769" s="7"/>
      <c r="E769" s="7"/>
      <c r="F769" s="8"/>
      <c r="G769" s="9"/>
      <c r="H769" s="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0"/>
      <c r="C770" s="6"/>
      <c r="D770" s="7"/>
      <c r="E770" s="7"/>
      <c r="F770" s="8"/>
      <c r="G770" s="9"/>
      <c r="H770" s="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0"/>
      <c r="C771" s="6"/>
      <c r="D771" s="7"/>
      <c r="E771" s="7"/>
      <c r="F771" s="8"/>
      <c r="G771" s="9"/>
      <c r="H771" s="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0"/>
      <c r="C772" s="6"/>
      <c r="D772" s="7"/>
      <c r="E772" s="7"/>
      <c r="F772" s="8"/>
      <c r="G772" s="9"/>
      <c r="H772" s="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0"/>
      <c r="C773" s="6"/>
      <c r="D773" s="7"/>
      <c r="E773" s="7"/>
      <c r="F773" s="8"/>
      <c r="G773" s="9"/>
      <c r="H773" s="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0"/>
      <c r="C774" s="6"/>
      <c r="D774" s="7"/>
      <c r="E774" s="7"/>
      <c r="F774" s="8"/>
      <c r="G774" s="9"/>
      <c r="H774" s="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0"/>
      <c r="C775" s="6"/>
      <c r="D775" s="7"/>
      <c r="E775" s="7"/>
      <c r="F775" s="8"/>
      <c r="G775" s="9"/>
      <c r="H775" s="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0"/>
      <c r="C776" s="6"/>
      <c r="D776" s="7"/>
      <c r="E776" s="7"/>
      <c r="F776" s="8"/>
      <c r="G776" s="9"/>
      <c r="H776" s="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0"/>
      <c r="C777" s="6"/>
      <c r="D777" s="7"/>
      <c r="E777" s="7"/>
      <c r="F777" s="8"/>
      <c r="G777" s="9"/>
      <c r="H777" s="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0"/>
      <c r="C778" s="6"/>
      <c r="D778" s="7"/>
      <c r="E778" s="7"/>
      <c r="F778" s="8"/>
      <c r="G778" s="9"/>
      <c r="H778" s="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0"/>
      <c r="C779" s="6"/>
      <c r="D779" s="7"/>
      <c r="E779" s="7"/>
      <c r="F779" s="8"/>
      <c r="G779" s="9"/>
      <c r="H779" s="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0"/>
      <c r="C780" s="6"/>
      <c r="D780" s="7"/>
      <c r="E780" s="7"/>
      <c r="F780" s="8"/>
      <c r="G780" s="9"/>
      <c r="H780" s="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0"/>
      <c r="C781" s="6"/>
      <c r="D781" s="7"/>
      <c r="E781" s="7"/>
      <c r="F781" s="8"/>
      <c r="G781" s="9"/>
      <c r="H781" s="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0"/>
      <c r="C782" s="6"/>
      <c r="D782" s="7"/>
      <c r="E782" s="7"/>
      <c r="F782" s="8"/>
      <c r="G782" s="9"/>
      <c r="H782" s="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0"/>
      <c r="C783" s="6"/>
      <c r="D783" s="7"/>
      <c r="E783" s="7"/>
      <c r="F783" s="8"/>
      <c r="G783" s="9"/>
      <c r="H783" s="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0"/>
      <c r="C784" s="6"/>
      <c r="D784" s="7"/>
      <c r="E784" s="7"/>
      <c r="F784" s="8"/>
      <c r="G784" s="9"/>
      <c r="H784" s="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0"/>
      <c r="C785" s="6"/>
      <c r="D785" s="7"/>
      <c r="E785" s="7"/>
      <c r="F785" s="8"/>
      <c r="G785" s="9"/>
      <c r="H785" s="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0"/>
      <c r="C786" s="6"/>
      <c r="D786" s="7"/>
      <c r="E786" s="7"/>
      <c r="F786" s="8"/>
      <c r="G786" s="9"/>
      <c r="H786" s="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0"/>
      <c r="C787" s="6"/>
      <c r="D787" s="7"/>
      <c r="E787" s="7"/>
      <c r="F787" s="8"/>
      <c r="G787" s="9"/>
      <c r="H787" s="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0"/>
      <c r="C788" s="6"/>
      <c r="D788" s="7"/>
      <c r="E788" s="7"/>
      <c r="F788" s="8"/>
      <c r="G788" s="9"/>
      <c r="H788" s="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0"/>
      <c r="C789" s="6"/>
      <c r="D789" s="7"/>
      <c r="E789" s="7"/>
      <c r="F789" s="8"/>
      <c r="G789" s="9"/>
      <c r="H789" s="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0"/>
      <c r="C790" s="6"/>
      <c r="D790" s="7"/>
      <c r="E790" s="7"/>
      <c r="F790" s="8"/>
      <c r="G790" s="9"/>
      <c r="H790" s="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0"/>
      <c r="C791" s="6"/>
      <c r="D791" s="7"/>
      <c r="E791" s="7"/>
      <c r="F791" s="8"/>
      <c r="G791" s="9"/>
      <c r="H791" s="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0"/>
      <c r="C792" s="6"/>
      <c r="D792" s="7"/>
      <c r="E792" s="7"/>
      <c r="F792" s="8"/>
      <c r="G792" s="9"/>
      <c r="H792" s="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0"/>
      <c r="C793" s="6"/>
      <c r="D793" s="7"/>
      <c r="E793" s="7"/>
      <c r="F793" s="8"/>
      <c r="G793" s="9"/>
      <c r="H793" s="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0"/>
      <c r="C794" s="6"/>
      <c r="D794" s="7"/>
      <c r="E794" s="7"/>
      <c r="F794" s="8"/>
      <c r="G794" s="9"/>
      <c r="H794" s="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0"/>
      <c r="C795" s="6"/>
      <c r="D795" s="7"/>
      <c r="E795" s="7"/>
      <c r="F795" s="8"/>
      <c r="G795" s="9"/>
      <c r="H795" s="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0"/>
      <c r="C796" s="6"/>
      <c r="D796" s="7"/>
      <c r="E796" s="7"/>
      <c r="F796" s="8"/>
      <c r="G796" s="9"/>
      <c r="H796" s="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0"/>
      <c r="C797" s="6"/>
      <c r="D797" s="7"/>
      <c r="E797" s="7"/>
      <c r="F797" s="8"/>
      <c r="G797" s="9"/>
      <c r="H797" s="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0"/>
      <c r="C798" s="6"/>
      <c r="D798" s="7"/>
      <c r="E798" s="7"/>
      <c r="F798" s="8"/>
      <c r="G798" s="9"/>
      <c r="H798" s="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0"/>
      <c r="C799" s="6"/>
      <c r="D799" s="7"/>
      <c r="E799" s="7"/>
      <c r="F799" s="8"/>
      <c r="G799" s="9"/>
      <c r="H799" s="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0"/>
      <c r="C800" s="6"/>
      <c r="D800" s="7"/>
      <c r="E800" s="7"/>
      <c r="F800" s="8"/>
      <c r="G800" s="9"/>
      <c r="H800" s="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0"/>
      <c r="C801" s="6"/>
      <c r="D801" s="7"/>
      <c r="E801" s="7"/>
      <c r="F801" s="8"/>
      <c r="G801" s="9"/>
      <c r="H801" s="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0"/>
      <c r="C802" s="6"/>
      <c r="D802" s="7"/>
      <c r="E802" s="7"/>
      <c r="F802" s="8"/>
      <c r="G802" s="9"/>
      <c r="H802" s="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0"/>
      <c r="C803" s="6"/>
      <c r="D803" s="7"/>
      <c r="E803" s="7"/>
      <c r="F803" s="8"/>
      <c r="G803" s="9"/>
      <c r="H803" s="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0"/>
      <c r="C804" s="6"/>
      <c r="D804" s="7"/>
      <c r="E804" s="7"/>
      <c r="F804" s="8"/>
      <c r="G804" s="9"/>
      <c r="H804" s="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0"/>
      <c r="C805" s="6"/>
      <c r="D805" s="7"/>
      <c r="E805" s="7"/>
      <c r="F805" s="8"/>
      <c r="G805" s="9"/>
      <c r="H805" s="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0"/>
      <c r="C806" s="6"/>
      <c r="D806" s="7"/>
      <c r="E806" s="7"/>
      <c r="F806" s="8"/>
      <c r="G806" s="9"/>
      <c r="H806" s="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0"/>
      <c r="C807" s="6"/>
      <c r="D807" s="7"/>
      <c r="E807" s="7"/>
      <c r="F807" s="8"/>
      <c r="G807" s="9"/>
      <c r="H807" s="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0"/>
      <c r="C808" s="6"/>
      <c r="D808" s="7"/>
      <c r="E808" s="7"/>
      <c r="F808" s="8"/>
      <c r="G808" s="9"/>
      <c r="H808" s="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0"/>
      <c r="C809" s="6"/>
      <c r="D809" s="7"/>
      <c r="E809" s="7"/>
      <c r="F809" s="8"/>
      <c r="G809" s="9"/>
      <c r="H809" s="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0"/>
      <c r="C810" s="6"/>
      <c r="D810" s="7"/>
      <c r="E810" s="7"/>
      <c r="F810" s="8"/>
      <c r="G810" s="9"/>
      <c r="H810" s="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0"/>
      <c r="C811" s="6"/>
      <c r="D811" s="7"/>
      <c r="E811" s="7"/>
      <c r="F811" s="8"/>
      <c r="G811" s="9"/>
      <c r="H811" s="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0"/>
      <c r="C812" s="6"/>
      <c r="D812" s="7"/>
      <c r="E812" s="7"/>
      <c r="F812" s="8"/>
      <c r="G812" s="9"/>
      <c r="H812" s="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0"/>
      <c r="C813" s="6"/>
      <c r="D813" s="7"/>
      <c r="E813" s="7"/>
      <c r="F813" s="8"/>
      <c r="G813" s="9"/>
      <c r="H813" s="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0"/>
      <c r="C814" s="6"/>
      <c r="D814" s="7"/>
      <c r="E814" s="7"/>
      <c r="F814" s="8"/>
      <c r="G814" s="9"/>
      <c r="H814" s="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0"/>
      <c r="C815" s="6"/>
      <c r="D815" s="7"/>
      <c r="E815" s="7"/>
      <c r="F815" s="8"/>
      <c r="G815" s="9"/>
      <c r="H815" s="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0"/>
      <c r="C816" s="6"/>
      <c r="D816" s="7"/>
      <c r="E816" s="7"/>
      <c r="F816" s="8"/>
      <c r="G816" s="9"/>
      <c r="H816" s="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0"/>
      <c r="C817" s="6"/>
      <c r="D817" s="7"/>
      <c r="E817" s="7"/>
      <c r="F817" s="8"/>
      <c r="G817" s="9"/>
      <c r="H817" s="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0"/>
      <c r="C818" s="6"/>
      <c r="D818" s="7"/>
      <c r="E818" s="7"/>
      <c r="F818" s="8"/>
      <c r="G818" s="9"/>
      <c r="H818" s="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0"/>
      <c r="C819" s="6"/>
      <c r="D819" s="7"/>
      <c r="E819" s="7"/>
      <c r="F819" s="8"/>
      <c r="G819" s="9"/>
      <c r="H819" s="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0"/>
      <c r="C820" s="6"/>
      <c r="D820" s="7"/>
      <c r="E820" s="7"/>
      <c r="F820" s="8"/>
      <c r="G820" s="9"/>
      <c r="H820" s="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0"/>
      <c r="C821" s="6"/>
      <c r="D821" s="7"/>
      <c r="E821" s="7"/>
      <c r="F821" s="8"/>
      <c r="G821" s="9"/>
      <c r="H821" s="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0"/>
      <c r="C822" s="6"/>
      <c r="D822" s="7"/>
      <c r="E822" s="7"/>
      <c r="F822" s="8"/>
      <c r="G822" s="9"/>
      <c r="H822" s="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0"/>
      <c r="C823" s="6"/>
      <c r="D823" s="7"/>
      <c r="E823" s="7"/>
      <c r="F823" s="8"/>
      <c r="G823" s="9"/>
      <c r="H823" s="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0"/>
      <c r="C824" s="6"/>
      <c r="D824" s="7"/>
      <c r="E824" s="7"/>
      <c r="F824" s="8"/>
      <c r="G824" s="9"/>
      <c r="H824" s="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0"/>
      <c r="C825" s="6"/>
      <c r="D825" s="7"/>
      <c r="E825" s="7"/>
      <c r="F825" s="8"/>
      <c r="G825" s="9"/>
      <c r="H825" s="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0"/>
      <c r="C826" s="6"/>
      <c r="D826" s="7"/>
      <c r="E826" s="7"/>
      <c r="F826" s="8"/>
      <c r="G826" s="9"/>
      <c r="H826" s="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0"/>
      <c r="C827" s="6"/>
      <c r="D827" s="7"/>
      <c r="E827" s="7"/>
      <c r="F827" s="8"/>
      <c r="G827" s="9"/>
      <c r="H827" s="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0"/>
      <c r="C828" s="6"/>
      <c r="D828" s="7"/>
      <c r="E828" s="7"/>
      <c r="F828" s="8"/>
      <c r="G828" s="9"/>
      <c r="H828" s="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0"/>
      <c r="C829" s="6"/>
      <c r="D829" s="7"/>
      <c r="E829" s="7"/>
      <c r="F829" s="8"/>
      <c r="G829" s="9"/>
      <c r="H829" s="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0"/>
      <c r="C830" s="6"/>
      <c r="D830" s="7"/>
      <c r="E830" s="7"/>
      <c r="F830" s="8"/>
      <c r="G830" s="9"/>
      <c r="H830" s="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0"/>
      <c r="C831" s="6"/>
      <c r="D831" s="7"/>
      <c r="E831" s="7"/>
      <c r="F831" s="8"/>
      <c r="G831" s="9"/>
      <c r="H831" s="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0"/>
      <c r="C832" s="6"/>
      <c r="D832" s="7"/>
      <c r="E832" s="7"/>
      <c r="F832" s="8"/>
      <c r="G832" s="9"/>
      <c r="H832" s="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0"/>
      <c r="C833" s="6"/>
      <c r="D833" s="7"/>
      <c r="E833" s="7"/>
      <c r="F833" s="8"/>
      <c r="G833" s="9"/>
      <c r="H833" s="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0"/>
      <c r="C834" s="6"/>
      <c r="D834" s="7"/>
      <c r="E834" s="7"/>
      <c r="F834" s="8"/>
      <c r="G834" s="9"/>
      <c r="H834" s="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0"/>
      <c r="C835" s="6"/>
      <c r="D835" s="7"/>
      <c r="E835" s="7"/>
      <c r="F835" s="8"/>
      <c r="G835" s="9"/>
      <c r="H835" s="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0"/>
      <c r="C836" s="6"/>
      <c r="D836" s="7"/>
      <c r="E836" s="7"/>
      <c r="F836" s="8"/>
      <c r="G836" s="9"/>
      <c r="H836" s="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0"/>
      <c r="C837" s="6"/>
      <c r="D837" s="7"/>
      <c r="E837" s="7"/>
      <c r="F837" s="8"/>
      <c r="G837" s="9"/>
      <c r="H837" s="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0"/>
      <c r="C838" s="6"/>
      <c r="D838" s="7"/>
      <c r="E838" s="7"/>
      <c r="F838" s="8"/>
      <c r="G838" s="9"/>
      <c r="H838" s="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0"/>
      <c r="C839" s="6"/>
      <c r="D839" s="7"/>
      <c r="E839" s="7"/>
      <c r="F839" s="8"/>
      <c r="G839" s="9"/>
      <c r="H839" s="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0"/>
      <c r="C840" s="6"/>
      <c r="D840" s="7"/>
      <c r="E840" s="7"/>
      <c r="F840" s="8"/>
      <c r="G840" s="9"/>
      <c r="H840" s="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0"/>
      <c r="C841" s="6"/>
      <c r="D841" s="7"/>
      <c r="E841" s="7"/>
      <c r="F841" s="8"/>
      <c r="G841" s="9"/>
      <c r="H841" s="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0"/>
      <c r="C842" s="6"/>
      <c r="D842" s="7"/>
      <c r="E842" s="7"/>
      <c r="F842" s="8"/>
      <c r="G842" s="9"/>
      <c r="H842" s="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0"/>
      <c r="C843" s="6"/>
      <c r="D843" s="7"/>
      <c r="E843" s="7"/>
      <c r="F843" s="8"/>
      <c r="G843" s="9"/>
      <c r="H843" s="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0"/>
      <c r="C844" s="6"/>
      <c r="D844" s="7"/>
      <c r="E844" s="7"/>
      <c r="F844" s="8"/>
      <c r="G844" s="9"/>
      <c r="H844" s="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0"/>
      <c r="C845" s="6"/>
      <c r="D845" s="7"/>
      <c r="E845" s="7"/>
      <c r="F845" s="8"/>
      <c r="G845" s="9"/>
      <c r="H845" s="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0"/>
      <c r="C846" s="6"/>
      <c r="D846" s="7"/>
      <c r="E846" s="7"/>
      <c r="F846" s="8"/>
      <c r="G846" s="9"/>
      <c r="H846" s="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0"/>
      <c r="C847" s="6"/>
      <c r="D847" s="7"/>
      <c r="E847" s="7"/>
      <c r="F847" s="8"/>
      <c r="G847" s="9"/>
      <c r="H847" s="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0"/>
      <c r="C848" s="6"/>
      <c r="D848" s="7"/>
      <c r="E848" s="7"/>
      <c r="F848" s="8"/>
      <c r="G848" s="9"/>
      <c r="H848" s="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0"/>
      <c r="C849" s="6"/>
      <c r="D849" s="7"/>
      <c r="E849" s="7"/>
      <c r="F849" s="8"/>
      <c r="G849" s="9"/>
      <c r="H849" s="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0"/>
      <c r="C850" s="6"/>
      <c r="D850" s="7"/>
      <c r="E850" s="7"/>
      <c r="F850" s="8"/>
      <c r="G850" s="9"/>
      <c r="H850" s="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0"/>
      <c r="C851" s="6"/>
      <c r="D851" s="7"/>
      <c r="E851" s="7"/>
      <c r="F851" s="8"/>
      <c r="G851" s="9"/>
      <c r="H851" s="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0"/>
      <c r="C852" s="6"/>
      <c r="D852" s="7"/>
      <c r="E852" s="7"/>
      <c r="F852" s="8"/>
      <c r="G852" s="9"/>
      <c r="H852" s="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0"/>
      <c r="C853" s="6"/>
      <c r="D853" s="7"/>
      <c r="E853" s="7"/>
      <c r="F853" s="8"/>
      <c r="G853" s="9"/>
      <c r="H853" s="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0"/>
      <c r="C854" s="6"/>
      <c r="D854" s="7"/>
      <c r="E854" s="7"/>
      <c r="F854" s="8"/>
      <c r="G854" s="9"/>
      <c r="H854" s="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0"/>
      <c r="C855" s="6"/>
      <c r="D855" s="7"/>
      <c r="E855" s="7"/>
      <c r="F855" s="8"/>
      <c r="G855" s="9"/>
      <c r="H855" s="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0"/>
      <c r="C856" s="6"/>
      <c r="D856" s="7"/>
      <c r="E856" s="7"/>
      <c r="F856" s="8"/>
      <c r="G856" s="9"/>
      <c r="H856" s="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0"/>
      <c r="C857" s="6"/>
      <c r="D857" s="7"/>
      <c r="E857" s="7"/>
      <c r="F857" s="8"/>
      <c r="G857" s="9"/>
      <c r="H857" s="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0"/>
      <c r="C858" s="6"/>
      <c r="D858" s="7"/>
      <c r="E858" s="7"/>
      <c r="F858" s="8"/>
      <c r="G858" s="9"/>
      <c r="H858" s="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0"/>
      <c r="C859" s="6"/>
      <c r="D859" s="7"/>
      <c r="E859" s="7"/>
      <c r="F859" s="8"/>
      <c r="G859" s="9"/>
      <c r="H859" s="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0"/>
      <c r="C860" s="6"/>
      <c r="D860" s="7"/>
      <c r="E860" s="7"/>
      <c r="F860" s="8"/>
      <c r="G860" s="9"/>
      <c r="H860" s="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0"/>
      <c r="C861" s="6"/>
      <c r="D861" s="7"/>
      <c r="E861" s="7"/>
      <c r="F861" s="8"/>
      <c r="G861" s="9"/>
      <c r="H861" s="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0"/>
      <c r="C862" s="6"/>
      <c r="D862" s="7"/>
      <c r="E862" s="7"/>
      <c r="F862" s="8"/>
      <c r="G862" s="9"/>
      <c r="H862" s="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0"/>
      <c r="C863" s="6"/>
      <c r="D863" s="7"/>
      <c r="E863" s="7"/>
      <c r="F863" s="8"/>
      <c r="G863" s="9"/>
      <c r="H863" s="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0"/>
      <c r="C864" s="6"/>
      <c r="D864" s="7"/>
      <c r="E864" s="7"/>
      <c r="F864" s="8"/>
      <c r="G864" s="9"/>
      <c r="H864" s="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0"/>
      <c r="C865" s="6"/>
      <c r="D865" s="7"/>
      <c r="E865" s="7"/>
      <c r="F865" s="8"/>
      <c r="G865" s="9"/>
      <c r="H865" s="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0"/>
      <c r="C866" s="6"/>
      <c r="D866" s="7"/>
      <c r="E866" s="7"/>
      <c r="F866" s="8"/>
      <c r="G866" s="9"/>
      <c r="H866" s="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0"/>
      <c r="C867" s="6"/>
      <c r="D867" s="7"/>
      <c r="E867" s="7"/>
      <c r="F867" s="8"/>
      <c r="G867" s="9"/>
      <c r="H867" s="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0"/>
      <c r="C868" s="6"/>
      <c r="D868" s="7"/>
      <c r="E868" s="7"/>
      <c r="F868" s="8"/>
      <c r="G868" s="9"/>
      <c r="H868" s="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0"/>
      <c r="C869" s="6"/>
      <c r="D869" s="7"/>
      <c r="E869" s="7"/>
      <c r="F869" s="8"/>
      <c r="G869" s="9"/>
      <c r="H869" s="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0"/>
      <c r="C870" s="6"/>
      <c r="D870" s="7"/>
      <c r="E870" s="7"/>
      <c r="F870" s="8"/>
      <c r="G870" s="9"/>
      <c r="H870" s="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0"/>
      <c r="C871" s="6"/>
      <c r="D871" s="7"/>
      <c r="E871" s="7"/>
      <c r="F871" s="8"/>
      <c r="G871" s="9"/>
      <c r="H871" s="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0"/>
      <c r="C872" s="6"/>
      <c r="D872" s="7"/>
      <c r="E872" s="7"/>
      <c r="F872" s="8"/>
      <c r="G872" s="9"/>
      <c r="H872" s="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0"/>
      <c r="C873" s="6"/>
      <c r="D873" s="7"/>
      <c r="E873" s="7"/>
      <c r="F873" s="8"/>
      <c r="G873" s="9"/>
      <c r="H873" s="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0"/>
      <c r="C874" s="6"/>
      <c r="D874" s="7"/>
      <c r="E874" s="7"/>
      <c r="F874" s="8"/>
      <c r="G874" s="9"/>
      <c r="H874" s="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0"/>
      <c r="C875" s="6"/>
      <c r="D875" s="7"/>
      <c r="E875" s="7"/>
      <c r="F875" s="8"/>
      <c r="G875" s="9"/>
      <c r="H875" s="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0"/>
      <c r="C876" s="6"/>
      <c r="D876" s="7"/>
      <c r="E876" s="7"/>
      <c r="F876" s="8"/>
      <c r="G876" s="9"/>
      <c r="H876" s="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0"/>
      <c r="C877" s="6"/>
      <c r="D877" s="7"/>
      <c r="E877" s="7"/>
      <c r="F877" s="8"/>
      <c r="G877" s="9"/>
      <c r="H877" s="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0"/>
      <c r="C878" s="6"/>
      <c r="D878" s="7"/>
      <c r="E878" s="7"/>
      <c r="F878" s="8"/>
      <c r="G878" s="9"/>
      <c r="H878" s="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0"/>
      <c r="C879" s="6"/>
      <c r="D879" s="7"/>
      <c r="E879" s="7"/>
      <c r="F879" s="8"/>
      <c r="G879" s="9"/>
      <c r="H879" s="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0"/>
      <c r="C880" s="6"/>
      <c r="D880" s="7"/>
      <c r="E880" s="7"/>
      <c r="F880" s="8"/>
      <c r="G880" s="9"/>
      <c r="H880" s="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0"/>
      <c r="C881" s="6"/>
      <c r="D881" s="7"/>
      <c r="E881" s="7"/>
      <c r="F881" s="8"/>
      <c r="G881" s="9"/>
      <c r="H881" s="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0"/>
      <c r="C882" s="6"/>
      <c r="D882" s="7"/>
      <c r="E882" s="7"/>
      <c r="F882" s="8"/>
      <c r="G882" s="9"/>
      <c r="H882" s="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0"/>
      <c r="C883" s="6"/>
      <c r="D883" s="7"/>
      <c r="E883" s="7"/>
      <c r="F883" s="8"/>
      <c r="G883" s="9"/>
      <c r="H883" s="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0"/>
      <c r="C884" s="6"/>
      <c r="D884" s="7"/>
      <c r="E884" s="7"/>
      <c r="F884" s="8"/>
      <c r="G884" s="9"/>
      <c r="H884" s="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0"/>
      <c r="C885" s="6"/>
      <c r="D885" s="7"/>
      <c r="E885" s="7"/>
      <c r="F885" s="8"/>
      <c r="G885" s="9"/>
      <c r="H885" s="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0"/>
      <c r="C886" s="6"/>
      <c r="D886" s="7"/>
      <c r="E886" s="7"/>
      <c r="F886" s="8"/>
      <c r="G886" s="9"/>
      <c r="H886" s="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0"/>
      <c r="C887" s="6"/>
      <c r="D887" s="7"/>
      <c r="E887" s="7"/>
      <c r="F887" s="8"/>
      <c r="G887" s="9"/>
      <c r="H887" s="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0"/>
      <c r="C888" s="6"/>
      <c r="D888" s="7"/>
      <c r="E888" s="7"/>
      <c r="F888" s="8"/>
      <c r="G888" s="9"/>
      <c r="H888" s="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0"/>
      <c r="C889" s="6"/>
      <c r="D889" s="7"/>
      <c r="E889" s="7"/>
      <c r="F889" s="8"/>
      <c r="G889" s="9"/>
      <c r="H889" s="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0"/>
      <c r="C890" s="6"/>
      <c r="D890" s="7"/>
      <c r="E890" s="7"/>
      <c r="F890" s="8"/>
      <c r="G890" s="9"/>
      <c r="H890" s="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0"/>
      <c r="C891" s="6"/>
      <c r="D891" s="7"/>
      <c r="E891" s="7"/>
      <c r="F891" s="8"/>
      <c r="G891" s="9"/>
      <c r="H891" s="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0"/>
      <c r="C892" s="6"/>
      <c r="D892" s="7"/>
      <c r="E892" s="7"/>
      <c r="F892" s="8"/>
      <c r="G892" s="9"/>
      <c r="H892" s="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0"/>
      <c r="C893" s="6"/>
      <c r="D893" s="7"/>
      <c r="E893" s="7"/>
      <c r="F893" s="8"/>
      <c r="G893" s="9"/>
      <c r="H893" s="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0"/>
      <c r="C894" s="6"/>
      <c r="D894" s="7"/>
      <c r="E894" s="7"/>
      <c r="F894" s="8"/>
      <c r="G894" s="9"/>
      <c r="H894" s="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0"/>
      <c r="C895" s="6"/>
      <c r="D895" s="7"/>
      <c r="E895" s="7"/>
      <c r="F895" s="8"/>
      <c r="G895" s="9"/>
      <c r="H895" s="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0"/>
      <c r="C896" s="6"/>
      <c r="D896" s="7"/>
      <c r="E896" s="7"/>
      <c r="F896" s="8"/>
      <c r="G896" s="9"/>
      <c r="H896" s="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0"/>
      <c r="C897" s="6"/>
      <c r="D897" s="7"/>
      <c r="E897" s="7"/>
      <c r="F897" s="8"/>
      <c r="G897" s="9"/>
      <c r="H897" s="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0"/>
      <c r="C898" s="6"/>
      <c r="D898" s="7"/>
      <c r="E898" s="7"/>
      <c r="F898" s="8"/>
      <c r="G898" s="9"/>
      <c r="H898" s="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0"/>
      <c r="C899" s="6"/>
      <c r="D899" s="7"/>
      <c r="E899" s="7"/>
      <c r="F899" s="8"/>
      <c r="G899" s="9"/>
      <c r="H899" s="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0"/>
      <c r="C900" s="6"/>
      <c r="D900" s="7"/>
      <c r="E900" s="7"/>
      <c r="F900" s="8"/>
      <c r="G900" s="9"/>
      <c r="H900" s="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0"/>
      <c r="C901" s="6"/>
      <c r="D901" s="7"/>
      <c r="E901" s="7"/>
      <c r="F901" s="8"/>
      <c r="G901" s="9"/>
      <c r="H901" s="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0"/>
      <c r="C902" s="6"/>
      <c r="D902" s="7"/>
      <c r="E902" s="7"/>
      <c r="F902" s="8"/>
      <c r="G902" s="9"/>
      <c r="H902" s="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0"/>
      <c r="C903" s="6"/>
      <c r="D903" s="7"/>
      <c r="E903" s="7"/>
      <c r="F903" s="8"/>
      <c r="G903" s="9"/>
      <c r="H903" s="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0"/>
      <c r="C904" s="6"/>
      <c r="D904" s="7"/>
      <c r="E904" s="7"/>
      <c r="F904" s="8"/>
      <c r="G904" s="9"/>
      <c r="H904" s="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0"/>
      <c r="C905" s="6"/>
      <c r="D905" s="7"/>
      <c r="E905" s="7"/>
      <c r="F905" s="8"/>
      <c r="G905" s="9"/>
      <c r="H905" s="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0"/>
      <c r="C906" s="6"/>
      <c r="D906" s="7"/>
      <c r="E906" s="7"/>
      <c r="F906" s="8"/>
      <c r="G906" s="9"/>
      <c r="H906" s="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0"/>
      <c r="C907" s="6"/>
      <c r="D907" s="7"/>
      <c r="E907" s="7"/>
      <c r="F907" s="8"/>
      <c r="G907" s="9"/>
      <c r="H907" s="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0"/>
      <c r="C908" s="6"/>
      <c r="D908" s="7"/>
      <c r="E908" s="7"/>
      <c r="F908" s="8"/>
      <c r="G908" s="9"/>
      <c r="H908" s="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0"/>
      <c r="C909" s="6"/>
      <c r="D909" s="7"/>
      <c r="E909" s="7"/>
      <c r="F909" s="8"/>
      <c r="G909" s="9"/>
      <c r="H909" s="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0"/>
      <c r="C910" s="6"/>
      <c r="D910" s="7"/>
      <c r="E910" s="7"/>
      <c r="F910" s="8"/>
      <c r="G910" s="9"/>
      <c r="H910" s="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0"/>
      <c r="C911" s="6"/>
      <c r="D911" s="7"/>
      <c r="E911" s="7"/>
      <c r="F911" s="8"/>
      <c r="G911" s="9"/>
      <c r="H911" s="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0"/>
      <c r="C912" s="6"/>
      <c r="D912" s="7"/>
      <c r="E912" s="7"/>
      <c r="F912" s="8"/>
      <c r="G912" s="9"/>
      <c r="H912" s="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0"/>
      <c r="C913" s="6"/>
      <c r="D913" s="7"/>
      <c r="E913" s="7"/>
      <c r="F913" s="8"/>
      <c r="G913" s="9"/>
      <c r="H913" s="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0"/>
      <c r="C914" s="6"/>
      <c r="D914" s="7"/>
      <c r="E914" s="7"/>
      <c r="F914" s="8"/>
      <c r="G914" s="9"/>
      <c r="H914" s="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0"/>
      <c r="C915" s="6"/>
      <c r="D915" s="7"/>
      <c r="E915" s="7"/>
      <c r="F915" s="8"/>
      <c r="G915" s="9"/>
      <c r="H915" s="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0"/>
      <c r="C916" s="6"/>
      <c r="D916" s="7"/>
      <c r="E916" s="7"/>
      <c r="F916" s="8"/>
      <c r="G916" s="9"/>
      <c r="H916" s="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0"/>
      <c r="C917" s="6"/>
      <c r="D917" s="7"/>
      <c r="E917" s="7"/>
      <c r="F917" s="8"/>
      <c r="G917" s="9"/>
      <c r="H917" s="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0"/>
      <c r="C918" s="6"/>
      <c r="D918" s="7"/>
      <c r="E918" s="7"/>
      <c r="F918" s="8"/>
      <c r="G918" s="9"/>
      <c r="H918" s="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0"/>
      <c r="C919" s="6"/>
      <c r="D919" s="7"/>
      <c r="E919" s="7"/>
      <c r="F919" s="8"/>
      <c r="G919" s="9"/>
      <c r="H919" s="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0"/>
      <c r="C920" s="6"/>
      <c r="D920" s="7"/>
      <c r="E920" s="7"/>
      <c r="F920" s="8"/>
      <c r="G920" s="9"/>
      <c r="H920" s="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0"/>
      <c r="C921" s="6"/>
      <c r="D921" s="7"/>
      <c r="E921" s="7"/>
      <c r="F921" s="8"/>
      <c r="G921" s="9"/>
      <c r="H921" s="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0"/>
      <c r="C922" s="6"/>
      <c r="D922" s="7"/>
      <c r="E922" s="7"/>
      <c r="F922" s="8"/>
      <c r="G922" s="9"/>
      <c r="H922" s="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0"/>
      <c r="C923" s="6"/>
      <c r="D923" s="7"/>
      <c r="E923" s="7"/>
      <c r="F923" s="8"/>
      <c r="G923" s="9"/>
      <c r="H923" s="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0"/>
      <c r="C924" s="6"/>
      <c r="D924" s="7"/>
      <c r="E924" s="7"/>
      <c r="F924" s="8"/>
      <c r="G924" s="9"/>
      <c r="H924" s="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0"/>
      <c r="C925" s="6"/>
      <c r="D925" s="7"/>
      <c r="E925" s="7"/>
      <c r="F925" s="8"/>
      <c r="G925" s="9"/>
      <c r="H925" s="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0"/>
      <c r="C926" s="6"/>
      <c r="D926" s="7"/>
      <c r="E926" s="7"/>
      <c r="F926" s="8"/>
      <c r="G926" s="9"/>
      <c r="H926" s="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0"/>
      <c r="C927" s="6"/>
      <c r="D927" s="7"/>
      <c r="E927" s="7"/>
      <c r="F927" s="8"/>
      <c r="G927" s="9"/>
      <c r="H927" s="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0"/>
      <c r="C928" s="6"/>
      <c r="D928" s="7"/>
      <c r="E928" s="7"/>
      <c r="F928" s="8"/>
      <c r="G928" s="9"/>
      <c r="H928" s="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0"/>
      <c r="C929" s="6"/>
      <c r="D929" s="7"/>
      <c r="E929" s="7"/>
      <c r="F929" s="8"/>
      <c r="G929" s="9"/>
      <c r="H929" s="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0"/>
      <c r="C930" s="6"/>
      <c r="D930" s="7"/>
      <c r="E930" s="7"/>
      <c r="F930" s="8"/>
      <c r="G930" s="9"/>
      <c r="H930" s="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0"/>
      <c r="C931" s="6"/>
      <c r="D931" s="7"/>
      <c r="E931" s="7"/>
      <c r="F931" s="8"/>
      <c r="G931" s="9"/>
      <c r="H931" s="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0"/>
      <c r="C932" s="6"/>
      <c r="D932" s="7"/>
      <c r="E932" s="7"/>
      <c r="F932" s="8"/>
      <c r="G932" s="9"/>
      <c r="H932" s="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0"/>
      <c r="C933" s="6"/>
      <c r="D933" s="7"/>
      <c r="E933" s="7"/>
      <c r="F933" s="8"/>
      <c r="G933" s="9"/>
      <c r="H933" s="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0"/>
      <c r="C934" s="6"/>
      <c r="D934" s="7"/>
      <c r="E934" s="7"/>
      <c r="F934" s="8"/>
      <c r="G934" s="9"/>
      <c r="H934" s="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0"/>
      <c r="C935" s="6"/>
      <c r="D935" s="7"/>
      <c r="E935" s="7"/>
      <c r="F935" s="8"/>
      <c r="G935" s="9"/>
      <c r="H935" s="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0"/>
      <c r="C936" s="6"/>
      <c r="D936" s="7"/>
      <c r="E936" s="7"/>
      <c r="F936" s="8"/>
      <c r="G936" s="9"/>
      <c r="H936" s="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0"/>
      <c r="C937" s="6"/>
      <c r="D937" s="7"/>
      <c r="E937" s="7"/>
      <c r="F937" s="8"/>
      <c r="G937" s="9"/>
      <c r="H937" s="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0"/>
      <c r="C938" s="6"/>
      <c r="D938" s="7"/>
      <c r="E938" s="7"/>
      <c r="F938" s="8"/>
      <c r="G938" s="9"/>
      <c r="H938" s="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0"/>
      <c r="C939" s="6"/>
      <c r="D939" s="7"/>
      <c r="E939" s="7"/>
      <c r="F939" s="8"/>
      <c r="G939" s="9"/>
      <c r="H939" s="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0"/>
      <c r="C940" s="6"/>
      <c r="D940" s="7"/>
      <c r="E940" s="7"/>
      <c r="F940" s="8"/>
      <c r="G940" s="9"/>
      <c r="H940" s="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0"/>
      <c r="C941" s="6"/>
      <c r="D941" s="7"/>
      <c r="E941" s="7"/>
      <c r="F941" s="8"/>
      <c r="G941" s="9"/>
      <c r="H941" s="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0"/>
      <c r="C942" s="6"/>
      <c r="D942" s="7"/>
      <c r="E942" s="7"/>
      <c r="F942" s="8"/>
      <c r="G942" s="9"/>
      <c r="H942" s="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0"/>
      <c r="C943" s="6"/>
      <c r="D943" s="7"/>
      <c r="E943" s="7"/>
      <c r="F943" s="8"/>
      <c r="G943" s="9"/>
      <c r="H943" s="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0"/>
      <c r="C944" s="6"/>
      <c r="D944" s="7"/>
      <c r="E944" s="7"/>
      <c r="F944" s="8"/>
      <c r="G944" s="9"/>
      <c r="H944" s="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0"/>
      <c r="C945" s="6"/>
      <c r="D945" s="7"/>
      <c r="E945" s="7"/>
      <c r="F945" s="8"/>
      <c r="G945" s="9"/>
      <c r="H945" s="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0"/>
      <c r="C946" s="6"/>
      <c r="D946" s="7"/>
      <c r="E946" s="7"/>
      <c r="F946" s="8"/>
      <c r="G946" s="9"/>
      <c r="H946" s="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0"/>
      <c r="C947" s="6"/>
      <c r="D947" s="7"/>
      <c r="E947" s="7"/>
      <c r="F947" s="8"/>
      <c r="G947" s="9"/>
      <c r="H947" s="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0"/>
      <c r="C948" s="6"/>
      <c r="D948" s="7"/>
      <c r="E948" s="7"/>
      <c r="F948" s="8"/>
      <c r="G948" s="9"/>
      <c r="H948" s="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0"/>
      <c r="C949" s="6"/>
      <c r="D949" s="7"/>
      <c r="E949" s="7"/>
      <c r="F949" s="8"/>
      <c r="G949" s="9"/>
      <c r="H949" s="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0"/>
      <c r="C950" s="6"/>
      <c r="D950" s="7"/>
      <c r="E950" s="7"/>
      <c r="F950" s="8"/>
      <c r="G950" s="9"/>
      <c r="H950" s="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0"/>
      <c r="C951" s="6"/>
      <c r="D951" s="7"/>
      <c r="E951" s="7"/>
      <c r="F951" s="8"/>
      <c r="G951" s="9"/>
      <c r="H951" s="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0"/>
      <c r="C952" s="6"/>
      <c r="D952" s="7"/>
      <c r="E952" s="7"/>
      <c r="F952" s="8"/>
      <c r="G952" s="9"/>
      <c r="H952" s="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0"/>
      <c r="C953" s="6"/>
      <c r="D953" s="7"/>
      <c r="E953" s="7"/>
      <c r="F953" s="8"/>
      <c r="G953" s="9"/>
      <c r="H953" s="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0"/>
      <c r="C954" s="6"/>
      <c r="D954" s="7"/>
      <c r="E954" s="7"/>
      <c r="F954" s="8"/>
      <c r="G954" s="9"/>
      <c r="H954" s="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0"/>
      <c r="C955" s="6"/>
      <c r="D955" s="7"/>
      <c r="E955" s="7"/>
      <c r="F955" s="8"/>
      <c r="G955" s="9"/>
      <c r="H955" s="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0"/>
      <c r="C956" s="6"/>
      <c r="D956" s="7"/>
      <c r="E956" s="7"/>
      <c r="F956" s="8"/>
      <c r="G956" s="9"/>
      <c r="H956" s="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0"/>
      <c r="C957" s="6"/>
      <c r="D957" s="7"/>
      <c r="E957" s="7"/>
      <c r="F957" s="8"/>
      <c r="G957" s="9"/>
      <c r="H957" s="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0"/>
      <c r="C958" s="6"/>
      <c r="D958" s="7"/>
      <c r="E958" s="7"/>
      <c r="F958" s="8"/>
      <c r="G958" s="9"/>
      <c r="H958" s="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0"/>
      <c r="C959" s="6"/>
      <c r="D959" s="7"/>
      <c r="E959" s="7"/>
      <c r="F959" s="8"/>
      <c r="G959" s="9"/>
      <c r="H959" s="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0"/>
      <c r="C960" s="6"/>
      <c r="D960" s="7"/>
      <c r="E960" s="7"/>
      <c r="F960" s="8"/>
      <c r="G960" s="9"/>
      <c r="H960" s="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0"/>
      <c r="C961" s="6"/>
      <c r="D961" s="7"/>
      <c r="E961" s="7"/>
      <c r="F961" s="8"/>
      <c r="G961" s="9"/>
      <c r="H961" s="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0"/>
      <c r="C962" s="6"/>
      <c r="D962" s="7"/>
      <c r="E962" s="7"/>
      <c r="F962" s="8"/>
      <c r="G962" s="9"/>
      <c r="H962" s="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0"/>
      <c r="C963" s="6"/>
      <c r="D963" s="7"/>
      <c r="E963" s="7"/>
      <c r="F963" s="8"/>
      <c r="G963" s="9"/>
      <c r="H963" s="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0"/>
      <c r="C964" s="6"/>
      <c r="D964" s="7"/>
      <c r="E964" s="7"/>
      <c r="F964" s="8"/>
      <c r="G964" s="9"/>
      <c r="H964" s="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0"/>
      <c r="C965" s="6"/>
      <c r="D965" s="7"/>
      <c r="E965" s="7"/>
      <c r="F965" s="8"/>
      <c r="G965" s="9"/>
      <c r="H965" s="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0"/>
      <c r="C966" s="6"/>
      <c r="D966" s="7"/>
      <c r="E966" s="7"/>
      <c r="F966" s="8"/>
      <c r="G966" s="9"/>
      <c r="H966" s="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0"/>
      <c r="C967" s="6"/>
      <c r="D967" s="7"/>
      <c r="E967" s="7"/>
      <c r="F967" s="8"/>
      <c r="G967" s="9"/>
      <c r="H967" s="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0"/>
      <c r="C968" s="6"/>
      <c r="D968" s="7"/>
      <c r="E968" s="7"/>
      <c r="F968" s="8"/>
      <c r="G968" s="9"/>
      <c r="H968" s="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0"/>
      <c r="C969" s="6"/>
      <c r="D969" s="7"/>
      <c r="E969" s="7"/>
      <c r="F969" s="8"/>
      <c r="G969" s="9"/>
      <c r="H969" s="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0"/>
      <c r="C970" s="6"/>
      <c r="D970" s="7"/>
      <c r="E970" s="7"/>
      <c r="F970" s="8"/>
      <c r="G970" s="9"/>
      <c r="H970" s="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0"/>
      <c r="C971" s="6"/>
      <c r="D971" s="7"/>
      <c r="E971" s="7"/>
      <c r="F971" s="8"/>
      <c r="G971" s="9"/>
      <c r="H971" s="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0"/>
      <c r="C972" s="6"/>
      <c r="D972" s="7"/>
      <c r="E972" s="7"/>
      <c r="F972" s="8"/>
      <c r="G972" s="9"/>
      <c r="H972" s="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0"/>
      <c r="C973" s="6"/>
      <c r="D973" s="7"/>
      <c r="E973" s="7"/>
      <c r="F973" s="8"/>
      <c r="G973" s="9"/>
      <c r="H973" s="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0"/>
      <c r="C974" s="6"/>
      <c r="D974" s="7"/>
      <c r="E974" s="7"/>
      <c r="F974" s="8"/>
      <c r="G974" s="9"/>
      <c r="H974" s="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0"/>
      <c r="C975" s="6"/>
      <c r="D975" s="7"/>
      <c r="E975" s="7"/>
      <c r="F975" s="8"/>
      <c r="G975" s="9"/>
      <c r="H975" s="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0"/>
      <c r="C976" s="6"/>
      <c r="D976" s="7"/>
      <c r="E976" s="7"/>
      <c r="F976" s="8"/>
      <c r="G976" s="9"/>
      <c r="H976" s="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0"/>
      <c r="C977" s="6"/>
      <c r="D977" s="7"/>
      <c r="E977" s="7"/>
      <c r="F977" s="8"/>
      <c r="G977" s="9"/>
      <c r="H977" s="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0"/>
      <c r="C978" s="6"/>
      <c r="D978" s="7"/>
      <c r="E978" s="7"/>
      <c r="F978" s="8"/>
      <c r="G978" s="9"/>
      <c r="H978" s="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0"/>
      <c r="C979" s="6"/>
      <c r="D979" s="7"/>
      <c r="E979" s="7"/>
      <c r="F979" s="8"/>
      <c r="G979" s="9"/>
      <c r="H979" s="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0"/>
      <c r="C980" s="6"/>
      <c r="D980" s="7"/>
      <c r="E980" s="7"/>
      <c r="F980" s="8"/>
      <c r="G980" s="9"/>
      <c r="H980" s="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0"/>
      <c r="C981" s="6"/>
      <c r="D981" s="7"/>
      <c r="E981" s="7"/>
      <c r="F981" s="8"/>
      <c r="G981" s="9"/>
      <c r="H981" s="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0"/>
      <c r="C982" s="6"/>
      <c r="D982" s="7"/>
      <c r="E982" s="7"/>
      <c r="F982" s="8"/>
      <c r="G982" s="9"/>
      <c r="H982" s="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0"/>
      <c r="C983" s="6"/>
      <c r="D983" s="7"/>
      <c r="E983" s="7"/>
      <c r="F983" s="8"/>
      <c r="G983" s="9"/>
      <c r="H983" s="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0"/>
      <c r="C984" s="6"/>
      <c r="D984" s="7"/>
      <c r="E984" s="7"/>
      <c r="F984" s="8"/>
      <c r="G984" s="9"/>
      <c r="H984" s="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0"/>
      <c r="C985" s="6"/>
      <c r="D985" s="7"/>
      <c r="E985" s="7"/>
      <c r="F985" s="8"/>
      <c r="G985" s="9"/>
      <c r="H985" s="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0"/>
      <c r="C986" s="6"/>
      <c r="D986" s="7"/>
      <c r="E986" s="7"/>
      <c r="F986" s="8"/>
      <c r="G986" s="9"/>
      <c r="H986" s="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0"/>
      <c r="C987" s="6"/>
      <c r="D987" s="7"/>
      <c r="E987" s="7"/>
      <c r="F987" s="8"/>
      <c r="G987" s="9"/>
      <c r="H987" s="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0"/>
      <c r="C988" s="6"/>
      <c r="D988" s="7"/>
      <c r="E988" s="7"/>
      <c r="F988" s="8"/>
      <c r="G988" s="9"/>
      <c r="H988" s="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0"/>
      <c r="C989" s="6"/>
      <c r="D989" s="7"/>
      <c r="E989" s="7"/>
      <c r="F989" s="8"/>
      <c r="G989" s="9"/>
      <c r="H989" s="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0"/>
      <c r="C990" s="6"/>
      <c r="D990" s="7"/>
      <c r="E990" s="7"/>
      <c r="F990" s="8"/>
      <c r="G990" s="9"/>
      <c r="H990" s="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0"/>
      <c r="C991" s="6"/>
      <c r="D991" s="7"/>
      <c r="E991" s="7"/>
      <c r="F991" s="8"/>
      <c r="G991" s="9"/>
      <c r="H991" s="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0"/>
      <c r="C992" s="6"/>
      <c r="D992" s="7"/>
      <c r="E992" s="7"/>
      <c r="F992" s="8"/>
      <c r="G992" s="9"/>
      <c r="H992" s="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0"/>
      <c r="C993" s="6"/>
      <c r="D993" s="7"/>
      <c r="E993" s="7"/>
      <c r="F993" s="8"/>
      <c r="G993" s="9"/>
      <c r="H993" s="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0"/>
      <c r="C994" s="6"/>
      <c r="D994" s="7"/>
      <c r="E994" s="7"/>
      <c r="F994" s="8"/>
      <c r="G994" s="9"/>
      <c r="H994" s="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0"/>
      <c r="C995" s="6"/>
      <c r="D995" s="7"/>
      <c r="E995" s="7"/>
      <c r="F995" s="8"/>
      <c r="G995" s="9"/>
      <c r="H995" s="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0"/>
      <c r="C996" s="6"/>
      <c r="D996" s="7"/>
      <c r="E996" s="7"/>
      <c r="F996" s="8"/>
      <c r="G996" s="9"/>
      <c r="H996" s="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0"/>
      <c r="C997" s="6"/>
      <c r="D997" s="7"/>
      <c r="E997" s="7"/>
      <c r="F997" s="8"/>
      <c r="G997" s="9"/>
      <c r="H997" s="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0"/>
      <c r="C998" s="6"/>
      <c r="D998" s="7"/>
      <c r="E998" s="7"/>
      <c r="F998" s="8"/>
      <c r="G998" s="9"/>
      <c r="H998" s="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0"/>
      <c r="C999" s="6"/>
      <c r="D999" s="7"/>
      <c r="E999" s="7"/>
      <c r="F999" s="8"/>
      <c r="G999" s="9"/>
      <c r="H999" s="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0"/>
      <c r="C1000" s="6"/>
      <c r="D1000" s="7"/>
      <c r="E1000" s="7"/>
      <c r="F1000" s="8"/>
      <c r="G1000" s="9"/>
      <c r="H1000" s="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10"/>
      <c r="C1001" s="6"/>
      <c r="D1001" s="7"/>
      <c r="E1001" s="7"/>
      <c r="F1001" s="8"/>
      <c r="G1001" s="9"/>
      <c r="H1001" s="9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10"/>
      <c r="C1002" s="6"/>
      <c r="D1002" s="7"/>
      <c r="E1002" s="7"/>
      <c r="F1002" s="8"/>
      <c r="G1002" s="9"/>
      <c r="H1002" s="9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10"/>
      <c r="C1003" s="6"/>
      <c r="D1003" s="7"/>
      <c r="E1003" s="7"/>
      <c r="F1003" s="8"/>
      <c r="G1003" s="9"/>
      <c r="H1003" s="9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10"/>
      <c r="C1004" s="6"/>
      <c r="D1004" s="7"/>
      <c r="E1004" s="7"/>
      <c r="F1004" s="8"/>
      <c r="G1004" s="9"/>
      <c r="H1004" s="9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10"/>
      <c r="C1005" s="6"/>
      <c r="D1005" s="7"/>
      <c r="E1005" s="7"/>
      <c r="F1005" s="8"/>
      <c r="G1005" s="9"/>
      <c r="H1005" s="9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10"/>
      <c r="C1006" s="6"/>
      <c r="D1006" s="7"/>
      <c r="E1006" s="7"/>
      <c r="F1006" s="8"/>
      <c r="G1006" s="9"/>
      <c r="H1006" s="9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10"/>
      <c r="C1007" s="6"/>
      <c r="D1007" s="7"/>
      <c r="E1007" s="7"/>
      <c r="F1007" s="8"/>
      <c r="G1007" s="9"/>
      <c r="H1007" s="9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10"/>
      <c r="C1008" s="6"/>
      <c r="D1008" s="7"/>
      <c r="E1008" s="7"/>
      <c r="F1008" s="8"/>
      <c r="G1008" s="9"/>
      <c r="H1008" s="9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10"/>
      <c r="C1009" s="6"/>
      <c r="D1009" s="7"/>
      <c r="E1009" s="7"/>
      <c r="F1009" s="8"/>
      <c r="G1009" s="9"/>
      <c r="H1009" s="9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10"/>
      <c r="C1010" s="6"/>
      <c r="D1010" s="7"/>
      <c r="E1010" s="7"/>
      <c r="F1010" s="8"/>
      <c r="G1010" s="9"/>
      <c r="H1010" s="9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10"/>
      <c r="C1011" s="6"/>
      <c r="D1011" s="7"/>
      <c r="E1011" s="7"/>
      <c r="F1011" s="8"/>
      <c r="G1011" s="9"/>
      <c r="H1011" s="9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10"/>
      <c r="C1012" s="6"/>
      <c r="D1012" s="7"/>
      <c r="E1012" s="7"/>
      <c r="F1012" s="8"/>
      <c r="G1012" s="9"/>
      <c r="H1012" s="9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10"/>
      <c r="C1013" s="6"/>
      <c r="D1013" s="7"/>
      <c r="E1013" s="7"/>
      <c r="F1013" s="8"/>
      <c r="G1013" s="9"/>
      <c r="H1013" s="9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10"/>
      <c r="C1014" s="6"/>
      <c r="D1014" s="7"/>
      <c r="E1014" s="7"/>
      <c r="F1014" s="8"/>
      <c r="G1014" s="9"/>
      <c r="H1014" s="9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10"/>
      <c r="C1015" s="6"/>
      <c r="D1015" s="7"/>
      <c r="E1015" s="7"/>
      <c r="F1015" s="8"/>
      <c r="G1015" s="9"/>
      <c r="H1015" s="9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10"/>
      <c r="C1016" s="6"/>
      <c r="D1016" s="7"/>
      <c r="E1016" s="7"/>
      <c r="F1016" s="8"/>
      <c r="G1016" s="9"/>
      <c r="H1016" s="9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10"/>
      <c r="C1017" s="6"/>
      <c r="D1017" s="7"/>
      <c r="E1017" s="7"/>
      <c r="F1017" s="8"/>
      <c r="G1017" s="9"/>
      <c r="H1017" s="9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10"/>
      <c r="C1018" s="6"/>
      <c r="D1018" s="7"/>
      <c r="E1018" s="7"/>
      <c r="F1018" s="8"/>
      <c r="G1018" s="9"/>
      <c r="H1018" s="9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10"/>
      <c r="C1019" s="6"/>
      <c r="D1019" s="7"/>
      <c r="E1019" s="7"/>
      <c r="F1019" s="8"/>
      <c r="G1019" s="9"/>
      <c r="H1019" s="9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10"/>
      <c r="C1020" s="6"/>
      <c r="D1020" s="7"/>
      <c r="E1020" s="7"/>
      <c r="F1020" s="8"/>
      <c r="G1020" s="9"/>
      <c r="H1020" s="9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10"/>
      <c r="C1021" s="6"/>
      <c r="D1021" s="7"/>
      <c r="E1021" s="7"/>
      <c r="F1021" s="8"/>
      <c r="G1021" s="9"/>
      <c r="H1021" s="9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10"/>
      <c r="C1022" s="6"/>
      <c r="D1022" s="7"/>
      <c r="E1022" s="7"/>
      <c r="F1022" s="8"/>
      <c r="G1022" s="9"/>
      <c r="H1022" s="9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10"/>
      <c r="C1023" s="6"/>
      <c r="D1023" s="7"/>
      <c r="E1023" s="7"/>
      <c r="F1023" s="8"/>
      <c r="G1023" s="9"/>
      <c r="H1023" s="9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10"/>
      <c r="C1024" s="6"/>
      <c r="D1024" s="7"/>
      <c r="E1024" s="7"/>
      <c r="F1024" s="8"/>
      <c r="G1024" s="9"/>
      <c r="H1024" s="9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10"/>
      <c r="C1025" s="6"/>
      <c r="D1025" s="7"/>
      <c r="E1025" s="7"/>
      <c r="F1025" s="8"/>
      <c r="G1025" s="9"/>
      <c r="H1025" s="9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10"/>
      <c r="C1026" s="6"/>
      <c r="D1026" s="7"/>
      <c r="E1026" s="7"/>
      <c r="F1026" s="8"/>
      <c r="G1026" s="9"/>
      <c r="H1026" s="9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10"/>
      <c r="C1027" s="6"/>
      <c r="D1027" s="7"/>
      <c r="E1027" s="7"/>
      <c r="F1027" s="8"/>
      <c r="G1027" s="9"/>
      <c r="H1027" s="9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10"/>
      <c r="C1028" s="6"/>
      <c r="D1028" s="7"/>
      <c r="E1028" s="7"/>
      <c r="F1028" s="8"/>
      <c r="G1028" s="9"/>
      <c r="H1028" s="9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10"/>
      <c r="C1029" s="6"/>
      <c r="D1029" s="7"/>
      <c r="E1029" s="7"/>
      <c r="F1029" s="8"/>
      <c r="G1029" s="9"/>
      <c r="H1029" s="9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12"/>
      <c r="C1030" s="113"/>
      <c r="D1030" s="114"/>
      <c r="E1030" s="114"/>
      <c r="F1030" s="115"/>
    </row>
    <row r="1031">
      <c r="B1031" s="112"/>
      <c r="C1031" s="113"/>
      <c r="D1031" s="114"/>
      <c r="E1031" s="114"/>
      <c r="F1031" s="115"/>
    </row>
    <row r="1032">
      <c r="B1032" s="112"/>
      <c r="C1032" s="113"/>
      <c r="D1032" s="114"/>
      <c r="E1032" s="114"/>
      <c r="F1032" s="115"/>
    </row>
    <row r="1033">
      <c r="B1033" s="112"/>
      <c r="C1033" s="113"/>
      <c r="D1033" s="114"/>
      <c r="E1033" s="114"/>
      <c r="F1033" s="115"/>
    </row>
    <row r="1034">
      <c r="B1034" s="112"/>
      <c r="C1034" s="113"/>
      <c r="D1034" s="114"/>
      <c r="E1034" s="114"/>
      <c r="F1034" s="115"/>
    </row>
    <row r="1035">
      <c r="B1035" s="112"/>
      <c r="C1035" s="113"/>
      <c r="D1035" s="114"/>
      <c r="E1035" s="114"/>
      <c r="F1035" s="115"/>
    </row>
  </sheetData>
  <mergeCells count="38">
    <mergeCell ref="E8:E9"/>
    <mergeCell ref="F8:F9"/>
    <mergeCell ref="G8:G9"/>
    <mergeCell ref="H8:V8"/>
    <mergeCell ref="A1:V1"/>
    <mergeCell ref="A2:V2"/>
    <mergeCell ref="A3:V3"/>
    <mergeCell ref="A4:B4"/>
    <mergeCell ref="A6:F6"/>
    <mergeCell ref="A7:B7"/>
    <mergeCell ref="A8:A9"/>
    <mergeCell ref="C114:E114"/>
    <mergeCell ref="I114:N114"/>
    <mergeCell ref="V114:W114"/>
    <mergeCell ref="B8:B9"/>
    <mergeCell ref="D8:D9"/>
    <mergeCell ref="B108:I108"/>
    <mergeCell ref="A110:B110"/>
    <mergeCell ref="J111:T111"/>
    <mergeCell ref="A112:D112"/>
    <mergeCell ref="Q114:T114"/>
    <mergeCell ref="A114:B114"/>
    <mergeCell ref="A117:B117"/>
    <mergeCell ref="C117:F117"/>
    <mergeCell ref="Q117:T117"/>
    <mergeCell ref="V117:X117"/>
    <mergeCell ref="A118:B118"/>
    <mergeCell ref="C118:F118"/>
    <mergeCell ref="Q118:T118"/>
    <mergeCell ref="H124:T124"/>
    <mergeCell ref="H125:T125"/>
    <mergeCell ref="I117:N117"/>
    <mergeCell ref="I118:N118"/>
    <mergeCell ref="A120:B120"/>
    <mergeCell ref="C120:E120"/>
    <mergeCell ref="I120:L120"/>
    <mergeCell ref="Q120:T120"/>
    <mergeCell ref="H121:T1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2" max="2" width="57.75"/>
    <col customWidth="1" min="5" max="5" width="19.75"/>
    <col customWidth="1" min="6" max="6" width="26.13"/>
    <col customWidth="1" min="7" max="7" width="16.25"/>
    <col customWidth="1" min="13" max="13" width="22.75"/>
  </cols>
  <sheetData>
    <row r="1">
      <c r="A1" s="1" t="s">
        <v>0</v>
      </c>
      <c r="W1" s="2"/>
      <c r="X1" s="2"/>
      <c r="Y1" s="2"/>
      <c r="Z1" s="2"/>
    </row>
    <row r="2">
      <c r="A2" s="116" t="s">
        <v>149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C4" s="4"/>
      <c r="D4" s="117"/>
      <c r="E4" s="117"/>
      <c r="F4" s="8"/>
      <c r="G4" s="8"/>
      <c r="H4" s="8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/>
      <c r="D5" s="117"/>
      <c r="E5" s="117"/>
      <c r="F5" s="8"/>
      <c r="G5" s="8"/>
      <c r="H5" s="8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3</v>
      </c>
      <c r="G6" s="8"/>
      <c r="H6" s="8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4</v>
      </c>
      <c r="B7" s="13"/>
      <c r="C7" s="118"/>
      <c r="D7" s="119"/>
      <c r="E7" s="119"/>
      <c r="F7" s="16"/>
      <c r="G7" s="16"/>
      <c r="H7" s="16"/>
      <c r="I7" s="1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"/>
      <c r="X7" s="2"/>
      <c r="Y7" s="2"/>
      <c r="Z7" s="2"/>
    </row>
    <row r="8">
      <c r="A8" s="120" t="s">
        <v>5</v>
      </c>
      <c r="B8" s="121" t="s">
        <v>6</v>
      </c>
      <c r="C8" s="21" t="s">
        <v>7</v>
      </c>
      <c r="D8" s="22" t="s">
        <v>8</v>
      </c>
      <c r="E8" s="22" t="s">
        <v>9</v>
      </c>
      <c r="F8" s="121" t="s">
        <v>10</v>
      </c>
      <c r="G8" s="121" t="s">
        <v>11</v>
      </c>
      <c r="H8" s="122" t="s">
        <v>12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25"/>
      <c r="W8" s="123"/>
      <c r="X8" s="123"/>
      <c r="Y8" s="123"/>
      <c r="Z8" s="123"/>
    </row>
    <row r="9">
      <c r="A9" s="26"/>
      <c r="B9" s="25"/>
      <c r="C9" s="21" t="s">
        <v>13</v>
      </c>
      <c r="D9" s="25"/>
      <c r="E9" s="25"/>
      <c r="F9" s="25"/>
      <c r="G9" s="25"/>
      <c r="H9" s="124" t="s">
        <v>150</v>
      </c>
      <c r="I9" s="124" t="s">
        <v>151</v>
      </c>
      <c r="J9" s="124" t="s">
        <v>152</v>
      </c>
      <c r="K9" s="21" t="s">
        <v>17</v>
      </c>
      <c r="L9" s="21" t="s">
        <v>18</v>
      </c>
      <c r="M9" s="21" t="s">
        <v>19</v>
      </c>
      <c r="N9" s="21" t="s">
        <v>20</v>
      </c>
      <c r="O9" s="21" t="s">
        <v>21</v>
      </c>
      <c r="P9" s="21" t="s">
        <v>22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27</v>
      </c>
      <c r="W9" s="123"/>
      <c r="X9" s="123"/>
      <c r="Y9" s="123"/>
      <c r="Z9" s="123"/>
    </row>
    <row r="10">
      <c r="A10" s="125"/>
      <c r="B10" s="126" t="s">
        <v>28</v>
      </c>
      <c r="C10" s="127"/>
      <c r="D10" s="128"/>
      <c r="E10" s="128"/>
      <c r="F10" s="129"/>
      <c r="G10" s="129"/>
      <c r="H10" s="129"/>
      <c r="I10" s="130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2"/>
      <c r="W10" s="10"/>
      <c r="X10" s="10"/>
      <c r="Y10" s="10"/>
      <c r="Z10" s="10"/>
    </row>
    <row r="11">
      <c r="A11" s="29"/>
      <c r="B11" s="29" t="s">
        <v>153</v>
      </c>
      <c r="C11" s="133" t="s">
        <v>154</v>
      </c>
      <c r="D11" s="134">
        <v>2800.0</v>
      </c>
      <c r="E11" s="135">
        <f>D11*15</f>
        <v>42000</v>
      </c>
      <c r="F11" s="133" t="s">
        <v>31</v>
      </c>
      <c r="G11" s="136" t="s">
        <v>155</v>
      </c>
      <c r="H11" s="137"/>
      <c r="I11" s="138">
        <v>15.0</v>
      </c>
      <c r="J11" s="139"/>
      <c r="K11" s="139"/>
      <c r="L11" s="139"/>
      <c r="M11" s="43"/>
      <c r="N11" s="43"/>
      <c r="O11" s="43"/>
      <c r="P11" s="43"/>
      <c r="Q11" s="43"/>
      <c r="R11" s="43"/>
      <c r="S11" s="43"/>
      <c r="T11" s="43"/>
      <c r="U11" s="43"/>
      <c r="V11" s="38"/>
      <c r="W11" s="140"/>
      <c r="X11" s="140"/>
      <c r="Y11" s="2"/>
      <c r="Z11" s="2"/>
    </row>
    <row r="12">
      <c r="A12" s="52"/>
      <c r="B12" s="141" t="s">
        <v>156</v>
      </c>
      <c r="C12" s="59" t="s">
        <v>154</v>
      </c>
      <c r="D12" s="48">
        <v>2000.0</v>
      </c>
      <c r="E12" s="40">
        <f>2000*15</f>
        <v>30000</v>
      </c>
      <c r="F12" s="40" t="s">
        <v>31</v>
      </c>
      <c r="G12" s="142" t="s">
        <v>155</v>
      </c>
      <c r="H12" s="143"/>
      <c r="I12" s="144">
        <v>15.0</v>
      </c>
      <c r="J12" s="145"/>
      <c r="K12" s="145"/>
      <c r="L12" s="145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3"/>
      <c r="Z12" s="53"/>
    </row>
    <row r="13">
      <c r="A13" s="52"/>
      <c r="B13" s="141" t="s">
        <v>157</v>
      </c>
      <c r="C13" s="59" t="s">
        <v>158</v>
      </c>
      <c r="D13" s="48">
        <v>5500.0</v>
      </c>
      <c r="E13" s="40">
        <f>5500*5</f>
        <v>27500</v>
      </c>
      <c r="F13" s="39" t="s">
        <v>31</v>
      </c>
      <c r="G13" s="146" t="s">
        <v>155</v>
      </c>
      <c r="H13" s="147"/>
      <c r="I13" s="144">
        <v>5.0</v>
      </c>
      <c r="J13" s="145"/>
      <c r="K13" s="145"/>
      <c r="L13" s="145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3"/>
      <c r="Z13" s="53"/>
    </row>
    <row r="14" ht="412.5" customHeight="1">
      <c r="A14" s="52"/>
      <c r="B14" s="148" t="s">
        <v>159</v>
      </c>
      <c r="C14" s="149" t="s">
        <v>44</v>
      </c>
      <c r="D14" s="48">
        <v>35000.0</v>
      </c>
      <c r="E14" s="48">
        <v>35000.0</v>
      </c>
      <c r="F14" s="39" t="s">
        <v>31</v>
      </c>
      <c r="G14" s="146" t="s">
        <v>155</v>
      </c>
      <c r="H14" s="147"/>
      <c r="I14" s="144">
        <v>1.0</v>
      </c>
      <c r="J14" s="145"/>
      <c r="K14" s="145"/>
      <c r="L14" s="145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3"/>
      <c r="Z14" s="53"/>
    </row>
    <row r="15" ht="87.75" customHeight="1">
      <c r="A15" s="52"/>
      <c r="B15" s="148" t="s">
        <v>160</v>
      </c>
      <c r="C15" s="85" t="s">
        <v>161</v>
      </c>
      <c r="D15" s="48">
        <v>12000.0</v>
      </c>
      <c r="E15" s="40">
        <f>D15*2</f>
        <v>24000</v>
      </c>
      <c r="F15" s="39" t="s">
        <v>31</v>
      </c>
      <c r="G15" s="146"/>
      <c r="H15" s="147"/>
      <c r="I15" s="144"/>
      <c r="J15" s="145"/>
      <c r="K15" s="145"/>
      <c r="L15" s="145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53"/>
    </row>
    <row r="16" ht="18.0" customHeight="1">
      <c r="A16" s="52"/>
      <c r="B16" s="66" t="s">
        <v>162</v>
      </c>
      <c r="C16" s="85" t="s">
        <v>87</v>
      </c>
      <c r="D16" s="48">
        <v>2000.0</v>
      </c>
      <c r="E16" s="48">
        <v>2000.0</v>
      </c>
      <c r="F16" s="39" t="s">
        <v>31</v>
      </c>
      <c r="G16" s="146"/>
      <c r="H16" s="147"/>
      <c r="I16" s="144">
        <v>1.0</v>
      </c>
      <c r="J16" s="145"/>
      <c r="K16" s="145"/>
      <c r="L16" s="145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3"/>
      <c r="Z16" s="53"/>
    </row>
    <row r="17">
      <c r="A17" s="52"/>
      <c r="B17" s="150" t="s">
        <v>72</v>
      </c>
      <c r="C17" s="95"/>
      <c r="D17" s="113"/>
      <c r="E17" s="56"/>
      <c r="F17" s="95"/>
      <c r="G17" s="95"/>
      <c r="H17" s="95"/>
      <c r="I17" s="95"/>
      <c r="J17" s="145"/>
      <c r="K17" s="145"/>
      <c r="L17" s="145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  <c r="Z17" s="53"/>
    </row>
    <row r="18" ht="121.5" customHeight="1">
      <c r="A18" s="52"/>
      <c r="B18" s="151" t="s">
        <v>163</v>
      </c>
      <c r="C18" s="133" t="s">
        <v>44</v>
      </c>
      <c r="D18" s="135">
        <v>37490.0</v>
      </c>
      <c r="E18" s="135">
        <v>45000.0</v>
      </c>
      <c r="F18" s="136"/>
      <c r="G18" s="95"/>
      <c r="H18" s="95"/>
      <c r="I18" s="98">
        <v>1.0</v>
      </c>
      <c r="J18" s="145"/>
      <c r="K18" s="145"/>
      <c r="L18" s="145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3"/>
      <c r="Z18" s="53"/>
    </row>
    <row r="19">
      <c r="A19" s="52"/>
      <c r="B19" s="141" t="s">
        <v>164</v>
      </c>
      <c r="C19" s="39" t="s">
        <v>44</v>
      </c>
      <c r="D19" s="40">
        <v>15900.0</v>
      </c>
      <c r="E19" s="40">
        <v>17000.0</v>
      </c>
      <c r="F19" s="146"/>
      <c r="G19" s="95"/>
      <c r="H19" s="95"/>
      <c r="I19" s="98">
        <v>1.0</v>
      </c>
      <c r="J19" s="145"/>
      <c r="K19" s="145"/>
      <c r="L19" s="145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/>
      <c r="Z19" s="53"/>
    </row>
    <row r="20">
      <c r="A20" s="52"/>
      <c r="B20" s="141" t="s">
        <v>165</v>
      </c>
      <c r="C20" s="39" t="s">
        <v>44</v>
      </c>
      <c r="D20" s="40">
        <v>10800.0</v>
      </c>
      <c r="E20" s="40">
        <v>12000.0</v>
      </c>
      <c r="F20" s="146"/>
      <c r="G20" s="95"/>
      <c r="H20" s="95"/>
      <c r="I20" s="98">
        <v>1.0</v>
      </c>
      <c r="J20" s="145"/>
      <c r="K20" s="145"/>
      <c r="L20" s="145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3"/>
      <c r="Z20" s="53"/>
    </row>
    <row r="21">
      <c r="A21" s="52"/>
      <c r="B21" s="148" t="s">
        <v>166</v>
      </c>
      <c r="C21" s="39" t="s">
        <v>44</v>
      </c>
      <c r="D21" s="40">
        <v>7400.0</v>
      </c>
      <c r="E21" s="40">
        <v>9000.0</v>
      </c>
      <c r="F21" s="146"/>
      <c r="G21" s="95"/>
      <c r="H21" s="95"/>
      <c r="I21" s="98">
        <v>1.0</v>
      </c>
      <c r="J21" s="145"/>
      <c r="K21" s="145"/>
      <c r="L21" s="145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  <c r="Z21" s="53"/>
    </row>
    <row r="22" ht="103.5" customHeight="1">
      <c r="A22" s="52"/>
      <c r="B22" s="141" t="s">
        <v>167</v>
      </c>
      <c r="C22" s="39" t="s">
        <v>168</v>
      </c>
      <c r="D22" s="40">
        <v>1195.0</v>
      </c>
      <c r="E22" s="40">
        <f>1300*3</f>
        <v>3900</v>
      </c>
      <c r="F22" s="146"/>
      <c r="G22" s="95"/>
      <c r="H22" s="95"/>
      <c r="I22" s="98">
        <v>3.0</v>
      </c>
      <c r="J22" s="145"/>
      <c r="K22" s="145"/>
      <c r="L22" s="145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3"/>
      <c r="Z22" s="53"/>
    </row>
    <row r="23">
      <c r="A23" s="52"/>
      <c r="B23" s="29" t="s">
        <v>169</v>
      </c>
      <c r="C23" s="39" t="s">
        <v>168</v>
      </c>
      <c r="D23" s="40">
        <v>1599.75</v>
      </c>
      <c r="E23" s="40">
        <f>1800*3</f>
        <v>5400</v>
      </c>
      <c r="F23" s="146"/>
      <c r="G23" s="95"/>
      <c r="H23" s="95"/>
      <c r="I23" s="98">
        <v>3.0</v>
      </c>
      <c r="J23" s="145"/>
      <c r="K23" s="145"/>
      <c r="L23" s="145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53"/>
    </row>
    <row r="24">
      <c r="A24" s="52"/>
      <c r="B24" s="148" t="s">
        <v>170</v>
      </c>
      <c r="C24" s="39" t="s">
        <v>168</v>
      </c>
      <c r="D24" s="40">
        <v>1299.75</v>
      </c>
      <c r="E24" s="40">
        <f>1500*3</f>
        <v>4500</v>
      </c>
      <c r="F24" s="146"/>
      <c r="G24" s="95"/>
      <c r="H24" s="95"/>
      <c r="I24" s="98">
        <v>3.0</v>
      </c>
      <c r="J24" s="145"/>
      <c r="K24" s="145"/>
      <c r="L24" s="145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3"/>
      <c r="Z24" s="53"/>
    </row>
    <row r="25" ht="15.0" customHeight="1">
      <c r="A25" s="52"/>
      <c r="B25" s="152" t="s">
        <v>171</v>
      </c>
      <c r="C25" s="153" t="s">
        <v>44</v>
      </c>
      <c r="D25" s="154">
        <v>100.0</v>
      </c>
      <c r="E25" s="48">
        <v>3000.0</v>
      </c>
      <c r="F25" s="155" t="s">
        <v>31</v>
      </c>
      <c r="G25" s="156"/>
      <c r="H25" s="95"/>
      <c r="I25" s="157">
        <v>1.0</v>
      </c>
      <c r="J25" s="145"/>
      <c r="K25" s="145"/>
      <c r="L25" s="145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3"/>
      <c r="Z25" s="53"/>
    </row>
    <row r="26" ht="15.0" customHeight="1">
      <c r="A26" s="52"/>
      <c r="B26" s="158" t="s">
        <v>172</v>
      </c>
      <c r="C26" s="159"/>
      <c r="D26" s="160">
        <v>200.0</v>
      </c>
      <c r="E26" s="48">
        <v>2000.0</v>
      </c>
      <c r="F26" s="161"/>
      <c r="G26" s="159"/>
      <c r="H26" s="95"/>
      <c r="I26" s="159"/>
      <c r="J26" s="145"/>
      <c r="K26" s="145"/>
      <c r="L26" s="145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3"/>
      <c r="Z26" s="53"/>
    </row>
    <row r="27">
      <c r="A27" s="52"/>
      <c r="B27" s="162" t="s">
        <v>173</v>
      </c>
      <c r="C27" s="159"/>
      <c r="D27" s="163">
        <v>35.0</v>
      </c>
      <c r="E27" s="99">
        <v>1750.0</v>
      </c>
      <c r="F27" s="161"/>
      <c r="G27" s="159"/>
      <c r="H27" s="95"/>
      <c r="I27" s="159"/>
      <c r="J27" s="145"/>
      <c r="K27" s="145"/>
      <c r="L27" s="145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  <c r="Z27" s="53"/>
    </row>
    <row r="28">
      <c r="A28" s="52"/>
      <c r="B28" s="164" t="s">
        <v>174</v>
      </c>
      <c r="C28" s="26"/>
      <c r="D28" s="163">
        <v>300.0</v>
      </c>
      <c r="E28" s="99">
        <f>300*4</f>
        <v>1200</v>
      </c>
      <c r="F28" s="25"/>
      <c r="G28" s="26"/>
      <c r="H28" s="95"/>
      <c r="I28" s="26"/>
      <c r="J28" s="145"/>
      <c r="K28" s="145"/>
      <c r="L28" s="145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3"/>
      <c r="Z28" s="53"/>
    </row>
    <row r="29">
      <c r="A29" s="52"/>
      <c r="B29" s="165" t="s">
        <v>175</v>
      </c>
      <c r="C29" s="166" t="s">
        <v>44</v>
      </c>
      <c r="D29" s="163">
        <v>6000.0</v>
      </c>
      <c r="E29" s="56">
        <f t="shared" ref="E29:E32" si="1">6000*6</f>
        <v>36000</v>
      </c>
      <c r="F29" s="155" t="s">
        <v>31</v>
      </c>
      <c r="G29" s="156"/>
      <c r="H29" s="95"/>
      <c r="I29" s="157">
        <v>1.0</v>
      </c>
      <c r="J29" s="145"/>
      <c r="K29" s="145"/>
      <c r="L29" s="145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  <c r="Z29" s="53"/>
    </row>
    <row r="30">
      <c r="A30" s="52"/>
      <c r="B30" s="167" t="s">
        <v>176</v>
      </c>
      <c r="C30" s="159"/>
      <c r="D30" s="163">
        <v>6000.0</v>
      </c>
      <c r="E30" s="56">
        <f t="shared" si="1"/>
        <v>36000</v>
      </c>
      <c r="F30" s="161"/>
      <c r="G30" s="159"/>
      <c r="H30" s="95"/>
      <c r="I30" s="159"/>
      <c r="J30" s="145"/>
      <c r="K30" s="145"/>
      <c r="L30" s="145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3"/>
      <c r="Z30" s="53"/>
    </row>
    <row r="31">
      <c r="A31" s="52"/>
      <c r="B31" s="167" t="s">
        <v>177</v>
      </c>
      <c r="C31" s="159"/>
      <c r="D31" s="163">
        <v>6000.0</v>
      </c>
      <c r="E31" s="56">
        <f t="shared" si="1"/>
        <v>36000</v>
      </c>
      <c r="F31" s="161"/>
      <c r="G31" s="159"/>
      <c r="H31" s="95"/>
      <c r="I31" s="159"/>
      <c r="J31" s="145"/>
      <c r="K31" s="145"/>
      <c r="L31" s="145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3"/>
      <c r="Z31" s="53"/>
    </row>
    <row r="32">
      <c r="A32" s="52"/>
      <c r="B32" s="167" t="s">
        <v>178</v>
      </c>
      <c r="C32" s="159"/>
      <c r="D32" s="163">
        <v>6000.0</v>
      </c>
      <c r="E32" s="56">
        <f t="shared" si="1"/>
        <v>36000</v>
      </c>
      <c r="F32" s="161"/>
      <c r="G32" s="159"/>
      <c r="H32" s="95"/>
      <c r="I32" s="159"/>
      <c r="J32" s="145"/>
      <c r="K32" s="145"/>
      <c r="L32" s="145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3"/>
      <c r="Z32" s="53"/>
    </row>
    <row r="33">
      <c r="A33" s="52"/>
      <c r="B33" s="162" t="s">
        <v>179</v>
      </c>
      <c r="C33" s="159"/>
      <c r="D33" s="163">
        <v>6000.0</v>
      </c>
      <c r="E33" s="56">
        <f t="shared" ref="E33:E36" si="2">6000*5</f>
        <v>30000</v>
      </c>
      <c r="F33" s="161"/>
      <c r="G33" s="159"/>
      <c r="H33" s="95"/>
      <c r="I33" s="159"/>
      <c r="J33" s="145"/>
      <c r="K33" s="145"/>
      <c r="L33" s="145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3"/>
      <c r="Z33" s="53"/>
    </row>
    <row r="34">
      <c r="A34" s="52"/>
      <c r="B34" s="162" t="s">
        <v>180</v>
      </c>
      <c r="C34" s="159"/>
      <c r="D34" s="163">
        <v>6000.0</v>
      </c>
      <c r="E34" s="56">
        <f t="shared" si="2"/>
        <v>30000</v>
      </c>
      <c r="F34" s="161"/>
      <c r="G34" s="159"/>
      <c r="H34" s="95"/>
      <c r="I34" s="159"/>
      <c r="J34" s="145"/>
      <c r="K34" s="145"/>
      <c r="L34" s="145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3"/>
      <c r="Z34" s="53"/>
    </row>
    <row r="35">
      <c r="A35" s="52"/>
      <c r="B35" s="162" t="s">
        <v>181</v>
      </c>
      <c r="C35" s="159"/>
      <c r="D35" s="163">
        <v>6000.0</v>
      </c>
      <c r="E35" s="56">
        <f t="shared" si="2"/>
        <v>30000</v>
      </c>
      <c r="F35" s="161"/>
      <c r="G35" s="159"/>
      <c r="H35" s="95"/>
      <c r="I35" s="159"/>
      <c r="J35" s="145"/>
      <c r="K35" s="145"/>
      <c r="L35" s="145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  <c r="Z35" s="53"/>
    </row>
    <row r="36">
      <c r="A36" s="52"/>
      <c r="B36" s="162" t="s">
        <v>182</v>
      </c>
      <c r="C36" s="159"/>
      <c r="D36" s="163">
        <v>6000.0</v>
      </c>
      <c r="E36" s="56">
        <f t="shared" si="2"/>
        <v>30000</v>
      </c>
      <c r="F36" s="161"/>
      <c r="G36" s="159"/>
      <c r="H36" s="95"/>
      <c r="I36" s="159"/>
      <c r="J36" s="145"/>
      <c r="K36" s="145"/>
      <c r="L36" s="145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3"/>
      <c r="Z36" s="53"/>
    </row>
    <row r="37">
      <c r="A37" s="52"/>
      <c r="B37" s="162" t="s">
        <v>183</v>
      </c>
      <c r="C37" s="159"/>
      <c r="D37" s="168">
        <v>1000.0</v>
      </c>
      <c r="E37" s="56">
        <f>600*4</f>
        <v>2400</v>
      </c>
      <c r="F37" s="161"/>
      <c r="G37" s="159"/>
      <c r="H37" s="95"/>
      <c r="I37" s="159"/>
      <c r="J37" s="145"/>
      <c r="K37" s="145"/>
      <c r="L37" s="145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3"/>
      <c r="Z37" s="53"/>
    </row>
    <row r="38">
      <c r="A38" s="52"/>
      <c r="B38" s="162" t="s">
        <v>184</v>
      </c>
      <c r="C38" s="159"/>
      <c r="D38" s="168">
        <v>1000.0</v>
      </c>
      <c r="E38" s="56">
        <f t="shared" ref="E38:E40" si="3">450*3</f>
        <v>1350</v>
      </c>
      <c r="F38" s="161"/>
      <c r="G38" s="159"/>
      <c r="H38" s="95"/>
      <c r="I38" s="159"/>
      <c r="J38" s="145"/>
      <c r="K38" s="145"/>
      <c r="L38" s="145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3"/>
      <c r="Z38" s="53"/>
    </row>
    <row r="39">
      <c r="A39" s="52"/>
      <c r="B39" s="162" t="s">
        <v>185</v>
      </c>
      <c r="C39" s="159"/>
      <c r="D39" s="168">
        <v>1000.0</v>
      </c>
      <c r="E39" s="56">
        <f t="shared" si="3"/>
        <v>1350</v>
      </c>
      <c r="F39" s="161"/>
      <c r="G39" s="159"/>
      <c r="H39" s="95"/>
      <c r="I39" s="159"/>
      <c r="J39" s="145"/>
      <c r="K39" s="145"/>
      <c r="L39" s="145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3"/>
      <c r="Z39" s="53"/>
    </row>
    <row r="40">
      <c r="A40" s="52"/>
      <c r="B40" s="162" t="s">
        <v>186</v>
      </c>
      <c r="C40" s="159"/>
      <c r="D40" s="168">
        <v>1000.0</v>
      </c>
      <c r="E40" s="56">
        <f t="shared" si="3"/>
        <v>1350</v>
      </c>
      <c r="F40" s="161"/>
      <c r="G40" s="159"/>
      <c r="H40" s="95"/>
      <c r="I40" s="159"/>
      <c r="J40" s="145"/>
      <c r="K40" s="145"/>
      <c r="L40" s="145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3"/>
      <c r="Z40" s="53"/>
    </row>
    <row r="41">
      <c r="A41" s="52"/>
      <c r="B41" s="162" t="s">
        <v>187</v>
      </c>
      <c r="C41" s="26"/>
      <c r="D41" s="163">
        <v>800.0</v>
      </c>
      <c r="E41" s="56">
        <f>800*3</f>
        <v>2400</v>
      </c>
      <c r="F41" s="25"/>
      <c r="G41" s="26"/>
      <c r="H41" s="95"/>
      <c r="I41" s="26"/>
      <c r="J41" s="145"/>
      <c r="K41" s="145"/>
      <c r="L41" s="145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53"/>
    </row>
    <row r="42">
      <c r="A42" s="52"/>
      <c r="B42" s="169" t="s">
        <v>188</v>
      </c>
      <c r="C42" s="166" t="s">
        <v>44</v>
      </c>
      <c r="D42" s="163">
        <v>5000.0</v>
      </c>
      <c r="E42" s="56">
        <f>5000*3</f>
        <v>15000</v>
      </c>
      <c r="F42" s="155" t="s">
        <v>31</v>
      </c>
      <c r="G42" s="156"/>
      <c r="H42" s="95"/>
      <c r="I42" s="157">
        <v>1.0</v>
      </c>
      <c r="J42" s="145"/>
      <c r="K42" s="145"/>
      <c r="L42" s="145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3"/>
      <c r="Z42" s="53"/>
    </row>
    <row r="43">
      <c r="A43" s="52"/>
      <c r="B43" s="162" t="s">
        <v>189</v>
      </c>
      <c r="C43" s="159"/>
      <c r="D43" s="163">
        <v>3500.0</v>
      </c>
      <c r="E43" s="56">
        <f>3500*3</f>
        <v>10500</v>
      </c>
      <c r="F43" s="161"/>
      <c r="G43" s="159"/>
      <c r="H43" s="95"/>
      <c r="I43" s="159"/>
      <c r="J43" s="145"/>
      <c r="K43" s="145"/>
      <c r="L43" s="145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3"/>
      <c r="Z43" s="53"/>
    </row>
    <row r="44">
      <c r="A44" s="52"/>
      <c r="B44" s="162" t="s">
        <v>190</v>
      </c>
      <c r="C44" s="159"/>
      <c r="D44" s="163">
        <v>600.0</v>
      </c>
      <c r="E44" s="56">
        <f>600*5</f>
        <v>3000</v>
      </c>
      <c r="F44" s="161"/>
      <c r="G44" s="159"/>
      <c r="H44" s="95"/>
      <c r="I44" s="159"/>
      <c r="J44" s="145"/>
      <c r="K44" s="145"/>
      <c r="L44" s="145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3"/>
      <c r="Z44" s="53"/>
    </row>
    <row r="45">
      <c r="A45" s="52"/>
      <c r="B45" s="162" t="s">
        <v>191</v>
      </c>
      <c r="C45" s="159"/>
      <c r="D45" s="163">
        <v>2000.0</v>
      </c>
      <c r="E45" s="56">
        <f>2000*10</f>
        <v>20000</v>
      </c>
      <c r="F45" s="161"/>
      <c r="G45" s="159"/>
      <c r="H45" s="95"/>
      <c r="I45" s="159"/>
      <c r="J45" s="145"/>
      <c r="K45" s="145"/>
      <c r="L45" s="145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3"/>
      <c r="Z45" s="53"/>
    </row>
    <row r="46">
      <c r="A46" s="52"/>
      <c r="B46" s="170" t="s">
        <v>192</v>
      </c>
      <c r="C46" s="159"/>
      <c r="D46" s="163">
        <v>1000.0</v>
      </c>
      <c r="E46" s="56">
        <f>1000*2</f>
        <v>2000</v>
      </c>
      <c r="F46" s="161"/>
      <c r="G46" s="159"/>
      <c r="H46" s="95"/>
      <c r="I46" s="159"/>
      <c r="J46" s="145"/>
      <c r="K46" s="145"/>
      <c r="L46" s="145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3"/>
      <c r="Z46" s="53"/>
    </row>
    <row r="47">
      <c r="A47" s="52"/>
      <c r="B47" s="170" t="s">
        <v>193</v>
      </c>
      <c r="C47" s="26"/>
      <c r="D47" s="163">
        <v>1500.0</v>
      </c>
      <c r="E47" s="56">
        <f>1500*4</f>
        <v>6000</v>
      </c>
      <c r="F47" s="25"/>
      <c r="G47" s="26"/>
      <c r="H47" s="95"/>
      <c r="I47" s="26"/>
      <c r="J47" s="145"/>
      <c r="K47" s="145"/>
      <c r="L47" s="145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3"/>
      <c r="Z47" s="53"/>
    </row>
    <row r="48">
      <c r="A48" s="52"/>
      <c r="B48" s="162" t="s">
        <v>194</v>
      </c>
      <c r="C48" s="166" t="s">
        <v>44</v>
      </c>
      <c r="D48" s="163">
        <v>1000.0</v>
      </c>
      <c r="E48" s="56">
        <f>1000*15</f>
        <v>15000</v>
      </c>
      <c r="F48" s="155" t="s">
        <v>31</v>
      </c>
      <c r="G48" s="156"/>
      <c r="H48" s="95"/>
      <c r="I48" s="157">
        <v>1.0</v>
      </c>
      <c r="J48" s="145"/>
      <c r="K48" s="145"/>
      <c r="L48" s="145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3"/>
      <c r="Z48" s="53"/>
    </row>
    <row r="49">
      <c r="A49" s="52"/>
      <c r="B49" s="162" t="s">
        <v>195</v>
      </c>
      <c r="C49" s="159"/>
      <c r="D49" s="163">
        <v>1000.0</v>
      </c>
      <c r="E49" s="56">
        <f t="shared" ref="E49:E50" si="4">1000*10</f>
        <v>10000</v>
      </c>
      <c r="F49" s="161"/>
      <c r="G49" s="159"/>
      <c r="H49" s="95"/>
      <c r="I49" s="159"/>
      <c r="J49" s="145"/>
      <c r="K49" s="145"/>
      <c r="L49" s="145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3"/>
      <c r="Z49" s="53"/>
    </row>
    <row r="50">
      <c r="A50" s="52"/>
      <c r="B50" s="162" t="s">
        <v>196</v>
      </c>
      <c r="C50" s="159"/>
      <c r="D50" s="163">
        <v>1000.0</v>
      </c>
      <c r="E50" s="56">
        <f t="shared" si="4"/>
        <v>10000</v>
      </c>
      <c r="F50" s="161"/>
      <c r="G50" s="159"/>
      <c r="H50" s="95"/>
      <c r="I50" s="159"/>
      <c r="J50" s="145"/>
      <c r="K50" s="145"/>
      <c r="L50" s="145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3"/>
      <c r="Z50" s="53"/>
    </row>
    <row r="51">
      <c r="A51" s="52"/>
      <c r="B51" s="162" t="s">
        <v>197</v>
      </c>
      <c r="C51" s="159"/>
      <c r="D51" s="163">
        <v>1000.0</v>
      </c>
      <c r="E51" s="56">
        <f>1000*8</f>
        <v>8000</v>
      </c>
      <c r="F51" s="161"/>
      <c r="G51" s="159"/>
      <c r="H51" s="95"/>
      <c r="I51" s="159"/>
      <c r="J51" s="145"/>
      <c r="K51" s="145"/>
      <c r="L51" s="145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3"/>
      <c r="Z51" s="53"/>
    </row>
    <row r="52">
      <c r="A52" s="52"/>
      <c r="B52" s="162" t="s">
        <v>198</v>
      </c>
      <c r="C52" s="159"/>
      <c r="D52" s="163">
        <v>1000.0</v>
      </c>
      <c r="E52" s="56">
        <f>1000*4</f>
        <v>4000</v>
      </c>
      <c r="F52" s="161"/>
      <c r="G52" s="159"/>
      <c r="H52" s="95"/>
      <c r="I52" s="159"/>
      <c r="J52" s="145"/>
      <c r="K52" s="145"/>
      <c r="L52" s="145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3"/>
      <c r="Z52" s="53"/>
    </row>
    <row r="53">
      <c r="A53" s="52"/>
      <c r="B53" s="162" t="s">
        <v>199</v>
      </c>
      <c r="C53" s="159"/>
      <c r="D53" s="163">
        <v>100.0</v>
      </c>
      <c r="E53" s="56">
        <f t="shared" ref="E53:E54" si="5">100*3</f>
        <v>300</v>
      </c>
      <c r="F53" s="161"/>
      <c r="G53" s="159"/>
      <c r="H53" s="95"/>
      <c r="I53" s="159"/>
      <c r="J53" s="145"/>
      <c r="K53" s="145"/>
      <c r="L53" s="145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3"/>
      <c r="Z53" s="53"/>
    </row>
    <row r="54">
      <c r="A54" s="52"/>
      <c r="B54" s="162" t="s">
        <v>200</v>
      </c>
      <c r="C54" s="159"/>
      <c r="D54" s="163">
        <v>100.0</v>
      </c>
      <c r="E54" s="56">
        <f t="shared" si="5"/>
        <v>300</v>
      </c>
      <c r="F54" s="161"/>
      <c r="G54" s="159"/>
      <c r="H54" s="95"/>
      <c r="I54" s="159"/>
      <c r="J54" s="145"/>
      <c r="K54" s="145"/>
      <c r="L54" s="145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3"/>
      <c r="Z54" s="53"/>
    </row>
    <row r="55">
      <c r="A55" s="52"/>
      <c r="B55" s="162" t="s">
        <v>201</v>
      </c>
      <c r="C55" s="159"/>
      <c r="D55" s="163">
        <v>20.0</v>
      </c>
      <c r="E55" s="56">
        <f>20*10</f>
        <v>200</v>
      </c>
      <c r="F55" s="161"/>
      <c r="G55" s="159"/>
      <c r="H55" s="95"/>
      <c r="I55" s="159"/>
      <c r="J55" s="145"/>
      <c r="K55" s="145"/>
      <c r="L55" s="145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3"/>
      <c r="Z55" s="53"/>
    </row>
    <row r="56">
      <c r="A56" s="52"/>
      <c r="B56" s="162" t="s">
        <v>202</v>
      </c>
      <c r="C56" s="159"/>
      <c r="D56" s="163">
        <v>30.0</v>
      </c>
      <c r="E56" s="56">
        <f>30*10</f>
        <v>300</v>
      </c>
      <c r="F56" s="161"/>
      <c r="G56" s="159"/>
      <c r="H56" s="95"/>
      <c r="I56" s="159"/>
      <c r="J56" s="145"/>
      <c r="K56" s="145"/>
      <c r="L56" s="145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3"/>
      <c r="Z56" s="53"/>
    </row>
    <row r="57">
      <c r="A57" s="52"/>
      <c r="B57" s="169" t="s">
        <v>203</v>
      </c>
      <c r="C57" s="159"/>
      <c r="D57" s="163">
        <v>40.0</v>
      </c>
      <c r="E57" s="56">
        <f>40*10</f>
        <v>400</v>
      </c>
      <c r="F57" s="161"/>
      <c r="G57" s="159"/>
      <c r="H57" s="95"/>
      <c r="I57" s="159"/>
      <c r="J57" s="145"/>
      <c r="K57" s="145"/>
      <c r="L57" s="145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3"/>
      <c r="Z57" s="53"/>
    </row>
    <row r="58">
      <c r="A58" s="52"/>
      <c r="B58" s="162" t="s">
        <v>204</v>
      </c>
      <c r="C58" s="159"/>
      <c r="D58" s="163">
        <v>100.0</v>
      </c>
      <c r="E58" s="56">
        <f>100*10</f>
        <v>1000</v>
      </c>
      <c r="F58" s="161"/>
      <c r="G58" s="159"/>
      <c r="H58" s="95"/>
      <c r="I58" s="159"/>
      <c r="J58" s="145"/>
      <c r="K58" s="145"/>
      <c r="L58" s="145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3"/>
      <c r="Z58" s="53"/>
    </row>
    <row r="59">
      <c r="A59" s="52"/>
      <c r="B59" s="162" t="s">
        <v>205</v>
      </c>
      <c r="C59" s="159"/>
      <c r="D59" s="163">
        <v>200.0</v>
      </c>
      <c r="E59" s="56">
        <f>200*25</f>
        <v>5000</v>
      </c>
      <c r="F59" s="161"/>
      <c r="G59" s="159"/>
      <c r="H59" s="95"/>
      <c r="I59" s="159"/>
      <c r="J59" s="145"/>
      <c r="K59" s="145"/>
      <c r="L59" s="145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3"/>
      <c r="Z59" s="53"/>
    </row>
    <row r="60">
      <c r="A60" s="52"/>
      <c r="B60" s="162" t="s">
        <v>206</v>
      </c>
      <c r="C60" s="159"/>
      <c r="D60" s="163">
        <v>150.0</v>
      </c>
      <c r="E60" s="56">
        <f>150*10</f>
        <v>1500</v>
      </c>
      <c r="F60" s="161"/>
      <c r="G60" s="159"/>
      <c r="H60" s="95"/>
      <c r="I60" s="159"/>
      <c r="J60" s="145"/>
      <c r="K60" s="145"/>
      <c r="L60" s="145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3"/>
      <c r="Z60" s="53"/>
    </row>
    <row r="61">
      <c r="A61" s="52"/>
      <c r="B61" s="162" t="s">
        <v>207</v>
      </c>
      <c r="C61" s="159"/>
      <c r="D61" s="163">
        <v>50.0</v>
      </c>
      <c r="E61" s="56">
        <f>50*30</f>
        <v>1500</v>
      </c>
      <c r="F61" s="161"/>
      <c r="G61" s="159"/>
      <c r="H61" s="95"/>
      <c r="I61" s="159"/>
      <c r="J61" s="145"/>
      <c r="K61" s="145"/>
      <c r="L61" s="145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3"/>
      <c r="Z61" s="53"/>
    </row>
    <row r="62">
      <c r="A62" s="52"/>
      <c r="B62" s="162" t="s">
        <v>208</v>
      </c>
      <c r="C62" s="159"/>
      <c r="D62" s="163">
        <v>100.0</v>
      </c>
      <c r="E62" s="56">
        <f>100*50</f>
        <v>5000</v>
      </c>
      <c r="F62" s="161"/>
      <c r="G62" s="159"/>
      <c r="H62" s="95"/>
      <c r="I62" s="159"/>
      <c r="J62" s="145"/>
      <c r="K62" s="145"/>
      <c r="L62" s="145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3"/>
      <c r="Z62" s="53"/>
    </row>
    <row r="63">
      <c r="A63" s="52"/>
      <c r="B63" s="162" t="s">
        <v>209</v>
      </c>
      <c r="C63" s="159"/>
      <c r="D63" s="163">
        <v>50.0</v>
      </c>
      <c r="E63" s="56">
        <f>50*20</f>
        <v>1000</v>
      </c>
      <c r="F63" s="161"/>
      <c r="G63" s="159"/>
      <c r="H63" s="95"/>
      <c r="I63" s="159"/>
      <c r="J63" s="145"/>
      <c r="K63" s="145"/>
      <c r="L63" s="145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3"/>
      <c r="Z63" s="53"/>
    </row>
    <row r="64">
      <c r="A64" s="52"/>
      <c r="B64" s="162" t="s">
        <v>210</v>
      </c>
      <c r="C64" s="159"/>
      <c r="D64" s="163">
        <v>100.0</v>
      </c>
      <c r="E64" s="56">
        <f>100*40</f>
        <v>4000</v>
      </c>
      <c r="F64" s="161"/>
      <c r="G64" s="159"/>
      <c r="H64" s="95"/>
      <c r="I64" s="159"/>
      <c r="J64" s="145"/>
      <c r="K64" s="145"/>
      <c r="L64" s="145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3"/>
      <c r="Z64" s="53"/>
    </row>
    <row r="65">
      <c r="A65" s="52"/>
      <c r="B65" s="162" t="s">
        <v>211</v>
      </c>
      <c r="C65" s="159"/>
      <c r="D65" s="163">
        <v>45.0</v>
      </c>
      <c r="E65" s="56">
        <f>45*30</f>
        <v>1350</v>
      </c>
      <c r="F65" s="161"/>
      <c r="G65" s="159"/>
      <c r="H65" s="95"/>
      <c r="I65" s="159"/>
      <c r="J65" s="145"/>
      <c r="K65" s="145"/>
      <c r="L65" s="145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3"/>
      <c r="Z65" s="53"/>
    </row>
    <row r="66">
      <c r="A66" s="52"/>
      <c r="B66" s="162" t="s">
        <v>212</v>
      </c>
      <c r="C66" s="159"/>
      <c r="D66" s="163">
        <v>50.0</v>
      </c>
      <c r="E66" s="56">
        <f>50*30</f>
        <v>1500</v>
      </c>
      <c r="F66" s="161"/>
      <c r="G66" s="159"/>
      <c r="H66" s="95"/>
      <c r="I66" s="159"/>
      <c r="J66" s="145"/>
      <c r="K66" s="145"/>
      <c r="L66" s="145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3"/>
      <c r="Z66" s="53"/>
    </row>
    <row r="67">
      <c r="A67" s="52"/>
      <c r="B67" s="162" t="s">
        <v>213</v>
      </c>
      <c r="C67" s="159"/>
      <c r="D67" s="163">
        <v>80.0</v>
      </c>
      <c r="E67" s="56">
        <f>80*10</f>
        <v>800</v>
      </c>
      <c r="F67" s="161"/>
      <c r="G67" s="159"/>
      <c r="H67" s="95"/>
      <c r="I67" s="159"/>
      <c r="J67" s="145"/>
      <c r="K67" s="145"/>
      <c r="L67" s="145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3"/>
      <c r="Z67" s="53"/>
    </row>
    <row r="68">
      <c r="A68" s="52"/>
      <c r="B68" s="162" t="s">
        <v>214</v>
      </c>
      <c r="C68" s="159"/>
      <c r="D68" s="163">
        <v>200.0</v>
      </c>
      <c r="E68" s="56">
        <f>200*2</f>
        <v>400</v>
      </c>
      <c r="F68" s="161"/>
      <c r="G68" s="159"/>
      <c r="H68" s="95"/>
      <c r="I68" s="159"/>
      <c r="J68" s="145"/>
      <c r="K68" s="145"/>
      <c r="L68" s="145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3"/>
      <c r="Z68" s="53"/>
    </row>
    <row r="69" ht="17.25" customHeight="1">
      <c r="A69" s="52"/>
      <c r="B69" s="162" t="s">
        <v>215</v>
      </c>
      <c r="C69" s="159"/>
      <c r="D69" s="163">
        <v>70.0</v>
      </c>
      <c r="E69" s="56">
        <f>70*20</f>
        <v>1400</v>
      </c>
      <c r="F69" s="161"/>
      <c r="G69" s="159"/>
      <c r="H69" s="95"/>
      <c r="I69" s="159"/>
      <c r="J69" s="145"/>
      <c r="K69" s="145"/>
      <c r="L69" s="145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3"/>
      <c r="Z69" s="53"/>
    </row>
    <row r="70">
      <c r="A70" s="52"/>
      <c r="B70" s="162" t="s">
        <v>216</v>
      </c>
      <c r="C70" s="159"/>
      <c r="D70" s="163">
        <v>120.0</v>
      </c>
      <c r="E70" s="56">
        <f>120*5</f>
        <v>600</v>
      </c>
      <c r="F70" s="161"/>
      <c r="G70" s="159"/>
      <c r="H70" s="95"/>
      <c r="I70" s="159"/>
      <c r="J70" s="145"/>
      <c r="K70" s="145"/>
      <c r="L70" s="145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3"/>
      <c r="Z70" s="53"/>
    </row>
    <row r="71">
      <c r="A71" s="52"/>
      <c r="B71" s="162" t="s">
        <v>217</v>
      </c>
      <c r="C71" s="159"/>
      <c r="D71" s="163">
        <v>70.0</v>
      </c>
      <c r="E71" s="56">
        <f>70*20</f>
        <v>1400</v>
      </c>
      <c r="F71" s="161"/>
      <c r="G71" s="159"/>
      <c r="H71" s="95"/>
      <c r="I71" s="159"/>
      <c r="J71" s="145"/>
      <c r="K71" s="145"/>
      <c r="L71" s="145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3"/>
      <c r="Z71" s="53"/>
    </row>
    <row r="72">
      <c r="A72" s="52"/>
      <c r="B72" s="162" t="s">
        <v>218</v>
      </c>
      <c r="C72" s="26"/>
      <c r="D72" s="163">
        <v>50.0</v>
      </c>
      <c r="E72" s="56">
        <f>50*1</f>
        <v>50</v>
      </c>
      <c r="F72" s="25"/>
      <c r="G72" s="26"/>
      <c r="H72" s="95"/>
      <c r="I72" s="26"/>
      <c r="J72" s="145"/>
      <c r="K72" s="145"/>
      <c r="L72" s="145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3"/>
      <c r="Z72" s="53"/>
    </row>
    <row r="73">
      <c r="A73" s="52"/>
      <c r="B73" s="162" t="s">
        <v>219</v>
      </c>
      <c r="C73" s="166" t="s">
        <v>44</v>
      </c>
      <c r="D73" s="163">
        <v>130.0</v>
      </c>
      <c r="E73" s="56">
        <f>130*10</f>
        <v>1300</v>
      </c>
      <c r="F73" s="155" t="s">
        <v>31</v>
      </c>
      <c r="G73" s="156"/>
      <c r="H73" s="95"/>
      <c r="I73" s="157">
        <v>1.0</v>
      </c>
      <c r="J73" s="145"/>
      <c r="K73" s="145"/>
      <c r="L73" s="145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3"/>
      <c r="Z73" s="53"/>
    </row>
    <row r="74">
      <c r="A74" s="52"/>
      <c r="B74" s="162" t="s">
        <v>220</v>
      </c>
      <c r="C74" s="159"/>
      <c r="D74" s="163">
        <v>150.0</v>
      </c>
      <c r="E74" s="56">
        <f>150*10</f>
        <v>1500</v>
      </c>
      <c r="F74" s="161"/>
      <c r="G74" s="159"/>
      <c r="H74" s="95"/>
      <c r="I74" s="159"/>
      <c r="J74" s="145"/>
      <c r="K74" s="145"/>
      <c r="L74" s="145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3"/>
      <c r="Z74" s="53"/>
    </row>
    <row r="75">
      <c r="A75" s="52"/>
      <c r="B75" s="162" t="s">
        <v>221</v>
      </c>
      <c r="C75" s="26"/>
      <c r="D75" s="163">
        <v>400.0</v>
      </c>
      <c r="E75" s="56">
        <f>400*20</f>
        <v>8000</v>
      </c>
      <c r="F75" s="25"/>
      <c r="G75" s="26"/>
      <c r="H75" s="95"/>
      <c r="I75" s="26"/>
      <c r="J75" s="145"/>
      <c r="K75" s="145"/>
      <c r="L75" s="145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3"/>
      <c r="Z75" s="53"/>
    </row>
    <row r="76">
      <c r="A76" s="52"/>
      <c r="B76" s="171" t="s">
        <v>222</v>
      </c>
      <c r="C76" s="98" t="s">
        <v>223</v>
      </c>
      <c r="D76" s="99">
        <v>1000.0</v>
      </c>
      <c r="E76" s="99">
        <v>40000.0</v>
      </c>
      <c r="F76" s="172" t="s">
        <v>31</v>
      </c>
      <c r="G76" s="95"/>
      <c r="H76" s="95"/>
      <c r="I76" s="98">
        <v>40.0</v>
      </c>
      <c r="J76" s="145"/>
      <c r="K76" s="145"/>
      <c r="L76" s="145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3"/>
      <c r="Z76" s="53"/>
    </row>
    <row r="77">
      <c r="A77" s="52"/>
      <c r="B77" s="171" t="s">
        <v>224</v>
      </c>
      <c r="C77" s="98" t="s">
        <v>225</v>
      </c>
      <c r="D77" s="173">
        <f t="shared" ref="D77:E77" si="6">6000*4</f>
        <v>24000</v>
      </c>
      <c r="E77" s="99">
        <f t="shared" si="6"/>
        <v>24000</v>
      </c>
      <c r="F77" s="174" t="s">
        <v>31</v>
      </c>
      <c r="G77" s="95"/>
      <c r="H77" s="95"/>
      <c r="I77" s="98">
        <v>3.0</v>
      </c>
      <c r="J77" s="145"/>
      <c r="K77" s="145"/>
      <c r="L77" s="145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3"/>
      <c r="Z77" s="53"/>
    </row>
    <row r="78" ht="159.0" customHeight="1">
      <c r="A78" s="175"/>
      <c r="B78" s="176" t="s">
        <v>226</v>
      </c>
      <c r="C78" s="98" t="s">
        <v>44</v>
      </c>
      <c r="D78" s="40">
        <f t="shared" ref="D78:E78" si="7">5000*55</f>
        <v>275000</v>
      </c>
      <c r="E78" s="40">
        <f t="shared" si="7"/>
        <v>275000</v>
      </c>
      <c r="F78" s="95" t="s">
        <v>65</v>
      </c>
      <c r="G78" s="95"/>
      <c r="H78" s="95"/>
      <c r="I78" s="95"/>
      <c r="J78" s="145"/>
      <c r="K78" s="145"/>
      <c r="L78" s="145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3"/>
      <c r="Z78" s="53"/>
    </row>
    <row r="79">
      <c r="A79" s="52"/>
      <c r="B79" s="177" t="s">
        <v>227</v>
      </c>
      <c r="C79" s="95"/>
      <c r="D79" s="56"/>
      <c r="E79" s="56"/>
      <c r="F79" s="95"/>
      <c r="G79" s="95"/>
      <c r="H79" s="95"/>
      <c r="I79" s="95"/>
      <c r="J79" s="145"/>
      <c r="K79" s="145"/>
      <c r="L79" s="145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3"/>
      <c r="Z79" s="53"/>
    </row>
    <row r="80" ht="143.25" customHeight="1">
      <c r="A80" s="52"/>
      <c r="B80" s="61" t="s">
        <v>228</v>
      </c>
      <c r="C80" s="178" t="s">
        <v>44</v>
      </c>
      <c r="D80" s="135">
        <v>45000.0</v>
      </c>
      <c r="E80" s="135">
        <f>45000*5</f>
        <v>225000</v>
      </c>
      <c r="F80" s="179" t="s">
        <v>31</v>
      </c>
      <c r="G80" s="180" t="s">
        <v>155</v>
      </c>
      <c r="H80" s="137"/>
      <c r="I80" s="138">
        <v>1.0</v>
      </c>
      <c r="J80" s="145"/>
      <c r="K80" s="145"/>
      <c r="L80" s="145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3"/>
      <c r="Z80" s="53"/>
    </row>
    <row r="81">
      <c r="A81" s="52"/>
      <c r="B81" s="148" t="s">
        <v>229</v>
      </c>
      <c r="C81" s="85" t="s">
        <v>44</v>
      </c>
      <c r="D81" s="40">
        <v>49990.0</v>
      </c>
      <c r="E81" s="40">
        <f>49990*2</f>
        <v>99980</v>
      </c>
      <c r="F81" s="59" t="s">
        <v>31</v>
      </c>
      <c r="G81" s="142" t="s">
        <v>155</v>
      </c>
      <c r="H81" s="147"/>
      <c r="I81" s="144">
        <v>2.0</v>
      </c>
      <c r="J81" s="145"/>
      <c r="K81" s="145"/>
      <c r="L81" s="145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3"/>
      <c r="Z81" s="53"/>
    </row>
    <row r="82">
      <c r="A82" s="181"/>
      <c r="B82" s="83"/>
      <c r="C82" s="39"/>
      <c r="D82" s="40"/>
      <c r="E82" s="40"/>
      <c r="F82" s="39"/>
      <c r="G82" s="39"/>
      <c r="H82" s="182"/>
      <c r="I82" s="182"/>
      <c r="J82" s="183"/>
      <c r="K82" s="183"/>
      <c r="L82" s="147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2"/>
      <c r="X82" s="2"/>
      <c r="Y82" s="2"/>
      <c r="Z82" s="2"/>
    </row>
    <row r="83">
      <c r="A83" s="125"/>
      <c r="B83" s="126" t="s">
        <v>42</v>
      </c>
      <c r="C83" s="182"/>
      <c r="D83" s="184"/>
      <c r="E83" s="184"/>
      <c r="F83" s="182"/>
      <c r="G83" s="182"/>
      <c r="H83" s="182"/>
      <c r="I83" s="182"/>
      <c r="J83" s="183"/>
      <c r="K83" s="183"/>
      <c r="L83" s="183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0"/>
      <c r="X83" s="10"/>
      <c r="Y83" s="10"/>
      <c r="Z83" s="10"/>
    </row>
    <row r="84">
      <c r="A84" s="186"/>
      <c r="B84" s="38" t="s">
        <v>43</v>
      </c>
      <c r="C84" s="85" t="s">
        <v>230</v>
      </c>
      <c r="D84" s="48">
        <v>2000.0</v>
      </c>
      <c r="E84" s="48">
        <v>10000.0</v>
      </c>
      <c r="F84" s="39" t="s">
        <v>31</v>
      </c>
      <c r="G84" s="39" t="s">
        <v>45</v>
      </c>
      <c r="H84" s="39"/>
      <c r="I84" s="85">
        <v>6.0</v>
      </c>
      <c r="J84" s="187">
        <v>4.0</v>
      </c>
      <c r="K84" s="146"/>
      <c r="L84" s="146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140"/>
      <c r="X84" s="140"/>
      <c r="Y84" s="140"/>
      <c r="Z84" s="140"/>
    </row>
    <row r="85">
      <c r="A85" s="29"/>
      <c r="B85" s="66" t="s">
        <v>231</v>
      </c>
      <c r="C85" s="85" t="s">
        <v>232</v>
      </c>
      <c r="D85" s="48">
        <v>3000.0</v>
      </c>
      <c r="E85" s="40">
        <f>3000*30</f>
        <v>90000</v>
      </c>
      <c r="F85" s="39" t="s">
        <v>31</v>
      </c>
      <c r="G85" s="39" t="s">
        <v>45</v>
      </c>
      <c r="H85" s="188"/>
      <c r="I85" s="85">
        <v>10.0</v>
      </c>
      <c r="J85" s="187">
        <v>20.0</v>
      </c>
      <c r="K85" s="146"/>
      <c r="L85" s="146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140"/>
      <c r="X85" s="140"/>
      <c r="Y85" s="2"/>
      <c r="Z85" s="2"/>
    </row>
    <row r="86">
      <c r="A86" s="29"/>
      <c r="B86" s="66" t="s">
        <v>233</v>
      </c>
      <c r="C86" s="85" t="s">
        <v>234</v>
      </c>
      <c r="D86" s="48">
        <v>3000.0</v>
      </c>
      <c r="E86" s="40">
        <f>30000*20</f>
        <v>600000</v>
      </c>
      <c r="F86" s="39" t="s">
        <v>31</v>
      </c>
      <c r="G86" s="39" t="s">
        <v>45</v>
      </c>
      <c r="H86" s="39"/>
      <c r="I86" s="39"/>
      <c r="J86" s="146"/>
      <c r="K86" s="146"/>
      <c r="L86" s="146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140"/>
      <c r="X86" s="140"/>
      <c r="Y86" s="2"/>
      <c r="Z86" s="2"/>
    </row>
    <row r="87">
      <c r="A87" s="125"/>
      <c r="B87" s="189" t="s">
        <v>50</v>
      </c>
      <c r="C87" s="190"/>
      <c r="D87" s="191"/>
      <c r="E87" s="191"/>
      <c r="F87" s="190"/>
      <c r="G87" s="190"/>
      <c r="H87" s="192" t="s">
        <v>235</v>
      </c>
      <c r="I87" s="190"/>
      <c r="J87" s="193"/>
      <c r="K87" s="193"/>
      <c r="L87" s="193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0"/>
      <c r="X87" s="10"/>
      <c r="Y87" s="10"/>
      <c r="Z87" s="10"/>
    </row>
    <row r="88" ht="15.0" customHeight="1">
      <c r="A88" s="29"/>
      <c r="B88" s="75" t="s">
        <v>51</v>
      </c>
      <c r="C88" s="39" t="s">
        <v>52</v>
      </c>
      <c r="D88" s="40">
        <v>750.0</v>
      </c>
      <c r="E88" s="40">
        <f>40*750</f>
        <v>30000</v>
      </c>
      <c r="F88" s="39" t="s">
        <v>31</v>
      </c>
      <c r="G88" s="39" t="s">
        <v>53</v>
      </c>
      <c r="H88" s="39"/>
      <c r="I88" s="39">
        <v>40.0</v>
      </c>
      <c r="J88" s="146"/>
      <c r="K88" s="146"/>
      <c r="L88" s="146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140"/>
      <c r="X88" s="140"/>
      <c r="Y88" s="2"/>
      <c r="Z88" s="2"/>
    </row>
    <row r="89">
      <c r="A89" s="29"/>
      <c r="B89" s="76" t="s">
        <v>54</v>
      </c>
      <c r="C89" s="39" t="s">
        <v>55</v>
      </c>
      <c r="D89" s="40">
        <v>1000.0</v>
      </c>
      <c r="E89" s="40">
        <f>50*1000</f>
        <v>50000</v>
      </c>
      <c r="F89" s="39" t="s">
        <v>31</v>
      </c>
      <c r="G89" s="39" t="s">
        <v>53</v>
      </c>
      <c r="H89" s="39"/>
      <c r="I89" s="39">
        <v>50.0</v>
      </c>
      <c r="J89" s="146"/>
      <c r="K89" s="146"/>
      <c r="L89" s="146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140"/>
      <c r="X89" s="140"/>
      <c r="Y89" s="2"/>
      <c r="Z89" s="2"/>
    </row>
    <row r="90">
      <c r="A90" s="29"/>
      <c r="B90" s="76" t="s">
        <v>56</v>
      </c>
      <c r="C90" s="39" t="s">
        <v>52</v>
      </c>
      <c r="D90" s="40">
        <v>750.0</v>
      </c>
      <c r="E90" s="40">
        <f>40*750</f>
        <v>30000</v>
      </c>
      <c r="F90" s="39" t="s">
        <v>31</v>
      </c>
      <c r="G90" s="39" t="s">
        <v>53</v>
      </c>
      <c r="H90" s="39"/>
      <c r="I90" s="39">
        <v>40.0</v>
      </c>
      <c r="J90" s="146"/>
      <c r="K90" s="146"/>
      <c r="L90" s="146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140"/>
      <c r="X90" s="140"/>
      <c r="Y90" s="2"/>
      <c r="Z90" s="2"/>
    </row>
    <row r="91">
      <c r="A91" s="29"/>
      <c r="B91" s="76" t="s">
        <v>57</v>
      </c>
      <c r="C91" s="39" t="s">
        <v>58</v>
      </c>
      <c r="D91" s="40">
        <v>750.0</v>
      </c>
      <c r="E91" s="40">
        <f t="shared" ref="E91:E92" si="8">30*750</f>
        <v>22500</v>
      </c>
      <c r="F91" s="39" t="s">
        <v>31</v>
      </c>
      <c r="G91" s="39" t="s">
        <v>53</v>
      </c>
      <c r="H91" s="39"/>
      <c r="I91" s="39">
        <v>30.0</v>
      </c>
      <c r="J91" s="146"/>
      <c r="K91" s="146"/>
      <c r="L91" s="146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140"/>
      <c r="X91" s="140"/>
      <c r="Y91" s="2"/>
      <c r="Z91" s="2"/>
    </row>
    <row r="92">
      <c r="A92" s="29"/>
      <c r="B92" s="75" t="s">
        <v>59</v>
      </c>
      <c r="C92" s="39" t="s">
        <v>58</v>
      </c>
      <c r="D92" s="40">
        <v>750.0</v>
      </c>
      <c r="E92" s="40">
        <f t="shared" si="8"/>
        <v>22500</v>
      </c>
      <c r="F92" s="39" t="s">
        <v>31</v>
      </c>
      <c r="G92" s="39" t="s">
        <v>53</v>
      </c>
      <c r="H92" s="39"/>
      <c r="I92" s="39">
        <v>30.0</v>
      </c>
      <c r="J92" s="146"/>
      <c r="K92" s="146"/>
      <c r="L92" s="146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140"/>
      <c r="X92" s="140"/>
      <c r="Y92" s="2"/>
      <c r="Z92" s="2"/>
    </row>
    <row r="93">
      <c r="A93" s="29"/>
      <c r="B93" s="66" t="s">
        <v>236</v>
      </c>
      <c r="C93" s="85" t="s">
        <v>237</v>
      </c>
      <c r="D93" s="48">
        <v>750.0</v>
      </c>
      <c r="E93" s="40">
        <f>750*50</f>
        <v>37500</v>
      </c>
      <c r="F93" s="39" t="s">
        <v>31</v>
      </c>
      <c r="G93" s="39"/>
      <c r="H93" s="39"/>
      <c r="I93" s="39"/>
      <c r="J93" s="146"/>
      <c r="K93" s="146"/>
      <c r="L93" s="146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140"/>
      <c r="X93" s="140"/>
      <c r="Y93" s="10"/>
      <c r="Z93" s="10"/>
    </row>
    <row r="94">
      <c r="A94" s="195"/>
      <c r="B94" s="196" t="s">
        <v>238</v>
      </c>
      <c r="C94" s="197" t="s">
        <v>239</v>
      </c>
      <c r="D94" s="198">
        <v>750.0</v>
      </c>
      <c r="E94" s="198">
        <v>15000.0</v>
      </c>
      <c r="F94" s="197" t="s">
        <v>31</v>
      </c>
      <c r="G94" s="199"/>
      <c r="H94" s="199"/>
      <c r="I94" s="199"/>
      <c r="J94" s="200"/>
      <c r="K94" s="200"/>
      <c r="L94" s="200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2"/>
      <c r="X94" s="202"/>
      <c r="Y94" s="202"/>
      <c r="Z94" s="202"/>
    </row>
    <row r="95">
      <c r="A95" s="125"/>
      <c r="B95" s="126"/>
      <c r="C95" s="127"/>
      <c r="D95" s="128"/>
      <c r="E95" s="128"/>
      <c r="F95" s="127"/>
      <c r="G95" s="127"/>
      <c r="H95" s="203"/>
      <c r="I95" s="127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0"/>
      <c r="X95" s="10"/>
      <c r="Y95" s="10"/>
      <c r="Z95" s="10"/>
    </row>
    <row r="96">
      <c r="A96" s="125"/>
      <c r="B96" s="126" t="s">
        <v>72</v>
      </c>
      <c r="C96" s="127"/>
      <c r="D96" s="128"/>
      <c r="E96" s="128"/>
      <c r="F96" s="127"/>
      <c r="G96" s="127"/>
      <c r="H96" s="203"/>
      <c r="I96" s="127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0"/>
      <c r="X96" s="10"/>
      <c r="Y96" s="10"/>
      <c r="Z96" s="10"/>
    </row>
    <row r="97">
      <c r="A97" s="29"/>
      <c r="B97" s="38"/>
      <c r="C97" s="90"/>
      <c r="D97" s="204"/>
      <c r="E97" s="204"/>
      <c r="F97" s="90"/>
      <c r="G97" s="90"/>
      <c r="H97" s="63"/>
      <c r="I97" s="90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140"/>
      <c r="X97" s="140"/>
      <c r="Y97" s="2"/>
      <c r="Z97" s="2"/>
    </row>
    <row r="98">
      <c r="A98" s="65"/>
      <c r="B98" s="83" t="s">
        <v>240</v>
      </c>
      <c r="C98" s="92" t="s">
        <v>241</v>
      </c>
      <c r="D98" s="93">
        <v>40000.0</v>
      </c>
      <c r="E98" s="93">
        <v>40000.0</v>
      </c>
      <c r="F98" s="90" t="s">
        <v>65</v>
      </c>
      <c r="G98" s="90"/>
      <c r="H98" s="63">
        <v>1.0</v>
      </c>
      <c r="I98" s="90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140"/>
      <c r="X98" s="140"/>
      <c r="Y98" s="2"/>
      <c r="Z98" s="2"/>
    </row>
    <row r="99">
      <c r="A99" s="29"/>
      <c r="B99" s="38" t="s">
        <v>91</v>
      </c>
      <c r="C99" s="90"/>
      <c r="D99" s="204"/>
      <c r="E99" s="204"/>
      <c r="F99" s="90"/>
      <c r="G99" s="90"/>
      <c r="H99" s="63"/>
      <c r="I99" s="90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140"/>
      <c r="X99" s="140"/>
      <c r="Y99" s="2"/>
      <c r="Z99" s="2"/>
    </row>
    <row r="100">
      <c r="A100" s="29"/>
      <c r="B100" s="52" t="s">
        <v>242</v>
      </c>
      <c r="C100" s="90"/>
      <c r="D100" s="204"/>
      <c r="E100" s="204"/>
      <c r="F100" s="90"/>
      <c r="G100" s="90"/>
      <c r="H100" s="63"/>
      <c r="I100" s="90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140"/>
      <c r="X100" s="140"/>
      <c r="Y100" s="2"/>
      <c r="Z100" s="2"/>
    </row>
    <row r="101">
      <c r="A101" s="29"/>
      <c r="B101" s="87" t="s">
        <v>243</v>
      </c>
      <c r="C101" s="90"/>
      <c r="D101" s="204"/>
      <c r="E101" s="204"/>
      <c r="F101" s="90"/>
      <c r="G101" s="90"/>
      <c r="H101" s="63"/>
      <c r="I101" s="90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140"/>
      <c r="X101" s="140"/>
      <c r="Y101" s="2"/>
      <c r="Z101" s="2"/>
    </row>
    <row r="102">
      <c r="A102" s="29"/>
      <c r="B102" s="81"/>
      <c r="C102" s="92"/>
      <c r="D102" s="93"/>
      <c r="E102" s="93"/>
      <c r="F102" s="90"/>
      <c r="G102" s="90"/>
      <c r="H102" s="63"/>
      <c r="I102" s="90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140"/>
      <c r="X102" s="140"/>
      <c r="Y102" s="2"/>
      <c r="Z102" s="2"/>
    </row>
    <row r="103">
      <c r="A103" s="29"/>
      <c r="B103" s="81" t="s">
        <v>94</v>
      </c>
      <c r="C103" s="92" t="s">
        <v>44</v>
      </c>
      <c r="D103" s="93">
        <v>30000.0</v>
      </c>
      <c r="E103" s="93">
        <v>30000.0</v>
      </c>
      <c r="F103" s="90" t="s">
        <v>65</v>
      </c>
      <c r="G103" s="90"/>
      <c r="H103" s="63">
        <v>1.0</v>
      </c>
      <c r="I103" s="90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140"/>
      <c r="X103" s="140"/>
      <c r="Y103" s="2"/>
      <c r="Z103" s="2"/>
    </row>
    <row r="104">
      <c r="A104" s="29"/>
      <c r="B104" s="38"/>
      <c r="C104" s="90"/>
      <c r="D104" s="204"/>
      <c r="E104" s="204"/>
      <c r="F104" s="90"/>
      <c r="G104" s="90"/>
      <c r="H104" s="63"/>
      <c r="I104" s="90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140"/>
      <c r="X104" s="140"/>
      <c r="Y104" s="2"/>
      <c r="Z104" s="2"/>
    </row>
    <row r="105" ht="27.0" customHeight="1">
      <c r="A105" s="186"/>
      <c r="B105" s="205" t="s">
        <v>244</v>
      </c>
      <c r="C105" s="92" t="s">
        <v>131</v>
      </c>
      <c r="D105" s="93">
        <v>200000.0</v>
      </c>
      <c r="E105" s="93">
        <v>200000.0</v>
      </c>
      <c r="F105" s="90" t="s">
        <v>65</v>
      </c>
      <c r="G105" s="90"/>
      <c r="H105" s="63"/>
      <c r="I105" s="92">
        <v>1.0</v>
      </c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140"/>
      <c r="X105" s="140"/>
      <c r="Y105" s="2"/>
      <c r="Z105" s="2"/>
    </row>
    <row r="106" ht="41.25" customHeight="1">
      <c r="A106" s="186"/>
      <c r="B106" s="206" t="s">
        <v>245</v>
      </c>
      <c r="C106" s="92" t="s">
        <v>246</v>
      </c>
      <c r="D106" s="93">
        <v>200000.0</v>
      </c>
      <c r="E106" s="93">
        <v>200000.0</v>
      </c>
      <c r="F106" s="90" t="s">
        <v>65</v>
      </c>
      <c r="G106" s="90"/>
      <c r="H106" s="63"/>
      <c r="I106" s="92">
        <v>1.0</v>
      </c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140"/>
      <c r="X106" s="140"/>
      <c r="Y106" s="2"/>
      <c r="Z106" s="2"/>
    </row>
    <row r="107" ht="41.25" customHeight="1">
      <c r="A107" s="186"/>
      <c r="B107" s="207" t="s">
        <v>247</v>
      </c>
      <c r="C107" s="92" t="s">
        <v>44</v>
      </c>
      <c r="D107" s="208">
        <v>5000.0</v>
      </c>
      <c r="E107" s="208">
        <v>5000.0</v>
      </c>
      <c r="F107" s="209" t="s">
        <v>31</v>
      </c>
      <c r="G107" s="90"/>
      <c r="H107" s="63"/>
      <c r="I107" s="9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140"/>
      <c r="X107" s="140"/>
      <c r="Y107" s="2"/>
      <c r="Z107" s="2"/>
    </row>
    <row r="108">
      <c r="A108" s="125"/>
      <c r="B108" s="189" t="s">
        <v>95</v>
      </c>
      <c r="C108" s="210"/>
      <c r="D108" s="211"/>
      <c r="E108" s="211"/>
      <c r="F108" s="210"/>
      <c r="G108" s="210"/>
      <c r="H108" s="212"/>
      <c r="I108" s="210"/>
      <c r="J108" s="194"/>
      <c r="K108" s="194"/>
      <c r="L108" s="194"/>
      <c r="M108" s="194"/>
      <c r="N108" s="185"/>
      <c r="O108" s="185"/>
      <c r="P108" s="185"/>
      <c r="Q108" s="185"/>
      <c r="R108" s="185"/>
      <c r="S108" s="185"/>
      <c r="T108" s="185"/>
      <c r="U108" s="185"/>
      <c r="V108" s="185"/>
      <c r="W108" s="10"/>
      <c r="X108" s="10"/>
      <c r="Y108" s="10"/>
      <c r="Z108" s="10"/>
    </row>
    <row r="109">
      <c r="A109" s="29"/>
      <c r="B109" s="38" t="s">
        <v>96</v>
      </c>
      <c r="C109" s="90" t="s">
        <v>97</v>
      </c>
      <c r="D109" s="93">
        <v>25000.0</v>
      </c>
      <c r="E109" s="204">
        <f>D109*30</f>
        <v>750000</v>
      </c>
      <c r="F109" s="90" t="s">
        <v>65</v>
      </c>
      <c r="G109" s="90"/>
      <c r="H109" s="63"/>
      <c r="I109" s="90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140"/>
      <c r="X109" s="140"/>
      <c r="Y109" s="2"/>
      <c r="Z109" s="2"/>
    </row>
    <row r="110">
      <c r="A110" s="29"/>
      <c r="B110" s="38"/>
      <c r="C110" s="90"/>
      <c r="D110" s="204"/>
      <c r="E110" s="204"/>
      <c r="F110" s="90"/>
      <c r="G110" s="90"/>
      <c r="H110" s="63"/>
      <c r="I110" s="90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140"/>
      <c r="X110" s="140"/>
      <c r="Y110" s="2"/>
      <c r="Z110" s="2"/>
    </row>
    <row r="111">
      <c r="A111" s="29"/>
      <c r="B111" s="213" t="s">
        <v>60</v>
      </c>
      <c r="C111" s="214"/>
      <c r="D111" s="215"/>
      <c r="E111" s="215"/>
      <c r="F111" s="214"/>
      <c r="G111" s="214"/>
      <c r="H111" s="216"/>
      <c r="I111" s="214"/>
      <c r="J111" s="217"/>
      <c r="K111" s="217"/>
      <c r="L111" s="217"/>
      <c r="M111" s="217"/>
      <c r="N111" s="38"/>
      <c r="O111" s="38"/>
      <c r="P111" s="38"/>
      <c r="Q111" s="38"/>
      <c r="R111" s="38"/>
      <c r="S111" s="38"/>
      <c r="T111" s="38"/>
      <c r="U111" s="38"/>
      <c r="V111" s="38"/>
      <c r="W111" s="140"/>
      <c r="X111" s="140"/>
      <c r="Y111" s="2"/>
      <c r="Z111" s="2"/>
    </row>
    <row r="112">
      <c r="A112" s="29"/>
      <c r="B112" s="66" t="s">
        <v>248</v>
      </c>
      <c r="C112" s="92">
        <v>8.0</v>
      </c>
      <c r="D112" s="93">
        <v>2500.0</v>
      </c>
      <c r="E112" s="204">
        <f>D112*8</f>
        <v>20000</v>
      </c>
      <c r="F112" s="90"/>
      <c r="G112" s="90"/>
      <c r="H112" s="63"/>
      <c r="I112" s="92">
        <v>8.0</v>
      </c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140"/>
      <c r="X112" s="140"/>
      <c r="Y112" s="2"/>
      <c r="Z112" s="2"/>
    </row>
    <row r="113">
      <c r="A113" s="96"/>
      <c r="B113" s="218" t="s">
        <v>249</v>
      </c>
      <c r="C113" s="219">
        <v>5.0</v>
      </c>
      <c r="D113" s="208">
        <v>500.0</v>
      </c>
      <c r="E113" s="204">
        <f t="shared" ref="E113:E114" si="9">D113*5</f>
        <v>2500</v>
      </c>
      <c r="F113" s="96"/>
      <c r="G113" s="96"/>
      <c r="H113" s="96"/>
      <c r="I113" s="219">
        <v>5.0</v>
      </c>
      <c r="J113" s="96"/>
      <c r="K113" s="96"/>
      <c r="L113" s="96"/>
      <c r="M113" s="96"/>
      <c r="N113" s="96"/>
      <c r="O113" s="96"/>
      <c r="P113" s="96"/>
      <c r="Q113" s="96"/>
      <c r="R113" s="96"/>
    </row>
    <row r="114">
      <c r="A114" s="96"/>
      <c r="B114" s="218" t="s">
        <v>250</v>
      </c>
      <c r="C114" s="219">
        <v>5.0</v>
      </c>
      <c r="D114" s="208">
        <v>500.0</v>
      </c>
      <c r="E114" s="204">
        <f t="shared" si="9"/>
        <v>2500</v>
      </c>
      <c r="F114" s="96"/>
      <c r="G114" s="96"/>
      <c r="H114" s="96"/>
      <c r="I114" s="219">
        <v>5.0</v>
      </c>
      <c r="J114" s="96"/>
      <c r="K114" s="96"/>
      <c r="L114" s="96"/>
      <c r="M114" s="96"/>
      <c r="N114" s="96"/>
      <c r="O114" s="96"/>
      <c r="P114" s="96"/>
      <c r="Q114" s="96"/>
      <c r="R114" s="96"/>
    </row>
    <row r="115">
      <c r="A115" s="96"/>
      <c r="B115" s="218" t="s">
        <v>251</v>
      </c>
      <c r="C115" s="219">
        <v>8.0</v>
      </c>
      <c r="D115" s="208">
        <v>1000.0</v>
      </c>
      <c r="E115" s="204">
        <f t="shared" ref="E115:E116" si="10">D115*8</f>
        <v>8000</v>
      </c>
      <c r="F115" s="96"/>
      <c r="G115" s="96"/>
      <c r="H115" s="96"/>
      <c r="I115" s="219">
        <v>8.0</v>
      </c>
      <c r="J115" s="96"/>
      <c r="K115" s="96"/>
      <c r="L115" s="96"/>
      <c r="M115" s="96"/>
      <c r="N115" s="96"/>
      <c r="O115" s="96"/>
      <c r="P115" s="96"/>
      <c r="Q115" s="96"/>
      <c r="R115" s="96"/>
    </row>
    <row r="116">
      <c r="A116" s="96"/>
      <c r="B116" s="218" t="s">
        <v>252</v>
      </c>
      <c r="C116" s="219">
        <v>8.0</v>
      </c>
      <c r="D116" s="208">
        <v>600.0</v>
      </c>
      <c r="E116" s="204">
        <f t="shared" si="10"/>
        <v>4800</v>
      </c>
      <c r="F116" s="96"/>
      <c r="G116" s="96"/>
      <c r="H116" s="96"/>
      <c r="I116" s="219">
        <v>8.0</v>
      </c>
      <c r="J116" s="96"/>
      <c r="K116" s="96"/>
      <c r="L116" s="96"/>
      <c r="M116" s="96"/>
      <c r="N116" s="96"/>
      <c r="O116" s="96"/>
      <c r="P116" s="96"/>
      <c r="Q116" s="96"/>
      <c r="R116" s="96"/>
    </row>
    <row r="117">
      <c r="A117" s="96"/>
      <c r="B117" s="218" t="s">
        <v>253</v>
      </c>
      <c r="C117" s="219">
        <v>4.0</v>
      </c>
      <c r="D117" s="208">
        <v>5500.0</v>
      </c>
      <c r="E117" s="204">
        <f>D117*4</f>
        <v>22000</v>
      </c>
      <c r="F117" s="96"/>
      <c r="G117" s="96"/>
      <c r="H117" s="96"/>
      <c r="I117" s="219">
        <v>4.0</v>
      </c>
      <c r="J117" s="96"/>
      <c r="K117" s="96"/>
      <c r="L117" s="96"/>
      <c r="M117" s="96"/>
      <c r="N117" s="96"/>
      <c r="O117" s="96"/>
      <c r="P117" s="96"/>
      <c r="Q117" s="96"/>
      <c r="R117" s="96"/>
    </row>
    <row r="118">
      <c r="A118" s="96"/>
      <c r="B118" s="96"/>
      <c r="C118" s="96"/>
      <c r="D118" s="220"/>
      <c r="E118" s="221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</row>
    <row r="119">
      <c r="A119" s="125"/>
      <c r="B119" s="126" t="s">
        <v>98</v>
      </c>
      <c r="C119" s="127"/>
      <c r="D119" s="128"/>
      <c r="E119" s="128"/>
      <c r="F119" s="127"/>
      <c r="G119" s="127"/>
      <c r="H119" s="203"/>
      <c r="I119" s="127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0"/>
      <c r="X119" s="10"/>
      <c r="Y119" s="10"/>
      <c r="Z119" s="10"/>
    </row>
    <row r="120">
      <c r="A120" s="29"/>
      <c r="B120" s="38"/>
      <c r="C120" s="90"/>
      <c r="D120" s="204"/>
      <c r="E120" s="204"/>
      <c r="F120" s="90"/>
      <c r="G120" s="90"/>
      <c r="H120" s="63"/>
      <c r="I120" s="90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140"/>
      <c r="X120" s="140"/>
      <c r="Y120" s="2"/>
      <c r="Z120" s="2"/>
    </row>
    <row r="121">
      <c r="A121" s="29"/>
      <c r="B121" s="83" t="s">
        <v>254</v>
      </c>
      <c r="C121" s="90"/>
      <c r="D121" s="204"/>
      <c r="E121" s="204"/>
      <c r="F121" s="90"/>
      <c r="G121" s="90"/>
      <c r="H121" s="63"/>
      <c r="I121" s="90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140"/>
      <c r="X121" s="140"/>
      <c r="Y121" s="2"/>
      <c r="Z121" s="2"/>
    </row>
    <row r="122">
      <c r="A122" s="29"/>
      <c r="B122" s="58" t="s">
        <v>255</v>
      </c>
      <c r="C122" s="90"/>
      <c r="D122" s="204"/>
      <c r="E122" s="204"/>
      <c r="F122" s="222"/>
      <c r="G122" s="90"/>
      <c r="H122" s="63"/>
      <c r="I122" s="90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140"/>
      <c r="X122" s="140"/>
      <c r="Y122" s="2"/>
      <c r="Z122" s="2"/>
    </row>
    <row r="123">
      <c r="A123" s="29"/>
      <c r="B123" s="38" t="s">
        <v>256</v>
      </c>
      <c r="C123" s="90">
        <v>5.0</v>
      </c>
      <c r="D123" s="204">
        <v>6200.0</v>
      </c>
      <c r="E123" s="204">
        <f t="shared" ref="E123:E125" si="11">D123*C123</f>
        <v>31000</v>
      </c>
      <c r="F123" s="156" t="s">
        <v>65</v>
      </c>
      <c r="G123" s="90"/>
      <c r="H123" s="63"/>
      <c r="I123" s="92">
        <v>5.0</v>
      </c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140"/>
      <c r="X123" s="140"/>
      <c r="Y123" s="2"/>
      <c r="Z123" s="2"/>
    </row>
    <row r="124">
      <c r="A124" s="29"/>
      <c r="B124" s="38" t="s">
        <v>257</v>
      </c>
      <c r="C124" s="90">
        <v>1.0</v>
      </c>
      <c r="D124" s="204">
        <v>5150.0</v>
      </c>
      <c r="E124" s="204">
        <f t="shared" si="11"/>
        <v>5150</v>
      </c>
      <c r="F124" s="159"/>
      <c r="G124" s="90"/>
      <c r="H124" s="63"/>
      <c r="I124" s="92">
        <v>1.0</v>
      </c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140"/>
      <c r="X124" s="140"/>
      <c r="Y124" s="2"/>
      <c r="Z124" s="2"/>
    </row>
    <row r="125">
      <c r="A125" s="87"/>
      <c r="B125" s="87" t="s">
        <v>258</v>
      </c>
      <c r="C125" s="223">
        <v>2.0</v>
      </c>
      <c r="D125" s="224">
        <v>4000.0</v>
      </c>
      <c r="E125" s="225">
        <f t="shared" si="11"/>
        <v>8000</v>
      </c>
      <c r="F125" s="26"/>
      <c r="G125" s="226"/>
      <c r="H125" s="223"/>
      <c r="I125" s="227">
        <v>2.0</v>
      </c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96"/>
      <c r="Z125" s="96"/>
    </row>
    <row r="126">
      <c r="A126" s="228"/>
      <c r="B126" s="87"/>
      <c r="C126" s="227"/>
      <c r="D126" s="229"/>
      <c r="E126" s="225"/>
      <c r="F126" s="90"/>
      <c r="G126" s="92"/>
      <c r="H126" s="63"/>
      <c r="I126" s="223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96"/>
      <c r="Z126" s="96"/>
    </row>
    <row r="127">
      <c r="A127" s="186"/>
      <c r="B127" s="66" t="s">
        <v>259</v>
      </c>
      <c r="C127" s="92" t="s">
        <v>260</v>
      </c>
      <c r="D127" s="93">
        <v>43000.0</v>
      </c>
      <c r="E127" s="93">
        <v>43000.0</v>
      </c>
      <c r="F127" s="92" t="s">
        <v>65</v>
      </c>
      <c r="G127" s="92" t="s">
        <v>77</v>
      </c>
      <c r="H127" s="230"/>
      <c r="I127" s="92">
        <v>12.0</v>
      </c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140"/>
      <c r="X127" s="140"/>
      <c r="Y127" s="2"/>
      <c r="Z127" s="2"/>
    </row>
    <row r="128">
      <c r="A128" s="231"/>
      <c r="B128" s="232"/>
      <c r="C128" s="233"/>
      <c r="D128" s="234"/>
      <c r="E128" s="204"/>
      <c r="F128" s="90"/>
      <c r="G128" s="92"/>
      <c r="H128" s="63"/>
      <c r="I128" s="89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235"/>
      <c r="X128" s="235"/>
    </row>
    <row r="129">
      <c r="A129" s="228"/>
      <c r="B129" s="84" t="s">
        <v>127</v>
      </c>
      <c r="C129" s="227" t="s">
        <v>261</v>
      </c>
      <c r="D129" s="229">
        <v>7500.0</v>
      </c>
      <c r="E129" s="225">
        <f>7500*7</f>
        <v>52500</v>
      </c>
      <c r="F129" s="90" t="s">
        <v>65</v>
      </c>
      <c r="G129" s="92" t="s">
        <v>53</v>
      </c>
      <c r="H129" s="63">
        <v>1.0</v>
      </c>
      <c r="I129" s="227">
        <v>7.0</v>
      </c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96"/>
      <c r="Z129" s="96"/>
    </row>
    <row r="130">
      <c r="A130" s="87"/>
      <c r="B130" s="235"/>
      <c r="C130" s="223"/>
      <c r="D130" s="223"/>
      <c r="E130" s="226"/>
      <c r="F130" s="226"/>
      <c r="G130" s="226"/>
      <c r="H130" s="223"/>
      <c r="I130" s="223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96"/>
      <c r="Z130" s="96"/>
    </row>
    <row r="131">
      <c r="A131" s="87"/>
      <c r="B131" s="236" t="s">
        <v>262</v>
      </c>
      <c r="C131" s="227" t="s">
        <v>263</v>
      </c>
      <c r="D131" s="227">
        <v>1200.0</v>
      </c>
      <c r="E131" s="225">
        <f>1200*700</f>
        <v>840000</v>
      </c>
      <c r="F131" s="90" t="s">
        <v>65</v>
      </c>
      <c r="G131" s="90" t="s">
        <v>77</v>
      </c>
      <c r="H131" s="63">
        <v>1.0</v>
      </c>
      <c r="I131" s="223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96"/>
      <c r="Z131" s="96"/>
    </row>
    <row r="132">
      <c r="A132" s="87"/>
      <c r="B132" s="87"/>
      <c r="C132" s="223"/>
      <c r="D132" s="223"/>
      <c r="E132" s="226"/>
      <c r="F132" s="90"/>
      <c r="G132" s="90"/>
      <c r="H132" s="89"/>
      <c r="I132" s="223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96"/>
      <c r="Z132" s="96"/>
    </row>
    <row r="133">
      <c r="A133" s="87"/>
      <c r="B133" s="236" t="s">
        <v>264</v>
      </c>
      <c r="C133" s="227" t="s">
        <v>131</v>
      </c>
      <c r="D133" s="223"/>
      <c r="E133" s="237">
        <v>6750.0</v>
      </c>
      <c r="F133" s="90" t="s">
        <v>65</v>
      </c>
      <c r="G133" s="90" t="s">
        <v>77</v>
      </c>
      <c r="H133" s="227">
        <v>1.0</v>
      </c>
      <c r="I133" s="223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96"/>
      <c r="Z133" s="96"/>
    </row>
    <row r="134">
      <c r="A134" s="87"/>
      <c r="B134" s="100" t="s">
        <v>265</v>
      </c>
      <c r="C134" s="223"/>
      <c r="D134" s="223"/>
      <c r="E134" s="226"/>
      <c r="F134" s="226"/>
      <c r="G134" s="226"/>
      <c r="H134" s="223"/>
      <c r="I134" s="223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96"/>
      <c r="Z134" s="96"/>
    </row>
    <row r="135">
      <c r="A135" s="87"/>
      <c r="B135" s="100" t="s">
        <v>266</v>
      </c>
      <c r="C135" s="223"/>
      <c r="D135" s="223"/>
      <c r="E135" s="226"/>
      <c r="F135" s="226"/>
      <c r="G135" s="226"/>
      <c r="H135" s="223"/>
      <c r="I135" s="223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96"/>
      <c r="Z135" s="96"/>
    </row>
    <row r="136">
      <c r="A136" s="87"/>
      <c r="B136" s="100" t="s">
        <v>267</v>
      </c>
      <c r="C136" s="223"/>
      <c r="D136" s="223"/>
      <c r="E136" s="226"/>
      <c r="F136" s="226"/>
      <c r="G136" s="226"/>
      <c r="H136" s="223"/>
      <c r="I136" s="223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96"/>
      <c r="Z136" s="96"/>
    </row>
    <row r="137">
      <c r="A137" s="87"/>
      <c r="B137" s="238" t="s">
        <v>268</v>
      </c>
      <c r="C137" s="223"/>
      <c r="D137" s="223"/>
      <c r="E137" s="226"/>
      <c r="F137" s="226"/>
      <c r="G137" s="226"/>
      <c r="H137" s="223"/>
      <c r="I137" s="223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96"/>
      <c r="Z137" s="96"/>
    </row>
    <row r="138">
      <c r="A138" s="87"/>
      <c r="B138" s="100" t="s">
        <v>269</v>
      </c>
      <c r="C138" s="223"/>
      <c r="D138" s="223"/>
      <c r="E138" s="226"/>
      <c r="F138" s="226"/>
      <c r="G138" s="226"/>
      <c r="H138" s="223"/>
      <c r="I138" s="223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96"/>
      <c r="Z138" s="96"/>
    </row>
    <row r="139">
      <c r="A139" s="87"/>
      <c r="B139" s="100" t="s">
        <v>270</v>
      </c>
      <c r="C139" s="223"/>
      <c r="D139" s="223"/>
      <c r="E139" s="226"/>
      <c r="F139" s="226"/>
      <c r="G139" s="226"/>
      <c r="H139" s="223"/>
      <c r="I139" s="223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96"/>
      <c r="Z139" s="96"/>
    </row>
    <row r="140">
      <c r="A140" s="87"/>
      <c r="C140" s="223"/>
      <c r="D140" s="223"/>
      <c r="E140" s="226"/>
      <c r="F140" s="226"/>
      <c r="G140" s="226"/>
      <c r="H140" s="223"/>
      <c r="I140" s="223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96"/>
      <c r="Z140" s="96"/>
    </row>
    <row r="141">
      <c r="A141" s="181"/>
      <c r="B141" s="151" t="s">
        <v>123</v>
      </c>
      <c r="C141" s="92" t="s">
        <v>44</v>
      </c>
      <c r="D141" s="93">
        <v>15500.0</v>
      </c>
      <c r="E141" s="93">
        <v>15500.0</v>
      </c>
      <c r="F141" s="239"/>
      <c r="G141" s="185"/>
      <c r="H141" s="240"/>
      <c r="I141" s="241"/>
      <c r="J141" s="242">
        <v>1.0</v>
      </c>
      <c r="K141" s="18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2"/>
      <c r="X141" s="2"/>
      <c r="Y141" s="2"/>
      <c r="Z141" s="2"/>
    </row>
    <row r="142">
      <c r="A142" s="87"/>
      <c r="B142" s="87"/>
      <c r="C142" s="223"/>
      <c r="D142" s="223"/>
      <c r="E142" s="226"/>
      <c r="F142" s="226"/>
      <c r="G142" s="226"/>
      <c r="H142" s="223"/>
      <c r="I142" s="223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96"/>
      <c r="Z142" s="96"/>
    </row>
    <row r="143">
      <c r="A143" s="29"/>
      <c r="B143" s="236" t="s">
        <v>271</v>
      </c>
      <c r="C143" s="227" t="s">
        <v>131</v>
      </c>
      <c r="D143" s="243">
        <v>230000.0</v>
      </c>
      <c r="E143" s="244">
        <v>230000.0</v>
      </c>
      <c r="F143" s="90"/>
      <c r="G143" s="90"/>
      <c r="H143" s="63"/>
      <c r="I143" s="90"/>
      <c r="J143" s="86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140"/>
      <c r="X143" s="140"/>
      <c r="Y143" s="2"/>
      <c r="Z143" s="2"/>
    </row>
    <row r="144">
      <c r="A144" s="29"/>
      <c r="B144" s="100" t="s">
        <v>233</v>
      </c>
      <c r="C144" s="245"/>
      <c r="D144" s="245"/>
      <c r="E144" s="246"/>
      <c r="F144" s="90"/>
      <c r="G144" s="90"/>
      <c r="H144" s="63"/>
      <c r="I144" s="90"/>
      <c r="J144" s="86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140"/>
      <c r="X144" s="140"/>
      <c r="Y144" s="2"/>
      <c r="Z144" s="2"/>
    </row>
    <row r="145">
      <c r="A145" s="29"/>
      <c r="B145" s="247" t="s">
        <v>272</v>
      </c>
      <c r="C145" s="245"/>
      <c r="D145" s="245"/>
      <c r="E145" s="246"/>
      <c r="F145" s="90"/>
      <c r="G145" s="90"/>
      <c r="H145" s="63"/>
      <c r="I145" s="90"/>
      <c r="J145" s="86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140"/>
      <c r="X145" s="140"/>
      <c r="Y145" s="2"/>
      <c r="Z145" s="2"/>
    </row>
    <row r="146">
      <c r="A146" s="29"/>
      <c r="B146" s="100" t="s">
        <v>273</v>
      </c>
      <c r="C146" s="245"/>
      <c r="D146" s="245"/>
      <c r="E146" s="246"/>
      <c r="F146" s="90"/>
      <c r="G146" s="90"/>
      <c r="H146" s="63"/>
      <c r="I146" s="90"/>
      <c r="J146" s="86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140"/>
      <c r="X146" s="140"/>
      <c r="Y146" s="2"/>
      <c r="Z146" s="2"/>
    </row>
    <row r="147">
      <c r="A147" s="29"/>
      <c r="B147" s="100" t="s">
        <v>274</v>
      </c>
      <c r="C147" s="245"/>
      <c r="D147" s="245"/>
      <c r="E147" s="246"/>
      <c r="F147" s="90"/>
      <c r="G147" s="90"/>
      <c r="H147" s="63"/>
      <c r="I147" s="90"/>
      <c r="J147" s="86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140"/>
      <c r="X147" s="140"/>
      <c r="Y147" s="2"/>
      <c r="Z147" s="2"/>
    </row>
    <row r="148">
      <c r="A148" s="29"/>
      <c r="B148" s="96"/>
      <c r="C148" s="220"/>
      <c r="D148" s="220"/>
      <c r="E148" s="221"/>
      <c r="F148" s="90"/>
      <c r="G148" s="90"/>
      <c r="H148" s="63"/>
      <c r="I148" s="90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140"/>
      <c r="X148" s="140"/>
      <c r="Y148" s="2"/>
      <c r="Z148" s="2"/>
    </row>
    <row r="149">
      <c r="A149" s="29"/>
      <c r="B149" s="103" t="s">
        <v>133</v>
      </c>
      <c r="C149" s="13"/>
      <c r="D149" s="13"/>
      <c r="E149" s="13"/>
      <c r="F149" s="13"/>
      <c r="G149" s="13"/>
      <c r="H149" s="13"/>
      <c r="I149" s="25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140"/>
      <c r="X149" s="140"/>
      <c r="Y149" s="2"/>
      <c r="Z149" s="2"/>
    </row>
    <row r="150">
      <c r="A150" s="140"/>
      <c r="B150" s="140"/>
      <c r="C150" s="248"/>
      <c r="D150" s="249"/>
      <c r="E150" s="250"/>
      <c r="F150" s="251"/>
      <c r="G150" s="251"/>
      <c r="H150" s="251"/>
      <c r="I150" s="248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2"/>
      <c r="Z150" s="2"/>
    </row>
    <row r="151">
      <c r="A151" s="252" t="s">
        <v>134</v>
      </c>
      <c r="C151" s="248"/>
      <c r="D151" s="249"/>
      <c r="E151" s="253">
        <v>1.95E7</v>
      </c>
      <c r="F151" s="251"/>
      <c r="G151" s="251"/>
      <c r="H151" s="251"/>
      <c r="I151" s="248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2"/>
      <c r="Z151" s="2"/>
    </row>
    <row r="152">
      <c r="A152" s="140"/>
      <c r="B152" s="140"/>
      <c r="C152" s="248"/>
      <c r="D152" s="249"/>
      <c r="E152" s="249"/>
      <c r="F152" s="251"/>
      <c r="G152" s="251"/>
      <c r="H152" s="251"/>
      <c r="I152" s="248"/>
      <c r="J152" s="140"/>
      <c r="U152" s="140"/>
      <c r="V152" s="140"/>
      <c r="W152" s="140"/>
      <c r="X152" s="140"/>
      <c r="Y152" s="2"/>
      <c r="Z152" s="2"/>
    </row>
    <row r="153">
      <c r="A153" s="254" t="s">
        <v>135</v>
      </c>
      <c r="E153" s="249"/>
      <c r="F153" s="251"/>
      <c r="G153" s="251"/>
      <c r="H153" s="251"/>
      <c r="I153" s="248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2"/>
      <c r="Z153" s="2"/>
    </row>
    <row r="154">
      <c r="A154" s="140"/>
      <c r="B154" s="140"/>
      <c r="C154" s="248"/>
      <c r="D154" s="249"/>
      <c r="E154" s="249"/>
      <c r="F154" s="251"/>
      <c r="G154" s="251"/>
      <c r="H154" s="251"/>
      <c r="I154" s="248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2"/>
      <c r="Z154" s="2"/>
    </row>
    <row r="155">
      <c r="A155" s="255" t="s">
        <v>136</v>
      </c>
      <c r="C155" s="256" t="s">
        <v>137</v>
      </c>
      <c r="F155" s="251"/>
      <c r="G155" s="251"/>
      <c r="H155" s="251"/>
      <c r="I155" s="256" t="s">
        <v>138</v>
      </c>
      <c r="O155" s="140"/>
      <c r="P155" s="140"/>
      <c r="Q155" s="255" t="s">
        <v>139</v>
      </c>
      <c r="U155" s="140"/>
      <c r="V155" s="140"/>
      <c r="X155" s="140"/>
      <c r="Y155" s="2"/>
      <c r="Z155" s="2"/>
    </row>
    <row r="156">
      <c r="A156" s="140"/>
      <c r="B156" s="140"/>
      <c r="C156" s="248"/>
      <c r="D156" s="249"/>
      <c r="E156" s="249"/>
      <c r="F156" s="251"/>
      <c r="G156" s="251"/>
      <c r="H156" s="251"/>
      <c r="I156" s="248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2"/>
      <c r="Z156" s="2"/>
    </row>
    <row r="157">
      <c r="A157" s="140"/>
      <c r="B157" s="140"/>
      <c r="C157" s="248"/>
      <c r="D157" s="249"/>
      <c r="E157" s="249"/>
      <c r="F157" s="251"/>
      <c r="G157" s="251"/>
      <c r="H157" s="251"/>
      <c r="I157" s="248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2"/>
      <c r="Z157" s="2"/>
    </row>
    <row r="158">
      <c r="A158" s="252" t="s">
        <v>140</v>
      </c>
      <c r="C158" s="256" t="s">
        <v>141</v>
      </c>
      <c r="G158" s="251"/>
      <c r="H158" s="251"/>
      <c r="I158" s="256" t="s">
        <v>142</v>
      </c>
      <c r="O158" s="140"/>
      <c r="P158" s="140"/>
      <c r="Q158" s="255" t="s">
        <v>143</v>
      </c>
      <c r="U158" s="140"/>
      <c r="V158" s="140"/>
      <c r="Y158" s="2"/>
      <c r="Z158" s="2"/>
    </row>
    <row r="159">
      <c r="A159" s="140" t="s">
        <v>144</v>
      </c>
      <c r="C159" s="248" t="s">
        <v>145</v>
      </c>
      <c r="G159" s="251"/>
      <c r="H159" s="251"/>
      <c r="I159" s="248" t="s">
        <v>146</v>
      </c>
      <c r="O159" s="140"/>
      <c r="P159" s="140"/>
      <c r="Q159" s="140" t="s">
        <v>147</v>
      </c>
      <c r="U159" s="140"/>
      <c r="V159" s="140"/>
      <c r="W159" s="140"/>
      <c r="X159" s="140"/>
      <c r="Y159" s="2"/>
      <c r="Z159" s="2"/>
    </row>
    <row r="160">
      <c r="A160" s="140"/>
      <c r="B160" s="140"/>
      <c r="C160" s="248"/>
      <c r="D160" s="249"/>
      <c r="E160" s="249"/>
      <c r="F160" s="251"/>
      <c r="G160" s="251"/>
      <c r="H160" s="251"/>
      <c r="I160" s="248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2"/>
      <c r="Z160" s="2"/>
    </row>
    <row r="161">
      <c r="A161" s="140" t="s">
        <v>148</v>
      </c>
      <c r="C161" s="248" t="s">
        <v>148</v>
      </c>
      <c r="F161" s="251"/>
      <c r="G161" s="251"/>
      <c r="H161" s="251"/>
      <c r="I161" s="248" t="s">
        <v>148</v>
      </c>
      <c r="M161" s="140"/>
      <c r="N161" s="140"/>
      <c r="O161" s="140"/>
      <c r="P161" s="140"/>
      <c r="Q161" s="140" t="s">
        <v>148</v>
      </c>
      <c r="U161" s="140"/>
      <c r="V161" s="140"/>
      <c r="W161" s="140"/>
      <c r="X161" s="140"/>
      <c r="Y161" s="2"/>
      <c r="Z161" s="2"/>
    </row>
    <row r="162">
      <c r="A162" s="2"/>
      <c r="B162" s="2"/>
      <c r="C162" s="4"/>
      <c r="D162" s="117"/>
      <c r="E162" s="117"/>
      <c r="F162" s="8"/>
      <c r="G162" s="8"/>
      <c r="H162" s="8"/>
      <c r="U162" s="2"/>
      <c r="V162" s="2"/>
      <c r="W162" s="2"/>
      <c r="X162" s="2"/>
      <c r="Y162" s="2"/>
      <c r="Z162" s="2"/>
    </row>
    <row r="163">
      <c r="A163" s="2"/>
      <c r="B163" s="2"/>
      <c r="C163" s="4"/>
      <c r="D163" s="117"/>
      <c r="E163" s="117"/>
      <c r="F163" s="8"/>
      <c r="G163" s="8"/>
      <c r="H163" s="8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4"/>
      <c r="D164" s="117"/>
      <c r="E164" s="117"/>
      <c r="F164" s="8"/>
      <c r="G164" s="8"/>
      <c r="H164" s="8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4"/>
      <c r="D165" s="117"/>
      <c r="E165" s="117"/>
      <c r="F165" s="8"/>
      <c r="G165" s="8"/>
      <c r="H165" s="8"/>
      <c r="U165" s="2"/>
      <c r="V165" s="2"/>
      <c r="W165" s="2"/>
      <c r="X165" s="2"/>
      <c r="Y165" s="2"/>
      <c r="Z165" s="2"/>
    </row>
    <row r="166">
      <c r="A166" s="2"/>
      <c r="B166" s="2"/>
      <c r="C166" s="4"/>
      <c r="D166" s="117"/>
      <c r="E166" s="117"/>
      <c r="F166" s="8"/>
      <c r="G166" s="8"/>
      <c r="H166" s="8"/>
      <c r="U166" s="2"/>
      <c r="V166" s="2"/>
      <c r="W166" s="2"/>
      <c r="X166" s="2"/>
      <c r="Y166" s="2"/>
      <c r="Z166" s="2"/>
    </row>
    <row r="167">
      <c r="A167" s="2"/>
      <c r="B167" s="2"/>
      <c r="C167" s="4"/>
      <c r="D167" s="117"/>
      <c r="E167" s="117"/>
      <c r="F167" s="8"/>
      <c r="G167" s="8"/>
      <c r="H167" s="8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4"/>
      <c r="D168" s="117"/>
      <c r="E168" s="117"/>
      <c r="F168" s="8"/>
      <c r="G168" s="8"/>
      <c r="H168" s="8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4"/>
      <c r="D169" s="117"/>
      <c r="E169" s="117"/>
      <c r="F169" s="8"/>
      <c r="G169" s="8"/>
      <c r="H169" s="8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4"/>
      <c r="D170" s="117"/>
      <c r="E170" s="117"/>
      <c r="F170" s="8"/>
      <c r="G170" s="8"/>
      <c r="H170" s="8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4"/>
      <c r="D171" s="117"/>
      <c r="E171" s="117"/>
      <c r="F171" s="8"/>
      <c r="G171" s="8"/>
      <c r="H171" s="8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4"/>
      <c r="D172" s="117"/>
      <c r="E172" s="117"/>
      <c r="F172" s="8"/>
      <c r="G172" s="8"/>
      <c r="H172" s="8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4"/>
      <c r="D173" s="117"/>
      <c r="E173" s="117"/>
      <c r="F173" s="8"/>
      <c r="G173" s="8"/>
      <c r="H173" s="8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4"/>
      <c r="D174" s="117"/>
      <c r="E174" s="117"/>
      <c r="F174" s="8"/>
      <c r="G174" s="8"/>
      <c r="H174" s="8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4"/>
      <c r="D175" s="117"/>
      <c r="E175" s="117"/>
      <c r="F175" s="8"/>
      <c r="G175" s="8"/>
      <c r="H175" s="8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4"/>
      <c r="D176" s="117"/>
      <c r="E176" s="117"/>
      <c r="F176" s="8"/>
      <c r="G176" s="8"/>
      <c r="H176" s="8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4"/>
      <c r="D177" s="117"/>
      <c r="E177" s="117"/>
      <c r="F177" s="8"/>
      <c r="G177" s="8"/>
      <c r="H177" s="8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4"/>
      <c r="D178" s="117"/>
      <c r="E178" s="117"/>
      <c r="F178" s="8"/>
      <c r="G178" s="8"/>
      <c r="H178" s="8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4"/>
      <c r="D179" s="117"/>
      <c r="E179" s="117"/>
      <c r="F179" s="8"/>
      <c r="G179" s="8"/>
      <c r="H179" s="8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4"/>
      <c r="D180" s="117"/>
      <c r="E180" s="117"/>
      <c r="F180" s="8"/>
      <c r="G180" s="8"/>
      <c r="H180" s="8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4"/>
      <c r="D181" s="117"/>
      <c r="E181" s="117"/>
      <c r="F181" s="8"/>
      <c r="G181" s="8"/>
      <c r="H181" s="8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4"/>
      <c r="D182" s="117"/>
      <c r="E182" s="117"/>
      <c r="F182" s="8"/>
      <c r="G182" s="8"/>
      <c r="H182" s="8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4"/>
      <c r="D183" s="117"/>
      <c r="E183" s="117"/>
      <c r="F183" s="8"/>
      <c r="G183" s="8"/>
      <c r="H183" s="8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4"/>
      <c r="D184" s="117"/>
      <c r="E184" s="117"/>
      <c r="F184" s="8"/>
      <c r="G184" s="8"/>
      <c r="H184" s="8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4"/>
      <c r="D185" s="117"/>
      <c r="E185" s="117"/>
      <c r="F185" s="8"/>
      <c r="G185" s="8"/>
      <c r="H185" s="8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4"/>
      <c r="D186" s="117"/>
      <c r="E186" s="117"/>
      <c r="F186" s="8"/>
      <c r="G186" s="8"/>
      <c r="H186" s="8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4"/>
      <c r="D187" s="117"/>
      <c r="E187" s="117"/>
      <c r="F187" s="8"/>
      <c r="G187" s="8"/>
      <c r="H187" s="8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4"/>
      <c r="D188" s="117"/>
      <c r="E188" s="117"/>
      <c r="F188" s="8"/>
      <c r="G188" s="8"/>
      <c r="H188" s="8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4"/>
      <c r="D189" s="117"/>
      <c r="E189" s="117"/>
      <c r="F189" s="8"/>
      <c r="G189" s="8"/>
      <c r="H189" s="8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4"/>
      <c r="D190" s="117"/>
      <c r="E190" s="117"/>
      <c r="F190" s="8"/>
      <c r="G190" s="8"/>
      <c r="H190" s="8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4"/>
      <c r="D191" s="117"/>
      <c r="E191" s="117"/>
      <c r="F191" s="8"/>
      <c r="G191" s="8"/>
      <c r="H191" s="8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4"/>
      <c r="D192" s="117"/>
      <c r="E192" s="117"/>
      <c r="F192" s="8"/>
      <c r="G192" s="8"/>
      <c r="H192" s="8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4"/>
      <c r="D193" s="117"/>
      <c r="E193" s="117"/>
      <c r="F193" s="8"/>
      <c r="G193" s="8"/>
      <c r="H193" s="8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4"/>
      <c r="D194" s="117"/>
      <c r="E194" s="117"/>
      <c r="F194" s="8"/>
      <c r="G194" s="8"/>
      <c r="H194" s="8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4"/>
      <c r="D195" s="117"/>
      <c r="E195" s="117"/>
      <c r="F195" s="8"/>
      <c r="G195" s="8"/>
      <c r="H195" s="8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4"/>
      <c r="D196" s="117"/>
      <c r="E196" s="117"/>
      <c r="F196" s="8"/>
      <c r="G196" s="8"/>
      <c r="H196" s="8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4"/>
      <c r="D197" s="117"/>
      <c r="E197" s="117"/>
      <c r="F197" s="8"/>
      <c r="G197" s="8"/>
      <c r="H197" s="8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4"/>
      <c r="D198" s="117"/>
      <c r="E198" s="117"/>
      <c r="F198" s="8"/>
      <c r="G198" s="8"/>
      <c r="H198" s="8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4"/>
      <c r="D199" s="117"/>
      <c r="E199" s="117"/>
      <c r="F199" s="8"/>
      <c r="G199" s="8"/>
      <c r="H199" s="8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4"/>
      <c r="D200" s="117"/>
      <c r="E200" s="117"/>
      <c r="F200" s="8"/>
      <c r="G200" s="8"/>
      <c r="H200" s="8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4"/>
      <c r="D201" s="117"/>
      <c r="E201" s="117"/>
      <c r="F201" s="8"/>
      <c r="G201" s="8"/>
      <c r="H201" s="8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4"/>
      <c r="D202" s="117"/>
      <c r="E202" s="117"/>
      <c r="F202" s="8"/>
      <c r="G202" s="8"/>
      <c r="H202" s="8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4"/>
      <c r="D203" s="117"/>
      <c r="E203" s="117"/>
      <c r="F203" s="8"/>
      <c r="G203" s="8"/>
      <c r="H203" s="8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4"/>
      <c r="D204" s="117"/>
      <c r="E204" s="117"/>
      <c r="F204" s="8"/>
      <c r="G204" s="8"/>
      <c r="H204" s="8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4"/>
      <c r="D205" s="117"/>
      <c r="E205" s="117"/>
      <c r="F205" s="8"/>
      <c r="G205" s="8"/>
      <c r="H205" s="8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4"/>
      <c r="D206" s="117"/>
      <c r="E206" s="117"/>
      <c r="F206" s="8"/>
      <c r="G206" s="8"/>
      <c r="H206" s="8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4"/>
      <c r="D207" s="117"/>
      <c r="E207" s="117"/>
      <c r="F207" s="8"/>
      <c r="G207" s="8"/>
      <c r="H207" s="8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4"/>
      <c r="D208" s="117"/>
      <c r="E208" s="117"/>
      <c r="F208" s="8"/>
      <c r="G208" s="8"/>
      <c r="H208" s="8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4"/>
      <c r="D209" s="117"/>
      <c r="E209" s="117"/>
      <c r="F209" s="8"/>
      <c r="G209" s="8"/>
      <c r="H209" s="8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4"/>
      <c r="D210" s="117"/>
      <c r="E210" s="117"/>
      <c r="F210" s="8"/>
      <c r="G210" s="8"/>
      <c r="H210" s="8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4"/>
      <c r="D211" s="117"/>
      <c r="E211" s="117"/>
      <c r="F211" s="8"/>
      <c r="G211" s="8"/>
      <c r="H211" s="8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4"/>
      <c r="D212" s="117"/>
      <c r="E212" s="117"/>
      <c r="F212" s="8"/>
      <c r="G212" s="8"/>
      <c r="H212" s="8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4"/>
      <c r="D213" s="117"/>
      <c r="E213" s="117"/>
      <c r="F213" s="8"/>
      <c r="G213" s="8"/>
      <c r="H213" s="8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4"/>
      <c r="D214" s="117"/>
      <c r="E214" s="117"/>
      <c r="F214" s="8"/>
      <c r="G214" s="8"/>
      <c r="H214" s="8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4"/>
      <c r="D215" s="117"/>
      <c r="E215" s="117"/>
      <c r="F215" s="8"/>
      <c r="G215" s="8"/>
      <c r="H215" s="8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4"/>
      <c r="D216" s="117"/>
      <c r="E216" s="117"/>
      <c r="F216" s="8"/>
      <c r="G216" s="8"/>
      <c r="H216" s="8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4"/>
      <c r="D217" s="117"/>
      <c r="E217" s="117"/>
      <c r="F217" s="8"/>
      <c r="G217" s="8"/>
      <c r="H217" s="8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4"/>
      <c r="D218" s="117"/>
      <c r="E218" s="117"/>
      <c r="F218" s="8"/>
      <c r="G218" s="8"/>
      <c r="H218" s="8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4"/>
      <c r="D219" s="117"/>
      <c r="E219" s="117"/>
      <c r="F219" s="8"/>
      <c r="G219" s="8"/>
      <c r="H219" s="8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4"/>
      <c r="D220" s="117"/>
      <c r="E220" s="117"/>
      <c r="F220" s="8"/>
      <c r="G220" s="8"/>
      <c r="H220" s="8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4"/>
      <c r="D221" s="117"/>
      <c r="E221" s="117"/>
      <c r="F221" s="8"/>
      <c r="G221" s="8"/>
      <c r="H221" s="8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4"/>
      <c r="D222" s="117"/>
      <c r="E222" s="117"/>
      <c r="F222" s="8"/>
      <c r="G222" s="8"/>
      <c r="H222" s="8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4"/>
      <c r="D223" s="117"/>
      <c r="E223" s="117"/>
      <c r="F223" s="8"/>
      <c r="G223" s="8"/>
      <c r="H223" s="8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4"/>
      <c r="D224" s="117"/>
      <c r="E224" s="117"/>
      <c r="F224" s="8"/>
      <c r="G224" s="8"/>
      <c r="H224" s="8"/>
      <c r="I224" s="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4"/>
      <c r="D225" s="117"/>
      <c r="E225" s="117"/>
      <c r="F225" s="8"/>
      <c r="G225" s="8"/>
      <c r="H225" s="8"/>
      <c r="I225" s="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4"/>
      <c r="D226" s="117"/>
      <c r="E226" s="117"/>
      <c r="F226" s="8"/>
      <c r="G226" s="8"/>
      <c r="H226" s="8"/>
      <c r="I226" s="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4"/>
      <c r="D227" s="117"/>
      <c r="E227" s="117"/>
      <c r="F227" s="8"/>
      <c r="G227" s="8"/>
      <c r="H227" s="8"/>
      <c r="I227" s="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4"/>
      <c r="D228" s="117"/>
      <c r="E228" s="117"/>
      <c r="F228" s="8"/>
      <c r="G228" s="8"/>
      <c r="H228" s="8"/>
      <c r="I228" s="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4"/>
      <c r="D229" s="117"/>
      <c r="E229" s="117"/>
      <c r="F229" s="8"/>
      <c r="G229" s="8"/>
      <c r="H229" s="8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4"/>
      <c r="D230" s="117"/>
      <c r="E230" s="117"/>
      <c r="F230" s="8"/>
      <c r="G230" s="8"/>
      <c r="H230" s="8"/>
      <c r="I230" s="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4"/>
      <c r="D231" s="117"/>
      <c r="E231" s="117"/>
      <c r="F231" s="8"/>
      <c r="G231" s="8"/>
      <c r="H231" s="8"/>
      <c r="I231" s="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4"/>
      <c r="D232" s="117"/>
      <c r="E232" s="117"/>
      <c r="F232" s="8"/>
      <c r="G232" s="8"/>
      <c r="H232" s="8"/>
      <c r="I232" s="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4"/>
      <c r="D233" s="117"/>
      <c r="E233" s="117"/>
      <c r="F233" s="8"/>
      <c r="G233" s="8"/>
      <c r="H233" s="8"/>
      <c r="I233" s="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4"/>
      <c r="D234" s="117"/>
      <c r="E234" s="117"/>
      <c r="F234" s="8"/>
      <c r="G234" s="8"/>
      <c r="H234" s="8"/>
      <c r="I234" s="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4"/>
      <c r="D235" s="117"/>
      <c r="E235" s="117"/>
      <c r="F235" s="8"/>
      <c r="G235" s="8"/>
      <c r="H235" s="8"/>
      <c r="I235" s="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4"/>
      <c r="D236" s="117"/>
      <c r="E236" s="117"/>
      <c r="F236" s="8"/>
      <c r="G236" s="8"/>
      <c r="H236" s="8"/>
      <c r="I236" s="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4"/>
      <c r="D237" s="117"/>
      <c r="E237" s="117"/>
      <c r="F237" s="8"/>
      <c r="G237" s="8"/>
      <c r="H237" s="8"/>
      <c r="I237" s="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4"/>
      <c r="D238" s="117"/>
      <c r="E238" s="117"/>
      <c r="F238" s="8"/>
      <c r="G238" s="8"/>
      <c r="H238" s="8"/>
      <c r="I238" s="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4"/>
      <c r="D239" s="117"/>
      <c r="E239" s="117"/>
      <c r="F239" s="8"/>
      <c r="G239" s="8"/>
      <c r="H239" s="8"/>
      <c r="I239" s="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4"/>
      <c r="D240" s="117"/>
      <c r="E240" s="117"/>
      <c r="F240" s="8"/>
      <c r="G240" s="8"/>
      <c r="H240" s="8"/>
      <c r="I240" s="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4"/>
      <c r="D241" s="117"/>
      <c r="E241" s="117"/>
      <c r="F241" s="8"/>
      <c r="G241" s="8"/>
      <c r="H241" s="8"/>
      <c r="I241" s="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4"/>
      <c r="D242" s="117"/>
      <c r="E242" s="117"/>
      <c r="F242" s="8"/>
      <c r="G242" s="8"/>
      <c r="H242" s="8"/>
      <c r="I242" s="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4"/>
      <c r="D243" s="117"/>
      <c r="E243" s="117"/>
      <c r="F243" s="8"/>
      <c r="G243" s="8"/>
      <c r="H243" s="8"/>
      <c r="I243" s="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4"/>
      <c r="D244" s="117"/>
      <c r="E244" s="117"/>
      <c r="F244" s="8"/>
      <c r="G244" s="8"/>
      <c r="H244" s="8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4"/>
      <c r="D245" s="117"/>
      <c r="E245" s="117"/>
      <c r="F245" s="8"/>
      <c r="G245" s="8"/>
      <c r="H245" s="8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4"/>
      <c r="D246" s="117"/>
      <c r="E246" s="117"/>
      <c r="F246" s="8"/>
      <c r="G246" s="8"/>
      <c r="H246" s="8"/>
      <c r="I246" s="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4"/>
      <c r="D247" s="117"/>
      <c r="E247" s="117"/>
      <c r="F247" s="8"/>
      <c r="G247" s="8"/>
      <c r="H247" s="8"/>
      <c r="I247" s="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4"/>
      <c r="D248" s="117"/>
      <c r="E248" s="117"/>
      <c r="F248" s="8"/>
      <c r="G248" s="8"/>
      <c r="H248" s="8"/>
      <c r="I248" s="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4"/>
      <c r="D249" s="117"/>
      <c r="E249" s="117"/>
      <c r="F249" s="8"/>
      <c r="G249" s="8"/>
      <c r="H249" s="8"/>
      <c r="I249" s="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4"/>
      <c r="D250" s="117"/>
      <c r="E250" s="117"/>
      <c r="F250" s="8"/>
      <c r="G250" s="8"/>
      <c r="H250" s="8"/>
      <c r="I250" s="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4"/>
      <c r="D251" s="117"/>
      <c r="E251" s="117"/>
      <c r="F251" s="8"/>
      <c r="G251" s="8"/>
      <c r="H251" s="8"/>
      <c r="I251" s="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4"/>
      <c r="D252" s="117"/>
      <c r="E252" s="117"/>
      <c r="F252" s="8"/>
      <c r="G252" s="8"/>
      <c r="H252" s="8"/>
      <c r="I252" s="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4"/>
      <c r="D253" s="117"/>
      <c r="E253" s="117"/>
      <c r="F253" s="8"/>
      <c r="G253" s="8"/>
      <c r="H253" s="8"/>
      <c r="I253" s="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4"/>
      <c r="D254" s="117"/>
      <c r="E254" s="117"/>
      <c r="F254" s="8"/>
      <c r="G254" s="8"/>
      <c r="H254" s="8"/>
      <c r="I254" s="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4"/>
      <c r="D255" s="117"/>
      <c r="E255" s="117"/>
      <c r="F255" s="8"/>
      <c r="G255" s="8"/>
      <c r="H255" s="8"/>
      <c r="I255" s="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4"/>
      <c r="D256" s="117"/>
      <c r="E256" s="117"/>
      <c r="F256" s="8"/>
      <c r="G256" s="8"/>
      <c r="H256" s="8"/>
      <c r="I256" s="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4"/>
      <c r="D257" s="117"/>
      <c r="E257" s="117"/>
      <c r="F257" s="8"/>
      <c r="G257" s="8"/>
      <c r="H257" s="8"/>
      <c r="I257" s="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4"/>
      <c r="D258" s="117"/>
      <c r="E258" s="117"/>
      <c r="F258" s="8"/>
      <c r="G258" s="8"/>
      <c r="H258" s="8"/>
      <c r="I258" s="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4"/>
      <c r="D259" s="117"/>
      <c r="E259" s="117"/>
      <c r="F259" s="8"/>
      <c r="G259" s="8"/>
      <c r="H259" s="8"/>
      <c r="I259" s="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4"/>
      <c r="D260" s="117"/>
      <c r="E260" s="117"/>
      <c r="F260" s="8"/>
      <c r="G260" s="8"/>
      <c r="H260" s="8"/>
      <c r="I260" s="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4"/>
      <c r="D261" s="117"/>
      <c r="E261" s="117"/>
      <c r="F261" s="8"/>
      <c r="G261" s="8"/>
      <c r="H261" s="8"/>
      <c r="I261" s="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4"/>
      <c r="D262" s="117"/>
      <c r="E262" s="117"/>
      <c r="F262" s="8"/>
      <c r="G262" s="8"/>
      <c r="H262" s="8"/>
      <c r="I262" s="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4"/>
      <c r="D263" s="117"/>
      <c r="E263" s="117"/>
      <c r="F263" s="8"/>
      <c r="G263" s="8"/>
      <c r="H263" s="8"/>
      <c r="I263" s="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4"/>
      <c r="D264" s="117"/>
      <c r="E264" s="117"/>
      <c r="F264" s="8"/>
      <c r="G264" s="8"/>
      <c r="H264" s="8"/>
      <c r="I264" s="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4"/>
      <c r="D265" s="117"/>
      <c r="E265" s="117"/>
      <c r="F265" s="8"/>
      <c r="G265" s="8"/>
      <c r="H265" s="8"/>
      <c r="I265" s="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4"/>
      <c r="D266" s="117"/>
      <c r="E266" s="117"/>
      <c r="F266" s="8"/>
      <c r="G266" s="8"/>
      <c r="H266" s="8"/>
      <c r="I266" s="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4"/>
      <c r="D267" s="117"/>
      <c r="E267" s="117"/>
      <c r="F267" s="8"/>
      <c r="G267" s="8"/>
      <c r="H267" s="8"/>
      <c r="I267" s="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4"/>
      <c r="D268" s="117"/>
      <c r="E268" s="117"/>
      <c r="F268" s="8"/>
      <c r="G268" s="8"/>
      <c r="H268" s="8"/>
      <c r="I268" s="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4"/>
      <c r="D269" s="117"/>
      <c r="E269" s="117"/>
      <c r="F269" s="8"/>
      <c r="G269" s="8"/>
      <c r="H269" s="8"/>
      <c r="I269" s="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4"/>
      <c r="D270" s="117"/>
      <c r="E270" s="117"/>
      <c r="F270" s="8"/>
      <c r="G270" s="8"/>
      <c r="H270" s="8"/>
      <c r="I270" s="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4"/>
      <c r="D271" s="117"/>
      <c r="E271" s="117"/>
      <c r="F271" s="8"/>
      <c r="G271" s="8"/>
      <c r="H271" s="8"/>
      <c r="I271" s="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4"/>
      <c r="D272" s="117"/>
      <c r="E272" s="117"/>
      <c r="F272" s="8"/>
      <c r="G272" s="8"/>
      <c r="H272" s="8"/>
      <c r="I272" s="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4"/>
      <c r="D273" s="117"/>
      <c r="E273" s="117"/>
      <c r="F273" s="8"/>
      <c r="G273" s="8"/>
      <c r="H273" s="8"/>
      <c r="I273" s="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4"/>
      <c r="D274" s="117"/>
      <c r="E274" s="117"/>
      <c r="F274" s="8"/>
      <c r="G274" s="8"/>
      <c r="H274" s="8"/>
      <c r="I274" s="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4"/>
      <c r="D275" s="117"/>
      <c r="E275" s="117"/>
      <c r="F275" s="8"/>
      <c r="G275" s="8"/>
      <c r="H275" s="8"/>
      <c r="I275" s="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4"/>
      <c r="D276" s="117"/>
      <c r="E276" s="117"/>
      <c r="F276" s="8"/>
      <c r="G276" s="8"/>
      <c r="H276" s="8"/>
      <c r="I276" s="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4"/>
      <c r="D277" s="117"/>
      <c r="E277" s="117"/>
      <c r="F277" s="8"/>
      <c r="G277" s="8"/>
      <c r="H277" s="8"/>
      <c r="I277" s="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4"/>
      <c r="D278" s="117"/>
      <c r="E278" s="117"/>
      <c r="F278" s="8"/>
      <c r="G278" s="8"/>
      <c r="H278" s="8"/>
      <c r="I278" s="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4"/>
      <c r="D279" s="117"/>
      <c r="E279" s="117"/>
      <c r="F279" s="8"/>
      <c r="G279" s="8"/>
      <c r="H279" s="8"/>
      <c r="I279" s="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4"/>
      <c r="D280" s="117"/>
      <c r="E280" s="117"/>
      <c r="F280" s="8"/>
      <c r="G280" s="8"/>
      <c r="H280" s="8"/>
      <c r="I280" s="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4"/>
      <c r="D281" s="117"/>
      <c r="E281" s="117"/>
      <c r="F281" s="8"/>
      <c r="G281" s="8"/>
      <c r="H281" s="8"/>
      <c r="I281" s="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4"/>
      <c r="D282" s="117"/>
      <c r="E282" s="117"/>
      <c r="F282" s="8"/>
      <c r="G282" s="8"/>
      <c r="H282" s="8"/>
      <c r="I282" s="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4"/>
      <c r="D283" s="117"/>
      <c r="E283" s="117"/>
      <c r="F283" s="8"/>
      <c r="G283" s="8"/>
      <c r="H283" s="8"/>
      <c r="I283" s="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4"/>
      <c r="D284" s="117"/>
      <c r="E284" s="117"/>
      <c r="F284" s="8"/>
      <c r="G284" s="8"/>
      <c r="H284" s="8"/>
      <c r="I284" s="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4"/>
      <c r="D285" s="117"/>
      <c r="E285" s="117"/>
      <c r="F285" s="8"/>
      <c r="G285" s="8"/>
      <c r="H285" s="8"/>
      <c r="I285" s="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4"/>
      <c r="D286" s="117"/>
      <c r="E286" s="117"/>
      <c r="F286" s="8"/>
      <c r="G286" s="8"/>
      <c r="H286" s="8"/>
      <c r="I286" s="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4"/>
      <c r="D287" s="117"/>
      <c r="E287" s="117"/>
      <c r="F287" s="8"/>
      <c r="G287" s="8"/>
      <c r="H287" s="8"/>
      <c r="I287" s="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4"/>
      <c r="D288" s="117"/>
      <c r="E288" s="117"/>
      <c r="F288" s="8"/>
      <c r="G288" s="8"/>
      <c r="H288" s="8"/>
      <c r="I288" s="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4"/>
      <c r="D289" s="117"/>
      <c r="E289" s="117"/>
      <c r="F289" s="8"/>
      <c r="G289" s="8"/>
      <c r="H289" s="8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4"/>
      <c r="D290" s="117"/>
      <c r="E290" s="117"/>
      <c r="F290" s="8"/>
      <c r="G290" s="8"/>
      <c r="H290" s="8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4"/>
      <c r="D291" s="117"/>
      <c r="E291" s="117"/>
      <c r="F291" s="8"/>
      <c r="G291" s="8"/>
      <c r="H291" s="8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4"/>
      <c r="D292" s="117"/>
      <c r="E292" s="117"/>
      <c r="F292" s="8"/>
      <c r="G292" s="8"/>
      <c r="H292" s="8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4"/>
      <c r="D293" s="117"/>
      <c r="E293" s="117"/>
      <c r="F293" s="8"/>
      <c r="G293" s="8"/>
      <c r="H293" s="8"/>
      <c r="I293" s="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4"/>
      <c r="D294" s="117"/>
      <c r="E294" s="117"/>
      <c r="F294" s="8"/>
      <c r="G294" s="8"/>
      <c r="H294" s="8"/>
      <c r="I294" s="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4"/>
      <c r="D295" s="117"/>
      <c r="E295" s="117"/>
      <c r="F295" s="8"/>
      <c r="G295" s="8"/>
      <c r="H295" s="8"/>
      <c r="I295" s="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4"/>
      <c r="D296" s="117"/>
      <c r="E296" s="117"/>
      <c r="F296" s="8"/>
      <c r="G296" s="8"/>
      <c r="H296" s="8"/>
      <c r="I296" s="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4"/>
      <c r="D297" s="117"/>
      <c r="E297" s="117"/>
      <c r="F297" s="8"/>
      <c r="G297" s="8"/>
      <c r="H297" s="8"/>
      <c r="I297" s="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4"/>
      <c r="D298" s="117"/>
      <c r="E298" s="117"/>
      <c r="F298" s="8"/>
      <c r="G298" s="8"/>
      <c r="H298" s="8"/>
      <c r="I298" s="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4"/>
      <c r="D299" s="117"/>
      <c r="E299" s="117"/>
      <c r="F299" s="8"/>
      <c r="G299" s="8"/>
      <c r="H299" s="8"/>
      <c r="I299" s="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4"/>
      <c r="D300" s="117"/>
      <c r="E300" s="117"/>
      <c r="F300" s="8"/>
      <c r="G300" s="8"/>
      <c r="H300" s="8"/>
      <c r="I300" s="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4"/>
      <c r="D301" s="117"/>
      <c r="E301" s="117"/>
      <c r="F301" s="8"/>
      <c r="G301" s="8"/>
      <c r="H301" s="8"/>
      <c r="I301" s="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4"/>
      <c r="D302" s="117"/>
      <c r="E302" s="117"/>
      <c r="F302" s="8"/>
      <c r="G302" s="8"/>
      <c r="H302" s="8"/>
      <c r="I302" s="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4"/>
      <c r="D303" s="117"/>
      <c r="E303" s="117"/>
      <c r="F303" s="8"/>
      <c r="G303" s="8"/>
      <c r="H303" s="8"/>
      <c r="I303" s="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4"/>
      <c r="D304" s="117"/>
      <c r="E304" s="117"/>
      <c r="F304" s="8"/>
      <c r="G304" s="8"/>
      <c r="H304" s="8"/>
      <c r="I304" s="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4"/>
      <c r="D305" s="117"/>
      <c r="E305" s="117"/>
      <c r="F305" s="8"/>
      <c r="G305" s="8"/>
      <c r="H305" s="8"/>
      <c r="I305" s="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4"/>
      <c r="D306" s="117"/>
      <c r="E306" s="117"/>
      <c r="F306" s="8"/>
      <c r="G306" s="8"/>
      <c r="H306" s="8"/>
      <c r="I306" s="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4"/>
      <c r="D307" s="117"/>
      <c r="E307" s="117"/>
      <c r="F307" s="8"/>
      <c r="G307" s="8"/>
      <c r="H307" s="8"/>
      <c r="I307" s="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4"/>
      <c r="D308" s="117"/>
      <c r="E308" s="117"/>
      <c r="F308" s="8"/>
      <c r="G308" s="8"/>
      <c r="H308" s="8"/>
      <c r="I308" s="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4"/>
      <c r="D309" s="117"/>
      <c r="E309" s="117"/>
      <c r="F309" s="8"/>
      <c r="G309" s="8"/>
      <c r="H309" s="8"/>
      <c r="I309" s="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4"/>
      <c r="D310" s="117"/>
      <c r="E310" s="117"/>
      <c r="F310" s="8"/>
      <c r="G310" s="8"/>
      <c r="H310" s="8"/>
      <c r="I310" s="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4"/>
      <c r="D311" s="117"/>
      <c r="E311" s="117"/>
      <c r="F311" s="8"/>
      <c r="G311" s="8"/>
      <c r="H311" s="8"/>
      <c r="I311" s="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4"/>
      <c r="D312" s="117"/>
      <c r="E312" s="117"/>
      <c r="F312" s="8"/>
      <c r="G312" s="8"/>
      <c r="H312" s="8"/>
      <c r="I312" s="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4"/>
      <c r="D313" s="117"/>
      <c r="E313" s="117"/>
      <c r="F313" s="8"/>
      <c r="G313" s="8"/>
      <c r="H313" s="8"/>
      <c r="I313" s="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4"/>
      <c r="D314" s="117"/>
      <c r="E314" s="117"/>
      <c r="F314" s="8"/>
      <c r="G314" s="8"/>
      <c r="H314" s="8"/>
      <c r="I314" s="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4"/>
      <c r="D315" s="117"/>
      <c r="E315" s="117"/>
      <c r="F315" s="8"/>
      <c r="G315" s="8"/>
      <c r="H315" s="8"/>
      <c r="I315" s="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4"/>
      <c r="D316" s="117"/>
      <c r="E316" s="117"/>
      <c r="F316" s="8"/>
      <c r="G316" s="8"/>
      <c r="H316" s="8"/>
      <c r="I316" s="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4"/>
      <c r="D317" s="117"/>
      <c r="E317" s="117"/>
      <c r="F317" s="8"/>
      <c r="G317" s="8"/>
      <c r="H317" s="8"/>
      <c r="I317" s="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4"/>
      <c r="D318" s="117"/>
      <c r="E318" s="117"/>
      <c r="F318" s="8"/>
      <c r="G318" s="8"/>
      <c r="H318" s="8"/>
      <c r="I318" s="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4"/>
      <c r="D319" s="117"/>
      <c r="E319" s="117"/>
      <c r="F319" s="8"/>
      <c r="G319" s="8"/>
      <c r="H319" s="8"/>
      <c r="I319" s="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4"/>
      <c r="D320" s="117"/>
      <c r="E320" s="117"/>
      <c r="F320" s="8"/>
      <c r="G320" s="8"/>
      <c r="H320" s="8"/>
      <c r="I320" s="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4"/>
      <c r="D321" s="117"/>
      <c r="E321" s="117"/>
      <c r="F321" s="8"/>
      <c r="G321" s="8"/>
      <c r="H321" s="8"/>
      <c r="I321" s="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4"/>
      <c r="D322" s="117"/>
      <c r="E322" s="117"/>
      <c r="F322" s="8"/>
      <c r="G322" s="8"/>
      <c r="H322" s="8"/>
      <c r="I322" s="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4"/>
      <c r="D323" s="117"/>
      <c r="E323" s="117"/>
      <c r="F323" s="8"/>
      <c r="G323" s="8"/>
      <c r="H323" s="8"/>
      <c r="I323" s="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4"/>
      <c r="D324" s="117"/>
      <c r="E324" s="117"/>
      <c r="F324" s="8"/>
      <c r="G324" s="8"/>
      <c r="H324" s="8"/>
      <c r="I324" s="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4"/>
      <c r="D325" s="117"/>
      <c r="E325" s="117"/>
      <c r="F325" s="8"/>
      <c r="G325" s="8"/>
      <c r="H325" s="8"/>
      <c r="I325" s="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4"/>
      <c r="D326" s="117"/>
      <c r="E326" s="117"/>
      <c r="F326" s="8"/>
      <c r="G326" s="8"/>
      <c r="H326" s="8"/>
      <c r="I326" s="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4"/>
      <c r="D327" s="117"/>
      <c r="E327" s="117"/>
      <c r="F327" s="8"/>
      <c r="G327" s="8"/>
      <c r="H327" s="8"/>
      <c r="I327" s="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4"/>
      <c r="D328" s="117"/>
      <c r="E328" s="117"/>
      <c r="F328" s="8"/>
      <c r="G328" s="8"/>
      <c r="H328" s="8"/>
      <c r="I328" s="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4"/>
      <c r="D329" s="117"/>
      <c r="E329" s="117"/>
      <c r="F329" s="8"/>
      <c r="G329" s="8"/>
      <c r="H329" s="8"/>
      <c r="I329" s="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4"/>
      <c r="D330" s="117"/>
      <c r="E330" s="117"/>
      <c r="F330" s="8"/>
      <c r="G330" s="8"/>
      <c r="H330" s="8"/>
      <c r="I330" s="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4"/>
      <c r="D331" s="117"/>
      <c r="E331" s="117"/>
      <c r="F331" s="8"/>
      <c r="G331" s="8"/>
      <c r="H331" s="8"/>
      <c r="I331" s="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4"/>
      <c r="D332" s="117"/>
      <c r="E332" s="117"/>
      <c r="F332" s="8"/>
      <c r="G332" s="8"/>
      <c r="H332" s="8"/>
      <c r="I332" s="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4"/>
      <c r="D333" s="117"/>
      <c r="E333" s="117"/>
      <c r="F333" s="8"/>
      <c r="G333" s="8"/>
      <c r="H333" s="8"/>
      <c r="I333" s="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4"/>
      <c r="D334" s="117"/>
      <c r="E334" s="117"/>
      <c r="F334" s="8"/>
      <c r="G334" s="8"/>
      <c r="H334" s="8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4"/>
      <c r="D335" s="117"/>
      <c r="E335" s="117"/>
      <c r="F335" s="8"/>
      <c r="G335" s="8"/>
      <c r="H335" s="8"/>
      <c r="I335" s="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4"/>
      <c r="D336" s="117"/>
      <c r="E336" s="117"/>
      <c r="F336" s="8"/>
      <c r="G336" s="8"/>
      <c r="H336" s="8"/>
      <c r="I336" s="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4"/>
      <c r="D337" s="117"/>
      <c r="E337" s="117"/>
      <c r="F337" s="8"/>
      <c r="G337" s="8"/>
      <c r="H337" s="8"/>
      <c r="I337" s="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4"/>
      <c r="D338" s="117"/>
      <c r="E338" s="117"/>
      <c r="F338" s="8"/>
      <c r="G338" s="8"/>
      <c r="H338" s="8"/>
      <c r="I338" s="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4"/>
      <c r="D339" s="117"/>
      <c r="E339" s="117"/>
      <c r="F339" s="8"/>
      <c r="G339" s="8"/>
      <c r="H339" s="8"/>
      <c r="I339" s="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4"/>
      <c r="D340" s="117"/>
      <c r="E340" s="117"/>
      <c r="F340" s="8"/>
      <c r="G340" s="8"/>
      <c r="H340" s="8"/>
      <c r="I340" s="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4"/>
      <c r="D341" s="117"/>
      <c r="E341" s="117"/>
      <c r="F341" s="8"/>
      <c r="G341" s="8"/>
      <c r="H341" s="8"/>
      <c r="I341" s="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4"/>
      <c r="D342" s="117"/>
      <c r="E342" s="117"/>
      <c r="F342" s="8"/>
      <c r="G342" s="8"/>
      <c r="H342" s="8"/>
      <c r="I342" s="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4"/>
      <c r="D343" s="117"/>
      <c r="E343" s="117"/>
      <c r="F343" s="8"/>
      <c r="G343" s="8"/>
      <c r="H343" s="8"/>
      <c r="I343" s="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4"/>
      <c r="D344" s="117"/>
      <c r="E344" s="117"/>
      <c r="F344" s="8"/>
      <c r="G344" s="8"/>
      <c r="H344" s="8"/>
      <c r="I344" s="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4"/>
      <c r="D345" s="117"/>
      <c r="E345" s="117"/>
      <c r="F345" s="8"/>
      <c r="G345" s="8"/>
      <c r="H345" s="8"/>
      <c r="I345" s="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4"/>
      <c r="D346" s="117"/>
      <c r="E346" s="117"/>
      <c r="F346" s="8"/>
      <c r="G346" s="8"/>
      <c r="H346" s="8"/>
      <c r="I346" s="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4"/>
      <c r="D347" s="117"/>
      <c r="E347" s="117"/>
      <c r="F347" s="8"/>
      <c r="G347" s="8"/>
      <c r="H347" s="8"/>
      <c r="I347" s="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4"/>
      <c r="D348" s="117"/>
      <c r="E348" s="117"/>
      <c r="F348" s="8"/>
      <c r="G348" s="8"/>
      <c r="H348" s="8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4"/>
      <c r="D349" s="117"/>
      <c r="E349" s="117"/>
      <c r="F349" s="8"/>
      <c r="G349" s="8"/>
      <c r="H349" s="8"/>
      <c r="I349" s="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4"/>
      <c r="D350" s="117"/>
      <c r="E350" s="117"/>
      <c r="F350" s="8"/>
      <c r="G350" s="8"/>
      <c r="H350" s="8"/>
      <c r="I350" s="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4"/>
      <c r="D351" s="117"/>
      <c r="E351" s="117"/>
      <c r="F351" s="8"/>
      <c r="G351" s="8"/>
      <c r="H351" s="8"/>
      <c r="I351" s="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4"/>
      <c r="D352" s="117"/>
      <c r="E352" s="117"/>
      <c r="F352" s="8"/>
      <c r="G352" s="8"/>
      <c r="H352" s="8"/>
      <c r="I352" s="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4"/>
      <c r="D353" s="117"/>
      <c r="E353" s="117"/>
      <c r="F353" s="8"/>
      <c r="G353" s="8"/>
      <c r="H353" s="8"/>
      <c r="I353" s="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4"/>
      <c r="D354" s="117"/>
      <c r="E354" s="117"/>
      <c r="F354" s="8"/>
      <c r="G354" s="8"/>
      <c r="H354" s="8"/>
      <c r="I354" s="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4"/>
      <c r="D355" s="117"/>
      <c r="E355" s="117"/>
      <c r="F355" s="8"/>
      <c r="G355" s="8"/>
      <c r="H355" s="8"/>
      <c r="I355" s="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4"/>
      <c r="D356" s="117"/>
      <c r="E356" s="117"/>
      <c r="F356" s="8"/>
      <c r="G356" s="8"/>
      <c r="H356" s="8"/>
      <c r="I356" s="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4"/>
      <c r="D357" s="117"/>
      <c r="E357" s="117"/>
      <c r="F357" s="8"/>
      <c r="G357" s="8"/>
      <c r="H357" s="8"/>
      <c r="I357" s="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4"/>
      <c r="D358" s="117"/>
      <c r="E358" s="117"/>
      <c r="F358" s="8"/>
      <c r="G358" s="8"/>
      <c r="H358" s="8"/>
      <c r="I358" s="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4"/>
      <c r="D359" s="117"/>
      <c r="E359" s="117"/>
      <c r="F359" s="8"/>
      <c r="G359" s="8"/>
      <c r="H359" s="8"/>
      <c r="I359" s="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4"/>
      <c r="D360" s="117"/>
      <c r="E360" s="117"/>
      <c r="F360" s="8"/>
      <c r="G360" s="8"/>
      <c r="H360" s="8"/>
      <c r="I360" s="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4"/>
      <c r="D361" s="117"/>
      <c r="E361" s="117"/>
      <c r="F361" s="8"/>
      <c r="G361" s="8"/>
      <c r="H361" s="8"/>
      <c r="I361" s="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4"/>
      <c r="D362" s="117"/>
      <c r="E362" s="117"/>
      <c r="F362" s="8"/>
      <c r="G362" s="8"/>
      <c r="H362" s="8"/>
      <c r="I362" s="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4"/>
      <c r="D363" s="117"/>
      <c r="E363" s="117"/>
      <c r="F363" s="8"/>
      <c r="G363" s="8"/>
      <c r="H363" s="8"/>
      <c r="I363" s="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4"/>
      <c r="D364" s="117"/>
      <c r="E364" s="117"/>
      <c r="F364" s="8"/>
      <c r="G364" s="8"/>
      <c r="H364" s="8"/>
      <c r="I364" s="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4"/>
      <c r="D365" s="117"/>
      <c r="E365" s="117"/>
      <c r="F365" s="8"/>
      <c r="G365" s="8"/>
      <c r="H365" s="8"/>
      <c r="I365" s="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4"/>
      <c r="D366" s="117"/>
      <c r="E366" s="117"/>
      <c r="F366" s="8"/>
      <c r="G366" s="8"/>
      <c r="H366" s="8"/>
      <c r="I366" s="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4"/>
      <c r="D367" s="117"/>
      <c r="E367" s="117"/>
      <c r="F367" s="8"/>
      <c r="G367" s="8"/>
      <c r="H367" s="8"/>
      <c r="I367" s="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4"/>
      <c r="D368" s="117"/>
      <c r="E368" s="117"/>
      <c r="F368" s="8"/>
      <c r="G368" s="8"/>
      <c r="H368" s="8"/>
      <c r="I368" s="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4"/>
      <c r="D369" s="117"/>
      <c r="E369" s="117"/>
      <c r="F369" s="8"/>
      <c r="G369" s="8"/>
      <c r="H369" s="8"/>
      <c r="I369" s="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4"/>
      <c r="D370" s="117"/>
      <c r="E370" s="117"/>
      <c r="F370" s="8"/>
      <c r="G370" s="8"/>
      <c r="H370" s="8"/>
      <c r="I370" s="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4"/>
      <c r="D371" s="117"/>
      <c r="E371" s="117"/>
      <c r="F371" s="8"/>
      <c r="G371" s="8"/>
      <c r="H371" s="8"/>
      <c r="I371" s="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4"/>
      <c r="D372" s="117"/>
      <c r="E372" s="117"/>
      <c r="F372" s="8"/>
      <c r="G372" s="8"/>
      <c r="H372" s="8"/>
      <c r="I372" s="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4"/>
      <c r="D373" s="117"/>
      <c r="E373" s="117"/>
      <c r="F373" s="8"/>
      <c r="G373" s="8"/>
      <c r="H373" s="8"/>
      <c r="I373" s="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4"/>
      <c r="D374" s="117"/>
      <c r="E374" s="117"/>
      <c r="F374" s="8"/>
      <c r="G374" s="8"/>
      <c r="H374" s="8"/>
      <c r="I374" s="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4"/>
      <c r="D375" s="117"/>
      <c r="E375" s="117"/>
      <c r="F375" s="8"/>
      <c r="G375" s="8"/>
      <c r="H375" s="8"/>
      <c r="I375" s="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4"/>
      <c r="D376" s="117"/>
      <c r="E376" s="117"/>
      <c r="F376" s="8"/>
      <c r="G376" s="8"/>
      <c r="H376" s="8"/>
      <c r="I376" s="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4"/>
      <c r="D377" s="117"/>
      <c r="E377" s="117"/>
      <c r="F377" s="8"/>
      <c r="G377" s="8"/>
      <c r="H377" s="8"/>
      <c r="I377" s="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4"/>
      <c r="D378" s="117"/>
      <c r="E378" s="117"/>
      <c r="F378" s="8"/>
      <c r="G378" s="8"/>
      <c r="H378" s="8"/>
      <c r="I378" s="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4"/>
      <c r="D379" s="117"/>
      <c r="E379" s="117"/>
      <c r="F379" s="8"/>
      <c r="G379" s="8"/>
      <c r="H379" s="8"/>
      <c r="I379" s="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4"/>
      <c r="D380" s="117"/>
      <c r="E380" s="117"/>
      <c r="F380" s="8"/>
      <c r="G380" s="8"/>
      <c r="H380" s="8"/>
      <c r="I380" s="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4"/>
      <c r="D381" s="117"/>
      <c r="E381" s="117"/>
      <c r="F381" s="8"/>
      <c r="G381" s="8"/>
      <c r="H381" s="8"/>
      <c r="I381" s="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4"/>
      <c r="D382" s="117"/>
      <c r="E382" s="117"/>
      <c r="F382" s="8"/>
      <c r="G382" s="8"/>
      <c r="H382" s="8"/>
      <c r="I382" s="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4"/>
      <c r="D383" s="117"/>
      <c r="E383" s="117"/>
      <c r="F383" s="8"/>
      <c r="G383" s="8"/>
      <c r="H383" s="8"/>
      <c r="I383" s="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4"/>
      <c r="D384" s="117"/>
      <c r="E384" s="117"/>
      <c r="F384" s="8"/>
      <c r="G384" s="8"/>
      <c r="H384" s="8"/>
      <c r="I384" s="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4"/>
      <c r="D385" s="117"/>
      <c r="E385" s="117"/>
      <c r="F385" s="8"/>
      <c r="G385" s="8"/>
      <c r="H385" s="8"/>
      <c r="I385" s="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4"/>
      <c r="D386" s="117"/>
      <c r="E386" s="117"/>
      <c r="F386" s="8"/>
      <c r="G386" s="8"/>
      <c r="H386" s="8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4"/>
      <c r="D387" s="117"/>
      <c r="E387" s="117"/>
      <c r="F387" s="8"/>
      <c r="G387" s="8"/>
      <c r="H387" s="8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4"/>
      <c r="D388" s="117"/>
      <c r="E388" s="117"/>
      <c r="F388" s="8"/>
      <c r="G388" s="8"/>
      <c r="H388" s="8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4"/>
      <c r="D389" s="117"/>
      <c r="E389" s="117"/>
      <c r="F389" s="8"/>
      <c r="G389" s="8"/>
      <c r="H389" s="8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4"/>
      <c r="D390" s="117"/>
      <c r="E390" s="117"/>
      <c r="F390" s="8"/>
      <c r="G390" s="8"/>
      <c r="H390" s="8"/>
      <c r="I390" s="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4"/>
      <c r="D391" s="117"/>
      <c r="E391" s="117"/>
      <c r="F391" s="8"/>
      <c r="G391" s="8"/>
      <c r="H391" s="8"/>
      <c r="I391" s="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4"/>
      <c r="D392" s="117"/>
      <c r="E392" s="117"/>
      <c r="F392" s="8"/>
      <c r="G392" s="8"/>
      <c r="H392" s="8"/>
      <c r="I392" s="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4"/>
      <c r="D393" s="117"/>
      <c r="E393" s="117"/>
      <c r="F393" s="8"/>
      <c r="G393" s="8"/>
      <c r="H393" s="8"/>
      <c r="I393" s="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4"/>
      <c r="D394" s="117"/>
      <c r="E394" s="117"/>
      <c r="F394" s="8"/>
      <c r="G394" s="8"/>
      <c r="H394" s="8"/>
      <c r="I394" s="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4"/>
      <c r="D395" s="117"/>
      <c r="E395" s="117"/>
      <c r="F395" s="8"/>
      <c r="G395" s="8"/>
      <c r="H395" s="8"/>
      <c r="I395" s="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4"/>
      <c r="D396" s="117"/>
      <c r="E396" s="117"/>
      <c r="F396" s="8"/>
      <c r="G396" s="8"/>
      <c r="H396" s="8"/>
      <c r="I396" s="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4"/>
      <c r="D397" s="117"/>
      <c r="E397" s="117"/>
      <c r="F397" s="8"/>
      <c r="G397" s="8"/>
      <c r="H397" s="8"/>
      <c r="I397" s="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4"/>
      <c r="D398" s="117"/>
      <c r="E398" s="117"/>
      <c r="F398" s="8"/>
      <c r="G398" s="8"/>
      <c r="H398" s="8"/>
      <c r="I398" s="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4"/>
      <c r="D399" s="117"/>
      <c r="E399" s="117"/>
      <c r="F399" s="8"/>
      <c r="G399" s="8"/>
      <c r="H399" s="8"/>
      <c r="I399" s="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4"/>
      <c r="D400" s="117"/>
      <c r="E400" s="117"/>
      <c r="F400" s="8"/>
      <c r="G400" s="8"/>
      <c r="H400" s="8"/>
      <c r="I400" s="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4"/>
      <c r="D401" s="117"/>
      <c r="E401" s="117"/>
      <c r="F401" s="8"/>
      <c r="G401" s="8"/>
      <c r="H401" s="8"/>
      <c r="I401" s="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4"/>
      <c r="D402" s="117"/>
      <c r="E402" s="117"/>
      <c r="F402" s="8"/>
      <c r="G402" s="8"/>
      <c r="H402" s="8"/>
      <c r="I402" s="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4"/>
      <c r="D403" s="117"/>
      <c r="E403" s="117"/>
      <c r="F403" s="8"/>
      <c r="G403" s="8"/>
      <c r="H403" s="8"/>
      <c r="I403" s="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4"/>
      <c r="D404" s="117"/>
      <c r="E404" s="117"/>
      <c r="F404" s="8"/>
      <c r="G404" s="8"/>
      <c r="H404" s="8"/>
      <c r="I404" s="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4"/>
      <c r="D405" s="117"/>
      <c r="E405" s="117"/>
      <c r="F405" s="8"/>
      <c r="G405" s="8"/>
      <c r="H405" s="8"/>
      <c r="I405" s="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4"/>
      <c r="D406" s="117"/>
      <c r="E406" s="117"/>
      <c r="F406" s="8"/>
      <c r="G406" s="8"/>
      <c r="H406" s="8"/>
      <c r="I406" s="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4"/>
      <c r="D407" s="117"/>
      <c r="E407" s="117"/>
      <c r="F407" s="8"/>
      <c r="G407" s="8"/>
      <c r="H407" s="8"/>
      <c r="I407" s="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4"/>
      <c r="D408" s="117"/>
      <c r="E408" s="117"/>
      <c r="F408" s="8"/>
      <c r="G408" s="8"/>
      <c r="H408" s="8"/>
      <c r="I408" s="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4"/>
      <c r="D409" s="117"/>
      <c r="E409" s="117"/>
      <c r="F409" s="8"/>
      <c r="G409" s="8"/>
      <c r="H409" s="8"/>
      <c r="I409" s="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4"/>
      <c r="D410" s="117"/>
      <c r="E410" s="117"/>
      <c r="F410" s="8"/>
      <c r="G410" s="8"/>
      <c r="H410" s="8"/>
      <c r="I410" s="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4"/>
      <c r="D411" s="117"/>
      <c r="E411" s="117"/>
      <c r="F411" s="8"/>
      <c r="G411" s="8"/>
      <c r="H411" s="8"/>
      <c r="I411" s="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4"/>
      <c r="D412" s="117"/>
      <c r="E412" s="117"/>
      <c r="F412" s="8"/>
      <c r="G412" s="8"/>
      <c r="H412" s="8"/>
      <c r="I412" s="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4"/>
      <c r="D413" s="117"/>
      <c r="E413" s="117"/>
      <c r="F413" s="8"/>
      <c r="G413" s="8"/>
      <c r="H413" s="8"/>
      <c r="I413" s="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4"/>
      <c r="D414" s="117"/>
      <c r="E414" s="117"/>
      <c r="F414" s="8"/>
      <c r="G414" s="8"/>
      <c r="H414" s="8"/>
      <c r="I414" s="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4"/>
      <c r="D415" s="117"/>
      <c r="E415" s="117"/>
      <c r="F415" s="8"/>
      <c r="G415" s="8"/>
      <c r="H415" s="8"/>
      <c r="I415" s="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4"/>
      <c r="D416" s="117"/>
      <c r="E416" s="117"/>
      <c r="F416" s="8"/>
      <c r="G416" s="8"/>
      <c r="H416" s="8"/>
      <c r="I416" s="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4"/>
      <c r="D417" s="117"/>
      <c r="E417" s="117"/>
      <c r="F417" s="8"/>
      <c r="G417" s="8"/>
      <c r="H417" s="8"/>
      <c r="I417" s="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4"/>
      <c r="D418" s="117"/>
      <c r="E418" s="117"/>
      <c r="F418" s="8"/>
      <c r="G418" s="8"/>
      <c r="H418" s="8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4"/>
      <c r="D419" s="117"/>
      <c r="E419" s="117"/>
      <c r="F419" s="8"/>
      <c r="G419" s="8"/>
      <c r="H419" s="8"/>
      <c r="I419" s="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4"/>
      <c r="D420" s="117"/>
      <c r="E420" s="117"/>
      <c r="F420" s="8"/>
      <c r="G420" s="8"/>
      <c r="H420" s="8"/>
      <c r="I420" s="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4"/>
      <c r="D421" s="117"/>
      <c r="E421" s="117"/>
      <c r="F421" s="8"/>
      <c r="G421" s="8"/>
      <c r="H421" s="8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4"/>
      <c r="D422" s="117"/>
      <c r="E422" s="117"/>
      <c r="F422" s="8"/>
      <c r="G422" s="8"/>
      <c r="H422" s="8"/>
      <c r="I422" s="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4"/>
      <c r="D423" s="117"/>
      <c r="E423" s="117"/>
      <c r="F423" s="8"/>
      <c r="G423" s="8"/>
      <c r="H423" s="8"/>
      <c r="I423" s="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4"/>
      <c r="D424" s="117"/>
      <c r="E424" s="117"/>
      <c r="F424" s="8"/>
      <c r="G424" s="8"/>
      <c r="H424" s="8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4"/>
      <c r="D425" s="117"/>
      <c r="E425" s="117"/>
      <c r="F425" s="8"/>
      <c r="G425" s="8"/>
      <c r="H425" s="8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4"/>
      <c r="D426" s="117"/>
      <c r="E426" s="117"/>
      <c r="F426" s="8"/>
      <c r="G426" s="8"/>
      <c r="H426" s="8"/>
      <c r="I426" s="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4"/>
      <c r="D427" s="117"/>
      <c r="E427" s="117"/>
      <c r="F427" s="8"/>
      <c r="G427" s="8"/>
      <c r="H427" s="8"/>
      <c r="I427" s="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4"/>
      <c r="D428" s="117"/>
      <c r="E428" s="117"/>
      <c r="F428" s="8"/>
      <c r="G428" s="8"/>
      <c r="H428" s="8"/>
      <c r="I428" s="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4"/>
      <c r="D429" s="117"/>
      <c r="E429" s="117"/>
      <c r="F429" s="8"/>
      <c r="G429" s="8"/>
      <c r="H429" s="8"/>
      <c r="I429" s="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4"/>
      <c r="D430" s="117"/>
      <c r="E430" s="117"/>
      <c r="F430" s="8"/>
      <c r="G430" s="8"/>
      <c r="H430" s="8"/>
      <c r="I430" s="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4"/>
      <c r="D431" s="117"/>
      <c r="E431" s="117"/>
      <c r="F431" s="8"/>
      <c r="G431" s="8"/>
      <c r="H431" s="8"/>
      <c r="I431" s="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4"/>
      <c r="D432" s="117"/>
      <c r="E432" s="117"/>
      <c r="F432" s="8"/>
      <c r="G432" s="8"/>
      <c r="H432" s="8"/>
      <c r="I432" s="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4"/>
      <c r="D433" s="117"/>
      <c r="E433" s="117"/>
      <c r="F433" s="8"/>
      <c r="G433" s="8"/>
      <c r="H433" s="8"/>
      <c r="I433" s="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4"/>
      <c r="D434" s="117"/>
      <c r="E434" s="117"/>
      <c r="F434" s="8"/>
      <c r="G434" s="8"/>
      <c r="H434" s="8"/>
      <c r="I434" s="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4"/>
      <c r="D435" s="117"/>
      <c r="E435" s="117"/>
      <c r="F435" s="8"/>
      <c r="G435" s="8"/>
      <c r="H435" s="8"/>
      <c r="I435" s="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4"/>
      <c r="D436" s="117"/>
      <c r="E436" s="117"/>
      <c r="F436" s="8"/>
      <c r="G436" s="8"/>
      <c r="H436" s="8"/>
      <c r="I436" s="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4"/>
      <c r="D437" s="117"/>
      <c r="E437" s="117"/>
      <c r="F437" s="8"/>
      <c r="G437" s="8"/>
      <c r="H437" s="8"/>
      <c r="I437" s="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4"/>
      <c r="D438" s="117"/>
      <c r="E438" s="117"/>
      <c r="F438" s="8"/>
      <c r="G438" s="8"/>
      <c r="H438" s="8"/>
      <c r="I438" s="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4"/>
      <c r="D439" s="117"/>
      <c r="E439" s="117"/>
      <c r="F439" s="8"/>
      <c r="G439" s="8"/>
      <c r="H439" s="8"/>
      <c r="I439" s="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4"/>
      <c r="D440" s="117"/>
      <c r="E440" s="117"/>
      <c r="F440" s="8"/>
      <c r="G440" s="8"/>
      <c r="H440" s="8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4"/>
      <c r="D441" s="117"/>
      <c r="E441" s="117"/>
      <c r="F441" s="8"/>
      <c r="G441" s="8"/>
      <c r="H441" s="8"/>
      <c r="I441" s="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4"/>
      <c r="D442" s="117"/>
      <c r="E442" s="117"/>
      <c r="F442" s="8"/>
      <c r="G442" s="8"/>
      <c r="H442" s="8"/>
      <c r="I442" s="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4"/>
      <c r="D443" s="117"/>
      <c r="E443" s="117"/>
      <c r="F443" s="8"/>
      <c r="G443" s="8"/>
      <c r="H443" s="8"/>
      <c r="I443" s="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4"/>
      <c r="D444" s="117"/>
      <c r="E444" s="117"/>
      <c r="F444" s="8"/>
      <c r="G444" s="8"/>
      <c r="H444" s="8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4"/>
      <c r="D445" s="117"/>
      <c r="E445" s="117"/>
      <c r="F445" s="8"/>
      <c r="G445" s="8"/>
      <c r="H445" s="8"/>
      <c r="I445" s="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4"/>
      <c r="D446" s="117"/>
      <c r="E446" s="117"/>
      <c r="F446" s="8"/>
      <c r="G446" s="8"/>
      <c r="H446" s="8"/>
      <c r="I446" s="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4"/>
      <c r="D447" s="117"/>
      <c r="E447" s="117"/>
      <c r="F447" s="8"/>
      <c r="G447" s="8"/>
      <c r="H447" s="8"/>
      <c r="I447" s="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4"/>
      <c r="D448" s="117"/>
      <c r="E448" s="117"/>
      <c r="F448" s="8"/>
      <c r="G448" s="8"/>
      <c r="H448" s="8"/>
      <c r="I448" s="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4"/>
      <c r="D449" s="117"/>
      <c r="E449" s="117"/>
      <c r="F449" s="8"/>
      <c r="G449" s="8"/>
      <c r="H449" s="8"/>
      <c r="I449" s="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4"/>
      <c r="D450" s="117"/>
      <c r="E450" s="117"/>
      <c r="F450" s="8"/>
      <c r="G450" s="8"/>
      <c r="H450" s="8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4"/>
      <c r="D451" s="117"/>
      <c r="E451" s="117"/>
      <c r="F451" s="8"/>
      <c r="G451" s="8"/>
      <c r="H451" s="8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4"/>
      <c r="D452" s="117"/>
      <c r="E452" s="117"/>
      <c r="F452" s="8"/>
      <c r="G452" s="8"/>
      <c r="H452" s="8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4"/>
      <c r="D453" s="117"/>
      <c r="E453" s="117"/>
      <c r="F453" s="8"/>
      <c r="G453" s="8"/>
      <c r="H453" s="8"/>
      <c r="I453" s="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4"/>
      <c r="D454" s="117"/>
      <c r="E454" s="117"/>
      <c r="F454" s="8"/>
      <c r="G454" s="8"/>
      <c r="H454" s="8"/>
      <c r="I454" s="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4"/>
      <c r="D455" s="117"/>
      <c r="E455" s="117"/>
      <c r="F455" s="8"/>
      <c r="G455" s="8"/>
      <c r="H455" s="8"/>
      <c r="I455" s="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4"/>
      <c r="D456" s="117"/>
      <c r="E456" s="117"/>
      <c r="F456" s="8"/>
      <c r="G456" s="8"/>
      <c r="H456" s="8"/>
      <c r="I456" s="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4"/>
      <c r="D457" s="117"/>
      <c r="E457" s="117"/>
      <c r="F457" s="8"/>
      <c r="G457" s="8"/>
      <c r="H457" s="8"/>
      <c r="I457" s="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4"/>
      <c r="D458" s="117"/>
      <c r="E458" s="117"/>
      <c r="F458" s="8"/>
      <c r="G458" s="8"/>
      <c r="H458" s="8"/>
      <c r="I458" s="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4"/>
      <c r="D459" s="117"/>
      <c r="E459" s="117"/>
      <c r="F459" s="8"/>
      <c r="G459" s="8"/>
      <c r="H459" s="8"/>
      <c r="I459" s="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4"/>
      <c r="D460" s="117"/>
      <c r="E460" s="117"/>
      <c r="F460" s="8"/>
      <c r="G460" s="8"/>
      <c r="H460" s="8"/>
      <c r="I460" s="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4"/>
      <c r="D461" s="117"/>
      <c r="E461" s="117"/>
      <c r="F461" s="8"/>
      <c r="G461" s="8"/>
      <c r="H461" s="8"/>
      <c r="I461" s="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4"/>
      <c r="D462" s="117"/>
      <c r="E462" s="117"/>
      <c r="F462" s="8"/>
      <c r="G462" s="8"/>
      <c r="H462" s="8"/>
      <c r="I462" s="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4"/>
      <c r="D463" s="117"/>
      <c r="E463" s="117"/>
      <c r="F463" s="8"/>
      <c r="G463" s="8"/>
      <c r="H463" s="8"/>
      <c r="I463" s="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4"/>
      <c r="D464" s="117"/>
      <c r="E464" s="117"/>
      <c r="F464" s="8"/>
      <c r="G464" s="8"/>
      <c r="H464" s="8"/>
      <c r="I464" s="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4"/>
      <c r="D465" s="117"/>
      <c r="E465" s="117"/>
      <c r="F465" s="8"/>
      <c r="G465" s="8"/>
      <c r="H465" s="8"/>
      <c r="I465" s="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4"/>
      <c r="D466" s="117"/>
      <c r="E466" s="117"/>
      <c r="F466" s="8"/>
      <c r="G466" s="8"/>
      <c r="H466" s="8"/>
      <c r="I466" s="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4"/>
      <c r="D467" s="117"/>
      <c r="E467" s="117"/>
      <c r="F467" s="8"/>
      <c r="G467" s="8"/>
      <c r="H467" s="8"/>
      <c r="I467" s="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4"/>
      <c r="D468" s="117"/>
      <c r="E468" s="117"/>
      <c r="F468" s="8"/>
      <c r="G468" s="8"/>
      <c r="H468" s="8"/>
      <c r="I468" s="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4"/>
      <c r="D469" s="117"/>
      <c r="E469" s="117"/>
      <c r="F469" s="8"/>
      <c r="G469" s="8"/>
      <c r="H469" s="8"/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4"/>
      <c r="D470" s="117"/>
      <c r="E470" s="117"/>
      <c r="F470" s="8"/>
      <c r="G470" s="8"/>
      <c r="H470" s="8"/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4"/>
      <c r="D471" s="117"/>
      <c r="E471" s="117"/>
      <c r="F471" s="8"/>
      <c r="G471" s="8"/>
      <c r="H471" s="8"/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4"/>
      <c r="D472" s="117"/>
      <c r="E472" s="117"/>
      <c r="F472" s="8"/>
      <c r="G472" s="8"/>
      <c r="H472" s="8"/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4"/>
      <c r="D473" s="117"/>
      <c r="E473" s="117"/>
      <c r="F473" s="8"/>
      <c r="G473" s="8"/>
      <c r="H473" s="8"/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4"/>
      <c r="D474" s="117"/>
      <c r="E474" s="117"/>
      <c r="F474" s="8"/>
      <c r="G474" s="8"/>
      <c r="H474" s="8"/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4"/>
      <c r="D475" s="117"/>
      <c r="E475" s="117"/>
      <c r="F475" s="8"/>
      <c r="G475" s="8"/>
      <c r="H475" s="8"/>
      <c r="I475" s="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4"/>
      <c r="D476" s="117"/>
      <c r="E476" s="117"/>
      <c r="F476" s="8"/>
      <c r="G476" s="8"/>
      <c r="H476" s="8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4"/>
      <c r="D477" s="117"/>
      <c r="E477" s="117"/>
      <c r="F477" s="8"/>
      <c r="G477" s="8"/>
      <c r="H477" s="8"/>
      <c r="I477" s="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4"/>
      <c r="D478" s="117"/>
      <c r="E478" s="117"/>
      <c r="F478" s="8"/>
      <c r="G478" s="8"/>
      <c r="H478" s="8"/>
      <c r="I478" s="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4"/>
      <c r="D479" s="117"/>
      <c r="E479" s="117"/>
      <c r="F479" s="8"/>
      <c r="G479" s="8"/>
      <c r="H479" s="8"/>
      <c r="I479" s="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4"/>
      <c r="D480" s="117"/>
      <c r="E480" s="117"/>
      <c r="F480" s="8"/>
      <c r="G480" s="8"/>
      <c r="H480" s="8"/>
      <c r="I480" s="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4"/>
      <c r="D481" s="117"/>
      <c r="E481" s="117"/>
      <c r="F481" s="8"/>
      <c r="G481" s="8"/>
      <c r="H481" s="8"/>
      <c r="I481" s="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4"/>
      <c r="D482" s="117"/>
      <c r="E482" s="117"/>
      <c r="F482" s="8"/>
      <c r="G482" s="8"/>
      <c r="H482" s="8"/>
      <c r="I482" s="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4"/>
      <c r="D483" s="117"/>
      <c r="E483" s="117"/>
      <c r="F483" s="8"/>
      <c r="G483" s="8"/>
      <c r="H483" s="8"/>
      <c r="I483" s="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4"/>
      <c r="D484" s="117"/>
      <c r="E484" s="117"/>
      <c r="F484" s="8"/>
      <c r="G484" s="8"/>
      <c r="H484" s="8"/>
      <c r="I484" s="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4"/>
      <c r="D485" s="117"/>
      <c r="E485" s="117"/>
      <c r="F485" s="8"/>
      <c r="G485" s="8"/>
      <c r="H485" s="8"/>
      <c r="I485" s="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4"/>
      <c r="D486" s="117"/>
      <c r="E486" s="117"/>
      <c r="F486" s="8"/>
      <c r="G486" s="8"/>
      <c r="H486" s="8"/>
      <c r="I486" s="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4"/>
      <c r="D487" s="117"/>
      <c r="E487" s="117"/>
      <c r="F487" s="8"/>
      <c r="G487" s="8"/>
      <c r="H487" s="8"/>
      <c r="I487" s="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4"/>
      <c r="D488" s="117"/>
      <c r="E488" s="117"/>
      <c r="F488" s="8"/>
      <c r="G488" s="8"/>
      <c r="H488" s="8"/>
      <c r="I488" s="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4"/>
      <c r="D489" s="117"/>
      <c r="E489" s="117"/>
      <c r="F489" s="8"/>
      <c r="G489" s="8"/>
      <c r="H489" s="8"/>
      <c r="I489" s="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4"/>
      <c r="D490" s="117"/>
      <c r="E490" s="117"/>
      <c r="F490" s="8"/>
      <c r="G490" s="8"/>
      <c r="H490" s="8"/>
      <c r="I490" s="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4"/>
      <c r="D491" s="117"/>
      <c r="E491" s="117"/>
      <c r="F491" s="8"/>
      <c r="G491" s="8"/>
      <c r="H491" s="8"/>
      <c r="I491" s="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4"/>
      <c r="D492" s="117"/>
      <c r="E492" s="117"/>
      <c r="F492" s="8"/>
      <c r="G492" s="8"/>
      <c r="H492" s="8"/>
      <c r="I492" s="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4"/>
      <c r="D493" s="117"/>
      <c r="E493" s="117"/>
      <c r="F493" s="8"/>
      <c r="G493" s="8"/>
      <c r="H493" s="8"/>
      <c r="I493" s="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4"/>
      <c r="D494" s="117"/>
      <c r="E494" s="117"/>
      <c r="F494" s="8"/>
      <c r="G494" s="8"/>
      <c r="H494" s="8"/>
      <c r="I494" s="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4"/>
      <c r="D495" s="117"/>
      <c r="E495" s="117"/>
      <c r="F495" s="8"/>
      <c r="G495" s="8"/>
      <c r="H495" s="8"/>
      <c r="I495" s="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4"/>
      <c r="D496" s="117"/>
      <c r="E496" s="117"/>
      <c r="F496" s="8"/>
      <c r="G496" s="8"/>
      <c r="H496" s="8"/>
      <c r="I496" s="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4"/>
      <c r="D497" s="117"/>
      <c r="E497" s="117"/>
      <c r="F497" s="8"/>
      <c r="G497" s="8"/>
      <c r="H497" s="8"/>
      <c r="I497" s="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4"/>
      <c r="D498" s="117"/>
      <c r="E498" s="117"/>
      <c r="F498" s="8"/>
      <c r="G498" s="8"/>
      <c r="H498" s="8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4"/>
      <c r="D499" s="117"/>
      <c r="E499" s="117"/>
      <c r="F499" s="8"/>
      <c r="G499" s="8"/>
      <c r="H499" s="8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4"/>
      <c r="D500" s="117"/>
      <c r="E500" s="117"/>
      <c r="F500" s="8"/>
      <c r="G500" s="8"/>
      <c r="H500" s="8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4"/>
      <c r="D501" s="117"/>
      <c r="E501" s="117"/>
      <c r="F501" s="8"/>
      <c r="G501" s="8"/>
      <c r="H501" s="8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4"/>
      <c r="D502" s="117"/>
      <c r="E502" s="117"/>
      <c r="F502" s="8"/>
      <c r="G502" s="8"/>
      <c r="H502" s="8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4"/>
      <c r="D503" s="117"/>
      <c r="E503" s="117"/>
      <c r="F503" s="8"/>
      <c r="G503" s="8"/>
      <c r="H503" s="8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4"/>
      <c r="D504" s="117"/>
      <c r="E504" s="117"/>
      <c r="F504" s="8"/>
      <c r="G504" s="8"/>
      <c r="H504" s="8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4"/>
      <c r="D505" s="117"/>
      <c r="E505" s="117"/>
      <c r="F505" s="8"/>
      <c r="G505" s="8"/>
      <c r="H505" s="8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4"/>
      <c r="D506" s="117"/>
      <c r="E506" s="117"/>
      <c r="F506" s="8"/>
      <c r="G506" s="8"/>
      <c r="H506" s="8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4"/>
      <c r="D507" s="117"/>
      <c r="E507" s="117"/>
      <c r="F507" s="8"/>
      <c r="G507" s="8"/>
      <c r="H507" s="8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4"/>
      <c r="D508" s="117"/>
      <c r="E508" s="117"/>
      <c r="F508" s="8"/>
      <c r="G508" s="8"/>
      <c r="H508" s="8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4"/>
      <c r="D509" s="117"/>
      <c r="E509" s="117"/>
      <c r="F509" s="8"/>
      <c r="G509" s="8"/>
      <c r="H509" s="8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4"/>
      <c r="D510" s="117"/>
      <c r="E510" s="117"/>
      <c r="F510" s="8"/>
      <c r="G510" s="8"/>
      <c r="H510" s="8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4"/>
      <c r="D511" s="117"/>
      <c r="E511" s="117"/>
      <c r="F511" s="8"/>
      <c r="G511" s="8"/>
      <c r="H511" s="8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4"/>
      <c r="D512" s="117"/>
      <c r="E512" s="117"/>
      <c r="F512" s="8"/>
      <c r="G512" s="8"/>
      <c r="H512" s="8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4"/>
      <c r="D513" s="117"/>
      <c r="E513" s="117"/>
      <c r="F513" s="8"/>
      <c r="G513" s="8"/>
      <c r="H513" s="8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4"/>
      <c r="D514" s="117"/>
      <c r="E514" s="117"/>
      <c r="F514" s="8"/>
      <c r="G514" s="8"/>
      <c r="H514" s="8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4"/>
      <c r="D515" s="117"/>
      <c r="E515" s="117"/>
      <c r="F515" s="8"/>
      <c r="G515" s="8"/>
      <c r="H515" s="8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4"/>
      <c r="D516" s="117"/>
      <c r="E516" s="117"/>
      <c r="F516" s="8"/>
      <c r="G516" s="8"/>
      <c r="H516" s="8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4"/>
      <c r="D517" s="117"/>
      <c r="E517" s="117"/>
      <c r="F517" s="8"/>
      <c r="G517" s="8"/>
      <c r="H517" s="8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4"/>
      <c r="D518" s="117"/>
      <c r="E518" s="117"/>
      <c r="F518" s="8"/>
      <c r="G518" s="8"/>
      <c r="H518" s="8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4"/>
      <c r="D519" s="117"/>
      <c r="E519" s="117"/>
      <c r="F519" s="8"/>
      <c r="G519" s="8"/>
      <c r="H519" s="8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4"/>
      <c r="D520" s="117"/>
      <c r="E520" s="117"/>
      <c r="F520" s="8"/>
      <c r="G520" s="8"/>
      <c r="H520" s="8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4"/>
      <c r="D521" s="117"/>
      <c r="E521" s="117"/>
      <c r="F521" s="8"/>
      <c r="G521" s="8"/>
      <c r="H521" s="8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4"/>
      <c r="D522" s="117"/>
      <c r="E522" s="117"/>
      <c r="F522" s="8"/>
      <c r="G522" s="8"/>
      <c r="H522" s="8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4"/>
      <c r="D523" s="117"/>
      <c r="E523" s="117"/>
      <c r="F523" s="8"/>
      <c r="G523" s="8"/>
      <c r="H523" s="8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4"/>
      <c r="D524" s="117"/>
      <c r="E524" s="117"/>
      <c r="F524" s="8"/>
      <c r="G524" s="8"/>
      <c r="H524" s="8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4"/>
      <c r="D525" s="117"/>
      <c r="E525" s="117"/>
      <c r="F525" s="8"/>
      <c r="G525" s="8"/>
      <c r="H525" s="8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4"/>
      <c r="D526" s="117"/>
      <c r="E526" s="117"/>
      <c r="F526" s="8"/>
      <c r="G526" s="8"/>
      <c r="H526" s="8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4"/>
      <c r="D527" s="117"/>
      <c r="E527" s="117"/>
      <c r="F527" s="8"/>
      <c r="G527" s="8"/>
      <c r="H527" s="8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4"/>
      <c r="D528" s="117"/>
      <c r="E528" s="117"/>
      <c r="F528" s="8"/>
      <c r="G528" s="8"/>
      <c r="H528" s="8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4"/>
      <c r="D529" s="117"/>
      <c r="E529" s="117"/>
      <c r="F529" s="8"/>
      <c r="G529" s="8"/>
      <c r="H529" s="8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4"/>
      <c r="D530" s="117"/>
      <c r="E530" s="117"/>
      <c r="F530" s="8"/>
      <c r="G530" s="8"/>
      <c r="H530" s="8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4"/>
      <c r="D531" s="117"/>
      <c r="E531" s="117"/>
      <c r="F531" s="8"/>
      <c r="G531" s="8"/>
      <c r="H531" s="8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4"/>
      <c r="D532" s="117"/>
      <c r="E532" s="117"/>
      <c r="F532" s="8"/>
      <c r="G532" s="8"/>
      <c r="H532" s="8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4"/>
      <c r="D533" s="117"/>
      <c r="E533" s="117"/>
      <c r="F533" s="8"/>
      <c r="G533" s="8"/>
      <c r="H533" s="8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4"/>
      <c r="D534" s="117"/>
      <c r="E534" s="117"/>
      <c r="F534" s="8"/>
      <c r="G534" s="8"/>
      <c r="H534" s="8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4"/>
      <c r="D535" s="117"/>
      <c r="E535" s="117"/>
      <c r="F535" s="8"/>
      <c r="G535" s="8"/>
      <c r="H535" s="8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4"/>
      <c r="D536" s="117"/>
      <c r="E536" s="117"/>
      <c r="F536" s="8"/>
      <c r="G536" s="8"/>
      <c r="H536" s="8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4"/>
      <c r="D537" s="117"/>
      <c r="E537" s="117"/>
      <c r="F537" s="8"/>
      <c r="G537" s="8"/>
      <c r="H537" s="8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4"/>
      <c r="D538" s="117"/>
      <c r="E538" s="117"/>
      <c r="F538" s="8"/>
      <c r="G538" s="8"/>
      <c r="H538" s="8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4"/>
      <c r="D539" s="117"/>
      <c r="E539" s="117"/>
      <c r="F539" s="8"/>
      <c r="G539" s="8"/>
      <c r="H539" s="8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4"/>
      <c r="D540" s="117"/>
      <c r="E540" s="117"/>
      <c r="F540" s="8"/>
      <c r="G540" s="8"/>
      <c r="H540" s="8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4"/>
      <c r="D541" s="117"/>
      <c r="E541" s="117"/>
      <c r="F541" s="8"/>
      <c r="G541" s="8"/>
      <c r="H541" s="8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4"/>
      <c r="D542" s="117"/>
      <c r="E542" s="117"/>
      <c r="F542" s="8"/>
      <c r="G542" s="8"/>
      <c r="H542" s="8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4"/>
      <c r="D543" s="117"/>
      <c r="E543" s="117"/>
      <c r="F543" s="8"/>
      <c r="G543" s="8"/>
      <c r="H543" s="8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4"/>
      <c r="D544" s="117"/>
      <c r="E544" s="117"/>
      <c r="F544" s="8"/>
      <c r="G544" s="8"/>
      <c r="H544" s="8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4"/>
      <c r="D545" s="117"/>
      <c r="E545" s="117"/>
      <c r="F545" s="8"/>
      <c r="G545" s="8"/>
      <c r="H545" s="8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4"/>
      <c r="D546" s="117"/>
      <c r="E546" s="117"/>
      <c r="F546" s="8"/>
      <c r="G546" s="8"/>
      <c r="H546" s="8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4"/>
      <c r="D547" s="117"/>
      <c r="E547" s="117"/>
      <c r="F547" s="8"/>
      <c r="G547" s="8"/>
      <c r="H547" s="8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4"/>
      <c r="D548" s="117"/>
      <c r="E548" s="117"/>
      <c r="F548" s="8"/>
      <c r="G548" s="8"/>
      <c r="H548" s="8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4"/>
      <c r="D549" s="117"/>
      <c r="E549" s="117"/>
      <c r="F549" s="8"/>
      <c r="G549" s="8"/>
      <c r="H549" s="8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4"/>
      <c r="D550" s="117"/>
      <c r="E550" s="117"/>
      <c r="F550" s="8"/>
      <c r="G550" s="8"/>
      <c r="H550" s="8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4"/>
      <c r="D551" s="117"/>
      <c r="E551" s="117"/>
      <c r="F551" s="8"/>
      <c r="G551" s="8"/>
      <c r="H551" s="8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4"/>
      <c r="D552" s="117"/>
      <c r="E552" s="117"/>
      <c r="F552" s="8"/>
      <c r="G552" s="8"/>
      <c r="H552" s="8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4"/>
      <c r="D553" s="117"/>
      <c r="E553" s="117"/>
      <c r="F553" s="8"/>
      <c r="G553" s="8"/>
      <c r="H553" s="8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4"/>
      <c r="D554" s="117"/>
      <c r="E554" s="117"/>
      <c r="F554" s="8"/>
      <c r="G554" s="8"/>
      <c r="H554" s="8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4"/>
      <c r="D555" s="117"/>
      <c r="E555" s="117"/>
      <c r="F555" s="8"/>
      <c r="G555" s="8"/>
      <c r="H555" s="8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4"/>
      <c r="D556" s="117"/>
      <c r="E556" s="117"/>
      <c r="F556" s="8"/>
      <c r="G556" s="8"/>
      <c r="H556" s="8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4"/>
      <c r="D557" s="117"/>
      <c r="E557" s="117"/>
      <c r="F557" s="8"/>
      <c r="G557" s="8"/>
      <c r="H557" s="8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4"/>
      <c r="D558" s="117"/>
      <c r="E558" s="117"/>
      <c r="F558" s="8"/>
      <c r="G558" s="8"/>
      <c r="H558" s="8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4"/>
      <c r="D559" s="117"/>
      <c r="E559" s="117"/>
      <c r="F559" s="8"/>
      <c r="G559" s="8"/>
      <c r="H559" s="8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4"/>
      <c r="D560" s="117"/>
      <c r="E560" s="117"/>
      <c r="F560" s="8"/>
      <c r="G560" s="8"/>
      <c r="H560" s="8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4"/>
      <c r="D561" s="117"/>
      <c r="E561" s="117"/>
      <c r="F561" s="8"/>
      <c r="G561" s="8"/>
      <c r="H561" s="8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4"/>
      <c r="D562" s="117"/>
      <c r="E562" s="117"/>
      <c r="F562" s="8"/>
      <c r="G562" s="8"/>
      <c r="H562" s="8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4"/>
      <c r="D563" s="117"/>
      <c r="E563" s="117"/>
      <c r="F563" s="8"/>
      <c r="G563" s="8"/>
      <c r="H563" s="8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4"/>
      <c r="D564" s="117"/>
      <c r="E564" s="117"/>
      <c r="F564" s="8"/>
      <c r="G564" s="8"/>
      <c r="H564" s="8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4"/>
      <c r="D565" s="117"/>
      <c r="E565" s="117"/>
      <c r="F565" s="8"/>
      <c r="G565" s="8"/>
      <c r="H565" s="8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4"/>
      <c r="D566" s="117"/>
      <c r="E566" s="117"/>
      <c r="F566" s="8"/>
      <c r="G566" s="8"/>
      <c r="H566" s="8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4"/>
      <c r="D567" s="117"/>
      <c r="E567" s="117"/>
      <c r="F567" s="8"/>
      <c r="G567" s="8"/>
      <c r="H567" s="8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4"/>
      <c r="D568" s="117"/>
      <c r="E568" s="117"/>
      <c r="F568" s="8"/>
      <c r="G568" s="8"/>
      <c r="H568" s="8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4"/>
      <c r="D569" s="117"/>
      <c r="E569" s="117"/>
      <c r="F569" s="8"/>
      <c r="G569" s="8"/>
      <c r="H569" s="8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4"/>
      <c r="D570" s="117"/>
      <c r="E570" s="117"/>
      <c r="F570" s="8"/>
      <c r="G570" s="8"/>
      <c r="H570" s="8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4"/>
      <c r="D571" s="117"/>
      <c r="E571" s="117"/>
      <c r="F571" s="8"/>
      <c r="G571" s="8"/>
      <c r="H571" s="8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4"/>
      <c r="D572" s="117"/>
      <c r="E572" s="117"/>
      <c r="F572" s="8"/>
      <c r="G572" s="8"/>
      <c r="H572" s="8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4"/>
      <c r="D573" s="117"/>
      <c r="E573" s="117"/>
      <c r="F573" s="8"/>
      <c r="G573" s="8"/>
      <c r="H573" s="8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4"/>
      <c r="D574" s="117"/>
      <c r="E574" s="117"/>
      <c r="F574" s="8"/>
      <c r="G574" s="8"/>
      <c r="H574" s="8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4"/>
      <c r="D575" s="117"/>
      <c r="E575" s="117"/>
      <c r="F575" s="8"/>
      <c r="G575" s="8"/>
      <c r="H575" s="8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4"/>
      <c r="D576" s="117"/>
      <c r="E576" s="117"/>
      <c r="F576" s="8"/>
      <c r="G576" s="8"/>
      <c r="H576" s="8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4"/>
      <c r="D577" s="117"/>
      <c r="E577" s="117"/>
      <c r="F577" s="8"/>
      <c r="G577" s="8"/>
      <c r="H577" s="8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4"/>
      <c r="D578" s="117"/>
      <c r="E578" s="117"/>
      <c r="F578" s="8"/>
      <c r="G578" s="8"/>
      <c r="H578" s="8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4"/>
      <c r="D579" s="117"/>
      <c r="E579" s="117"/>
      <c r="F579" s="8"/>
      <c r="G579" s="8"/>
      <c r="H579" s="8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4"/>
      <c r="D580" s="117"/>
      <c r="E580" s="117"/>
      <c r="F580" s="8"/>
      <c r="G580" s="8"/>
      <c r="H580" s="8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4"/>
      <c r="D581" s="117"/>
      <c r="E581" s="117"/>
      <c r="F581" s="8"/>
      <c r="G581" s="8"/>
      <c r="H581" s="8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4"/>
      <c r="D582" s="117"/>
      <c r="E582" s="117"/>
      <c r="F582" s="8"/>
      <c r="G582" s="8"/>
      <c r="H582" s="8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4"/>
      <c r="D583" s="117"/>
      <c r="E583" s="117"/>
      <c r="F583" s="8"/>
      <c r="G583" s="8"/>
      <c r="H583" s="8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4"/>
      <c r="D584" s="117"/>
      <c r="E584" s="117"/>
      <c r="F584" s="8"/>
      <c r="G584" s="8"/>
      <c r="H584" s="8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4"/>
      <c r="D585" s="117"/>
      <c r="E585" s="117"/>
      <c r="F585" s="8"/>
      <c r="G585" s="8"/>
      <c r="H585" s="8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4"/>
      <c r="D586" s="117"/>
      <c r="E586" s="117"/>
      <c r="F586" s="8"/>
      <c r="G586" s="8"/>
      <c r="H586" s="8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4"/>
      <c r="D587" s="117"/>
      <c r="E587" s="117"/>
      <c r="F587" s="8"/>
      <c r="G587" s="8"/>
      <c r="H587" s="8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4"/>
      <c r="D588" s="117"/>
      <c r="E588" s="117"/>
      <c r="F588" s="8"/>
      <c r="G588" s="8"/>
      <c r="H588" s="8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4"/>
      <c r="D589" s="117"/>
      <c r="E589" s="117"/>
      <c r="F589" s="8"/>
      <c r="G589" s="8"/>
      <c r="H589" s="8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4"/>
      <c r="D590" s="117"/>
      <c r="E590" s="117"/>
      <c r="F590" s="8"/>
      <c r="G590" s="8"/>
      <c r="H590" s="8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4"/>
      <c r="D591" s="117"/>
      <c r="E591" s="117"/>
      <c r="F591" s="8"/>
      <c r="G591" s="8"/>
      <c r="H591" s="8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4"/>
      <c r="D592" s="117"/>
      <c r="E592" s="117"/>
      <c r="F592" s="8"/>
      <c r="G592" s="8"/>
      <c r="H592" s="8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4"/>
      <c r="D593" s="117"/>
      <c r="E593" s="117"/>
      <c r="F593" s="8"/>
      <c r="G593" s="8"/>
      <c r="H593" s="8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4"/>
      <c r="D594" s="117"/>
      <c r="E594" s="117"/>
      <c r="F594" s="8"/>
      <c r="G594" s="8"/>
      <c r="H594" s="8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4"/>
      <c r="D595" s="117"/>
      <c r="E595" s="117"/>
      <c r="F595" s="8"/>
      <c r="G595" s="8"/>
      <c r="H595" s="8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4"/>
      <c r="D596" s="117"/>
      <c r="E596" s="117"/>
      <c r="F596" s="8"/>
      <c r="G596" s="8"/>
      <c r="H596" s="8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4"/>
      <c r="D597" s="117"/>
      <c r="E597" s="117"/>
      <c r="F597" s="8"/>
      <c r="G597" s="8"/>
      <c r="H597" s="8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4"/>
      <c r="D598" s="117"/>
      <c r="E598" s="117"/>
      <c r="F598" s="8"/>
      <c r="G598" s="8"/>
      <c r="H598" s="8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4"/>
      <c r="D599" s="117"/>
      <c r="E599" s="117"/>
      <c r="F599" s="8"/>
      <c r="G599" s="8"/>
      <c r="H599" s="8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4"/>
      <c r="D600" s="117"/>
      <c r="E600" s="117"/>
      <c r="F600" s="8"/>
      <c r="G600" s="8"/>
      <c r="H600" s="8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4"/>
      <c r="D601" s="117"/>
      <c r="E601" s="117"/>
      <c r="F601" s="8"/>
      <c r="G601" s="8"/>
      <c r="H601" s="8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4"/>
      <c r="D602" s="117"/>
      <c r="E602" s="117"/>
      <c r="F602" s="8"/>
      <c r="G602" s="8"/>
      <c r="H602" s="8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4"/>
      <c r="D603" s="117"/>
      <c r="E603" s="117"/>
      <c r="F603" s="8"/>
      <c r="G603" s="8"/>
      <c r="H603" s="8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4"/>
      <c r="D604" s="117"/>
      <c r="E604" s="117"/>
      <c r="F604" s="8"/>
      <c r="G604" s="8"/>
      <c r="H604" s="8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4"/>
      <c r="D605" s="117"/>
      <c r="E605" s="117"/>
      <c r="F605" s="8"/>
      <c r="G605" s="8"/>
      <c r="H605" s="8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4"/>
      <c r="D606" s="117"/>
      <c r="E606" s="117"/>
      <c r="F606" s="8"/>
      <c r="G606" s="8"/>
      <c r="H606" s="8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4"/>
      <c r="D607" s="117"/>
      <c r="E607" s="117"/>
      <c r="F607" s="8"/>
      <c r="G607" s="8"/>
      <c r="H607" s="8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4"/>
      <c r="D608" s="117"/>
      <c r="E608" s="117"/>
      <c r="F608" s="8"/>
      <c r="G608" s="8"/>
      <c r="H608" s="8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4"/>
      <c r="D609" s="117"/>
      <c r="E609" s="117"/>
      <c r="F609" s="8"/>
      <c r="G609" s="8"/>
      <c r="H609" s="8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4"/>
      <c r="D610" s="117"/>
      <c r="E610" s="117"/>
      <c r="F610" s="8"/>
      <c r="G610" s="8"/>
      <c r="H610" s="8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4"/>
      <c r="D611" s="117"/>
      <c r="E611" s="117"/>
      <c r="F611" s="8"/>
      <c r="G611" s="8"/>
      <c r="H611" s="8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4"/>
      <c r="D612" s="117"/>
      <c r="E612" s="117"/>
      <c r="F612" s="8"/>
      <c r="G612" s="8"/>
      <c r="H612" s="8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4"/>
      <c r="D613" s="117"/>
      <c r="E613" s="117"/>
      <c r="F613" s="8"/>
      <c r="G613" s="8"/>
      <c r="H613" s="8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4"/>
      <c r="D614" s="117"/>
      <c r="E614" s="117"/>
      <c r="F614" s="8"/>
      <c r="G614" s="8"/>
      <c r="H614" s="8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4"/>
      <c r="D615" s="117"/>
      <c r="E615" s="117"/>
      <c r="F615" s="8"/>
      <c r="G615" s="8"/>
      <c r="H615" s="8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4"/>
      <c r="D616" s="117"/>
      <c r="E616" s="117"/>
      <c r="F616" s="8"/>
      <c r="G616" s="8"/>
      <c r="H616" s="8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4"/>
      <c r="D617" s="117"/>
      <c r="E617" s="117"/>
      <c r="F617" s="8"/>
      <c r="G617" s="8"/>
      <c r="H617" s="8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4"/>
      <c r="D618" s="117"/>
      <c r="E618" s="117"/>
      <c r="F618" s="8"/>
      <c r="G618" s="8"/>
      <c r="H618" s="8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4"/>
      <c r="D619" s="117"/>
      <c r="E619" s="117"/>
      <c r="F619" s="8"/>
      <c r="G619" s="8"/>
      <c r="H619" s="8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4"/>
      <c r="D620" s="117"/>
      <c r="E620" s="117"/>
      <c r="F620" s="8"/>
      <c r="G620" s="8"/>
      <c r="H620" s="8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4"/>
      <c r="D621" s="117"/>
      <c r="E621" s="117"/>
      <c r="F621" s="8"/>
      <c r="G621" s="8"/>
      <c r="H621" s="8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4"/>
      <c r="D622" s="117"/>
      <c r="E622" s="117"/>
      <c r="F622" s="8"/>
      <c r="G622" s="8"/>
      <c r="H622" s="8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4"/>
      <c r="D623" s="117"/>
      <c r="E623" s="117"/>
      <c r="F623" s="8"/>
      <c r="G623" s="8"/>
      <c r="H623" s="8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4"/>
      <c r="D624" s="117"/>
      <c r="E624" s="117"/>
      <c r="F624" s="8"/>
      <c r="G624" s="8"/>
      <c r="H624" s="8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4"/>
      <c r="D625" s="117"/>
      <c r="E625" s="117"/>
      <c r="F625" s="8"/>
      <c r="G625" s="8"/>
      <c r="H625" s="8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4"/>
      <c r="D626" s="117"/>
      <c r="E626" s="117"/>
      <c r="F626" s="8"/>
      <c r="G626" s="8"/>
      <c r="H626" s="8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4"/>
      <c r="D627" s="117"/>
      <c r="E627" s="117"/>
      <c r="F627" s="8"/>
      <c r="G627" s="8"/>
      <c r="H627" s="8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4"/>
      <c r="D628" s="117"/>
      <c r="E628" s="117"/>
      <c r="F628" s="8"/>
      <c r="G628" s="8"/>
      <c r="H628" s="8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4"/>
      <c r="D629" s="117"/>
      <c r="E629" s="117"/>
      <c r="F629" s="8"/>
      <c r="G629" s="8"/>
      <c r="H629" s="8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4"/>
      <c r="D630" s="117"/>
      <c r="E630" s="117"/>
      <c r="F630" s="8"/>
      <c r="G630" s="8"/>
      <c r="H630" s="8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4"/>
      <c r="D631" s="117"/>
      <c r="E631" s="117"/>
      <c r="F631" s="8"/>
      <c r="G631" s="8"/>
      <c r="H631" s="8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4"/>
      <c r="D632" s="117"/>
      <c r="E632" s="117"/>
      <c r="F632" s="8"/>
      <c r="G632" s="8"/>
      <c r="H632" s="8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4"/>
      <c r="D633" s="117"/>
      <c r="E633" s="117"/>
      <c r="F633" s="8"/>
      <c r="G633" s="8"/>
      <c r="H633" s="8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4"/>
      <c r="D634" s="117"/>
      <c r="E634" s="117"/>
      <c r="F634" s="8"/>
      <c r="G634" s="8"/>
      <c r="H634" s="8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4"/>
      <c r="D635" s="117"/>
      <c r="E635" s="117"/>
      <c r="F635" s="8"/>
      <c r="G635" s="8"/>
      <c r="H635" s="8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4"/>
      <c r="D636" s="117"/>
      <c r="E636" s="117"/>
      <c r="F636" s="8"/>
      <c r="G636" s="8"/>
      <c r="H636" s="8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4"/>
      <c r="D637" s="117"/>
      <c r="E637" s="117"/>
      <c r="F637" s="8"/>
      <c r="G637" s="8"/>
      <c r="H637" s="8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4"/>
      <c r="D638" s="117"/>
      <c r="E638" s="117"/>
      <c r="F638" s="8"/>
      <c r="G638" s="8"/>
      <c r="H638" s="8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4"/>
      <c r="D639" s="117"/>
      <c r="E639" s="117"/>
      <c r="F639" s="8"/>
      <c r="G639" s="8"/>
      <c r="H639" s="8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4"/>
      <c r="D640" s="117"/>
      <c r="E640" s="117"/>
      <c r="F640" s="8"/>
      <c r="G640" s="8"/>
      <c r="H640" s="8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4"/>
      <c r="D641" s="117"/>
      <c r="E641" s="117"/>
      <c r="F641" s="8"/>
      <c r="G641" s="8"/>
      <c r="H641" s="8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4"/>
      <c r="D642" s="117"/>
      <c r="E642" s="117"/>
      <c r="F642" s="8"/>
      <c r="G642" s="8"/>
      <c r="H642" s="8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4"/>
      <c r="D643" s="117"/>
      <c r="E643" s="117"/>
      <c r="F643" s="8"/>
      <c r="G643" s="8"/>
      <c r="H643" s="8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4"/>
      <c r="D644" s="117"/>
      <c r="E644" s="117"/>
      <c r="F644" s="8"/>
      <c r="G644" s="8"/>
      <c r="H644" s="8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4"/>
      <c r="D645" s="117"/>
      <c r="E645" s="117"/>
      <c r="F645" s="8"/>
      <c r="G645" s="8"/>
      <c r="H645" s="8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4"/>
      <c r="D646" s="117"/>
      <c r="E646" s="117"/>
      <c r="F646" s="8"/>
      <c r="G646" s="8"/>
      <c r="H646" s="8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4"/>
      <c r="D647" s="117"/>
      <c r="E647" s="117"/>
      <c r="F647" s="8"/>
      <c r="G647" s="8"/>
      <c r="H647" s="8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4"/>
      <c r="D648" s="117"/>
      <c r="E648" s="117"/>
      <c r="F648" s="8"/>
      <c r="G648" s="8"/>
      <c r="H648" s="8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4"/>
      <c r="D649" s="117"/>
      <c r="E649" s="117"/>
      <c r="F649" s="8"/>
      <c r="G649" s="8"/>
      <c r="H649" s="8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4"/>
      <c r="D650" s="117"/>
      <c r="E650" s="117"/>
      <c r="F650" s="8"/>
      <c r="G650" s="8"/>
      <c r="H650" s="8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4"/>
      <c r="D651" s="117"/>
      <c r="E651" s="117"/>
      <c r="F651" s="8"/>
      <c r="G651" s="8"/>
      <c r="H651" s="8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4"/>
      <c r="D652" s="117"/>
      <c r="E652" s="117"/>
      <c r="F652" s="8"/>
      <c r="G652" s="8"/>
      <c r="H652" s="8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4"/>
      <c r="D653" s="117"/>
      <c r="E653" s="117"/>
      <c r="F653" s="8"/>
      <c r="G653" s="8"/>
      <c r="H653" s="8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4"/>
      <c r="D654" s="117"/>
      <c r="E654" s="117"/>
      <c r="F654" s="8"/>
      <c r="G654" s="8"/>
      <c r="H654" s="8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4"/>
      <c r="D655" s="117"/>
      <c r="E655" s="117"/>
      <c r="F655" s="8"/>
      <c r="G655" s="8"/>
      <c r="H655" s="8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4"/>
      <c r="D656" s="117"/>
      <c r="E656" s="117"/>
      <c r="F656" s="8"/>
      <c r="G656" s="8"/>
      <c r="H656" s="8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4"/>
      <c r="D657" s="117"/>
      <c r="E657" s="117"/>
      <c r="F657" s="8"/>
      <c r="G657" s="8"/>
      <c r="H657" s="8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4"/>
      <c r="D658" s="117"/>
      <c r="E658" s="117"/>
      <c r="F658" s="8"/>
      <c r="G658" s="8"/>
      <c r="H658" s="8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4"/>
      <c r="D659" s="117"/>
      <c r="E659" s="117"/>
      <c r="F659" s="8"/>
      <c r="G659" s="8"/>
      <c r="H659" s="8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4"/>
      <c r="D660" s="117"/>
      <c r="E660" s="117"/>
      <c r="F660" s="8"/>
      <c r="G660" s="8"/>
      <c r="H660" s="8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4"/>
      <c r="D661" s="117"/>
      <c r="E661" s="117"/>
      <c r="F661" s="8"/>
      <c r="G661" s="8"/>
      <c r="H661" s="8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4"/>
      <c r="D662" s="117"/>
      <c r="E662" s="117"/>
      <c r="F662" s="8"/>
      <c r="G662" s="8"/>
      <c r="H662" s="8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4"/>
      <c r="D663" s="117"/>
      <c r="E663" s="117"/>
      <c r="F663" s="8"/>
      <c r="G663" s="8"/>
      <c r="H663" s="8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4"/>
      <c r="D664" s="117"/>
      <c r="E664" s="117"/>
      <c r="F664" s="8"/>
      <c r="G664" s="8"/>
      <c r="H664" s="8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4"/>
      <c r="D665" s="117"/>
      <c r="E665" s="117"/>
      <c r="F665" s="8"/>
      <c r="G665" s="8"/>
      <c r="H665" s="8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4"/>
      <c r="D666" s="117"/>
      <c r="E666" s="117"/>
      <c r="F666" s="8"/>
      <c r="G666" s="8"/>
      <c r="H666" s="8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4"/>
      <c r="D667" s="117"/>
      <c r="E667" s="117"/>
      <c r="F667" s="8"/>
      <c r="G667" s="8"/>
      <c r="H667" s="8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4"/>
      <c r="D668" s="117"/>
      <c r="E668" s="117"/>
      <c r="F668" s="8"/>
      <c r="G668" s="8"/>
      <c r="H668" s="8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4"/>
      <c r="D669" s="117"/>
      <c r="E669" s="117"/>
      <c r="F669" s="8"/>
      <c r="G669" s="8"/>
      <c r="H669" s="8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4"/>
      <c r="D670" s="117"/>
      <c r="E670" s="117"/>
      <c r="F670" s="8"/>
      <c r="G670" s="8"/>
      <c r="H670" s="8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4"/>
      <c r="D671" s="117"/>
      <c r="E671" s="117"/>
      <c r="F671" s="8"/>
      <c r="G671" s="8"/>
      <c r="H671" s="8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4"/>
      <c r="D672" s="117"/>
      <c r="E672" s="117"/>
      <c r="F672" s="8"/>
      <c r="G672" s="8"/>
      <c r="H672" s="8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4"/>
      <c r="D673" s="117"/>
      <c r="E673" s="117"/>
      <c r="F673" s="8"/>
      <c r="G673" s="8"/>
      <c r="H673" s="8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4"/>
      <c r="D674" s="117"/>
      <c r="E674" s="117"/>
      <c r="F674" s="8"/>
      <c r="G674" s="8"/>
      <c r="H674" s="8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4"/>
      <c r="D675" s="117"/>
      <c r="E675" s="117"/>
      <c r="F675" s="8"/>
      <c r="G675" s="8"/>
      <c r="H675" s="8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4"/>
      <c r="D676" s="117"/>
      <c r="E676" s="117"/>
      <c r="F676" s="8"/>
      <c r="G676" s="8"/>
      <c r="H676" s="8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4"/>
      <c r="D677" s="117"/>
      <c r="E677" s="117"/>
      <c r="F677" s="8"/>
      <c r="G677" s="8"/>
      <c r="H677" s="8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4"/>
      <c r="D678" s="117"/>
      <c r="E678" s="117"/>
      <c r="F678" s="8"/>
      <c r="G678" s="8"/>
      <c r="H678" s="8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4"/>
      <c r="D679" s="117"/>
      <c r="E679" s="117"/>
      <c r="F679" s="8"/>
      <c r="G679" s="8"/>
      <c r="H679" s="8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4"/>
      <c r="D680" s="117"/>
      <c r="E680" s="117"/>
      <c r="F680" s="8"/>
      <c r="G680" s="8"/>
      <c r="H680" s="8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4"/>
      <c r="D681" s="117"/>
      <c r="E681" s="117"/>
      <c r="F681" s="8"/>
      <c r="G681" s="8"/>
      <c r="H681" s="8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4"/>
      <c r="D682" s="117"/>
      <c r="E682" s="117"/>
      <c r="F682" s="8"/>
      <c r="G682" s="8"/>
      <c r="H682" s="8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4"/>
      <c r="D683" s="117"/>
      <c r="E683" s="117"/>
      <c r="F683" s="8"/>
      <c r="G683" s="8"/>
      <c r="H683" s="8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4"/>
      <c r="D684" s="117"/>
      <c r="E684" s="117"/>
      <c r="F684" s="8"/>
      <c r="G684" s="8"/>
      <c r="H684" s="8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4"/>
      <c r="D685" s="117"/>
      <c r="E685" s="117"/>
      <c r="F685" s="8"/>
      <c r="G685" s="8"/>
      <c r="H685" s="8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4"/>
      <c r="D686" s="117"/>
      <c r="E686" s="117"/>
      <c r="F686" s="8"/>
      <c r="G686" s="8"/>
      <c r="H686" s="8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4"/>
      <c r="D687" s="117"/>
      <c r="E687" s="117"/>
      <c r="F687" s="8"/>
      <c r="G687" s="8"/>
      <c r="H687" s="8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4"/>
      <c r="D688" s="117"/>
      <c r="E688" s="117"/>
      <c r="F688" s="8"/>
      <c r="G688" s="8"/>
      <c r="H688" s="8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4"/>
      <c r="D689" s="117"/>
      <c r="E689" s="117"/>
      <c r="F689" s="8"/>
      <c r="G689" s="8"/>
      <c r="H689" s="8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4"/>
      <c r="D690" s="117"/>
      <c r="E690" s="117"/>
      <c r="F690" s="8"/>
      <c r="G690" s="8"/>
      <c r="H690" s="8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4"/>
      <c r="D691" s="117"/>
      <c r="E691" s="117"/>
      <c r="F691" s="8"/>
      <c r="G691" s="8"/>
      <c r="H691" s="8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4"/>
      <c r="D692" s="117"/>
      <c r="E692" s="117"/>
      <c r="F692" s="8"/>
      <c r="G692" s="8"/>
      <c r="H692" s="8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4"/>
      <c r="D693" s="117"/>
      <c r="E693" s="117"/>
      <c r="F693" s="8"/>
      <c r="G693" s="8"/>
      <c r="H693" s="8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4"/>
      <c r="D694" s="117"/>
      <c r="E694" s="117"/>
      <c r="F694" s="8"/>
      <c r="G694" s="8"/>
      <c r="H694" s="8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4"/>
      <c r="D695" s="117"/>
      <c r="E695" s="117"/>
      <c r="F695" s="8"/>
      <c r="G695" s="8"/>
      <c r="H695" s="8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4"/>
      <c r="D696" s="117"/>
      <c r="E696" s="117"/>
      <c r="F696" s="8"/>
      <c r="G696" s="8"/>
      <c r="H696" s="8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4"/>
      <c r="D697" s="117"/>
      <c r="E697" s="117"/>
      <c r="F697" s="8"/>
      <c r="G697" s="8"/>
      <c r="H697" s="8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4"/>
      <c r="D698" s="117"/>
      <c r="E698" s="117"/>
      <c r="F698" s="8"/>
      <c r="G698" s="8"/>
      <c r="H698" s="8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4"/>
      <c r="D699" s="117"/>
      <c r="E699" s="117"/>
      <c r="F699" s="8"/>
      <c r="G699" s="8"/>
      <c r="H699" s="8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4"/>
      <c r="D700" s="117"/>
      <c r="E700" s="117"/>
      <c r="F700" s="8"/>
      <c r="G700" s="8"/>
      <c r="H700" s="8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4"/>
      <c r="D701" s="117"/>
      <c r="E701" s="117"/>
      <c r="F701" s="8"/>
      <c r="G701" s="8"/>
      <c r="H701" s="8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4"/>
      <c r="D702" s="117"/>
      <c r="E702" s="117"/>
      <c r="F702" s="8"/>
      <c r="G702" s="8"/>
      <c r="H702" s="8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4"/>
      <c r="D703" s="117"/>
      <c r="E703" s="117"/>
      <c r="F703" s="8"/>
      <c r="G703" s="8"/>
      <c r="H703" s="8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4"/>
      <c r="D704" s="117"/>
      <c r="E704" s="117"/>
      <c r="F704" s="8"/>
      <c r="G704" s="8"/>
      <c r="H704" s="8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4"/>
      <c r="D705" s="117"/>
      <c r="E705" s="117"/>
      <c r="F705" s="8"/>
      <c r="G705" s="8"/>
      <c r="H705" s="8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4"/>
      <c r="D706" s="117"/>
      <c r="E706" s="117"/>
      <c r="F706" s="8"/>
      <c r="G706" s="8"/>
      <c r="H706" s="8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4"/>
      <c r="D707" s="117"/>
      <c r="E707" s="117"/>
      <c r="F707" s="8"/>
      <c r="G707" s="8"/>
      <c r="H707" s="8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4"/>
      <c r="D708" s="117"/>
      <c r="E708" s="117"/>
      <c r="F708" s="8"/>
      <c r="G708" s="8"/>
      <c r="H708" s="8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4"/>
      <c r="D709" s="117"/>
      <c r="E709" s="117"/>
      <c r="F709" s="8"/>
      <c r="G709" s="8"/>
      <c r="H709" s="8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4"/>
      <c r="D710" s="117"/>
      <c r="E710" s="117"/>
      <c r="F710" s="8"/>
      <c r="G710" s="8"/>
      <c r="H710" s="8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4"/>
      <c r="D711" s="117"/>
      <c r="E711" s="117"/>
      <c r="F711" s="8"/>
      <c r="G711" s="8"/>
      <c r="H711" s="8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4"/>
      <c r="D712" s="117"/>
      <c r="E712" s="117"/>
      <c r="F712" s="8"/>
      <c r="G712" s="8"/>
      <c r="H712" s="8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4"/>
      <c r="D713" s="117"/>
      <c r="E713" s="117"/>
      <c r="F713" s="8"/>
      <c r="G713" s="8"/>
      <c r="H713" s="8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4"/>
      <c r="D714" s="117"/>
      <c r="E714" s="117"/>
      <c r="F714" s="8"/>
      <c r="G714" s="8"/>
      <c r="H714" s="8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4"/>
      <c r="D715" s="117"/>
      <c r="E715" s="117"/>
      <c r="F715" s="8"/>
      <c r="G715" s="8"/>
      <c r="H715" s="8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4"/>
      <c r="D716" s="117"/>
      <c r="E716" s="117"/>
      <c r="F716" s="8"/>
      <c r="G716" s="8"/>
      <c r="H716" s="8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4"/>
      <c r="D717" s="117"/>
      <c r="E717" s="117"/>
      <c r="F717" s="8"/>
      <c r="G717" s="8"/>
      <c r="H717" s="8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4"/>
      <c r="D718" s="117"/>
      <c r="E718" s="117"/>
      <c r="F718" s="8"/>
      <c r="G718" s="8"/>
      <c r="H718" s="8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4"/>
      <c r="D719" s="117"/>
      <c r="E719" s="117"/>
      <c r="F719" s="8"/>
      <c r="G719" s="8"/>
      <c r="H719" s="8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4"/>
      <c r="D720" s="117"/>
      <c r="E720" s="117"/>
      <c r="F720" s="8"/>
      <c r="G720" s="8"/>
      <c r="H720" s="8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4"/>
      <c r="D721" s="117"/>
      <c r="E721" s="117"/>
      <c r="F721" s="8"/>
      <c r="G721" s="8"/>
      <c r="H721" s="8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4"/>
      <c r="D722" s="117"/>
      <c r="E722" s="117"/>
      <c r="F722" s="8"/>
      <c r="G722" s="8"/>
      <c r="H722" s="8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4"/>
      <c r="D723" s="117"/>
      <c r="E723" s="117"/>
      <c r="F723" s="8"/>
      <c r="G723" s="8"/>
      <c r="H723" s="8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4"/>
      <c r="D724" s="117"/>
      <c r="E724" s="117"/>
      <c r="F724" s="8"/>
      <c r="G724" s="8"/>
      <c r="H724" s="8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4"/>
      <c r="D725" s="117"/>
      <c r="E725" s="117"/>
      <c r="F725" s="8"/>
      <c r="G725" s="8"/>
      <c r="H725" s="8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4"/>
      <c r="D726" s="117"/>
      <c r="E726" s="117"/>
      <c r="F726" s="8"/>
      <c r="G726" s="8"/>
      <c r="H726" s="8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4"/>
      <c r="D727" s="117"/>
      <c r="E727" s="117"/>
      <c r="F727" s="8"/>
      <c r="G727" s="8"/>
      <c r="H727" s="8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4"/>
      <c r="D728" s="117"/>
      <c r="E728" s="117"/>
      <c r="F728" s="8"/>
      <c r="G728" s="8"/>
      <c r="H728" s="8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4"/>
      <c r="D729" s="117"/>
      <c r="E729" s="117"/>
      <c r="F729" s="8"/>
      <c r="G729" s="8"/>
      <c r="H729" s="8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4"/>
      <c r="D730" s="117"/>
      <c r="E730" s="117"/>
      <c r="F730" s="8"/>
      <c r="G730" s="8"/>
      <c r="H730" s="8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4"/>
      <c r="D731" s="117"/>
      <c r="E731" s="117"/>
      <c r="F731" s="8"/>
      <c r="G731" s="8"/>
      <c r="H731" s="8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4"/>
      <c r="D732" s="117"/>
      <c r="E732" s="117"/>
      <c r="F732" s="8"/>
      <c r="G732" s="8"/>
      <c r="H732" s="8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4"/>
      <c r="D733" s="117"/>
      <c r="E733" s="117"/>
      <c r="F733" s="8"/>
      <c r="G733" s="8"/>
      <c r="H733" s="8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4"/>
      <c r="D734" s="117"/>
      <c r="E734" s="117"/>
      <c r="F734" s="8"/>
      <c r="G734" s="8"/>
      <c r="H734" s="8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4"/>
      <c r="D735" s="117"/>
      <c r="E735" s="117"/>
      <c r="F735" s="8"/>
      <c r="G735" s="8"/>
      <c r="H735" s="8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4"/>
      <c r="D736" s="117"/>
      <c r="E736" s="117"/>
      <c r="F736" s="8"/>
      <c r="G736" s="8"/>
      <c r="H736" s="8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4"/>
      <c r="D737" s="117"/>
      <c r="E737" s="117"/>
      <c r="F737" s="8"/>
      <c r="G737" s="8"/>
      <c r="H737" s="8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4"/>
      <c r="D738" s="117"/>
      <c r="E738" s="117"/>
      <c r="F738" s="8"/>
      <c r="G738" s="8"/>
      <c r="H738" s="8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4"/>
      <c r="D739" s="117"/>
      <c r="E739" s="117"/>
      <c r="F739" s="8"/>
      <c r="G739" s="8"/>
      <c r="H739" s="8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4"/>
      <c r="D740" s="117"/>
      <c r="E740" s="117"/>
      <c r="F740" s="8"/>
      <c r="G740" s="8"/>
      <c r="H740" s="8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4"/>
      <c r="D741" s="117"/>
      <c r="E741" s="117"/>
      <c r="F741" s="8"/>
      <c r="G741" s="8"/>
      <c r="H741" s="8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4"/>
      <c r="D742" s="117"/>
      <c r="E742" s="117"/>
      <c r="F742" s="8"/>
      <c r="G742" s="8"/>
      <c r="H742" s="8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4"/>
      <c r="D743" s="117"/>
      <c r="E743" s="117"/>
      <c r="F743" s="8"/>
      <c r="G743" s="8"/>
      <c r="H743" s="8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4"/>
      <c r="D744" s="117"/>
      <c r="E744" s="117"/>
      <c r="F744" s="8"/>
      <c r="G744" s="8"/>
      <c r="H744" s="8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4"/>
      <c r="D745" s="117"/>
      <c r="E745" s="117"/>
      <c r="F745" s="8"/>
      <c r="G745" s="8"/>
      <c r="H745" s="8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4"/>
      <c r="D746" s="117"/>
      <c r="E746" s="117"/>
      <c r="F746" s="8"/>
      <c r="G746" s="8"/>
      <c r="H746" s="8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4"/>
      <c r="D747" s="117"/>
      <c r="E747" s="117"/>
      <c r="F747" s="8"/>
      <c r="G747" s="8"/>
      <c r="H747" s="8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4"/>
      <c r="D748" s="117"/>
      <c r="E748" s="117"/>
      <c r="F748" s="8"/>
      <c r="G748" s="8"/>
      <c r="H748" s="8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4"/>
      <c r="D749" s="117"/>
      <c r="E749" s="117"/>
      <c r="F749" s="8"/>
      <c r="G749" s="8"/>
      <c r="H749" s="8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4"/>
      <c r="D750" s="117"/>
      <c r="E750" s="117"/>
      <c r="F750" s="8"/>
      <c r="G750" s="8"/>
      <c r="H750" s="8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4"/>
      <c r="D751" s="117"/>
      <c r="E751" s="117"/>
      <c r="F751" s="8"/>
      <c r="G751" s="8"/>
      <c r="H751" s="8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4"/>
      <c r="D752" s="117"/>
      <c r="E752" s="117"/>
      <c r="F752" s="8"/>
      <c r="G752" s="8"/>
      <c r="H752" s="8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4"/>
      <c r="D753" s="117"/>
      <c r="E753" s="117"/>
      <c r="F753" s="8"/>
      <c r="G753" s="8"/>
      <c r="H753" s="8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4"/>
      <c r="D754" s="117"/>
      <c r="E754" s="117"/>
      <c r="F754" s="8"/>
      <c r="G754" s="8"/>
      <c r="H754" s="8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4"/>
      <c r="D755" s="117"/>
      <c r="E755" s="117"/>
      <c r="F755" s="8"/>
      <c r="G755" s="8"/>
      <c r="H755" s="8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4"/>
      <c r="D756" s="117"/>
      <c r="E756" s="117"/>
      <c r="F756" s="8"/>
      <c r="G756" s="8"/>
      <c r="H756" s="8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4"/>
      <c r="D757" s="117"/>
      <c r="E757" s="117"/>
      <c r="F757" s="8"/>
      <c r="G757" s="8"/>
      <c r="H757" s="8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4"/>
      <c r="D758" s="117"/>
      <c r="E758" s="117"/>
      <c r="F758" s="8"/>
      <c r="G758" s="8"/>
      <c r="H758" s="8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4"/>
      <c r="D759" s="117"/>
      <c r="E759" s="117"/>
      <c r="F759" s="8"/>
      <c r="G759" s="8"/>
      <c r="H759" s="8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4"/>
      <c r="D760" s="117"/>
      <c r="E760" s="117"/>
      <c r="F760" s="8"/>
      <c r="G760" s="8"/>
      <c r="H760" s="8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4"/>
      <c r="D761" s="117"/>
      <c r="E761" s="117"/>
      <c r="F761" s="8"/>
      <c r="G761" s="8"/>
      <c r="H761" s="8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4"/>
      <c r="D762" s="117"/>
      <c r="E762" s="117"/>
      <c r="F762" s="8"/>
      <c r="G762" s="8"/>
      <c r="H762" s="8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4"/>
      <c r="D763" s="117"/>
      <c r="E763" s="117"/>
      <c r="F763" s="8"/>
      <c r="G763" s="8"/>
      <c r="H763" s="8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4"/>
      <c r="D764" s="117"/>
      <c r="E764" s="117"/>
      <c r="F764" s="8"/>
      <c r="G764" s="8"/>
      <c r="H764" s="8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4"/>
      <c r="D765" s="117"/>
      <c r="E765" s="117"/>
      <c r="F765" s="8"/>
      <c r="G765" s="8"/>
      <c r="H765" s="8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4"/>
      <c r="D766" s="117"/>
      <c r="E766" s="117"/>
      <c r="F766" s="8"/>
      <c r="G766" s="8"/>
      <c r="H766" s="8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4"/>
      <c r="D767" s="117"/>
      <c r="E767" s="117"/>
      <c r="F767" s="8"/>
      <c r="G767" s="8"/>
      <c r="H767" s="8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4"/>
      <c r="D768" s="117"/>
      <c r="E768" s="117"/>
      <c r="F768" s="8"/>
      <c r="G768" s="8"/>
      <c r="H768" s="8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4"/>
      <c r="D769" s="117"/>
      <c r="E769" s="117"/>
      <c r="F769" s="8"/>
      <c r="G769" s="8"/>
      <c r="H769" s="8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4"/>
      <c r="D770" s="117"/>
      <c r="E770" s="117"/>
      <c r="F770" s="8"/>
      <c r="G770" s="8"/>
      <c r="H770" s="8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4"/>
      <c r="D771" s="117"/>
      <c r="E771" s="117"/>
      <c r="F771" s="8"/>
      <c r="G771" s="8"/>
      <c r="H771" s="8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4"/>
      <c r="D772" s="117"/>
      <c r="E772" s="117"/>
      <c r="F772" s="8"/>
      <c r="G772" s="8"/>
      <c r="H772" s="8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4"/>
      <c r="D773" s="117"/>
      <c r="E773" s="117"/>
      <c r="F773" s="8"/>
      <c r="G773" s="8"/>
      <c r="H773" s="8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4"/>
      <c r="D774" s="117"/>
      <c r="E774" s="117"/>
      <c r="F774" s="8"/>
      <c r="G774" s="8"/>
      <c r="H774" s="8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4"/>
      <c r="D775" s="117"/>
      <c r="E775" s="117"/>
      <c r="F775" s="8"/>
      <c r="G775" s="8"/>
      <c r="H775" s="8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4"/>
      <c r="D776" s="117"/>
      <c r="E776" s="117"/>
      <c r="F776" s="8"/>
      <c r="G776" s="8"/>
      <c r="H776" s="8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4"/>
      <c r="D777" s="117"/>
      <c r="E777" s="117"/>
      <c r="F777" s="8"/>
      <c r="G777" s="8"/>
      <c r="H777" s="8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4"/>
      <c r="D778" s="117"/>
      <c r="E778" s="117"/>
      <c r="F778" s="8"/>
      <c r="G778" s="8"/>
      <c r="H778" s="8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4"/>
      <c r="D779" s="117"/>
      <c r="E779" s="117"/>
      <c r="F779" s="8"/>
      <c r="G779" s="8"/>
      <c r="H779" s="8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4"/>
      <c r="D780" s="117"/>
      <c r="E780" s="117"/>
      <c r="F780" s="8"/>
      <c r="G780" s="8"/>
      <c r="H780" s="8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4"/>
      <c r="D781" s="117"/>
      <c r="E781" s="117"/>
      <c r="F781" s="8"/>
      <c r="G781" s="8"/>
      <c r="H781" s="8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4"/>
      <c r="D782" s="117"/>
      <c r="E782" s="117"/>
      <c r="F782" s="8"/>
      <c r="G782" s="8"/>
      <c r="H782" s="8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4"/>
      <c r="D783" s="117"/>
      <c r="E783" s="117"/>
      <c r="F783" s="8"/>
      <c r="G783" s="8"/>
      <c r="H783" s="8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4"/>
      <c r="D784" s="117"/>
      <c r="E784" s="117"/>
      <c r="F784" s="8"/>
      <c r="G784" s="8"/>
      <c r="H784" s="8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4"/>
      <c r="D785" s="117"/>
      <c r="E785" s="117"/>
      <c r="F785" s="8"/>
      <c r="G785" s="8"/>
      <c r="H785" s="8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4"/>
      <c r="D786" s="117"/>
      <c r="E786" s="117"/>
      <c r="F786" s="8"/>
      <c r="G786" s="8"/>
      <c r="H786" s="8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4"/>
      <c r="D787" s="117"/>
      <c r="E787" s="117"/>
      <c r="F787" s="8"/>
      <c r="G787" s="8"/>
      <c r="H787" s="8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4"/>
      <c r="D788" s="117"/>
      <c r="E788" s="117"/>
      <c r="F788" s="8"/>
      <c r="G788" s="8"/>
      <c r="H788" s="8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4"/>
      <c r="D789" s="117"/>
      <c r="E789" s="117"/>
      <c r="F789" s="8"/>
      <c r="G789" s="8"/>
      <c r="H789" s="8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4"/>
      <c r="D790" s="117"/>
      <c r="E790" s="117"/>
      <c r="F790" s="8"/>
      <c r="G790" s="8"/>
      <c r="H790" s="8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4"/>
      <c r="D791" s="117"/>
      <c r="E791" s="117"/>
      <c r="F791" s="8"/>
      <c r="G791" s="8"/>
      <c r="H791" s="8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4"/>
      <c r="D792" s="117"/>
      <c r="E792" s="117"/>
      <c r="F792" s="8"/>
      <c r="G792" s="8"/>
      <c r="H792" s="8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4"/>
      <c r="D793" s="117"/>
      <c r="E793" s="117"/>
      <c r="F793" s="8"/>
      <c r="G793" s="8"/>
      <c r="H793" s="8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4"/>
      <c r="D794" s="117"/>
      <c r="E794" s="117"/>
      <c r="F794" s="8"/>
      <c r="G794" s="8"/>
      <c r="H794" s="8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4"/>
      <c r="D795" s="117"/>
      <c r="E795" s="117"/>
      <c r="F795" s="8"/>
      <c r="G795" s="8"/>
      <c r="H795" s="8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4"/>
      <c r="D796" s="117"/>
      <c r="E796" s="117"/>
      <c r="F796" s="8"/>
      <c r="G796" s="8"/>
      <c r="H796" s="8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4"/>
      <c r="D797" s="117"/>
      <c r="E797" s="117"/>
      <c r="F797" s="8"/>
      <c r="G797" s="8"/>
      <c r="H797" s="8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4"/>
      <c r="D798" s="117"/>
      <c r="E798" s="117"/>
      <c r="F798" s="8"/>
      <c r="G798" s="8"/>
      <c r="H798" s="8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4"/>
      <c r="D799" s="117"/>
      <c r="E799" s="117"/>
      <c r="F799" s="8"/>
      <c r="G799" s="8"/>
      <c r="H799" s="8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4"/>
      <c r="D800" s="117"/>
      <c r="E800" s="117"/>
      <c r="F800" s="8"/>
      <c r="G800" s="8"/>
      <c r="H800" s="8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4"/>
      <c r="D801" s="117"/>
      <c r="E801" s="117"/>
      <c r="F801" s="8"/>
      <c r="G801" s="8"/>
      <c r="H801" s="8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4"/>
      <c r="D802" s="117"/>
      <c r="E802" s="117"/>
      <c r="F802" s="8"/>
      <c r="G802" s="8"/>
      <c r="H802" s="8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4"/>
      <c r="D803" s="117"/>
      <c r="E803" s="117"/>
      <c r="F803" s="8"/>
      <c r="G803" s="8"/>
      <c r="H803" s="8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4"/>
      <c r="D804" s="117"/>
      <c r="E804" s="117"/>
      <c r="F804" s="8"/>
      <c r="G804" s="8"/>
      <c r="H804" s="8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4"/>
      <c r="D805" s="117"/>
      <c r="E805" s="117"/>
      <c r="F805" s="8"/>
      <c r="G805" s="8"/>
      <c r="H805" s="8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4"/>
      <c r="D806" s="117"/>
      <c r="E806" s="117"/>
      <c r="F806" s="8"/>
      <c r="G806" s="8"/>
      <c r="H806" s="8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4"/>
      <c r="D807" s="117"/>
      <c r="E807" s="117"/>
      <c r="F807" s="8"/>
      <c r="G807" s="8"/>
      <c r="H807" s="8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4"/>
      <c r="D808" s="117"/>
      <c r="E808" s="117"/>
      <c r="F808" s="8"/>
      <c r="G808" s="8"/>
      <c r="H808" s="8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4"/>
      <c r="D809" s="117"/>
      <c r="E809" s="117"/>
      <c r="F809" s="8"/>
      <c r="G809" s="8"/>
      <c r="H809" s="8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4"/>
      <c r="D810" s="117"/>
      <c r="E810" s="117"/>
      <c r="F810" s="8"/>
      <c r="G810" s="8"/>
      <c r="H810" s="8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4"/>
      <c r="D811" s="117"/>
      <c r="E811" s="117"/>
      <c r="F811" s="8"/>
      <c r="G811" s="8"/>
      <c r="H811" s="8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4"/>
      <c r="D812" s="117"/>
      <c r="E812" s="117"/>
      <c r="F812" s="8"/>
      <c r="G812" s="8"/>
      <c r="H812" s="8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4"/>
      <c r="D813" s="117"/>
      <c r="E813" s="117"/>
      <c r="F813" s="8"/>
      <c r="G813" s="8"/>
      <c r="H813" s="8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4"/>
      <c r="D814" s="117"/>
      <c r="E814" s="117"/>
      <c r="F814" s="8"/>
      <c r="G814" s="8"/>
      <c r="H814" s="8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4"/>
      <c r="D815" s="117"/>
      <c r="E815" s="117"/>
      <c r="F815" s="8"/>
      <c r="G815" s="8"/>
      <c r="H815" s="8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4"/>
      <c r="D816" s="117"/>
      <c r="E816" s="117"/>
      <c r="F816" s="8"/>
      <c r="G816" s="8"/>
      <c r="H816" s="8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4"/>
      <c r="D817" s="117"/>
      <c r="E817" s="117"/>
      <c r="F817" s="8"/>
      <c r="G817" s="8"/>
      <c r="H817" s="8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4"/>
      <c r="D818" s="117"/>
      <c r="E818" s="117"/>
      <c r="F818" s="8"/>
      <c r="G818" s="8"/>
      <c r="H818" s="8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4"/>
      <c r="D819" s="117"/>
      <c r="E819" s="117"/>
      <c r="F819" s="8"/>
      <c r="G819" s="8"/>
      <c r="H819" s="8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4"/>
      <c r="D820" s="117"/>
      <c r="E820" s="117"/>
      <c r="F820" s="8"/>
      <c r="G820" s="8"/>
      <c r="H820" s="8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4"/>
      <c r="D821" s="117"/>
      <c r="E821" s="117"/>
      <c r="F821" s="8"/>
      <c r="G821" s="8"/>
      <c r="H821" s="8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4"/>
      <c r="D822" s="117"/>
      <c r="E822" s="117"/>
      <c r="F822" s="8"/>
      <c r="G822" s="8"/>
      <c r="H822" s="8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4"/>
      <c r="D823" s="117"/>
      <c r="E823" s="117"/>
      <c r="F823" s="8"/>
      <c r="G823" s="8"/>
      <c r="H823" s="8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4"/>
      <c r="D824" s="117"/>
      <c r="E824" s="117"/>
      <c r="F824" s="8"/>
      <c r="G824" s="8"/>
      <c r="H824" s="8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4"/>
      <c r="D825" s="117"/>
      <c r="E825" s="117"/>
      <c r="F825" s="8"/>
      <c r="G825" s="8"/>
      <c r="H825" s="8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4"/>
      <c r="D826" s="117"/>
      <c r="E826" s="117"/>
      <c r="F826" s="8"/>
      <c r="G826" s="8"/>
      <c r="H826" s="8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4"/>
      <c r="D827" s="117"/>
      <c r="E827" s="117"/>
      <c r="F827" s="8"/>
      <c r="G827" s="8"/>
      <c r="H827" s="8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4"/>
      <c r="D828" s="117"/>
      <c r="E828" s="117"/>
      <c r="F828" s="8"/>
      <c r="G828" s="8"/>
      <c r="H828" s="8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4"/>
      <c r="D829" s="117"/>
      <c r="E829" s="117"/>
      <c r="F829" s="8"/>
      <c r="G829" s="8"/>
      <c r="H829" s="8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4"/>
      <c r="D830" s="117"/>
      <c r="E830" s="117"/>
      <c r="F830" s="8"/>
      <c r="G830" s="8"/>
      <c r="H830" s="8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4"/>
      <c r="D831" s="117"/>
      <c r="E831" s="117"/>
      <c r="F831" s="8"/>
      <c r="G831" s="8"/>
      <c r="H831" s="8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4"/>
      <c r="D832" s="117"/>
      <c r="E832" s="117"/>
      <c r="F832" s="8"/>
      <c r="G832" s="8"/>
      <c r="H832" s="8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4"/>
      <c r="D833" s="117"/>
      <c r="E833" s="117"/>
      <c r="F833" s="8"/>
      <c r="G833" s="8"/>
      <c r="H833" s="8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4"/>
      <c r="D834" s="117"/>
      <c r="E834" s="117"/>
      <c r="F834" s="8"/>
      <c r="G834" s="8"/>
      <c r="H834" s="8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4"/>
      <c r="D835" s="117"/>
      <c r="E835" s="117"/>
      <c r="F835" s="8"/>
      <c r="G835" s="8"/>
      <c r="H835" s="8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4"/>
      <c r="D836" s="117"/>
      <c r="E836" s="117"/>
      <c r="F836" s="8"/>
      <c r="G836" s="8"/>
      <c r="H836" s="8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4"/>
      <c r="D837" s="117"/>
      <c r="E837" s="117"/>
      <c r="F837" s="8"/>
      <c r="G837" s="8"/>
      <c r="H837" s="8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4"/>
      <c r="D838" s="117"/>
      <c r="E838" s="117"/>
      <c r="F838" s="8"/>
      <c r="G838" s="8"/>
      <c r="H838" s="8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4"/>
      <c r="D839" s="117"/>
      <c r="E839" s="117"/>
      <c r="F839" s="8"/>
      <c r="G839" s="8"/>
      <c r="H839" s="8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4"/>
      <c r="D840" s="117"/>
      <c r="E840" s="117"/>
      <c r="F840" s="8"/>
      <c r="G840" s="8"/>
      <c r="H840" s="8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4"/>
      <c r="D841" s="117"/>
      <c r="E841" s="117"/>
      <c r="F841" s="8"/>
      <c r="G841" s="8"/>
      <c r="H841" s="8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4"/>
      <c r="D842" s="117"/>
      <c r="E842" s="117"/>
      <c r="F842" s="8"/>
      <c r="G842" s="8"/>
      <c r="H842" s="8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4"/>
      <c r="D843" s="117"/>
      <c r="E843" s="117"/>
      <c r="F843" s="8"/>
      <c r="G843" s="8"/>
      <c r="H843" s="8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4"/>
      <c r="D844" s="117"/>
      <c r="E844" s="117"/>
      <c r="F844" s="8"/>
      <c r="G844" s="8"/>
      <c r="H844" s="8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4"/>
      <c r="D845" s="117"/>
      <c r="E845" s="117"/>
      <c r="F845" s="8"/>
      <c r="G845" s="8"/>
      <c r="H845" s="8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4"/>
      <c r="D846" s="117"/>
      <c r="E846" s="117"/>
      <c r="F846" s="8"/>
      <c r="G846" s="8"/>
      <c r="H846" s="8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4"/>
      <c r="D847" s="117"/>
      <c r="E847" s="117"/>
      <c r="F847" s="8"/>
      <c r="G847" s="8"/>
      <c r="H847" s="8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4"/>
      <c r="D848" s="117"/>
      <c r="E848" s="117"/>
      <c r="F848" s="8"/>
      <c r="G848" s="8"/>
      <c r="H848" s="8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4"/>
      <c r="D849" s="117"/>
      <c r="E849" s="117"/>
      <c r="F849" s="8"/>
      <c r="G849" s="8"/>
      <c r="H849" s="8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4"/>
      <c r="D850" s="117"/>
      <c r="E850" s="117"/>
      <c r="F850" s="8"/>
      <c r="G850" s="8"/>
      <c r="H850" s="8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4"/>
      <c r="D851" s="117"/>
      <c r="E851" s="117"/>
      <c r="F851" s="8"/>
      <c r="G851" s="8"/>
      <c r="H851" s="8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4"/>
      <c r="D852" s="117"/>
      <c r="E852" s="117"/>
      <c r="F852" s="8"/>
      <c r="G852" s="8"/>
      <c r="H852" s="8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4"/>
      <c r="D853" s="117"/>
      <c r="E853" s="117"/>
      <c r="F853" s="8"/>
      <c r="G853" s="8"/>
      <c r="H853" s="8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4"/>
      <c r="D854" s="117"/>
      <c r="E854" s="117"/>
      <c r="F854" s="8"/>
      <c r="G854" s="8"/>
      <c r="H854" s="8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4"/>
      <c r="D855" s="117"/>
      <c r="E855" s="117"/>
      <c r="F855" s="8"/>
      <c r="G855" s="8"/>
      <c r="H855" s="8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4"/>
      <c r="D856" s="117"/>
      <c r="E856" s="117"/>
      <c r="F856" s="8"/>
      <c r="G856" s="8"/>
      <c r="H856" s="8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4"/>
      <c r="D857" s="117"/>
      <c r="E857" s="117"/>
      <c r="F857" s="8"/>
      <c r="G857" s="8"/>
      <c r="H857" s="8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4"/>
      <c r="D858" s="117"/>
      <c r="E858" s="117"/>
      <c r="F858" s="8"/>
      <c r="G858" s="8"/>
      <c r="H858" s="8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4"/>
      <c r="D859" s="117"/>
      <c r="E859" s="117"/>
      <c r="F859" s="8"/>
      <c r="G859" s="8"/>
      <c r="H859" s="8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4"/>
      <c r="D860" s="117"/>
      <c r="E860" s="117"/>
      <c r="F860" s="8"/>
      <c r="G860" s="8"/>
      <c r="H860" s="8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4"/>
      <c r="D861" s="117"/>
      <c r="E861" s="117"/>
      <c r="F861" s="8"/>
      <c r="G861" s="8"/>
      <c r="H861" s="8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4"/>
      <c r="D862" s="117"/>
      <c r="E862" s="117"/>
      <c r="F862" s="8"/>
      <c r="G862" s="8"/>
      <c r="H862" s="8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4"/>
      <c r="D863" s="117"/>
      <c r="E863" s="117"/>
      <c r="F863" s="8"/>
      <c r="G863" s="8"/>
      <c r="H863" s="8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4"/>
      <c r="D864" s="117"/>
      <c r="E864" s="117"/>
      <c r="F864" s="8"/>
      <c r="G864" s="8"/>
      <c r="H864" s="8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4"/>
      <c r="D865" s="117"/>
      <c r="E865" s="117"/>
      <c r="F865" s="8"/>
      <c r="G865" s="8"/>
      <c r="H865" s="8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4"/>
      <c r="D866" s="117"/>
      <c r="E866" s="117"/>
      <c r="F866" s="8"/>
      <c r="G866" s="8"/>
      <c r="H866" s="8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4"/>
      <c r="D867" s="117"/>
      <c r="E867" s="117"/>
      <c r="F867" s="8"/>
      <c r="G867" s="8"/>
      <c r="H867" s="8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4"/>
      <c r="D868" s="117"/>
      <c r="E868" s="117"/>
      <c r="F868" s="8"/>
      <c r="G868" s="8"/>
      <c r="H868" s="8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4"/>
      <c r="D869" s="117"/>
      <c r="E869" s="117"/>
      <c r="F869" s="8"/>
      <c r="G869" s="8"/>
      <c r="H869" s="8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4"/>
      <c r="D870" s="117"/>
      <c r="E870" s="117"/>
      <c r="F870" s="8"/>
      <c r="G870" s="8"/>
      <c r="H870" s="8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4"/>
      <c r="D871" s="117"/>
      <c r="E871" s="117"/>
      <c r="F871" s="8"/>
      <c r="G871" s="8"/>
      <c r="H871" s="8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4"/>
      <c r="D872" s="117"/>
      <c r="E872" s="117"/>
      <c r="F872" s="8"/>
      <c r="G872" s="8"/>
      <c r="H872" s="8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4"/>
      <c r="D873" s="117"/>
      <c r="E873" s="117"/>
      <c r="F873" s="8"/>
      <c r="G873" s="8"/>
      <c r="H873" s="8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4"/>
      <c r="D874" s="117"/>
      <c r="E874" s="117"/>
      <c r="F874" s="8"/>
      <c r="G874" s="8"/>
      <c r="H874" s="8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4"/>
      <c r="D875" s="117"/>
      <c r="E875" s="117"/>
      <c r="F875" s="8"/>
      <c r="G875" s="8"/>
      <c r="H875" s="8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4"/>
      <c r="D876" s="117"/>
      <c r="E876" s="117"/>
      <c r="F876" s="8"/>
      <c r="G876" s="8"/>
      <c r="H876" s="8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4"/>
      <c r="D877" s="117"/>
      <c r="E877" s="117"/>
      <c r="F877" s="8"/>
      <c r="G877" s="8"/>
      <c r="H877" s="8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4"/>
      <c r="D878" s="117"/>
      <c r="E878" s="117"/>
      <c r="F878" s="8"/>
      <c r="G878" s="8"/>
      <c r="H878" s="8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4"/>
      <c r="D879" s="117"/>
      <c r="E879" s="117"/>
      <c r="F879" s="8"/>
      <c r="G879" s="8"/>
      <c r="H879" s="8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4"/>
      <c r="D880" s="117"/>
      <c r="E880" s="117"/>
      <c r="F880" s="8"/>
      <c r="G880" s="8"/>
      <c r="H880" s="8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4"/>
      <c r="D881" s="117"/>
      <c r="E881" s="117"/>
      <c r="F881" s="8"/>
      <c r="G881" s="8"/>
      <c r="H881" s="8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4"/>
      <c r="D882" s="117"/>
      <c r="E882" s="117"/>
      <c r="F882" s="8"/>
      <c r="G882" s="8"/>
      <c r="H882" s="8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4"/>
      <c r="D883" s="117"/>
      <c r="E883" s="117"/>
      <c r="F883" s="8"/>
      <c r="G883" s="8"/>
      <c r="H883" s="8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4"/>
      <c r="D884" s="117"/>
      <c r="E884" s="117"/>
      <c r="F884" s="8"/>
      <c r="G884" s="8"/>
      <c r="H884" s="8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4"/>
      <c r="D885" s="117"/>
      <c r="E885" s="117"/>
      <c r="F885" s="8"/>
      <c r="G885" s="8"/>
      <c r="H885" s="8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4"/>
      <c r="D886" s="117"/>
      <c r="E886" s="117"/>
      <c r="F886" s="8"/>
      <c r="G886" s="8"/>
      <c r="H886" s="8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4"/>
      <c r="D887" s="117"/>
      <c r="E887" s="117"/>
      <c r="F887" s="8"/>
      <c r="G887" s="8"/>
      <c r="H887" s="8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4"/>
      <c r="D888" s="117"/>
      <c r="E888" s="117"/>
      <c r="F888" s="8"/>
      <c r="G888" s="8"/>
      <c r="H888" s="8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4"/>
      <c r="D889" s="117"/>
      <c r="E889" s="117"/>
      <c r="F889" s="8"/>
      <c r="G889" s="8"/>
      <c r="H889" s="8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4"/>
      <c r="D890" s="117"/>
      <c r="E890" s="117"/>
      <c r="F890" s="8"/>
      <c r="G890" s="8"/>
      <c r="H890" s="8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4"/>
      <c r="D891" s="117"/>
      <c r="E891" s="117"/>
      <c r="F891" s="8"/>
      <c r="G891" s="8"/>
      <c r="H891" s="8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4"/>
      <c r="D892" s="117"/>
      <c r="E892" s="117"/>
      <c r="F892" s="8"/>
      <c r="G892" s="8"/>
      <c r="H892" s="8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4"/>
      <c r="D893" s="117"/>
      <c r="E893" s="117"/>
      <c r="F893" s="8"/>
      <c r="G893" s="8"/>
      <c r="H893" s="8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4"/>
      <c r="D894" s="117"/>
      <c r="E894" s="117"/>
      <c r="F894" s="8"/>
      <c r="G894" s="8"/>
      <c r="H894" s="8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4"/>
      <c r="D895" s="117"/>
      <c r="E895" s="117"/>
      <c r="F895" s="8"/>
      <c r="G895" s="8"/>
      <c r="H895" s="8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4"/>
      <c r="D896" s="117"/>
      <c r="E896" s="117"/>
      <c r="F896" s="8"/>
      <c r="G896" s="8"/>
      <c r="H896" s="8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4"/>
      <c r="D897" s="117"/>
      <c r="E897" s="117"/>
      <c r="F897" s="8"/>
      <c r="G897" s="8"/>
      <c r="H897" s="8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4"/>
      <c r="D898" s="117"/>
      <c r="E898" s="117"/>
      <c r="F898" s="8"/>
      <c r="G898" s="8"/>
      <c r="H898" s="8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4"/>
      <c r="D899" s="117"/>
      <c r="E899" s="117"/>
      <c r="F899" s="8"/>
      <c r="G899" s="8"/>
      <c r="H899" s="8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4"/>
      <c r="D900" s="117"/>
      <c r="E900" s="117"/>
      <c r="F900" s="8"/>
      <c r="G900" s="8"/>
      <c r="H900" s="8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4"/>
      <c r="D901" s="117"/>
      <c r="E901" s="117"/>
      <c r="F901" s="8"/>
      <c r="G901" s="8"/>
      <c r="H901" s="8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4"/>
      <c r="D902" s="117"/>
      <c r="E902" s="117"/>
      <c r="F902" s="8"/>
      <c r="G902" s="8"/>
      <c r="H902" s="8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4"/>
      <c r="D903" s="117"/>
      <c r="E903" s="117"/>
      <c r="F903" s="8"/>
      <c r="G903" s="8"/>
      <c r="H903" s="8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4"/>
      <c r="D904" s="117"/>
      <c r="E904" s="117"/>
      <c r="F904" s="8"/>
      <c r="G904" s="8"/>
      <c r="H904" s="8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4"/>
      <c r="D905" s="117"/>
      <c r="E905" s="117"/>
      <c r="F905" s="8"/>
      <c r="G905" s="8"/>
      <c r="H905" s="8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4"/>
      <c r="D906" s="117"/>
      <c r="E906" s="117"/>
      <c r="F906" s="8"/>
      <c r="G906" s="8"/>
      <c r="H906" s="8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4"/>
      <c r="D907" s="117"/>
      <c r="E907" s="117"/>
      <c r="F907" s="8"/>
      <c r="G907" s="8"/>
      <c r="H907" s="8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4"/>
      <c r="D908" s="117"/>
      <c r="E908" s="117"/>
      <c r="F908" s="8"/>
      <c r="G908" s="8"/>
      <c r="H908" s="8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4"/>
      <c r="D909" s="117"/>
      <c r="E909" s="117"/>
      <c r="F909" s="8"/>
      <c r="G909" s="8"/>
      <c r="H909" s="8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4"/>
      <c r="D910" s="117"/>
      <c r="E910" s="117"/>
      <c r="F910" s="8"/>
      <c r="G910" s="8"/>
      <c r="H910" s="8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4"/>
      <c r="D911" s="117"/>
      <c r="E911" s="117"/>
      <c r="F911" s="8"/>
      <c r="G911" s="8"/>
      <c r="H911" s="8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4"/>
      <c r="D912" s="117"/>
      <c r="E912" s="117"/>
      <c r="F912" s="8"/>
      <c r="G912" s="8"/>
      <c r="H912" s="8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4"/>
      <c r="D913" s="117"/>
      <c r="E913" s="117"/>
      <c r="F913" s="8"/>
      <c r="G913" s="8"/>
      <c r="H913" s="8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4"/>
      <c r="D914" s="117"/>
      <c r="E914" s="117"/>
      <c r="F914" s="8"/>
      <c r="G914" s="8"/>
      <c r="H914" s="8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4"/>
      <c r="D915" s="117"/>
      <c r="E915" s="117"/>
      <c r="F915" s="8"/>
      <c r="G915" s="8"/>
      <c r="H915" s="8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4"/>
      <c r="D916" s="117"/>
      <c r="E916" s="117"/>
      <c r="F916" s="8"/>
      <c r="G916" s="8"/>
      <c r="H916" s="8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4"/>
      <c r="D917" s="117"/>
      <c r="E917" s="117"/>
      <c r="F917" s="8"/>
      <c r="G917" s="8"/>
      <c r="H917" s="8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4"/>
      <c r="D918" s="117"/>
      <c r="E918" s="117"/>
      <c r="F918" s="8"/>
      <c r="G918" s="8"/>
      <c r="H918" s="8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4"/>
      <c r="D919" s="117"/>
      <c r="E919" s="117"/>
      <c r="F919" s="8"/>
      <c r="G919" s="8"/>
      <c r="H919" s="8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4"/>
      <c r="D920" s="117"/>
      <c r="E920" s="117"/>
      <c r="F920" s="8"/>
      <c r="G920" s="8"/>
      <c r="H920" s="8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4"/>
      <c r="D921" s="117"/>
      <c r="E921" s="117"/>
      <c r="F921" s="8"/>
      <c r="G921" s="8"/>
      <c r="H921" s="8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4"/>
      <c r="D922" s="117"/>
      <c r="E922" s="117"/>
      <c r="F922" s="8"/>
      <c r="G922" s="8"/>
      <c r="H922" s="8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4"/>
      <c r="D923" s="117"/>
      <c r="E923" s="117"/>
      <c r="F923" s="8"/>
      <c r="G923" s="8"/>
      <c r="H923" s="8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4"/>
      <c r="D924" s="117"/>
      <c r="E924" s="117"/>
      <c r="F924" s="8"/>
      <c r="G924" s="8"/>
      <c r="H924" s="8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4"/>
      <c r="D925" s="117"/>
      <c r="E925" s="117"/>
      <c r="F925" s="8"/>
      <c r="G925" s="8"/>
      <c r="H925" s="8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4"/>
      <c r="D926" s="117"/>
      <c r="E926" s="117"/>
      <c r="F926" s="8"/>
      <c r="G926" s="8"/>
      <c r="H926" s="8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4"/>
      <c r="D927" s="117"/>
      <c r="E927" s="117"/>
      <c r="F927" s="8"/>
      <c r="G927" s="8"/>
      <c r="H927" s="8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4"/>
      <c r="D928" s="117"/>
      <c r="E928" s="117"/>
      <c r="F928" s="8"/>
      <c r="G928" s="8"/>
      <c r="H928" s="8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4"/>
      <c r="D929" s="117"/>
      <c r="E929" s="117"/>
      <c r="F929" s="8"/>
      <c r="G929" s="8"/>
      <c r="H929" s="8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4"/>
      <c r="D930" s="117"/>
      <c r="E930" s="117"/>
      <c r="F930" s="8"/>
      <c r="G930" s="8"/>
      <c r="H930" s="8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4"/>
      <c r="D931" s="117"/>
      <c r="E931" s="117"/>
      <c r="F931" s="8"/>
      <c r="G931" s="8"/>
      <c r="H931" s="8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4"/>
      <c r="D932" s="117"/>
      <c r="E932" s="117"/>
      <c r="F932" s="8"/>
      <c r="G932" s="8"/>
      <c r="H932" s="8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4"/>
      <c r="D933" s="117"/>
      <c r="E933" s="117"/>
      <c r="F933" s="8"/>
      <c r="G933" s="8"/>
      <c r="H933" s="8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4"/>
      <c r="D934" s="117"/>
      <c r="E934" s="117"/>
      <c r="F934" s="8"/>
      <c r="G934" s="8"/>
      <c r="H934" s="8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4"/>
      <c r="D935" s="117"/>
      <c r="E935" s="117"/>
      <c r="F935" s="8"/>
      <c r="G935" s="8"/>
      <c r="H935" s="8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4"/>
      <c r="D936" s="117"/>
      <c r="E936" s="117"/>
      <c r="F936" s="8"/>
      <c r="G936" s="8"/>
      <c r="H936" s="8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4"/>
      <c r="D937" s="117"/>
      <c r="E937" s="117"/>
      <c r="F937" s="8"/>
      <c r="G937" s="8"/>
      <c r="H937" s="8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4"/>
      <c r="D938" s="117"/>
      <c r="E938" s="117"/>
      <c r="F938" s="8"/>
      <c r="G938" s="8"/>
      <c r="H938" s="8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4"/>
      <c r="D939" s="117"/>
      <c r="E939" s="117"/>
      <c r="F939" s="8"/>
      <c r="G939" s="8"/>
      <c r="H939" s="8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4"/>
      <c r="D940" s="117"/>
      <c r="E940" s="117"/>
      <c r="F940" s="8"/>
      <c r="G940" s="8"/>
      <c r="H940" s="8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4"/>
      <c r="D941" s="117"/>
      <c r="E941" s="117"/>
      <c r="F941" s="8"/>
      <c r="G941" s="8"/>
      <c r="H941" s="8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4"/>
      <c r="D942" s="117"/>
      <c r="E942" s="117"/>
      <c r="F942" s="8"/>
      <c r="G942" s="8"/>
      <c r="H942" s="8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4"/>
      <c r="D943" s="117"/>
      <c r="E943" s="117"/>
      <c r="F943" s="8"/>
      <c r="G943" s="8"/>
      <c r="H943" s="8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4"/>
      <c r="D944" s="117"/>
      <c r="E944" s="117"/>
      <c r="F944" s="8"/>
      <c r="G944" s="8"/>
      <c r="H944" s="8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4"/>
      <c r="D945" s="117"/>
      <c r="E945" s="117"/>
      <c r="F945" s="8"/>
      <c r="G945" s="8"/>
      <c r="H945" s="8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4"/>
      <c r="D946" s="117"/>
      <c r="E946" s="117"/>
      <c r="F946" s="8"/>
      <c r="G946" s="8"/>
      <c r="H946" s="8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4"/>
      <c r="D947" s="117"/>
      <c r="E947" s="117"/>
      <c r="F947" s="8"/>
      <c r="G947" s="8"/>
      <c r="H947" s="8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4"/>
      <c r="D948" s="117"/>
      <c r="E948" s="117"/>
      <c r="F948" s="8"/>
      <c r="G948" s="8"/>
      <c r="H948" s="8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4"/>
      <c r="D949" s="117"/>
      <c r="E949" s="117"/>
      <c r="F949" s="8"/>
      <c r="G949" s="8"/>
      <c r="H949" s="8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4"/>
      <c r="D950" s="117"/>
      <c r="E950" s="117"/>
      <c r="F950" s="8"/>
      <c r="G950" s="8"/>
      <c r="H950" s="8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4"/>
      <c r="D951" s="117"/>
      <c r="E951" s="117"/>
      <c r="F951" s="8"/>
      <c r="G951" s="8"/>
      <c r="H951" s="8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4"/>
      <c r="D952" s="117"/>
      <c r="E952" s="117"/>
      <c r="F952" s="8"/>
      <c r="G952" s="8"/>
      <c r="H952" s="8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4"/>
      <c r="D953" s="117"/>
      <c r="E953" s="117"/>
      <c r="F953" s="8"/>
      <c r="G953" s="8"/>
      <c r="H953" s="8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4"/>
      <c r="D954" s="117"/>
      <c r="E954" s="117"/>
      <c r="F954" s="8"/>
      <c r="G954" s="8"/>
      <c r="H954" s="8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4"/>
      <c r="D955" s="117"/>
      <c r="E955" s="117"/>
      <c r="F955" s="8"/>
      <c r="G955" s="8"/>
      <c r="H955" s="8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4"/>
      <c r="D956" s="117"/>
      <c r="E956" s="117"/>
      <c r="F956" s="8"/>
      <c r="G956" s="8"/>
      <c r="H956" s="8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4"/>
      <c r="D957" s="117"/>
      <c r="E957" s="117"/>
      <c r="F957" s="8"/>
      <c r="G957" s="8"/>
      <c r="H957" s="8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4"/>
      <c r="D958" s="117"/>
      <c r="E958" s="117"/>
      <c r="F958" s="8"/>
      <c r="G958" s="8"/>
      <c r="H958" s="8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4"/>
      <c r="D959" s="117"/>
      <c r="E959" s="117"/>
      <c r="F959" s="8"/>
      <c r="G959" s="8"/>
      <c r="H959" s="8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4"/>
      <c r="D960" s="117"/>
      <c r="E960" s="117"/>
      <c r="F960" s="8"/>
      <c r="G960" s="8"/>
      <c r="H960" s="8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4"/>
      <c r="D961" s="117"/>
      <c r="E961" s="117"/>
      <c r="F961" s="8"/>
      <c r="G961" s="8"/>
      <c r="H961" s="8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4"/>
      <c r="D962" s="117"/>
      <c r="E962" s="117"/>
      <c r="F962" s="8"/>
      <c r="G962" s="8"/>
      <c r="H962" s="8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4"/>
      <c r="D963" s="117"/>
      <c r="E963" s="117"/>
      <c r="F963" s="8"/>
      <c r="G963" s="8"/>
      <c r="H963" s="8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4"/>
      <c r="D964" s="117"/>
      <c r="E964" s="117"/>
      <c r="F964" s="8"/>
      <c r="G964" s="8"/>
      <c r="H964" s="8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4"/>
      <c r="D965" s="117"/>
      <c r="E965" s="117"/>
      <c r="F965" s="8"/>
      <c r="G965" s="8"/>
      <c r="H965" s="8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4"/>
      <c r="D966" s="117"/>
      <c r="E966" s="117"/>
      <c r="F966" s="8"/>
      <c r="G966" s="8"/>
      <c r="H966" s="8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4"/>
      <c r="D967" s="117"/>
      <c r="E967" s="117"/>
      <c r="F967" s="8"/>
      <c r="G967" s="8"/>
      <c r="H967" s="8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4"/>
      <c r="D968" s="117"/>
      <c r="E968" s="117"/>
      <c r="F968" s="8"/>
      <c r="G968" s="8"/>
      <c r="H968" s="8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4"/>
      <c r="D969" s="117"/>
      <c r="E969" s="117"/>
      <c r="F969" s="8"/>
      <c r="G969" s="8"/>
      <c r="H969" s="8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4"/>
      <c r="D970" s="117"/>
      <c r="E970" s="117"/>
      <c r="F970" s="8"/>
      <c r="G970" s="8"/>
      <c r="H970" s="8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4"/>
      <c r="D971" s="117"/>
      <c r="E971" s="117"/>
      <c r="F971" s="8"/>
      <c r="G971" s="8"/>
      <c r="H971" s="8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4"/>
      <c r="D972" s="117"/>
      <c r="E972" s="117"/>
      <c r="F972" s="8"/>
      <c r="G972" s="8"/>
      <c r="H972" s="8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4"/>
      <c r="D973" s="117"/>
      <c r="E973" s="117"/>
      <c r="F973" s="8"/>
      <c r="G973" s="8"/>
      <c r="H973" s="8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4"/>
      <c r="D974" s="117"/>
      <c r="E974" s="117"/>
      <c r="F974" s="8"/>
      <c r="G974" s="8"/>
      <c r="H974" s="8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4"/>
      <c r="D975" s="117"/>
      <c r="E975" s="117"/>
      <c r="F975" s="8"/>
      <c r="G975" s="8"/>
      <c r="H975" s="8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4"/>
      <c r="D976" s="117"/>
      <c r="E976" s="117"/>
      <c r="F976" s="8"/>
      <c r="G976" s="8"/>
      <c r="H976" s="8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4"/>
      <c r="D977" s="117"/>
      <c r="E977" s="117"/>
      <c r="F977" s="8"/>
      <c r="G977" s="8"/>
      <c r="H977" s="8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4"/>
      <c r="D978" s="117"/>
      <c r="E978" s="117"/>
      <c r="F978" s="8"/>
      <c r="G978" s="8"/>
      <c r="H978" s="8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4"/>
      <c r="D979" s="117"/>
      <c r="E979" s="117"/>
      <c r="F979" s="8"/>
      <c r="G979" s="8"/>
      <c r="H979" s="8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4"/>
      <c r="D980" s="117"/>
      <c r="E980" s="117"/>
      <c r="F980" s="8"/>
      <c r="G980" s="8"/>
      <c r="H980" s="8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4"/>
      <c r="D981" s="117"/>
      <c r="E981" s="117"/>
      <c r="F981" s="8"/>
      <c r="G981" s="8"/>
      <c r="H981" s="8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4"/>
      <c r="D982" s="117"/>
      <c r="E982" s="117"/>
      <c r="F982" s="8"/>
      <c r="G982" s="8"/>
      <c r="H982" s="8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4"/>
      <c r="D983" s="117"/>
      <c r="E983" s="117"/>
      <c r="F983" s="8"/>
      <c r="G983" s="8"/>
      <c r="H983" s="8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4"/>
      <c r="D984" s="117"/>
      <c r="E984" s="117"/>
      <c r="F984" s="8"/>
      <c r="G984" s="8"/>
      <c r="H984" s="8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4"/>
      <c r="D985" s="117"/>
      <c r="E985" s="117"/>
      <c r="F985" s="8"/>
      <c r="G985" s="8"/>
      <c r="H985" s="8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4"/>
      <c r="D986" s="117"/>
      <c r="E986" s="117"/>
      <c r="F986" s="8"/>
      <c r="G986" s="8"/>
      <c r="H986" s="8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4"/>
      <c r="D987" s="117"/>
      <c r="E987" s="117"/>
      <c r="F987" s="8"/>
      <c r="G987" s="8"/>
      <c r="H987" s="8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4"/>
      <c r="D988" s="117"/>
      <c r="E988" s="117"/>
      <c r="F988" s="8"/>
      <c r="G988" s="8"/>
      <c r="H988" s="8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4"/>
      <c r="D989" s="117"/>
      <c r="E989" s="117"/>
      <c r="F989" s="8"/>
      <c r="G989" s="8"/>
      <c r="H989" s="8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4"/>
      <c r="D990" s="117"/>
      <c r="E990" s="117"/>
      <c r="F990" s="8"/>
      <c r="G990" s="8"/>
      <c r="H990" s="8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4"/>
      <c r="D991" s="117"/>
      <c r="E991" s="117"/>
      <c r="F991" s="8"/>
      <c r="G991" s="8"/>
      <c r="H991" s="8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4"/>
      <c r="D992" s="117"/>
      <c r="E992" s="117"/>
      <c r="F992" s="8"/>
      <c r="G992" s="8"/>
      <c r="H992" s="8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4"/>
      <c r="D993" s="117"/>
      <c r="E993" s="117"/>
      <c r="F993" s="8"/>
      <c r="G993" s="8"/>
      <c r="H993" s="8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4"/>
      <c r="D994" s="117"/>
      <c r="E994" s="117"/>
      <c r="F994" s="8"/>
      <c r="G994" s="8"/>
      <c r="H994" s="8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4"/>
      <c r="D995" s="117"/>
      <c r="E995" s="117"/>
      <c r="F995" s="8"/>
      <c r="G995" s="8"/>
      <c r="H995" s="8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4"/>
      <c r="D996" s="117"/>
      <c r="E996" s="117"/>
      <c r="F996" s="8"/>
      <c r="G996" s="8"/>
      <c r="H996" s="8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4"/>
      <c r="D997" s="117"/>
      <c r="E997" s="117"/>
      <c r="F997" s="8"/>
      <c r="G997" s="8"/>
      <c r="H997" s="8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4"/>
      <c r="D998" s="117"/>
      <c r="E998" s="117"/>
      <c r="F998" s="8"/>
      <c r="G998" s="8"/>
      <c r="H998" s="8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4"/>
      <c r="D999" s="117"/>
      <c r="E999" s="117"/>
      <c r="F999" s="8"/>
      <c r="G999" s="8"/>
      <c r="H999" s="8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4"/>
      <c r="D1000" s="117"/>
      <c r="E1000" s="117"/>
      <c r="F1000" s="8"/>
      <c r="G1000" s="8"/>
      <c r="H1000" s="8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4"/>
      <c r="D1001" s="117"/>
      <c r="E1001" s="117"/>
      <c r="F1001" s="8"/>
      <c r="G1001" s="8"/>
      <c r="H1001" s="8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4"/>
      <c r="D1002" s="117"/>
      <c r="E1002" s="117"/>
      <c r="F1002" s="8"/>
      <c r="G1002" s="8"/>
      <c r="H1002" s="8"/>
      <c r="I1002" s="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4"/>
      <c r="D1003" s="117"/>
      <c r="E1003" s="117"/>
      <c r="F1003" s="8"/>
      <c r="G1003" s="8"/>
      <c r="H1003" s="8"/>
      <c r="I1003" s="4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4"/>
      <c r="D1004" s="117"/>
      <c r="E1004" s="117"/>
      <c r="F1004" s="8"/>
      <c r="G1004" s="8"/>
      <c r="H1004" s="8"/>
      <c r="I1004" s="4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4"/>
      <c r="D1005" s="117"/>
      <c r="E1005" s="117"/>
      <c r="F1005" s="8"/>
      <c r="G1005" s="8"/>
      <c r="H1005" s="8"/>
      <c r="I1005" s="4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4"/>
      <c r="D1006" s="117"/>
      <c r="E1006" s="117"/>
      <c r="F1006" s="8"/>
      <c r="G1006" s="8"/>
      <c r="H1006" s="8"/>
      <c r="I1006" s="4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4"/>
      <c r="D1007" s="117"/>
      <c r="E1007" s="117"/>
      <c r="F1007" s="8"/>
      <c r="G1007" s="8"/>
      <c r="H1007" s="8"/>
      <c r="I1007" s="4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4"/>
      <c r="D1008" s="117"/>
      <c r="E1008" s="117"/>
      <c r="F1008" s="8"/>
      <c r="G1008" s="8"/>
      <c r="H1008" s="8"/>
      <c r="I1008" s="4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4"/>
      <c r="D1009" s="117"/>
      <c r="E1009" s="117"/>
      <c r="F1009" s="8"/>
      <c r="G1009" s="8"/>
      <c r="H1009" s="8"/>
      <c r="I1009" s="4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4"/>
      <c r="D1010" s="117"/>
      <c r="E1010" s="117"/>
      <c r="F1010" s="8"/>
      <c r="G1010" s="8"/>
      <c r="H1010" s="8"/>
      <c r="I1010" s="4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4"/>
      <c r="D1011" s="117"/>
      <c r="E1011" s="117"/>
      <c r="F1011" s="8"/>
      <c r="G1011" s="8"/>
      <c r="H1011" s="8"/>
      <c r="I1011" s="4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4"/>
      <c r="D1012" s="117"/>
      <c r="E1012" s="117"/>
      <c r="F1012" s="8"/>
      <c r="G1012" s="8"/>
      <c r="H1012" s="8"/>
      <c r="I1012" s="4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4"/>
      <c r="D1013" s="117"/>
      <c r="E1013" s="117"/>
      <c r="F1013" s="8"/>
      <c r="G1013" s="8"/>
      <c r="H1013" s="8"/>
      <c r="I1013" s="4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4"/>
      <c r="D1014" s="117"/>
      <c r="E1014" s="117"/>
      <c r="F1014" s="8"/>
      <c r="G1014" s="8"/>
      <c r="H1014" s="8"/>
      <c r="I1014" s="4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4"/>
      <c r="D1015" s="117"/>
      <c r="E1015" s="117"/>
      <c r="F1015" s="8"/>
      <c r="G1015" s="8"/>
      <c r="H1015" s="8"/>
      <c r="I1015" s="4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4"/>
      <c r="D1016" s="117"/>
      <c r="E1016" s="117"/>
      <c r="F1016" s="8"/>
      <c r="G1016" s="8"/>
      <c r="H1016" s="8"/>
      <c r="I1016" s="4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4"/>
      <c r="D1017" s="117"/>
      <c r="E1017" s="117"/>
      <c r="F1017" s="8"/>
      <c r="G1017" s="8"/>
      <c r="H1017" s="8"/>
      <c r="I1017" s="4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4"/>
      <c r="D1018" s="117"/>
      <c r="E1018" s="117"/>
      <c r="F1018" s="8"/>
      <c r="G1018" s="8"/>
      <c r="H1018" s="8"/>
      <c r="I1018" s="4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4"/>
      <c r="D1019" s="117"/>
      <c r="E1019" s="117"/>
      <c r="F1019" s="8"/>
      <c r="G1019" s="8"/>
      <c r="H1019" s="8"/>
      <c r="I1019" s="4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4"/>
      <c r="D1020" s="117"/>
      <c r="E1020" s="117"/>
      <c r="F1020" s="8"/>
      <c r="G1020" s="8"/>
      <c r="H1020" s="8"/>
      <c r="I1020" s="4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4"/>
      <c r="D1021" s="117"/>
      <c r="E1021" s="117"/>
      <c r="F1021" s="8"/>
      <c r="G1021" s="8"/>
      <c r="H1021" s="8"/>
      <c r="I1021" s="4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4"/>
      <c r="D1022" s="117"/>
      <c r="E1022" s="117"/>
      <c r="F1022" s="8"/>
      <c r="G1022" s="8"/>
      <c r="H1022" s="8"/>
      <c r="I1022" s="4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4"/>
      <c r="D1023" s="117"/>
      <c r="E1023" s="117"/>
      <c r="F1023" s="8"/>
      <c r="G1023" s="8"/>
      <c r="H1023" s="8"/>
      <c r="I1023" s="4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4"/>
      <c r="D1024" s="117"/>
      <c r="E1024" s="117"/>
      <c r="F1024" s="8"/>
      <c r="G1024" s="8"/>
      <c r="H1024" s="8"/>
      <c r="I1024" s="4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4"/>
      <c r="D1025" s="117"/>
      <c r="E1025" s="117"/>
      <c r="F1025" s="8"/>
      <c r="G1025" s="8"/>
      <c r="H1025" s="8"/>
      <c r="I1025" s="4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4"/>
      <c r="D1026" s="117"/>
      <c r="E1026" s="117"/>
      <c r="F1026" s="8"/>
      <c r="G1026" s="8"/>
      <c r="H1026" s="8"/>
      <c r="I1026" s="4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4"/>
      <c r="D1027" s="117"/>
      <c r="E1027" s="117"/>
      <c r="F1027" s="8"/>
      <c r="G1027" s="8"/>
      <c r="H1027" s="8"/>
      <c r="I1027" s="4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4"/>
      <c r="D1028" s="117"/>
      <c r="E1028" s="117"/>
      <c r="F1028" s="8"/>
      <c r="G1028" s="8"/>
      <c r="H1028" s="8"/>
      <c r="I1028" s="4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4"/>
      <c r="D1029" s="117"/>
      <c r="E1029" s="117"/>
      <c r="F1029" s="8"/>
      <c r="G1029" s="8"/>
      <c r="H1029" s="8"/>
      <c r="I1029" s="4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4"/>
      <c r="D1030" s="117"/>
      <c r="E1030" s="117"/>
      <c r="F1030" s="8"/>
      <c r="G1030" s="8"/>
      <c r="H1030" s="8"/>
      <c r="I1030" s="4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4"/>
      <c r="D1031" s="117"/>
      <c r="E1031" s="117"/>
      <c r="F1031" s="8"/>
      <c r="G1031" s="8"/>
      <c r="H1031" s="8"/>
      <c r="I1031" s="4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4"/>
      <c r="D1032" s="117"/>
      <c r="E1032" s="117"/>
      <c r="F1032" s="8"/>
      <c r="G1032" s="8"/>
      <c r="H1032" s="8"/>
      <c r="I1032" s="4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4"/>
      <c r="D1033" s="117"/>
      <c r="E1033" s="117"/>
      <c r="F1033" s="8"/>
      <c r="G1033" s="8"/>
      <c r="H1033" s="8"/>
      <c r="I1033" s="4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4"/>
      <c r="D1034" s="117"/>
      <c r="E1034" s="117"/>
      <c r="F1034" s="8"/>
      <c r="G1034" s="8"/>
      <c r="H1034" s="8"/>
      <c r="I1034" s="4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4"/>
      <c r="D1035" s="117"/>
      <c r="E1035" s="117"/>
      <c r="F1035" s="8"/>
      <c r="G1035" s="8"/>
      <c r="H1035" s="8"/>
      <c r="I1035" s="4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4"/>
      <c r="D1036" s="117"/>
      <c r="E1036" s="117"/>
      <c r="F1036" s="8"/>
      <c r="G1036" s="8"/>
      <c r="H1036" s="8"/>
      <c r="I1036" s="4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4"/>
      <c r="D1037" s="117"/>
      <c r="E1037" s="117"/>
      <c r="F1037" s="8"/>
      <c r="G1037" s="8"/>
      <c r="H1037" s="8"/>
      <c r="I1037" s="4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4"/>
      <c r="D1038" s="117"/>
      <c r="E1038" s="117"/>
      <c r="F1038" s="8"/>
      <c r="G1038" s="8"/>
      <c r="H1038" s="8"/>
      <c r="I1038" s="4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4"/>
      <c r="D1039" s="117"/>
      <c r="E1039" s="117"/>
      <c r="F1039" s="8"/>
      <c r="G1039" s="8"/>
      <c r="H1039" s="8"/>
      <c r="I1039" s="4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4"/>
      <c r="D1040" s="117"/>
      <c r="E1040" s="117"/>
      <c r="F1040" s="8"/>
      <c r="G1040" s="8"/>
      <c r="H1040" s="8"/>
      <c r="I1040" s="4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4"/>
      <c r="D1041" s="117"/>
      <c r="E1041" s="117"/>
      <c r="F1041" s="8"/>
      <c r="G1041" s="8"/>
      <c r="H1041" s="8"/>
      <c r="I1041" s="4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4"/>
      <c r="D1042" s="117"/>
      <c r="E1042" s="117"/>
      <c r="F1042" s="8"/>
      <c r="G1042" s="8"/>
      <c r="H1042" s="8"/>
      <c r="I1042" s="4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4"/>
      <c r="D1043" s="117"/>
      <c r="E1043" s="117"/>
      <c r="F1043" s="8"/>
      <c r="G1043" s="8"/>
      <c r="H1043" s="8"/>
      <c r="I1043" s="4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4"/>
      <c r="D1044" s="117"/>
      <c r="E1044" s="117"/>
      <c r="F1044" s="8"/>
      <c r="G1044" s="8"/>
      <c r="H1044" s="8"/>
      <c r="I1044" s="4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4"/>
      <c r="D1045" s="117"/>
      <c r="E1045" s="117"/>
      <c r="F1045" s="8"/>
      <c r="G1045" s="8"/>
      <c r="H1045" s="8"/>
      <c r="I1045" s="4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4"/>
      <c r="D1046" s="117"/>
      <c r="E1046" s="117"/>
      <c r="F1046" s="8"/>
      <c r="G1046" s="8"/>
      <c r="H1046" s="8"/>
      <c r="I1046" s="4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4"/>
      <c r="D1047" s="117"/>
      <c r="E1047" s="117"/>
      <c r="F1047" s="8"/>
      <c r="G1047" s="8"/>
      <c r="H1047" s="8"/>
      <c r="I1047" s="4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4"/>
      <c r="D1048" s="117"/>
      <c r="E1048" s="117"/>
      <c r="F1048" s="8"/>
      <c r="G1048" s="8"/>
      <c r="H1048" s="8"/>
      <c r="I1048" s="4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4"/>
      <c r="D1049" s="117"/>
      <c r="E1049" s="117"/>
      <c r="F1049" s="8"/>
      <c r="G1049" s="8"/>
      <c r="H1049" s="8"/>
      <c r="I1049" s="4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4"/>
      <c r="D1050" s="117"/>
      <c r="E1050" s="117"/>
      <c r="F1050" s="8"/>
      <c r="G1050" s="8"/>
      <c r="H1050" s="8"/>
      <c r="I1050" s="4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4"/>
      <c r="D1051" s="117"/>
      <c r="E1051" s="117"/>
      <c r="F1051" s="8"/>
      <c r="G1051" s="8"/>
      <c r="H1051" s="8"/>
      <c r="I1051" s="4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4"/>
      <c r="D1052" s="117"/>
      <c r="E1052" s="117"/>
      <c r="F1052" s="8"/>
      <c r="G1052" s="8"/>
      <c r="H1052" s="8"/>
      <c r="I1052" s="4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4"/>
      <c r="D1053" s="117"/>
      <c r="E1053" s="117"/>
      <c r="F1053" s="8"/>
      <c r="G1053" s="8"/>
      <c r="H1053" s="8"/>
      <c r="I1053" s="4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4"/>
      <c r="D1054" s="117"/>
      <c r="E1054" s="117"/>
      <c r="F1054" s="8"/>
      <c r="G1054" s="8"/>
      <c r="H1054" s="8"/>
      <c r="I1054" s="4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4"/>
      <c r="D1055" s="117"/>
      <c r="E1055" s="117"/>
      <c r="F1055" s="8"/>
      <c r="G1055" s="8"/>
      <c r="H1055" s="8"/>
      <c r="I1055" s="4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4"/>
      <c r="D1056" s="117"/>
      <c r="E1056" s="117"/>
      <c r="F1056" s="8"/>
      <c r="G1056" s="8"/>
      <c r="H1056" s="8"/>
      <c r="I1056" s="4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4"/>
      <c r="D1057" s="117"/>
      <c r="E1057" s="117"/>
      <c r="F1057" s="8"/>
      <c r="G1057" s="8"/>
      <c r="H1057" s="8"/>
      <c r="I1057" s="4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4"/>
      <c r="D1058" s="117"/>
      <c r="E1058" s="117"/>
      <c r="F1058" s="8"/>
      <c r="G1058" s="8"/>
      <c r="H1058" s="8"/>
      <c r="I1058" s="4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4"/>
      <c r="D1059" s="117"/>
      <c r="E1059" s="117"/>
      <c r="F1059" s="8"/>
      <c r="G1059" s="8"/>
      <c r="H1059" s="8"/>
      <c r="I1059" s="4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4"/>
      <c r="D1060" s="117"/>
      <c r="E1060" s="117"/>
      <c r="F1060" s="8"/>
      <c r="G1060" s="8"/>
      <c r="H1060" s="8"/>
      <c r="I1060" s="4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4"/>
      <c r="D1061" s="117"/>
      <c r="E1061" s="117"/>
      <c r="F1061" s="8"/>
      <c r="G1061" s="8"/>
      <c r="H1061" s="8"/>
      <c r="I1061" s="4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4"/>
      <c r="D1062" s="117"/>
      <c r="E1062" s="117"/>
      <c r="F1062" s="8"/>
      <c r="G1062" s="8"/>
      <c r="H1062" s="8"/>
      <c r="I1062" s="4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4"/>
      <c r="D1063" s="117"/>
      <c r="E1063" s="117"/>
      <c r="F1063" s="8"/>
      <c r="G1063" s="8"/>
      <c r="H1063" s="8"/>
      <c r="I1063" s="4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4"/>
      <c r="D1064" s="117"/>
      <c r="E1064" s="117"/>
      <c r="F1064" s="8"/>
      <c r="G1064" s="8"/>
      <c r="H1064" s="8"/>
      <c r="I1064" s="4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4"/>
      <c r="D1065" s="117"/>
      <c r="E1065" s="117"/>
      <c r="F1065" s="8"/>
      <c r="G1065" s="8"/>
      <c r="H1065" s="8"/>
      <c r="I1065" s="4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4"/>
      <c r="D1066" s="117"/>
      <c r="E1066" s="117"/>
      <c r="F1066" s="8"/>
      <c r="G1066" s="8"/>
      <c r="H1066" s="8"/>
      <c r="I1066" s="4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4"/>
      <c r="D1067" s="117"/>
      <c r="E1067" s="117"/>
      <c r="F1067" s="8"/>
      <c r="G1067" s="8"/>
      <c r="H1067" s="8"/>
      <c r="I1067" s="4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4"/>
      <c r="D1068" s="117"/>
      <c r="E1068" s="117"/>
      <c r="F1068" s="8"/>
      <c r="G1068" s="8"/>
      <c r="H1068" s="8"/>
      <c r="I1068" s="4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4"/>
      <c r="D1069" s="117"/>
      <c r="E1069" s="117"/>
      <c r="F1069" s="8"/>
      <c r="G1069" s="8"/>
      <c r="H1069" s="8"/>
      <c r="I1069" s="4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4"/>
      <c r="D1070" s="117"/>
      <c r="E1070" s="117"/>
      <c r="F1070" s="8"/>
      <c r="G1070" s="8"/>
      <c r="H1070" s="8"/>
      <c r="I1070" s="4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C1071" s="115"/>
      <c r="D1071" s="257"/>
      <c r="E1071" s="258"/>
      <c r="F1071" s="115"/>
      <c r="G1071" s="115"/>
      <c r="H1071" s="115"/>
      <c r="I1071" s="115"/>
    </row>
    <row r="1072">
      <c r="C1072" s="115"/>
      <c r="D1072" s="257"/>
      <c r="E1072" s="258"/>
      <c r="F1072" s="115"/>
      <c r="G1072" s="115"/>
      <c r="H1072" s="115"/>
      <c r="I1072" s="115"/>
    </row>
    <row r="1073">
      <c r="C1073" s="115"/>
      <c r="D1073" s="257"/>
      <c r="E1073" s="258"/>
      <c r="F1073" s="115"/>
      <c r="G1073" s="115"/>
      <c r="H1073" s="115"/>
      <c r="I1073" s="115"/>
    </row>
    <row r="1074">
      <c r="C1074" s="115"/>
      <c r="D1074" s="257"/>
      <c r="E1074" s="258"/>
      <c r="F1074" s="115"/>
      <c r="G1074" s="115"/>
      <c r="H1074" s="115"/>
      <c r="I1074" s="115"/>
    </row>
    <row r="1075">
      <c r="C1075" s="115"/>
      <c r="D1075" s="257"/>
      <c r="E1075" s="258"/>
      <c r="F1075" s="115"/>
      <c r="G1075" s="115"/>
      <c r="H1075" s="115"/>
      <c r="I1075" s="115"/>
    </row>
    <row r="1076">
      <c r="C1076" s="115"/>
      <c r="D1076" s="257"/>
      <c r="E1076" s="258"/>
      <c r="F1076" s="115"/>
      <c r="G1076" s="115"/>
      <c r="H1076" s="115"/>
      <c r="I1076" s="115"/>
    </row>
  </sheetData>
  <mergeCells count="59">
    <mergeCell ref="F123:F125"/>
    <mergeCell ref="B149:I149"/>
    <mergeCell ref="A151:B151"/>
    <mergeCell ref="J152:T152"/>
    <mergeCell ref="A153:D153"/>
    <mergeCell ref="A155:B155"/>
    <mergeCell ref="C155:E155"/>
    <mergeCell ref="Q158:T158"/>
    <mergeCell ref="Q159:T159"/>
    <mergeCell ref="A161:B161"/>
    <mergeCell ref="C161:E161"/>
    <mergeCell ref="I161:L161"/>
    <mergeCell ref="Q161:T161"/>
    <mergeCell ref="H162:T162"/>
    <mergeCell ref="H165:T165"/>
    <mergeCell ref="H166:T166"/>
    <mergeCell ref="A158:B158"/>
    <mergeCell ref="C158:F158"/>
    <mergeCell ref="I158:N158"/>
    <mergeCell ref="V158:X158"/>
    <mergeCell ref="A159:B159"/>
    <mergeCell ref="C159:F159"/>
    <mergeCell ref="I159:N159"/>
    <mergeCell ref="B8:B9"/>
    <mergeCell ref="D8:D9"/>
    <mergeCell ref="C25:C28"/>
    <mergeCell ref="C29:C41"/>
    <mergeCell ref="C42:C47"/>
    <mergeCell ref="C48:C72"/>
    <mergeCell ref="C73:C75"/>
    <mergeCell ref="G8:G9"/>
    <mergeCell ref="H8:V8"/>
    <mergeCell ref="A1:V1"/>
    <mergeCell ref="A2:V2"/>
    <mergeCell ref="A3:V3"/>
    <mergeCell ref="A4:B4"/>
    <mergeCell ref="A6:F6"/>
    <mergeCell ref="A7:B7"/>
    <mergeCell ref="A8:A9"/>
    <mergeCell ref="E8:E9"/>
    <mergeCell ref="F8:F9"/>
    <mergeCell ref="F25:F28"/>
    <mergeCell ref="G25:G28"/>
    <mergeCell ref="I25:I28"/>
    <mergeCell ref="G29:G41"/>
    <mergeCell ref="I29:I41"/>
    <mergeCell ref="I42:I47"/>
    <mergeCell ref="I48:I72"/>
    <mergeCell ref="I73:I75"/>
    <mergeCell ref="F29:F41"/>
    <mergeCell ref="F42:F47"/>
    <mergeCell ref="G42:G47"/>
    <mergeCell ref="F48:F72"/>
    <mergeCell ref="G48:G72"/>
    <mergeCell ref="F73:F75"/>
    <mergeCell ref="G73:G75"/>
    <mergeCell ref="I155:N155"/>
    <mergeCell ref="Q155:T155"/>
    <mergeCell ref="V155:W155"/>
  </mergeCells>
  <drawing r:id="rId1"/>
</worksheet>
</file>