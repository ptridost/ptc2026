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8_{2161EF23-00BD-4A33-8C9F-9EB56705570F}" xr6:coauthVersionLast="47" xr6:coauthVersionMax="47" xr10:uidLastSave="{00000000-0000-0000-0000-000000000000}"/>
  <bookViews>
    <workbookView xWindow="3000" yWindow="4320" windowWidth="9780" windowHeight="10680" activeTab="1" xr2:uid="{00000000-000D-0000-FFFF-FFFF00000000}"/>
  </bookViews>
  <sheets>
    <sheet name="PPMP 1st Quarter" sheetId="1" r:id="rId1"/>
    <sheet name="PPMP 2nd Quar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5G+LtbrKnDQDx4U7od0IeST+/2tnxiubFD3zFA+26k="/>
    </ext>
  </extLst>
</workbook>
</file>

<file path=xl/calcChain.xml><?xml version="1.0" encoding="utf-8"?>
<calcChain xmlns="http://schemas.openxmlformats.org/spreadsheetml/2006/main">
  <c r="F112" i="2" l="1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0" i="2"/>
  <c r="F79" i="2"/>
  <c r="F78" i="2"/>
  <c r="F74" i="2"/>
  <c r="F68" i="2"/>
  <c r="F66" i="2"/>
  <c r="F64" i="2"/>
  <c r="F62" i="2"/>
  <c r="F61" i="2"/>
  <c r="F46" i="2"/>
  <c r="F44" i="2"/>
  <c r="F29" i="2"/>
  <c r="F27" i="2"/>
  <c r="F12" i="2"/>
  <c r="D114" i="2" s="1"/>
  <c r="F81" i="1"/>
  <c r="F80" i="1"/>
  <c r="F79" i="1"/>
  <c r="F77" i="1"/>
  <c r="F76" i="1"/>
  <c r="F75" i="1"/>
  <c r="F74" i="1"/>
  <c r="F73" i="1"/>
  <c r="F72" i="1"/>
  <c r="F71" i="1"/>
  <c r="F70" i="1"/>
  <c r="F66" i="1"/>
  <c r="F65" i="1"/>
  <c r="F59" i="1"/>
  <c r="F58" i="1"/>
  <c r="F52" i="1"/>
  <c r="F51" i="1"/>
  <c r="F40" i="1"/>
  <c r="F39" i="1"/>
  <c r="F38" i="1"/>
  <c r="D83" i="1" s="1"/>
  <c r="F27" i="1"/>
  <c r="F22" i="1"/>
  <c r="D85" i="1" l="1"/>
  <c r="D84" i="1"/>
  <c r="D86" i="1" s="1"/>
  <c r="D116" i="2"/>
  <c r="D115" i="2"/>
  <c r="D117" i="2" s="1"/>
</calcChain>
</file>

<file path=xl/sharedStrings.xml><?xml version="1.0" encoding="utf-8"?>
<sst xmlns="http://schemas.openxmlformats.org/spreadsheetml/2006/main" count="634" uniqueCount="309">
  <si>
    <t xml:space="preserve">  PROJECT PROCUREMENT MANAGEMENT PLAN (PPMP) 2024</t>
  </si>
  <si>
    <t>For 1st Quarter of CY 2024</t>
  </si>
  <si>
    <t>END-USER/UNIT: RDD-NFUS</t>
  </si>
  <si>
    <t>Charged to: GAA-CICA Bamboo Textile Product Development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</si>
  <si>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</si>
  <si>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</si>
  <si>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</si>
  <si>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</si>
  <si>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</si>
  <si>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</si>
  <si>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</si>
  <si>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</si>
  <si>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</si>
  <si>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</si>
  <si>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</si>
  <si>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</si>
  <si>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</si>
  <si>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</si>
  <si>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</si>
  <si>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</si>
  <si>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</si>
  <si>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</si>
  <si>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</si>
  <si>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</si>
  <si>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</si>
  <si>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</si>
  <si>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</si>
  <si>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</si>
  <si>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</si>
  <si>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</si>
  <si>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</si>
  <si>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</si>
  <si>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</si>
  <si>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</si>
  <si>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</si>
  <si>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</si>
  <si>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</si>
  <si>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</si>
  <si>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</si>
  <si>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</si>
  <si>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</si>
  <si>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</si>
  <si>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</si>
  <si>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</si>
  <si>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</si>
  <si>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</si>
  <si>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</si>
  <si>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</si>
  <si>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</si>
  <si>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</si>
  <si>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</si>
  <si>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</si>
  <si>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</si>
  <si>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</si>
  <si>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</si>
  <si>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</si>
  <si>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</si>
  <si>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</si>
  <si>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</si>
  <si>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</si>
  <si>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</si>
  <si>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</si>
  <si>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</si>
  <si>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</si>
  <si>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</si>
  <si>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</si>
  <si>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</si>
  <si>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</si>
  <si>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</si>
  <si>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</si>
  <si>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</si>
  <si>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</si>
  <si>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</si>
  <si>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</si>
  <si>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</si>
  <si>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</si>
  <si>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</si>
  <si>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</si>
  <si>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</si>
  <si>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OS-073</t>
  </si>
  <si>
    <t>10 packs Label Index Stickers, 5 colors</t>
  </si>
  <si>
    <t>1 lot</t>
  </si>
  <si>
    <t>Shopping</t>
  </si>
  <si>
    <t>15-30 working days</t>
  </si>
  <si>
    <t>OS-026</t>
  </si>
  <si>
    <t>30 reams A4 Bondpaper, 70gsm</t>
  </si>
  <si>
    <t>OS-057</t>
  </si>
  <si>
    <t>20 reams Legal Bondpaper, 70gsm</t>
  </si>
  <si>
    <t>OS-115</t>
  </si>
  <si>
    <t>10 packs Sticker Paper, Matte (A4, 10's/pack)</t>
  </si>
  <si>
    <t>OS-006</t>
  </si>
  <si>
    <t>20 pieces Double-sided adhesive tape, 1"</t>
  </si>
  <si>
    <t>OS-069</t>
  </si>
  <si>
    <t>10 packs Specialty Boardpaper, 30's, 90gsm</t>
  </si>
  <si>
    <t>OS-068</t>
  </si>
  <si>
    <t>10 packs Vellum Board (A4, 10's/pack)</t>
  </si>
  <si>
    <t>OS-027</t>
  </si>
  <si>
    <t>10 boxes Permanent Marker, Black, Waterproof, 12's/box</t>
  </si>
  <si>
    <t>OS-238</t>
  </si>
  <si>
    <t>5 pieces Ruler, stainless steel, 12"</t>
  </si>
  <si>
    <t>5 pieces Ruler, stainless steel, 24"</t>
  </si>
  <si>
    <t>Heavy duty metal storage shelf</t>
  </si>
  <si>
    <t xml:space="preserve">5 units </t>
  </si>
  <si>
    <t>50203990 00</t>
  </si>
  <si>
    <t>Other Supplies Expenses</t>
  </si>
  <si>
    <t>OS-108</t>
  </si>
  <si>
    <t>20 packs Pull-ups Tissue, 2 ply, 190pulls/pack</t>
  </si>
  <si>
    <t>MDL-057</t>
  </si>
  <si>
    <t>10 packs P.E Plastic 20" x 30", Clear</t>
  </si>
  <si>
    <t>MDL-010</t>
  </si>
  <si>
    <t>10 packs P.E Plastic 8" x 12", Clear</t>
  </si>
  <si>
    <t>A-frame fabric roll rack
10 rolls/rack, 1760 x 450 x 1500 mm (W x D x H)</t>
  </si>
  <si>
    <t>2 units</t>
  </si>
  <si>
    <t>Negotiated Procurement-Small Value Procurement</t>
  </si>
  <si>
    <t>2 units Electric drill
CE approval
input power: 400 W
rated voltage: 220-240 V
frequency: 50/60 Hz
no load speed: 0-3500 r/min
chuck capacity Ø : 10mm
plug &amp; cable : VDE approved 2m</t>
  </si>
  <si>
    <t>2 pieces Two-step steel ladder</t>
  </si>
  <si>
    <t>3 pieces Fabric shears, stainless steel, 8"</t>
  </si>
  <si>
    <t>3 pieces Fabric shears, stainless steel, 9"</t>
  </si>
  <si>
    <t>3 pieces Fabric shears, stainless steel, 10"</t>
  </si>
  <si>
    <t>3 pieces Pinking shears, stainless steel, 8'-10"</t>
  </si>
  <si>
    <t>3 pieces Stainless Crucible Tongs, 300mm</t>
  </si>
  <si>
    <t>3 pieces Stainless Crucible Tongs, 500mm</t>
  </si>
  <si>
    <t>3 pieces Stock Pot With Lid, Stainless Steel, 150 liters</t>
  </si>
  <si>
    <t>4 pieces Stainless Pitcher, 1-2L</t>
  </si>
  <si>
    <r>
      <rPr>
        <sz val="9"/>
        <color theme="1"/>
        <rFont val="Arial"/>
      </rPr>
      <t>Wetting Agent</t>
    </r>
    <r>
      <rPr>
        <sz val="9"/>
        <color theme="1"/>
        <rFont val="Arial"/>
      </rPr>
      <t>, Cleanmate</t>
    </r>
  </si>
  <si>
    <t>12 gals</t>
  </si>
  <si>
    <t>30-45 working days</t>
  </si>
  <si>
    <r>
      <rPr>
        <sz val="9"/>
        <color theme="1"/>
        <rFont val="Arial"/>
      </rPr>
      <t>Heavy duty blade cutter knife</t>
    </r>
    <r>
      <rPr>
        <sz val="9"/>
        <color theme="1"/>
        <rFont val="Arial"/>
      </rPr>
      <t>, snap-off, 18x100 mm</t>
    </r>
  </si>
  <si>
    <t>3 pieces</t>
  </si>
  <si>
    <t>Petty Cash Fund</t>
  </si>
  <si>
    <t>per schedule</t>
  </si>
  <si>
    <r>
      <rPr>
        <sz val="9"/>
        <color theme="1"/>
        <rFont val="Arial"/>
      </rPr>
      <t>Foldable Meter Stick</t>
    </r>
    <r>
      <rPr>
        <sz val="9"/>
        <color theme="1"/>
        <rFont val="Arial"/>
      </rPr>
      <t>, Metal (aluminum)</t>
    </r>
  </si>
  <si>
    <t>2 pieces</t>
  </si>
  <si>
    <t>10 pieces Tailor's Tape Measure, Telescopic/ retractable with case; 60" length</t>
  </si>
  <si>
    <t>5 pieces Sewing machine needles (high speed, single), DB X 1 90/9</t>
  </si>
  <si>
    <t>5 pieces Sewing machine needles (high speed, single) , DB X 1 90/11</t>
  </si>
  <si>
    <t>5 pieces Sewing machine needles (high speed, single) , DB X 1 90/14</t>
  </si>
  <si>
    <t>2 sets Pattern Drafting Ruler Set 
- acrylic
- Inclusions: see-through grid L-square; straight gridded ruler; french curve, hip/ arm cure, flexible ruler</t>
  </si>
  <si>
    <t>2 pieces Magnetic pin holder, magnetic plate; wrist-worn (adjustable)</t>
  </si>
  <si>
    <t>2 boxes Tailor's pencil , box of 12, white</t>
  </si>
  <si>
    <t>2 boxes Tailor's pencil , box of 12, assorted</t>
  </si>
  <si>
    <t>2 sets Dressmaker sewing pins, 480-pc set, round pearl headed straight steel</t>
  </si>
  <si>
    <t>2 sets Dressmaker sewing pins, 60-pc set, solid headed straight steel</t>
  </si>
  <si>
    <r>
      <rPr>
        <sz val="9"/>
        <color theme="1"/>
        <rFont val="Arial"/>
      </rPr>
      <t>Fabric tube roll</t>
    </r>
    <r>
      <rPr>
        <sz val="9"/>
        <color theme="1"/>
        <rFont val="Arial"/>
      </rPr>
      <t>, 38"-62" length, cardboard</t>
    </r>
  </si>
  <si>
    <t>60 pieces</t>
  </si>
  <si>
    <t>75 pcs bamboo candle holder</t>
  </si>
  <si>
    <t>60-90 working days</t>
  </si>
  <si>
    <t>61 pcs bamboo brooch</t>
  </si>
  <si>
    <t>30 pcs bamboo lei flower with logo</t>
  </si>
  <si>
    <t>50203080 00</t>
  </si>
  <si>
    <t>Medical, Dental, Laboratory Supplies Expenses</t>
  </si>
  <si>
    <t>MDL-076</t>
  </si>
  <si>
    <t>20 carbouys Sodium Hydroxide, Technical grade, ≥48% purity, 30kg/cby</t>
  </si>
  <si>
    <t>MDL-178</t>
  </si>
  <si>
    <t>5 carbouys Glacial Acetic Acid, Technical grade, ≥98% purity, 30 kg/cby</t>
  </si>
  <si>
    <t>MDL-276</t>
  </si>
  <si>
    <r>
      <rPr>
        <sz val="9"/>
        <color rgb="FF000000"/>
        <rFont val="Arial"/>
      </rPr>
      <t>Hydrogen Peroxide</t>
    </r>
    <r>
      <rPr>
        <sz val="9"/>
        <color rgb="FF000000"/>
        <rFont val="Arial"/>
      </rPr>
      <t>, Technical grade, ≥48% purity, 35 kg/cby</t>
    </r>
  </si>
  <si>
    <t>5 cby</t>
  </si>
  <si>
    <t>Ginned Cotton Fibers</t>
  </si>
  <si>
    <t>250 kgs</t>
  </si>
  <si>
    <t>15 pieces Googles Protection, Silicone, Transparent</t>
  </si>
  <si>
    <t>MDL-023</t>
  </si>
  <si>
    <t>20 pairs Heavy Duty Latex Gloves, Chemical Resistant</t>
  </si>
  <si>
    <t>10 packs Nylon Bags, Dimensions: 35 cm x 41.5 cm, 10 pcs per pack</t>
  </si>
  <si>
    <t>MDL-006</t>
  </si>
  <si>
    <t>5 bottles Sodium Silicate, Technical Grade, 4L/gal</t>
  </si>
  <si>
    <t xml:space="preserve">5 bottles Sodium Metabisulfite, ≥97% purity, 1kg/bot
</t>
  </si>
  <si>
    <r>
      <rPr>
        <sz val="9"/>
        <color theme="1"/>
        <rFont val="Arial"/>
      </rPr>
      <t>Cellulase Enzyme</t>
    </r>
    <r>
      <rPr>
        <sz val="9"/>
        <color theme="1"/>
        <rFont val="Arial"/>
      </rPr>
      <t>, clear (light to dark brown), pH (1% sol:4-5), density 1-1.1 g/mL</t>
    </r>
  </si>
  <si>
    <t>30 kgs</t>
  </si>
  <si>
    <t>Raw bamboo textile fibers</t>
  </si>
  <si>
    <t>50211990 00</t>
  </si>
  <si>
    <t xml:space="preserve">Other Professional Services </t>
  </si>
  <si>
    <t>1 lot Fabric dyeing services
- 150 kgs, assorted
- Inclusive of solid reactive dyeing 
- Inclusive of softening and calendaring</t>
  </si>
  <si>
    <t>1 lot Fabric finishing services
- 350 kgs, assorted
- Inclusive of enzyme finishing
- Inclusive of softening and calendaring</t>
  </si>
  <si>
    <t>Professional weaving services
- 5000 m, assorted</t>
  </si>
  <si>
    <t>Yarn finishing services
- 30 kgs
- inclusive of mercerization
- inclusive of dyeing</t>
  </si>
  <si>
    <t>Prototype development services
Inclusions:
- Bamboo Parasola Lamp, bamboo textile parasola with Antique gold resin faux bamboo stand
- Raw Bamboo Parasola Lamp, raw bamboo fiber parasola with wrapped rattan stand
- Menu stand, curved</t>
  </si>
  <si>
    <t>Professional sewing services
Inclusions:
- Female Trench Coat, ankle length, with customized buttons, interfacing, and lining, using bamboo fabric with Patadyong weave accents
- Male Tailored Trench Coat, with metallic buttons, with interlining and interfacing, using bamboo fabric, dark green
- Male Sports Jacket, with interlining and duracon zippers, with polyester knitted collar, cuffs and bottom, using bamboo Binakol woven fabric, green
- Zippered pants, flared, with duracon zipper and metallic buttons, using bamboo fabric, ecru
- Female Croptop Jacket with Lining, duracon zipper, Binakol weave with bamboo blended yarns as weft, green
- Kimono blazer, using bamboo Yakan woven fabric
- Female blazer, with metallic buttons, using bamboo fabric and Philippine tropical fabric
- Layered pants, using bamboo fabric, white</t>
  </si>
  <si>
    <t>Handloom weaving services
Inclusions:
- warp: cotton/technical cotton
- weft: bamboo blended yarns
- 23 to 24 inches width
- return of retain samples and wastage
- VAT inclusive
- inclusive of delivery charges to DOST-PTRI, General Santos Ave., Bicutan, Taguig City</t>
  </si>
  <si>
    <t>25 yards</t>
  </si>
  <si>
    <t>Handloom weaving services
Inclusions:
- Sinukitan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</si>
  <si>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Binakol Kusikos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</si>
  <si>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Plain weave pattern
- warp: cotton
- weft: bamboo blended yarns
- 17 inches width
- return of retain samples and wastage
- VAT inclusive
- inclusive of delivery charges to DOST-PTRI, General Santos Ave., Bicutan, Taguig City</t>
  </si>
  <si>
    <t>29 yards</t>
  </si>
  <si>
    <t>50604050 14</t>
  </si>
  <si>
    <t>Technical &amp; Scientific Equipment - Equipment Outlay</t>
  </si>
  <si>
    <r>
      <rPr>
        <sz val="9"/>
        <color theme="1"/>
        <rFont val="Arial"/>
      </rPr>
      <t xml:space="preserve">Direct-to-textile inkjet printer
</t>
    </r>
    <r>
      <rPr>
        <i/>
        <sz val="9"/>
        <color theme="1"/>
        <rFont val="Arial"/>
      </rPr>
      <t>Technical Specifications:</t>
    </r>
    <r>
      <rPr>
        <sz val="9"/>
        <color theme="1"/>
        <rFont val="Arial"/>
      </rPr>
      <t xml:space="preserve">
- with belt drive for sheet or elastic fabrics
- printhead: four (4) heads on deman piezo
- ink/colors/supply: RC400 reactive dye/disperse dye ink/acid dye ink
- print resolution: 360, 540, 720, 1090, 1440 dpi
- maximum print width: 76.4 in
- maximum media width: 76.8 in
- media thickness: 1.0 mm or less
- power supply: single phase (AC 100-120 V / AC 200-240 V)
- dimensions (w x d x h): 126 x 38 x 73 in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- one (1) set of ink: 400 mL/cartridge
- flushing liquid solution: 1 L
- one (1) set cleaning kit
- one (1) unit Tx Link LITE software
- one (1) unit PC
- one (1) unit UPS
- one (1) unit AVR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</si>
  <si>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Public Bidding</t>
  </si>
  <si>
    <r>
      <rPr>
        <sz val="9"/>
        <color theme="1"/>
        <rFont val="Arial"/>
      </rPr>
      <t xml:space="preserve">Single-head embroidery machine
</t>
    </r>
    <r>
      <rPr>
        <i/>
        <sz val="9"/>
        <color theme="1"/>
        <rFont val="Arial"/>
      </rPr>
      <t xml:space="preserve">Technical Specifications:
</t>
    </r>
    <r>
      <rPr>
        <sz val="9"/>
        <color theme="1"/>
        <rFont val="Arial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</si>
  <si>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Small Value Procurement</t>
  </si>
  <si>
    <r>
      <rPr>
        <sz val="9"/>
        <color theme="1"/>
        <rFont val="Arial"/>
      </rPr>
      <t xml:space="preserve">Decorticating machine
</t>
    </r>
    <r>
      <rPr>
        <i/>
        <sz val="9"/>
        <color theme="1"/>
        <rFont val="Arial"/>
      </rPr>
      <t>Technical Specifications:</t>
    </r>
    <r>
      <rPr>
        <sz val="9"/>
        <color theme="1"/>
        <rFont val="Arial"/>
      </rPr>
      <t xml:space="preserve">
- drum blade diameter: 500mm
- drum blade length: 500mm
- drum speed: &gt;380 rpm
- power supply: &gt;5 hp single phase
- with induction motor specs:
   - 220V, 60Hz
   - Dimension: LxWxH 700mmx800mmx1300mm + 20% of 
     the total volume
- Capacity: 70-90 kg/hr input raw material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- Installation, Testing, and Commisioning of equipment at the DOST-PTRI, Bicutan, Taguig City
- After Sales Service Certificate: ≥ 1 year
- Warranty Certificate: ≥ 1 years
- After Sales Technical Assistance and spare parts: ≥ 1 year
- VAT inclusive
- Onsite training and issuance of training certificates
- Delivery period : ≤ 60 calendar days</t>
    </r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</si>
  <si>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</si>
  <si>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</si>
  <si>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</si>
  <si>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</si>
  <si>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</si>
  <si>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</si>
  <si>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</si>
  <si>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</si>
  <si>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</si>
  <si>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</si>
  <si>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</si>
  <si>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</si>
  <si>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</si>
  <si>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</si>
  <si>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</si>
  <si>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</si>
  <si>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</si>
  <si>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</si>
  <si>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</si>
  <si>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</si>
  <si>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Apr</t>
  </si>
  <si>
    <t>May</t>
  </si>
  <si>
    <t>Jun</t>
  </si>
  <si>
    <t>5 pcs stapler, 23/15 (9/16")</t>
  </si>
  <si>
    <t>30 calendar days</t>
  </si>
  <si>
    <t>10 boxes 50mm vinyl coated paper clip (100clips/box)</t>
  </si>
  <si>
    <t>10 boxes 1-1/4" (32mm) binder clips (12pcs/box)</t>
  </si>
  <si>
    <t>50 packs Sticker Paper, Matte (A4, 10's/pack)</t>
  </si>
  <si>
    <t>50 packs Specialty Boardpaper, 30's, 90gsm</t>
  </si>
  <si>
    <t>50 packs Vellum Board (A4, 10's/pack)</t>
  </si>
  <si>
    <t>5 units Heavy duty metal storage shelf</t>
  </si>
  <si>
    <t>50 pieces A6 waybill thermal sticker label roll, 500 pcs/roll</t>
  </si>
  <si>
    <t>Laptop computer
A. Technical Specifications
- Processor: Core i5 10th Gen or equivalent or better
- Memory: 8GB DDR4 or equivalent or better
- Storage Capacity: 512 GB SSD or equivalent or better
- Operating System: Windows 10 Home or equivalent or better
- GPU: Integrated Graphics Card UHD
- Camera: Built-in, high-definition./high-quality
B. Inclusions
- Microsoft Office 2019 or better
- warranty of at least one (1) year on parts and services
- laptop bag
- laptop charger
- VAT Inclusive
- inclusive of delivery to DOST-PTRI, Bicutan, Taguig City</t>
  </si>
  <si>
    <t>4 lots</t>
  </si>
  <si>
    <t>5 pcs Manual Liquid Transfer Pump
Suction Tube Length: ≥ 390 mm
Discharge tube length: ≥ 540 mm</t>
  </si>
  <si>
    <t>5 packs Resealable Plastic Bag 120mm x 170mm (100pcs/pack), Clear</t>
  </si>
  <si>
    <t>5 packs Resealable Plastic Bag 200mm x 280mm (100pcs/pack), Clear</t>
  </si>
  <si>
    <t>3 packs Resealable Plastic Bag 340mm x 450mm (100pcs/pack), Clear</t>
  </si>
  <si>
    <t>5 pieces Stainless Crucible Tongs, 300mm</t>
  </si>
  <si>
    <t>5 pieces Stainless Crucible Tongs, 500mm</t>
  </si>
  <si>
    <t>10 pieces Stock Pot With Lid, Stainless Steel, 150 liters</t>
  </si>
  <si>
    <t>10 pieces Stainless Pitcher, 1-2L</t>
  </si>
  <si>
    <t>50 packs Pull-ups Tissue, 2 ply, ≤ 190pulls/pack</t>
  </si>
  <si>
    <t>20 packs P.E Plastic 20" x 30", Clear</t>
  </si>
  <si>
    <t>20 packs P.E Plastic 8" x 12", Clear</t>
  </si>
  <si>
    <t>5 pieces Heavy duty blade cutter knife, snap-off, 18x100 mm</t>
  </si>
  <si>
    <t>fabric roll rack
- A-frame type
- 12 hanging rods 
- 1930 x 600 x 2000 mm (LxWxH)
- with swivel wheels with brakes
- customized with metal board on top
- ceramic coating</t>
  </si>
  <si>
    <t>60 calendar days</t>
  </si>
  <si>
    <t>fabric tube roll
- cardboard
- length: ≤ 62"
- inner diameter: ≤ 1.75"</t>
  </si>
  <si>
    <t>6 pieces Fabric shears, stainless steel, 8"</t>
  </si>
  <si>
    <t>6 pieces Fabric shears, stainless steel, 9"</t>
  </si>
  <si>
    <t>6 pieces Fabric shears, stainless steel, 10"</t>
  </si>
  <si>
    <t>6 pieces Pinking shears, stainless steel, 8'-10"</t>
  </si>
  <si>
    <t>6 pieces Foldable Meter Stick, Metal (aluminum)</t>
  </si>
  <si>
    <t>12 pieces Tailor's Tape Measure, Telescopic/ retractable with case; 60" length</t>
  </si>
  <si>
    <t>12 pieces Sewing machine needles (high speed, single), DB X 1 90/9</t>
  </si>
  <si>
    <t>12 pieces Sewing machine needles (high speed, single) , DB X 1 90/11</t>
  </si>
  <si>
    <t>12 pieces Sewing machine needles (high speed, single) , DB X 1 90/14</t>
  </si>
  <si>
    <t>6 sets Pattern Drafting Ruler Set 
- acrylic
- Inclusions: see-through grid L-square; straight gridded ruler; french curve, hip/ arm cure, flexible ruler</t>
  </si>
  <si>
    <t>6 pieces Magnetic pin holder, magnetic plate; wrist-worn (adjustable)</t>
  </si>
  <si>
    <t>6 boxes Tailor's pencil , box of 12, white</t>
  </si>
  <si>
    <t>6 boxes Tailor's pencil , box of 12, assorted</t>
  </si>
  <si>
    <t>6 sets Dressmaker sewing pins, 480-pc set, round pearl headed straight steel</t>
  </si>
  <si>
    <t>6 sets Dressmaker sewing pins, 200-pc set, plain, solid headed straight steel</t>
  </si>
  <si>
    <t>Wilcom e4 decorating embroidery software</t>
  </si>
  <si>
    <t>1 unit</t>
  </si>
  <si>
    <t>Camshaft Balancer (for fabrication) with fixed shafting</t>
  </si>
  <si>
    <t>90 calendar days</t>
  </si>
  <si>
    <t>Camshaft Balancer (for fabrication) with detachable shafting</t>
  </si>
  <si>
    <t>Assorted fabrics
   - various colors
   - 5m/type
   - 20 types
- VAT inclusive
- inclusive of delivery charges to DOST-PTRI, General Santos Ave., Bicutan, Taguig City</t>
  </si>
  <si>
    <t>Lyocell Fiber
- 98-100 mm longstaple fibers, 300kg/bale
- 1.4-1.9 dtex
- bright or dull lustre
- inclusive of delivery to DOST-PTRI
- tax inclusive</t>
  </si>
  <si>
    <t>1 bale</t>
  </si>
  <si>
    <t>50 kgs Talisay Leaves, as natural dye source</t>
  </si>
  <si>
    <t>50 kgs Cogon grass, as natural dye source</t>
  </si>
  <si>
    <t>25 kgs Annatto seeds, no oil, as natural dye source</t>
  </si>
  <si>
    <t>10 pcs whole young coconut (buko), as natural dye source</t>
  </si>
  <si>
    <t>50 kgs coffee pulp, as natural dye source</t>
  </si>
  <si>
    <t>5 kg Indigo powder dye source</t>
  </si>
  <si>
    <t>10 pieces laundry net</t>
  </si>
  <si>
    <t>3 sets PVC Pipe, 3 meters length by 3 inches thickness</t>
  </si>
  <si>
    <t>5 kgs Ferrous Sulfate, technical grade</t>
  </si>
  <si>
    <t>5 kgs Sodium Hydroxide (Flakes), technical grade</t>
  </si>
  <si>
    <t>Hydrogen Peroxide, Technical grade, 35-50% purity, 35 kg/cby</t>
  </si>
  <si>
    <t>Cellulase Enzyme
- clear (light to dark brown)
- pH (1% sol:4-5)
- density 1-1.1 g/mL</t>
  </si>
  <si>
    <t>15 gallons non-ionic detergent</t>
  </si>
  <si>
    <t>5 units laboratory thermometer, temp range:  -10°C to 110°C</t>
  </si>
  <si>
    <t>15 pieces goggles protection, silicone, transparent</t>
  </si>
  <si>
    <t>Colormatching service for fabrics and yarns</t>
  </si>
  <si>
    <t>Scouring/bleaching services for fabrics and yarns</t>
  </si>
  <si>
    <t>50 kgs</t>
  </si>
  <si>
    <t>Small scale batch dyeing service for yarns and fabrics</t>
  </si>
  <si>
    <t>70 kgs</t>
  </si>
  <si>
    <t>1 lot Fabric dyeing and finishing services
- 150 kgs, assorted
- Inclusive of finishing (enzyme, water repellent and/or flame retardant)
- Inclusive of reactive dyeing
- Inclusive of softening and calendaring
- VAT inclusive</t>
  </si>
  <si>
    <t>Dry cleaning services</t>
  </si>
  <si>
    <t>Professional weaving services
- 1000 m, assorted
- powerloom weaving
- Natural textile fiber (NTF) blended yarns
- Warping yarns: PE/Filament
- Weft/Filling yarns: NTF blend 15-20 / 2
- 60" width, 70-100epi / 20-48ppi</t>
  </si>
  <si>
    <t>Professional weaving services
- 1000 m, assorted
- powerloom weaving
- Natural textile fiber (NTF) blended yarns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</si>
  <si>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</si>
  <si>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PE/Filament
- Weft/Filling yarns: NTF blend 15-20 / 2
- 60" width, 70-100epi / 20-48ppi</t>
  </si>
  <si>
    <r>
      <rPr>
        <sz val="9"/>
        <color rgb="FF000000"/>
        <rFont val="Arial"/>
      </rPr>
      <t xml:space="preserve">Professional sewing services
Inclusions:
- Customized tailored coat, 4 pcs, using Philippine tropical fabrics with </t>
    </r>
    <r>
      <rPr>
        <i/>
        <sz val="9"/>
        <color rgb="FF000000"/>
        <rFont val="Arial"/>
      </rPr>
      <t>Inubon a Sabong</t>
    </r>
    <r>
      <rPr>
        <sz val="9"/>
        <color rgb="FF000000"/>
        <rFont val="Arial"/>
      </rPr>
      <t xml:space="preserve"> weave accents</t>
    </r>
  </si>
  <si>
    <t>Professional sewing services
Inclusions:
- 14-piece collection, using Philippine tropical fabrics</t>
  </si>
  <si>
    <r>
      <rPr>
        <sz val="9"/>
        <color rgb="FF000000"/>
        <rFont val="Arial"/>
      </rPr>
      <t xml:space="preserve">Handloom weaving services
Inclusions:
- diamond weave </t>
    </r>
    <r>
      <rPr>
        <i/>
        <sz val="9"/>
        <color rgb="FF000000"/>
        <rFont val="Arial"/>
      </rPr>
      <t>Inabel</t>
    </r>
    <r>
      <rPr>
        <sz val="9"/>
        <color rgb="FF000000"/>
        <rFont val="Arial"/>
      </rPr>
      <t xml:space="preserve"> pattern
- warp: cotton/technical cotton
- weft: bamboo blended yarns
- 23 to 24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</si>
  <si>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Inubon a Sabong</t>
    </r>
    <r>
      <rPr>
        <sz val="9"/>
        <color rgb="FF000000"/>
        <rFont val="Arial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</si>
  <si>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Patadyong</t>
    </r>
    <r>
      <rPr>
        <sz val="9"/>
        <color rgb="FF000000"/>
        <rFont val="Arial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</si>
  <si>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Yakan</t>
    </r>
    <r>
      <rPr>
        <sz val="9"/>
        <color rgb="FF000000"/>
        <rFont val="Arial"/>
      </rPr>
      <t xml:space="preserve"> weave pattern
- warp: cotton/technical cotton
- weft: bamboo blended yarns
- 17 to 18 inches width
- return of retain samples and wastage
- VAT inclusive
- inclusive of delivery charges to DOST-PTRI, General Santos Ave., Bicutan, Taguig City</t>
    </r>
  </si>
  <si>
    <t>Handloom weaving services
Inclusions:
- warp: 21d silk
- weft: cotton/cotton-piña blend
- 30 inches width
- plain weave
- return of retain samples and wastage
- VAT inclusive
- inclusive of delivery charges to DOST-PTRI, General Santos Ave., Bicutan, Taguig City</t>
  </si>
  <si>
    <t>Handloom weaving services
Inclusions:
- warp: 21d silk
- weft: bamboo blended yarns
- 30 inches width
- plain weave
- return of retain samples and wastage
- VAT inclusive
- inclusive of delivery charges to DOST-PTRI, General Santos Ave., Bicutan, Taguig City</t>
  </si>
  <si>
    <t>Handloom weaving services
Inclusions:
- warp: 21d silk
- weft: piña
- 30 inches width
- with suksok diamond design using lyocell yarns
- return of retain samples and wastage
- VAT inclusive
- inclusive of delivery charges to DOST-PTRI, General Santos Ave., Bicutan, Taguig City</t>
  </si>
  <si>
    <t>10 meters</t>
  </si>
  <si>
    <t>Handloom weaving services
Inclusions:
- warp: 21d silk
- weft: piña
- 30 inches width
- with suksok floral design usign green and white lyocell yarns
- return of retain samples and wastage
- VAT inclusive
- inclusive of delivery charges to DOST-PTRI, General Santos Ave., Bicutan, Taguig City</t>
  </si>
  <si>
    <t>Handloom weaving services
Inclusions:
- warp: silk
- weft: piña
- 30 inches width
- return of retain samples and wastage
- VAT inclusive
- inclusive of delivery charges to DOST-PTRI, General Santos Ave., Bicutan, Taguig City</t>
  </si>
  <si>
    <t>Handloom weaving services
Inclusions:
- warp: piña
- weft: piña
- 30 inches width
- return of retain samples and wastage
- VAT inclusive
- inclusive of delivery charges to DOST-PTRI, General Santos Ave., Bicutan, Taguig City</t>
  </si>
  <si>
    <t>20 yards</t>
  </si>
  <si>
    <t>Printing services (Direct-to-Fabric Prints)</t>
  </si>
  <si>
    <r>
      <rPr>
        <sz val="9"/>
        <color rgb="FF000000"/>
        <rFont val="Arial"/>
      </rPr>
      <t xml:space="preserve">Creative Textile Innovation Center Schematic Design Concept
Deliverables:
- Site Plan
    a. Walkways and road access to site
    b. Utility Lines
    c. Parking lot and open spaces
- Plans
    a. Floor plan working drawings
    b. Section and elevation plans
- 3D view/Building perspective
- Structural design system
- Projected Constructed cost study
- Hardcopy and softcopy of all documents
- Assist in consultancy and building requirements during preliminary meetings of building construction
</t>
    </r>
    <r>
      <rPr>
        <i/>
        <sz val="9"/>
        <color rgb="FF000000"/>
        <rFont val="Arial"/>
      </rPr>
      <t xml:space="preserve">Supplementary Documents
</t>
    </r>
    <r>
      <rPr>
        <sz val="9"/>
        <color rgb="FF000000"/>
        <rFont val="Arial"/>
      </rPr>
      <t xml:space="preserve">- Quotations must be submitted with the following:
1. Updated and valid Mayor's permit
2. Updated and valid BIR 2303
3. PhilGEPS Registration Certificate
</t>
    </r>
    <r>
      <rPr>
        <i/>
        <sz val="9"/>
        <color rgb="FF000000"/>
        <rFont val="Arial"/>
      </rPr>
      <t xml:space="preserve">Delivery
</t>
    </r>
    <r>
      <rPr>
        <sz val="9"/>
        <color rgb="FF000000"/>
        <rFont val="Arial"/>
      </rPr>
      <t>- Delivery period: 60 calendar days
- Inclusive of Value-Added Tax (VAT) and other applicable taxes
- Inclusive of delivery charges to DOST-PTRI, General Santos Avenue, Bicutan, Taguig City</t>
    </r>
  </si>
  <si>
    <t>Professional fabrication services
    - Fabric rolling and measuring machine
- function: roll and measure
- roll length: 180 cm
- processable fabric width: 175 cm
- power: 750 W
- custom voltage: 110V 50 Hz single phase
- dimensions: 225 x 157 x 105 cm
- weight: 260 kg
Delivery
- Delivery period: 90 calendar days
- Inclusive of Value-Added Tax (VAT) and other applicable taxes
- Inclusive of delivery charges to DOST-PTRI, General Santos Avenue, Bicutan, Taguig City</t>
  </si>
  <si>
    <r>
      <rPr>
        <sz val="9"/>
        <color theme="1"/>
        <rFont val="Arial"/>
      </rPr>
      <t xml:space="preserve">Single-head embroidery machine
</t>
    </r>
    <r>
      <rPr>
        <i/>
        <sz val="9"/>
        <color theme="1"/>
        <rFont val="Arial"/>
      </rPr>
      <t xml:space="preserve">Technical Specifications:
</t>
    </r>
    <r>
      <rPr>
        <sz val="9"/>
        <color theme="1"/>
        <rFont val="Arial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</si>
  <si>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45-60 calendar days</t>
  </si>
  <si>
    <t>Pineapple-based powerloom woven fabric
- 1100 yds
- colors: flax (123 g/sq. m)
  pirouette (118 g/sq. m) 
  pink icing (106 g/sq. m)
  celery (115 g/sq. m)
  spiced coral (116 g/sq. m)
  persian jewel (185 g/sq. m)
  yellow (121 g/sq. m)
  confetti (113 g/sq. m)
  persian red (119 g/sq. m)
  saxony blue (120 g/sq. m)
  tahitian teal (117 g/sq. m)
- at least 5% pineapple fiber content
- fabric width: at least 55 inches
-11 rolls at 100 yds per roll
- Inclusive of delivery to DOST-PTRI, Bicutan, Taguig City
-VAT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</si>
</sst>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9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9"/>
      <color rgb="FF000000"/>
      <name val="Arial"/>
    </font>
    <font>
      <sz val="9"/>
      <color rgb="FF1F1F1F"/>
      <name val="Arial"/>
    </font>
    <font>
      <sz val="11"/>
      <color theme="1"/>
      <name val="Arial"/>
      <scheme val="minor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sz val="11"/>
      <color theme="1"/>
      <name val="Arial"/>
    </font>
    <font>
      <b/>
      <u/>
      <sz val="11"/>
      <color theme="1"/>
      <name val="Arial"/>
    </font>
    <font>
      <sz val="11"/>
      <color theme="1"/>
      <name val="Calibri"/>
    </font>
    <font>
      <sz val="11"/>
      <color theme="0"/>
      <name val="Arial"/>
    </font>
    <font>
      <sz val="9"/>
      <color theme="0"/>
      <name val="Arial"/>
    </font>
    <font>
      <sz val="9"/>
      <color theme="1"/>
      <name val="Arial"/>
      <scheme val="minor"/>
    </font>
    <font>
      <sz val="9"/>
      <color rgb="FFFFFFFF"/>
      <name val="Arial"/>
    </font>
    <font>
      <sz val="10"/>
      <color theme="0"/>
      <name val="Arial"/>
    </font>
    <font>
      <sz val="11"/>
      <color theme="0"/>
      <name val="Arial"/>
      <scheme val="minor"/>
    </font>
    <font>
      <i/>
      <sz val="9"/>
      <color theme="1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wrapText="1"/>
    </xf>
    <xf numFmtId="0" fontId="6" fillId="0" borderId="11" xfId="0" quotePrefix="1" applyFont="1" applyBorder="1" applyAlignment="1">
      <alignment horizontal="center" wrapText="1"/>
    </xf>
    <xf numFmtId="4" fontId="6" fillId="0" borderId="11" xfId="0" quotePrefix="1" applyNumberFormat="1" applyFont="1" applyBorder="1" applyAlignment="1">
      <alignment horizontal="center" wrapText="1"/>
    </xf>
    <xf numFmtId="164" fontId="6" fillId="0" borderId="11" xfId="0" quotePrefix="1" applyNumberFormat="1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6" fillId="0" borderId="16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17" xfId="0" applyNumberFormat="1" applyFont="1" applyBorder="1"/>
    <xf numFmtId="0" fontId="8" fillId="0" borderId="18" xfId="0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right" vertical="center" wrapText="1"/>
    </xf>
    <xf numFmtId="4" fontId="11" fillId="0" borderId="18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8" fillId="0" borderId="21" xfId="0" applyFont="1" applyBorder="1"/>
    <xf numFmtId="4" fontId="8" fillId="0" borderId="22" xfId="0" applyNumberFormat="1" applyFont="1" applyBorder="1" applyAlignment="1">
      <alignment horizontal="right" vertical="center"/>
    </xf>
    <xf numFmtId="49" fontId="8" fillId="0" borderId="21" xfId="0" applyNumberFormat="1" applyFont="1" applyBorder="1"/>
    <xf numFmtId="4" fontId="8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 wrapText="1"/>
    </xf>
    <xf numFmtId="49" fontId="8" fillId="0" borderId="21" xfId="0" applyNumberFormat="1" applyFont="1" applyBorder="1" applyAlignment="1">
      <alignment wrapText="1"/>
    </xf>
    <xf numFmtId="2" fontId="8" fillId="0" borderId="22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23" xfId="0" applyFont="1" applyBorder="1"/>
    <xf numFmtId="4" fontId="8" fillId="0" borderId="17" xfId="0" applyNumberFormat="1" applyFont="1" applyBorder="1" applyAlignment="1">
      <alignment horizontal="right" vertical="center" wrapText="1"/>
    </xf>
    <xf numFmtId="49" fontId="6" fillId="0" borderId="17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4" fontId="11" fillId="0" borderId="17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center" vertical="center"/>
    </xf>
    <xf numFmtId="0" fontId="8" fillId="2" borderId="24" xfId="0" applyFont="1" applyFill="1" applyBorder="1"/>
    <xf numFmtId="49" fontId="6" fillId="2" borderId="17" xfId="0" applyNumberFormat="1" applyFont="1" applyFill="1" applyBorder="1"/>
    <xf numFmtId="0" fontId="8" fillId="2" borderId="17" xfId="0" applyFont="1" applyFill="1" applyBorder="1"/>
    <xf numFmtId="4" fontId="8" fillId="2" borderId="17" xfId="0" applyNumberFormat="1" applyFont="1" applyFill="1" applyBorder="1"/>
    <xf numFmtId="0" fontId="8" fillId="2" borderId="17" xfId="0" applyFont="1" applyFill="1" applyBorder="1" applyAlignment="1">
      <alignment horizontal="center" wrapText="1"/>
    </xf>
    <xf numFmtId="0" fontId="8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23" xfId="0" applyFont="1" applyFill="1" applyBorder="1"/>
    <xf numFmtId="0" fontId="2" fillId="0" borderId="9" xfId="0" applyFont="1" applyBorder="1"/>
    <xf numFmtId="0" fontId="8" fillId="0" borderId="25" xfId="0" applyFont="1" applyBorder="1"/>
    <xf numFmtId="49" fontId="8" fillId="0" borderId="22" xfId="0" applyNumberFormat="1" applyFont="1" applyBorder="1"/>
    <xf numFmtId="0" fontId="8" fillId="0" borderId="11" xfId="0" applyFont="1" applyBorder="1" applyAlignment="1">
      <alignment horizontal="center" vertical="center" wrapText="1"/>
    </xf>
    <xf numFmtId="4" fontId="8" fillId="0" borderId="22" xfId="0" applyNumberFormat="1" applyFont="1" applyBorder="1" applyAlignment="1">
      <alignment horizontal="right" wrapText="1"/>
    </xf>
    <xf numFmtId="0" fontId="8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6" xfId="0" applyFont="1" applyBorder="1"/>
    <xf numFmtId="0" fontId="8" fillId="0" borderId="27" xfId="0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/>
    <xf numFmtId="0" fontId="8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4" fontId="8" fillId="0" borderId="19" xfId="0" applyNumberFormat="1" applyFont="1" applyBorder="1" applyAlignment="1">
      <alignment horizontal="right" wrapText="1"/>
    </xf>
    <xf numFmtId="0" fontId="8" fillId="0" borderId="19" xfId="0" applyFont="1" applyBorder="1" applyAlignment="1">
      <alignment horizontal="center" vertical="center"/>
    </xf>
    <xf numFmtId="49" fontId="8" fillId="3" borderId="17" xfId="0" applyNumberFormat="1" applyFont="1" applyFill="1" applyBorder="1"/>
    <xf numFmtId="49" fontId="8" fillId="3" borderId="21" xfId="0" applyNumberFormat="1" applyFont="1" applyFill="1" applyBorder="1"/>
    <xf numFmtId="49" fontId="8" fillId="3" borderId="17" xfId="0" applyNumberFormat="1" applyFont="1" applyFill="1" applyBorder="1" applyAlignment="1">
      <alignment wrapText="1"/>
    </xf>
    <xf numFmtId="49" fontId="8" fillId="3" borderId="21" xfId="0" applyNumberFormat="1" applyFont="1" applyFill="1" applyBorder="1" applyAlignment="1">
      <alignment wrapText="1"/>
    </xf>
    <xf numFmtId="49" fontId="8" fillId="0" borderId="17" xfId="0" applyNumberFormat="1" applyFont="1" applyBorder="1" applyAlignment="1">
      <alignment wrapText="1"/>
    </xf>
    <xf numFmtId="49" fontId="8" fillId="0" borderId="17" xfId="0" applyNumberFormat="1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8" fillId="0" borderId="17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21" xfId="0" applyNumberFormat="1" applyFont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4" fontId="8" fillId="2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20" xfId="0" applyFont="1" applyFill="1" applyBorder="1"/>
    <xf numFmtId="49" fontId="12" fillId="3" borderId="17" xfId="0" applyNumberFormat="1" applyFont="1" applyFill="1" applyBorder="1" applyAlignment="1">
      <alignment horizontal="center" wrapText="1"/>
    </xf>
    <xf numFmtId="49" fontId="12" fillId="3" borderId="17" xfId="0" applyNumberFormat="1" applyFont="1" applyFill="1" applyBorder="1" applyAlignment="1">
      <alignment wrapText="1"/>
    </xf>
    <xf numFmtId="0" fontId="11" fillId="0" borderId="27" xfId="0" applyFont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wrapText="1"/>
    </xf>
    <xf numFmtId="49" fontId="11" fillId="3" borderId="17" xfId="0" applyNumberFormat="1" applyFont="1" applyFill="1" applyBorder="1" applyAlignment="1">
      <alignment horizontal="left" wrapText="1"/>
    </xf>
    <xf numFmtId="0" fontId="11" fillId="3" borderId="17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left" wrapText="1"/>
    </xf>
    <xf numFmtId="4" fontId="11" fillId="0" borderId="18" xfId="0" applyNumberFormat="1" applyFont="1" applyBorder="1" applyAlignment="1">
      <alignment horizontal="right"/>
    </xf>
    <xf numFmtId="49" fontId="6" fillId="0" borderId="17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49" fontId="8" fillId="0" borderId="20" xfId="0" applyNumberFormat="1" applyFont="1" applyBorder="1" applyAlignment="1">
      <alignment wrapText="1"/>
    </xf>
    <xf numFmtId="49" fontId="8" fillId="0" borderId="30" xfId="0" applyNumberFormat="1" applyFont="1" applyBorder="1" applyAlignment="1">
      <alignment wrapText="1"/>
    </xf>
    <xf numFmtId="0" fontId="11" fillId="3" borderId="20" xfId="0" applyFont="1" applyFill="1" applyBorder="1" applyAlignment="1">
      <alignment horizontal="left" wrapText="1"/>
    </xf>
    <xf numFmtId="0" fontId="8" fillId="0" borderId="22" xfId="0" applyFont="1" applyBorder="1" applyAlignment="1">
      <alignment horizontal="center" vertical="center" wrapText="1"/>
    </xf>
    <xf numFmtId="49" fontId="11" fillId="0" borderId="17" xfId="0" applyNumberFormat="1" applyFont="1" applyBorder="1"/>
    <xf numFmtId="0" fontId="8" fillId="0" borderId="19" xfId="0" applyFont="1" applyBorder="1" applyAlignment="1">
      <alignment horizontal="center" wrapText="1"/>
    </xf>
    <xf numFmtId="4" fontId="8" fillId="0" borderId="19" xfId="0" applyNumberFormat="1" applyFont="1" applyBorder="1" applyAlignment="1">
      <alignment horizontal="right"/>
    </xf>
    <xf numFmtId="49" fontId="8" fillId="0" borderId="17" xfId="0" applyNumberFormat="1" applyFont="1" applyBorder="1" applyAlignment="1">
      <alignment vertical="top" wrapText="1"/>
    </xf>
    <xf numFmtId="49" fontId="6" fillId="0" borderId="17" xfId="0" applyNumberFormat="1" applyFont="1" applyBorder="1" applyAlignment="1">
      <alignment wrapText="1"/>
    </xf>
    <xf numFmtId="49" fontId="6" fillId="0" borderId="27" xfId="0" applyNumberFormat="1" applyFont="1" applyBorder="1" applyAlignment="1">
      <alignment wrapText="1"/>
    </xf>
    <xf numFmtId="49" fontId="8" fillId="0" borderId="10" xfId="0" applyNumberFormat="1" applyFont="1" applyBorder="1" applyAlignment="1">
      <alignment wrapText="1"/>
    </xf>
    <xf numFmtId="4" fontId="8" fillId="0" borderId="11" xfId="0" applyNumberFormat="1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/>
    <xf numFmtId="0" fontId="2" fillId="0" borderId="31" xfId="0" applyFont="1" applyBorder="1"/>
    <xf numFmtId="0" fontId="6" fillId="0" borderId="32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2" fillId="0" borderId="32" xfId="0" applyFont="1" applyBorder="1"/>
    <xf numFmtId="4" fontId="2" fillId="0" borderId="32" xfId="0" applyNumberFormat="1" applyFont="1" applyBorder="1" applyAlignment="1">
      <alignment horizontal="right"/>
    </xf>
    <xf numFmtId="164" fontId="2" fillId="0" borderId="32" xfId="0" applyNumberFormat="1" applyFont="1" applyBorder="1"/>
    <xf numFmtId="0" fontId="2" fillId="0" borderId="32" xfId="0" applyFont="1" applyBorder="1" applyAlignment="1">
      <alignment horizontal="center" wrapText="1"/>
    </xf>
    <xf numFmtId="0" fontId="15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14" fillId="0" borderId="0" xfId="0" applyFont="1"/>
    <xf numFmtId="164" fontId="14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4" fontId="2" fillId="0" borderId="0" xfId="0" applyNumberFormat="1" applyFont="1"/>
    <xf numFmtId="0" fontId="18" fillId="0" borderId="0" xfId="0" applyFont="1"/>
    <xf numFmtId="4" fontId="20" fillId="0" borderId="0" xfId="0" applyNumberFormat="1" applyFont="1" applyAlignment="1">
      <alignment horizontal="right"/>
    </xf>
    <xf numFmtId="0" fontId="21" fillId="0" borderId="0" xfId="0" applyFont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6" fillId="0" borderId="11" xfId="0" quotePrefix="1" applyFont="1" applyBorder="1" applyAlignment="1">
      <alignment horizontal="center" vertical="center" wrapText="1"/>
    </xf>
    <xf numFmtId="4" fontId="6" fillId="0" borderId="11" xfId="0" quotePrefix="1" applyNumberFormat="1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0" fontId="22" fillId="0" borderId="0" xfId="0" applyFont="1"/>
    <xf numFmtId="0" fontId="6" fillId="0" borderId="1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center" vertical="center" wrapText="1"/>
    </xf>
    <xf numFmtId="4" fontId="6" fillId="0" borderId="14" xfId="0" applyNumberFormat="1" applyFont="1" applyBorder="1" applyAlignment="1">
      <alignment horizontal="right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2" fillId="0" borderId="9" xfId="0" applyFont="1" applyBorder="1"/>
    <xf numFmtId="0" fontId="13" fillId="0" borderId="17" xfId="0" applyFont="1" applyBorder="1"/>
    <xf numFmtId="0" fontId="8" fillId="0" borderId="21" xfId="0" applyFont="1" applyBorder="1" applyAlignment="1">
      <alignment vertical="center"/>
    </xf>
    <xf numFmtId="0" fontId="23" fillId="0" borderId="17" xfId="0" applyFont="1" applyBorder="1" applyAlignment="1">
      <alignment horizontal="center" vertical="center"/>
    </xf>
    <xf numFmtId="0" fontId="8" fillId="0" borderId="24" xfId="0" applyFont="1" applyBorder="1"/>
    <xf numFmtId="49" fontId="6" fillId="0" borderId="17" xfId="0" applyNumberFormat="1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4" fontId="8" fillId="0" borderId="17" xfId="0" applyNumberFormat="1" applyFont="1" applyBorder="1" applyAlignment="1">
      <alignment vertical="center"/>
    </xf>
    <xf numFmtId="0" fontId="21" fillId="0" borderId="9" xfId="0" applyFont="1" applyBorder="1"/>
    <xf numFmtId="49" fontId="8" fillId="0" borderId="22" xfId="0" applyNumberFormat="1" applyFont="1" applyBorder="1" applyAlignment="1">
      <alignment vertical="center"/>
    </xf>
    <xf numFmtId="4" fontId="8" fillId="0" borderId="17" xfId="0" applyNumberFormat="1" applyFont="1" applyBorder="1" applyAlignment="1">
      <alignment horizontal="right" wrapText="1"/>
    </xf>
    <xf numFmtId="0" fontId="8" fillId="0" borderId="23" xfId="0" applyFont="1" applyBorder="1" applyAlignment="1">
      <alignment horizontal="center" vertical="center"/>
    </xf>
    <xf numFmtId="4" fontId="11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wrapText="1"/>
    </xf>
    <xf numFmtId="0" fontId="23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4" fontId="8" fillId="0" borderId="17" xfId="0" applyNumberFormat="1" applyFont="1" applyBorder="1" applyAlignment="1">
      <alignment horizontal="right" vertical="center"/>
    </xf>
    <xf numFmtId="49" fontId="8" fillId="0" borderId="17" xfId="0" applyNumberFormat="1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0" fontId="11" fillId="0" borderId="17" xfId="0" applyFont="1" applyBorder="1" applyAlignment="1">
      <alignment horizontal="left" vertical="center" wrapText="1"/>
    </xf>
    <xf numFmtId="49" fontId="8" fillId="0" borderId="30" xfId="0" applyNumberFormat="1" applyFont="1" applyBorder="1" applyAlignment="1">
      <alignment vertical="center" wrapText="1"/>
    </xf>
    <xf numFmtId="4" fontId="8" fillId="0" borderId="18" xfId="0" applyNumberFormat="1" applyFont="1" applyBorder="1" applyAlignment="1">
      <alignment horizontal="right" vertical="center" wrapText="1"/>
    </xf>
    <xf numFmtId="49" fontId="8" fillId="0" borderId="20" xfId="0" applyNumberFormat="1" applyFont="1" applyBorder="1" applyAlignment="1">
      <alignment vertical="center" wrapText="1"/>
    </xf>
    <xf numFmtId="0" fontId="11" fillId="0" borderId="17" xfId="0" applyFont="1" applyBorder="1" applyAlignment="1">
      <alignment horizontal="left" wrapText="1"/>
    </xf>
    <xf numFmtId="4" fontId="11" fillId="0" borderId="27" xfId="0" applyNumberFormat="1" applyFont="1" applyBorder="1" applyAlignment="1">
      <alignment horizontal="right" vertical="center" wrapText="1"/>
    </xf>
    <xf numFmtId="0" fontId="11" fillId="0" borderId="20" xfId="0" applyFont="1" applyBorder="1" applyAlignment="1">
      <alignment horizontal="left" wrapText="1"/>
    </xf>
    <xf numFmtId="0" fontId="6" fillId="0" borderId="29" xfId="0" applyFont="1" applyBorder="1" applyAlignment="1">
      <alignment horizontal="left" vertical="center"/>
    </xf>
    <xf numFmtId="4" fontId="8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vertical="center"/>
    </xf>
    <xf numFmtId="49" fontId="11" fillId="0" borderId="21" xfId="0" applyNumberFormat="1" applyFont="1" applyBorder="1" applyAlignment="1">
      <alignment vertical="center" wrapText="1"/>
    </xf>
    <xf numFmtId="0" fontId="24" fillId="0" borderId="9" xfId="0" applyFont="1" applyBorder="1"/>
    <xf numFmtId="0" fontId="11" fillId="0" borderId="17" xfId="0" applyFont="1" applyBorder="1" applyAlignment="1">
      <alignment horizontal="center" vertical="center"/>
    </xf>
    <xf numFmtId="0" fontId="8" fillId="0" borderId="17" xfId="0" applyFont="1" applyBorder="1"/>
    <xf numFmtId="4" fontId="8" fillId="0" borderId="17" xfId="0" applyNumberFormat="1" applyFont="1" applyBorder="1" applyAlignment="1">
      <alignment horizontal="right"/>
    </xf>
    <xf numFmtId="0" fontId="2" fillId="0" borderId="32" xfId="0" applyFont="1" applyBorder="1" applyAlignment="1">
      <alignment vertical="center"/>
    </xf>
    <xf numFmtId="4" fontId="2" fillId="0" borderId="32" xfId="0" applyNumberFormat="1" applyFont="1" applyBorder="1" applyAlignment="1">
      <alignment horizontal="right" vertical="center"/>
    </xf>
    <xf numFmtId="164" fontId="2" fillId="0" borderId="32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0" fontId="25" fillId="0" borderId="0" xfId="0" applyFont="1"/>
    <xf numFmtId="0" fontId="26" fillId="0" borderId="0" xfId="0" applyFont="1"/>
    <xf numFmtId="4" fontId="20" fillId="0" borderId="0" xfId="0" applyNumberFormat="1" applyFont="1" applyAlignment="1">
      <alignment horizontal="right" vertical="center"/>
    </xf>
    <xf numFmtId="164" fontId="1" fillId="0" borderId="30" xfId="0" applyNumberFormat="1" applyFont="1" applyBorder="1" applyAlignment="1">
      <alignment horizontal="center"/>
    </xf>
    <xf numFmtId="0" fontId="7" fillId="0" borderId="26" xfId="0" applyFont="1" applyBorder="1"/>
    <xf numFmtId="0" fontId="7" fillId="0" borderId="22" xfId="0" applyFont="1" applyBorder="1"/>
    <xf numFmtId="164" fontId="1" fillId="0" borderId="20" xfId="0" applyNumberFormat="1" applyFont="1" applyBorder="1" applyAlignment="1">
      <alignment horizontal="center"/>
    </xf>
    <xf numFmtId="0" fontId="7" fillId="0" borderId="23" xfId="0" applyFont="1" applyBorder="1"/>
    <xf numFmtId="0" fontId="7" fillId="0" borderId="19" xfId="0" applyFont="1" applyBorder="1"/>
    <xf numFmtId="0" fontId="19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7" fillId="0" borderId="10" xfId="0" applyFont="1" applyBorder="1"/>
    <xf numFmtId="4" fontId="11" fillId="0" borderId="18" xfId="0" applyNumberFormat="1" applyFont="1" applyBorder="1" applyAlignment="1">
      <alignment horizontal="right" vertical="center"/>
    </xf>
    <xf numFmtId="0" fontId="7" fillId="0" borderId="11" xfId="0" applyFont="1" applyBorder="1"/>
    <xf numFmtId="0" fontId="11" fillId="0" borderId="27" xfId="0" applyFont="1" applyBorder="1" applyAlignment="1">
      <alignment horizontal="center" vertical="center" wrapText="1"/>
    </xf>
    <xf numFmtId="0" fontId="7" fillId="0" borderId="21" xfId="0" applyFont="1" applyBorder="1"/>
    <xf numFmtId="165" fontId="1" fillId="0" borderId="33" xfId="0" applyNumberFormat="1" applyFont="1" applyBorder="1" applyAlignment="1">
      <alignment horizontal="right"/>
    </xf>
    <xf numFmtId="0" fontId="7" fillId="0" borderId="33" xfId="0" applyFont="1" applyBorder="1"/>
    <xf numFmtId="0" fontId="8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165" fontId="1" fillId="0" borderId="33" xfId="0" applyNumberFormat="1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22" fillId="0" borderId="9" xfId="0" applyFont="1" applyBorder="1" applyAlignment="1">
      <alignment vertical="center"/>
    </xf>
    <xf numFmtId="0" fontId="7" fillId="0" borderId="9" xfId="0" applyFont="1" applyBorder="1"/>
    <xf numFmtId="4" fontId="11" fillId="0" borderId="2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04"/>
  <sheetViews>
    <sheetView topLeftCell="A4" zoomScale="70" zoomScaleNormal="70" workbookViewId="0">
      <selection sqref="A1:AI1"/>
    </sheetView>
  </sheetViews>
  <sheetFormatPr defaultColWidth="12.625" defaultRowHeight="15" customHeight="1" x14ac:dyDescent="0.2"/>
  <cols>
    <col min="1" max="1" width="13" customWidth="1"/>
    <col min="2" max="2" width="15" customWidth="1"/>
    <col min="3" max="3" width="61.125" customWidth="1"/>
    <col min="4" max="4" width="11.625" customWidth="1"/>
    <col min="5" max="5" width="12" customWidth="1"/>
    <col min="6" max="6" width="13.5" customWidth="1"/>
    <col min="7" max="7" width="29.5" customWidth="1"/>
    <col min="8" max="8" width="15.62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245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1"/>
      <c r="AK1" s="1"/>
    </row>
    <row r="2" spans="1:39" ht="14.25" x14ac:dyDescent="0.2">
      <c r="A2" s="246" t="s">
        <v>1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1"/>
      <c r="AK2" s="1"/>
    </row>
    <row r="3" spans="1:39" x14ac:dyDescent="0.25">
      <c r="A3" s="24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1"/>
      <c r="AK3" s="1"/>
    </row>
    <row r="4" spans="1:39" x14ac:dyDescent="0.2">
      <c r="A4" s="3" t="s">
        <v>2</v>
      </c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x14ac:dyDescent="0.2">
      <c r="A5" s="6"/>
      <c r="B5" s="4"/>
      <c r="C5" s="4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2">
      <c r="A6" s="3" t="s">
        <v>3</v>
      </c>
      <c r="B6" s="4"/>
      <c r="C6" s="4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x14ac:dyDescent="0.2">
      <c r="A7" s="6" t="s">
        <v>4</v>
      </c>
      <c r="B7" s="4"/>
      <c r="C7" s="4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">
      <c r="A8" s="248" t="s">
        <v>5</v>
      </c>
      <c r="B8" s="240" t="s">
        <v>6</v>
      </c>
      <c r="C8" s="240" t="s">
        <v>7</v>
      </c>
      <c r="D8" s="11" t="s">
        <v>8</v>
      </c>
      <c r="E8" s="250" t="s">
        <v>9</v>
      </c>
      <c r="F8" s="251" t="s">
        <v>10</v>
      </c>
      <c r="G8" s="240" t="s">
        <v>11</v>
      </c>
      <c r="H8" s="240" t="s">
        <v>12</v>
      </c>
      <c r="I8" s="242" t="s">
        <v>13</v>
      </c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4"/>
      <c r="AJ8" s="12"/>
      <c r="AK8" s="12"/>
      <c r="AL8" s="13"/>
      <c r="AM8" s="13"/>
    </row>
    <row r="9" spans="1:39" ht="24" x14ac:dyDescent="0.2">
      <c r="A9" s="249"/>
      <c r="B9" s="241"/>
      <c r="C9" s="241"/>
      <c r="D9" s="14" t="s">
        <v>14</v>
      </c>
      <c r="E9" s="241"/>
      <c r="F9" s="241"/>
      <c r="G9" s="241"/>
      <c r="H9" s="241"/>
      <c r="I9" s="14" t="s">
        <v>15</v>
      </c>
      <c r="J9" s="14" t="s">
        <v>16</v>
      </c>
      <c r="K9" s="14" t="s">
        <v>17</v>
      </c>
      <c r="L9" s="15" t="s">
        <v>18</v>
      </c>
      <c r="M9" s="15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4" t="s">
        <v>27</v>
      </c>
      <c r="V9" s="14" t="s">
        <v>28</v>
      </c>
      <c r="W9" s="14" t="s">
        <v>29</v>
      </c>
      <c r="X9" s="14" t="s">
        <v>30</v>
      </c>
      <c r="Y9" s="14" t="s">
        <v>31</v>
      </c>
      <c r="Z9" s="14" t="s">
        <v>32</v>
      </c>
      <c r="AA9" s="14" t="s">
        <v>33</v>
      </c>
      <c r="AB9" s="14" t="s">
        <v>34</v>
      </c>
      <c r="AC9" s="14" t="s">
        <v>35</v>
      </c>
      <c r="AD9" s="14" t="s">
        <v>36</v>
      </c>
      <c r="AE9" s="14" t="s">
        <v>37</v>
      </c>
      <c r="AF9" s="14" t="s">
        <v>38</v>
      </c>
      <c r="AG9" s="14" t="s">
        <v>39</v>
      </c>
      <c r="AH9" s="14" t="s">
        <v>40</v>
      </c>
      <c r="AI9" s="16" t="s">
        <v>41</v>
      </c>
      <c r="AJ9" s="17"/>
      <c r="AK9" s="12"/>
      <c r="AL9" s="13"/>
      <c r="AM9" s="13"/>
    </row>
    <row r="10" spans="1:39" ht="48" x14ac:dyDescent="0.2">
      <c r="A10" s="18" t="s">
        <v>42</v>
      </c>
      <c r="B10" s="19" t="s">
        <v>43</v>
      </c>
      <c r="C10" s="19" t="s">
        <v>44</v>
      </c>
      <c r="D10" s="19" t="s">
        <v>45</v>
      </c>
      <c r="E10" s="20" t="s">
        <v>46</v>
      </c>
      <c r="F10" s="21" t="s">
        <v>47</v>
      </c>
      <c r="G10" s="19" t="s">
        <v>48</v>
      </c>
      <c r="H10" s="19" t="s">
        <v>49</v>
      </c>
      <c r="I10" s="19" t="s">
        <v>50</v>
      </c>
      <c r="J10" s="19" t="s">
        <v>51</v>
      </c>
      <c r="K10" s="19" t="s">
        <v>52</v>
      </c>
      <c r="L10" s="19" t="s">
        <v>53</v>
      </c>
      <c r="M10" s="19" t="s">
        <v>54</v>
      </c>
      <c r="N10" s="19" t="s">
        <v>55</v>
      </c>
      <c r="O10" s="19" t="s">
        <v>56</v>
      </c>
      <c r="P10" s="19" t="s">
        <v>57</v>
      </c>
      <c r="Q10" s="19" t="s">
        <v>58</v>
      </c>
      <c r="R10" s="19" t="s">
        <v>59</v>
      </c>
      <c r="S10" s="19" t="s">
        <v>60</v>
      </c>
      <c r="T10" s="19" t="s">
        <v>61</v>
      </c>
      <c r="U10" s="19" t="s">
        <v>62</v>
      </c>
      <c r="V10" s="19" t="s">
        <v>63</v>
      </c>
      <c r="W10" s="19" t="s">
        <v>64</v>
      </c>
      <c r="X10" s="19" t="s">
        <v>65</v>
      </c>
      <c r="Y10" s="19" t="s">
        <v>66</v>
      </c>
      <c r="Z10" s="19" t="s">
        <v>67</v>
      </c>
      <c r="AA10" s="19" t="s">
        <v>68</v>
      </c>
      <c r="AB10" s="19" t="s">
        <v>69</v>
      </c>
      <c r="AC10" s="19" t="s">
        <v>70</v>
      </c>
      <c r="AD10" s="19" t="s">
        <v>71</v>
      </c>
      <c r="AE10" s="19" t="s">
        <v>72</v>
      </c>
      <c r="AF10" s="19" t="s">
        <v>73</v>
      </c>
      <c r="AG10" s="19" t="s">
        <v>74</v>
      </c>
      <c r="AH10" s="19" t="s">
        <v>75</v>
      </c>
      <c r="AI10" s="22" t="s">
        <v>76</v>
      </c>
      <c r="AJ10" s="23"/>
      <c r="AK10" s="23"/>
    </row>
    <row r="11" spans="1:39" ht="14.25" x14ac:dyDescent="0.2">
      <c r="A11" s="24" t="s">
        <v>77</v>
      </c>
      <c r="B11" s="25"/>
      <c r="C11" s="25" t="s">
        <v>78</v>
      </c>
      <c r="D11" s="26"/>
      <c r="E11" s="27"/>
      <c r="F11" s="28"/>
      <c r="G11" s="26"/>
      <c r="H11" s="26"/>
      <c r="I11" s="26"/>
      <c r="J11" s="26"/>
      <c r="K11" s="2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0"/>
      <c r="AJ11" s="31"/>
      <c r="AK11" s="23"/>
    </row>
    <row r="12" spans="1:39" ht="14.25" x14ac:dyDescent="0.2">
      <c r="A12" s="32"/>
      <c r="B12" s="33" t="s">
        <v>79</v>
      </c>
      <c r="C12" s="34" t="s">
        <v>80</v>
      </c>
      <c r="D12" s="252" t="s">
        <v>81</v>
      </c>
      <c r="E12" s="36">
        <v>60</v>
      </c>
      <c r="F12" s="233">
        <v>31300</v>
      </c>
      <c r="G12" s="253" t="s">
        <v>82</v>
      </c>
      <c r="H12" s="253" t="s">
        <v>83</v>
      </c>
      <c r="I12" s="38"/>
      <c r="J12" s="38">
        <v>10</v>
      </c>
      <c r="K12" s="39"/>
      <c r="L12" s="40"/>
      <c r="M12" s="40"/>
      <c r="N12" s="40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2"/>
      <c r="AJ12" s="31"/>
      <c r="AK12" s="23"/>
    </row>
    <row r="13" spans="1:39" ht="14.25" x14ac:dyDescent="0.2">
      <c r="A13" s="32"/>
      <c r="B13" s="39" t="s">
        <v>84</v>
      </c>
      <c r="C13" s="43" t="s">
        <v>85</v>
      </c>
      <c r="D13" s="234"/>
      <c r="E13" s="44">
        <v>380</v>
      </c>
      <c r="F13" s="234"/>
      <c r="G13" s="234"/>
      <c r="H13" s="234"/>
      <c r="I13" s="38"/>
      <c r="J13" s="38">
        <v>30</v>
      </c>
      <c r="K13" s="39"/>
      <c r="L13" s="40"/>
      <c r="M13" s="40"/>
      <c r="N13" s="40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2"/>
      <c r="AJ13" s="31"/>
      <c r="AK13" s="23"/>
    </row>
    <row r="14" spans="1:39" ht="14.25" x14ac:dyDescent="0.2">
      <c r="A14" s="32"/>
      <c r="B14" s="33" t="s">
        <v>86</v>
      </c>
      <c r="C14" s="45" t="s">
        <v>87</v>
      </c>
      <c r="D14" s="234"/>
      <c r="E14" s="46">
        <v>380</v>
      </c>
      <c r="F14" s="234"/>
      <c r="G14" s="234"/>
      <c r="H14" s="234"/>
      <c r="I14" s="38"/>
      <c r="J14" s="38">
        <v>20</v>
      </c>
      <c r="K14" s="39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2"/>
      <c r="AJ14" s="31"/>
      <c r="AK14" s="23"/>
    </row>
    <row r="15" spans="1:39" ht="14.25" x14ac:dyDescent="0.2">
      <c r="A15" s="32"/>
      <c r="B15" s="33" t="s">
        <v>88</v>
      </c>
      <c r="C15" s="45" t="s">
        <v>89</v>
      </c>
      <c r="D15" s="234"/>
      <c r="E15" s="46">
        <v>150</v>
      </c>
      <c r="F15" s="234"/>
      <c r="G15" s="234"/>
      <c r="H15" s="234"/>
      <c r="I15" s="38"/>
      <c r="J15" s="38">
        <v>10</v>
      </c>
      <c r="K15" s="39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2"/>
      <c r="AJ15" s="31"/>
      <c r="AK15" s="23"/>
    </row>
    <row r="16" spans="1:39" ht="14.25" x14ac:dyDescent="0.2">
      <c r="A16" s="32"/>
      <c r="B16" s="33" t="s">
        <v>90</v>
      </c>
      <c r="C16" s="45" t="s">
        <v>91</v>
      </c>
      <c r="D16" s="234"/>
      <c r="E16" s="44">
        <v>35</v>
      </c>
      <c r="F16" s="234"/>
      <c r="G16" s="234"/>
      <c r="H16" s="234"/>
      <c r="I16" s="38"/>
      <c r="J16" s="38">
        <v>20</v>
      </c>
      <c r="K16" s="39"/>
      <c r="L16" s="40"/>
      <c r="M16" s="40"/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2"/>
      <c r="AJ16" s="31"/>
      <c r="AK16" s="23"/>
    </row>
    <row r="17" spans="1:39" ht="15.75" customHeight="1" x14ac:dyDescent="0.2">
      <c r="A17" s="32"/>
      <c r="B17" s="33" t="s">
        <v>92</v>
      </c>
      <c r="C17" s="34" t="s">
        <v>93</v>
      </c>
      <c r="D17" s="234"/>
      <c r="E17" s="36">
        <v>150</v>
      </c>
      <c r="F17" s="234"/>
      <c r="G17" s="234"/>
      <c r="H17" s="234"/>
      <c r="I17" s="47"/>
      <c r="J17" s="47">
        <v>10</v>
      </c>
      <c r="K17" s="47"/>
      <c r="L17" s="40"/>
      <c r="M17" s="40"/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2"/>
      <c r="AJ17" s="31"/>
      <c r="AK17" s="23"/>
    </row>
    <row r="18" spans="1:39" ht="15.75" customHeight="1" x14ac:dyDescent="0.2">
      <c r="A18" s="32"/>
      <c r="B18" s="33" t="s">
        <v>94</v>
      </c>
      <c r="C18" s="45" t="s">
        <v>95</v>
      </c>
      <c r="D18" s="234"/>
      <c r="E18" s="46">
        <v>150</v>
      </c>
      <c r="F18" s="234"/>
      <c r="G18" s="234"/>
      <c r="H18" s="234"/>
      <c r="I18" s="48"/>
      <c r="J18" s="48">
        <v>10</v>
      </c>
      <c r="K18" s="48"/>
      <c r="L18" s="40"/>
      <c r="M18" s="40"/>
      <c r="N18" s="40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2"/>
      <c r="AJ18" s="31"/>
      <c r="AK18" s="23"/>
    </row>
    <row r="19" spans="1:39" ht="15.75" customHeight="1" x14ac:dyDescent="0.2">
      <c r="A19" s="32"/>
      <c r="B19" s="49" t="s">
        <v>96</v>
      </c>
      <c r="C19" s="50" t="s">
        <v>97</v>
      </c>
      <c r="D19" s="234"/>
      <c r="E19" s="51">
        <v>500</v>
      </c>
      <c r="F19" s="234"/>
      <c r="G19" s="234"/>
      <c r="H19" s="234"/>
      <c r="I19" s="48"/>
      <c r="J19" s="48">
        <v>10</v>
      </c>
      <c r="K19" s="48"/>
      <c r="L19" s="52"/>
      <c r="M19" s="52"/>
      <c r="N19" s="52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4"/>
      <c r="AJ19" s="31"/>
      <c r="AK19" s="23"/>
    </row>
    <row r="20" spans="1:39" ht="15.75" customHeight="1" x14ac:dyDescent="0.2">
      <c r="A20" s="32"/>
      <c r="B20" s="33" t="s">
        <v>98</v>
      </c>
      <c r="C20" s="45" t="s">
        <v>99</v>
      </c>
      <c r="D20" s="234"/>
      <c r="E20" s="55">
        <v>100</v>
      </c>
      <c r="F20" s="234"/>
      <c r="G20" s="234"/>
      <c r="H20" s="234"/>
      <c r="I20" s="48"/>
      <c r="J20" s="48">
        <v>5</v>
      </c>
      <c r="K20" s="48"/>
      <c r="L20" s="52"/>
      <c r="M20" s="52"/>
      <c r="N20" s="52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4"/>
      <c r="AJ20" s="31"/>
      <c r="AK20" s="23"/>
    </row>
    <row r="21" spans="1:39" ht="15.75" customHeight="1" x14ac:dyDescent="0.2">
      <c r="A21" s="32"/>
      <c r="B21" s="33"/>
      <c r="C21" s="45" t="s">
        <v>100</v>
      </c>
      <c r="D21" s="222"/>
      <c r="E21" s="55">
        <v>200</v>
      </c>
      <c r="F21" s="222"/>
      <c r="G21" s="222"/>
      <c r="H21" s="222"/>
      <c r="I21" s="48"/>
      <c r="J21" s="48">
        <v>5</v>
      </c>
      <c r="K21" s="48"/>
      <c r="L21" s="52"/>
      <c r="M21" s="52"/>
      <c r="N21" s="52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4"/>
      <c r="AJ21" s="31"/>
      <c r="AK21" s="23"/>
    </row>
    <row r="22" spans="1:39" ht="14.25" x14ac:dyDescent="0.2">
      <c r="A22" s="32"/>
      <c r="B22" s="56"/>
      <c r="C22" s="57" t="s">
        <v>101</v>
      </c>
      <c r="D22" s="58" t="s">
        <v>102</v>
      </c>
      <c r="E22" s="55">
        <v>8000</v>
      </c>
      <c r="F22" s="59">
        <f>E22*SUM(I22:K22)</f>
        <v>40000</v>
      </c>
      <c r="G22" s="60" t="s">
        <v>82</v>
      </c>
      <c r="H22" s="61" t="s">
        <v>83</v>
      </c>
      <c r="I22" s="39"/>
      <c r="J22" s="62">
        <v>5</v>
      </c>
      <c r="K22" s="39"/>
      <c r="L22" s="40"/>
      <c r="M22" s="40"/>
      <c r="N22" s="40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2"/>
      <c r="AJ22" s="31"/>
      <c r="AK22" s="23"/>
    </row>
    <row r="23" spans="1:39" ht="15.75" customHeight="1" x14ac:dyDescent="0.2">
      <c r="A23" s="63" t="s">
        <v>103</v>
      </c>
      <c r="B23" s="64"/>
      <c r="C23" s="64" t="s">
        <v>104</v>
      </c>
      <c r="D23" s="65"/>
      <c r="E23" s="66"/>
      <c r="F23" s="66"/>
      <c r="G23" s="67"/>
      <c r="H23" s="68"/>
      <c r="I23" s="68"/>
      <c r="J23" s="68"/>
      <c r="K23" s="68"/>
      <c r="L23" s="69"/>
      <c r="M23" s="69"/>
      <c r="N23" s="69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1"/>
      <c r="AJ23" s="72"/>
      <c r="AK23" s="1"/>
      <c r="AL23" s="1"/>
      <c r="AM23" s="1"/>
    </row>
    <row r="24" spans="1:39" ht="15.75" customHeight="1" x14ac:dyDescent="0.2">
      <c r="A24" s="73"/>
      <c r="B24" s="33" t="s">
        <v>105</v>
      </c>
      <c r="C24" s="74" t="s">
        <v>106</v>
      </c>
      <c r="D24" s="230" t="s">
        <v>81</v>
      </c>
      <c r="E24" s="76">
        <v>250</v>
      </c>
      <c r="F24" s="254">
        <v>35000</v>
      </c>
      <c r="G24" s="230" t="s">
        <v>82</v>
      </c>
      <c r="H24" s="230" t="s">
        <v>83</v>
      </c>
      <c r="I24" s="77"/>
      <c r="J24" s="77">
        <v>20</v>
      </c>
      <c r="K24" s="77"/>
      <c r="L24" s="78"/>
      <c r="M24" s="78"/>
      <c r="N24" s="78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80"/>
      <c r="AJ24" s="72"/>
      <c r="AK24" s="1"/>
      <c r="AL24" s="1"/>
      <c r="AM24" s="1"/>
    </row>
    <row r="25" spans="1:39" ht="15.75" customHeight="1" x14ac:dyDescent="0.2">
      <c r="A25" s="73"/>
      <c r="B25" s="33" t="s">
        <v>107</v>
      </c>
      <c r="C25" s="74" t="s">
        <v>108</v>
      </c>
      <c r="D25" s="234"/>
      <c r="E25" s="76">
        <v>1500</v>
      </c>
      <c r="F25" s="234"/>
      <c r="G25" s="234"/>
      <c r="H25" s="234"/>
      <c r="I25" s="77"/>
      <c r="J25" s="77">
        <v>10</v>
      </c>
      <c r="K25" s="77"/>
      <c r="L25" s="78"/>
      <c r="M25" s="78"/>
      <c r="N25" s="78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80"/>
      <c r="AJ25" s="72"/>
      <c r="AK25" s="1"/>
      <c r="AL25" s="1"/>
      <c r="AM25" s="1"/>
    </row>
    <row r="26" spans="1:39" ht="15.75" customHeight="1" x14ac:dyDescent="0.2">
      <c r="A26" s="73"/>
      <c r="B26" s="33" t="s">
        <v>109</v>
      </c>
      <c r="C26" s="74" t="s">
        <v>110</v>
      </c>
      <c r="D26" s="222"/>
      <c r="E26" s="76">
        <v>1500</v>
      </c>
      <c r="F26" s="222"/>
      <c r="G26" s="222"/>
      <c r="H26" s="222"/>
      <c r="I26" s="77"/>
      <c r="J26" s="77">
        <v>10</v>
      </c>
      <c r="K26" s="77"/>
      <c r="L26" s="78"/>
      <c r="M26" s="78"/>
      <c r="N26" s="78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80"/>
      <c r="AJ26" s="72"/>
      <c r="AK26" s="1"/>
      <c r="AL26" s="1"/>
      <c r="AM26" s="1"/>
    </row>
    <row r="27" spans="1:39" ht="23.25" customHeight="1" x14ac:dyDescent="0.2">
      <c r="A27" s="32"/>
      <c r="B27" s="34"/>
      <c r="C27" s="45" t="s">
        <v>111</v>
      </c>
      <c r="D27" s="81" t="s">
        <v>112</v>
      </c>
      <c r="E27" s="82">
        <v>49999.99</v>
      </c>
      <c r="F27" s="37">
        <f>E27*SUM(I27:K27)</f>
        <v>99999.98</v>
      </c>
      <c r="G27" s="83" t="s">
        <v>113</v>
      </c>
      <c r="H27" s="58" t="s">
        <v>83</v>
      </c>
      <c r="I27" s="62"/>
      <c r="J27" s="62"/>
      <c r="K27" s="62">
        <v>2</v>
      </c>
      <c r="L27" s="40"/>
      <c r="M27" s="40"/>
      <c r="N27" s="40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2"/>
      <c r="AJ27" s="31"/>
      <c r="AK27" s="23"/>
    </row>
    <row r="28" spans="1:39" ht="12" customHeight="1" x14ac:dyDescent="0.2">
      <c r="A28" s="32"/>
      <c r="B28" s="34"/>
      <c r="C28" s="45" t="s">
        <v>114</v>
      </c>
      <c r="D28" s="231" t="s">
        <v>81</v>
      </c>
      <c r="E28" s="82">
        <v>6000</v>
      </c>
      <c r="F28" s="233">
        <v>22000</v>
      </c>
      <c r="G28" s="253" t="s">
        <v>82</v>
      </c>
      <c r="H28" s="231" t="s">
        <v>83</v>
      </c>
      <c r="I28" s="62"/>
      <c r="J28" s="62">
        <v>2</v>
      </c>
      <c r="K28" s="62"/>
      <c r="L28" s="40"/>
      <c r="M28" s="40"/>
      <c r="N28" s="40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2"/>
      <c r="AJ28" s="31"/>
      <c r="AK28" s="23"/>
    </row>
    <row r="29" spans="1:39" ht="15.75" customHeight="1" x14ac:dyDescent="0.2">
      <c r="A29" s="32"/>
      <c r="B29" s="84"/>
      <c r="C29" s="45" t="s">
        <v>115</v>
      </c>
      <c r="D29" s="232"/>
      <c r="E29" s="82">
        <v>5000</v>
      </c>
      <c r="F29" s="234"/>
      <c r="G29" s="222"/>
      <c r="H29" s="236"/>
      <c r="I29" s="85"/>
      <c r="J29" s="62">
        <v>2</v>
      </c>
      <c r="K29" s="62"/>
      <c r="L29" s="40"/>
      <c r="M29" s="40"/>
      <c r="N29" s="40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2"/>
      <c r="AJ29" s="31"/>
      <c r="AK29" s="23"/>
    </row>
    <row r="30" spans="1:39" ht="15.75" customHeight="1" x14ac:dyDescent="0.2">
      <c r="A30" s="32"/>
      <c r="B30" s="86"/>
      <c r="C30" s="87" t="s">
        <v>116</v>
      </c>
      <c r="D30" s="231" t="s">
        <v>81</v>
      </c>
      <c r="E30" s="82">
        <v>1000</v>
      </c>
      <c r="F30" s="233">
        <v>108500</v>
      </c>
      <c r="G30" s="253" t="s">
        <v>113</v>
      </c>
      <c r="H30" s="231" t="s">
        <v>83</v>
      </c>
      <c r="I30" s="62"/>
      <c r="J30" s="62">
        <v>3</v>
      </c>
      <c r="K30" s="62"/>
      <c r="L30" s="40"/>
      <c r="M30" s="40"/>
      <c r="N30" s="40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2"/>
      <c r="AJ30" s="31"/>
      <c r="AK30" s="23"/>
    </row>
    <row r="31" spans="1:39" ht="15.75" customHeight="1" x14ac:dyDescent="0.2">
      <c r="A31" s="32"/>
      <c r="B31" s="86"/>
      <c r="C31" s="87" t="s">
        <v>117</v>
      </c>
      <c r="D31" s="232"/>
      <c r="E31" s="82">
        <v>1000</v>
      </c>
      <c r="F31" s="234"/>
      <c r="G31" s="234"/>
      <c r="H31" s="232"/>
      <c r="I31" s="62"/>
      <c r="J31" s="62">
        <v>3</v>
      </c>
      <c r="K31" s="62"/>
      <c r="L31" s="40"/>
      <c r="M31" s="40"/>
      <c r="N31" s="40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2"/>
      <c r="AJ31" s="31"/>
      <c r="AK31" s="23"/>
    </row>
    <row r="32" spans="1:39" ht="15.75" customHeight="1" x14ac:dyDescent="0.2">
      <c r="A32" s="32"/>
      <c r="B32" s="86"/>
      <c r="C32" s="87" t="s">
        <v>118</v>
      </c>
      <c r="D32" s="232"/>
      <c r="E32" s="82">
        <v>1000</v>
      </c>
      <c r="F32" s="234"/>
      <c r="G32" s="234"/>
      <c r="H32" s="232"/>
      <c r="I32" s="62"/>
      <c r="J32" s="62">
        <v>3</v>
      </c>
      <c r="K32" s="62"/>
      <c r="L32" s="40"/>
      <c r="M32" s="40"/>
      <c r="N32" s="40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2"/>
      <c r="AJ32" s="31"/>
      <c r="AK32" s="23"/>
    </row>
    <row r="33" spans="1:39" ht="15.75" customHeight="1" x14ac:dyDescent="0.2">
      <c r="A33" s="32"/>
      <c r="B33" s="84"/>
      <c r="C33" s="45" t="s">
        <v>119</v>
      </c>
      <c r="D33" s="232"/>
      <c r="E33" s="82">
        <v>2000</v>
      </c>
      <c r="F33" s="234"/>
      <c r="G33" s="234"/>
      <c r="H33" s="232"/>
      <c r="I33" s="62"/>
      <c r="J33" s="88">
        <v>3</v>
      </c>
      <c r="K33" s="62"/>
      <c r="L33" s="40"/>
      <c r="M33" s="40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  <c r="AJ33" s="31"/>
      <c r="AK33" s="23"/>
    </row>
    <row r="34" spans="1:39" ht="15.75" customHeight="1" x14ac:dyDescent="0.2">
      <c r="A34" s="32"/>
      <c r="B34" s="34"/>
      <c r="C34" s="34" t="s">
        <v>120</v>
      </c>
      <c r="D34" s="232"/>
      <c r="E34" s="89">
        <v>6000</v>
      </c>
      <c r="F34" s="234"/>
      <c r="G34" s="234"/>
      <c r="H34" s="232"/>
      <c r="I34" s="90"/>
      <c r="J34" s="90">
        <v>3</v>
      </c>
      <c r="K34" s="90"/>
      <c r="L34" s="52"/>
      <c r="M34" s="40"/>
      <c r="N34" s="40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2"/>
      <c r="AJ34" s="31"/>
      <c r="AK34" s="23"/>
    </row>
    <row r="35" spans="1:39" ht="15.75" customHeight="1" x14ac:dyDescent="0.2">
      <c r="A35" s="32"/>
      <c r="B35" s="91"/>
      <c r="C35" s="92" t="s">
        <v>121</v>
      </c>
      <c r="D35" s="232"/>
      <c r="E35" s="76">
        <v>8500</v>
      </c>
      <c r="F35" s="234"/>
      <c r="G35" s="234"/>
      <c r="H35" s="232"/>
      <c r="I35" s="77"/>
      <c r="J35" s="77">
        <v>3</v>
      </c>
      <c r="K35" s="77"/>
      <c r="L35" s="78"/>
      <c r="M35" s="40"/>
      <c r="N35" s="40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2"/>
      <c r="AJ35" s="31"/>
      <c r="AK35" s="23"/>
    </row>
    <row r="36" spans="1:39" ht="15.75" customHeight="1" x14ac:dyDescent="0.2">
      <c r="A36" s="32"/>
      <c r="B36" s="93"/>
      <c r="C36" s="94" t="s">
        <v>122</v>
      </c>
      <c r="D36" s="232"/>
      <c r="E36" s="76">
        <v>10000</v>
      </c>
      <c r="F36" s="234"/>
      <c r="G36" s="234"/>
      <c r="H36" s="232"/>
      <c r="I36" s="77"/>
      <c r="J36" s="77">
        <v>3</v>
      </c>
      <c r="K36" s="77"/>
      <c r="L36" s="78"/>
      <c r="M36" s="40"/>
      <c r="N36" s="40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2"/>
      <c r="AJ36" s="31"/>
      <c r="AK36" s="23"/>
    </row>
    <row r="37" spans="1:39" ht="15.75" customHeight="1" x14ac:dyDescent="0.2">
      <c r="A37" s="32"/>
      <c r="B37" s="95"/>
      <c r="C37" s="50" t="s">
        <v>123</v>
      </c>
      <c r="D37" s="236"/>
      <c r="E37" s="76">
        <v>5000</v>
      </c>
      <c r="F37" s="234"/>
      <c r="G37" s="222"/>
      <c r="H37" s="236"/>
      <c r="I37" s="77"/>
      <c r="J37" s="77">
        <v>4</v>
      </c>
      <c r="K37" s="77"/>
      <c r="L37" s="78"/>
      <c r="M37" s="40"/>
      <c r="N37" s="40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2"/>
      <c r="AJ37" s="31"/>
      <c r="AK37" s="23"/>
    </row>
    <row r="38" spans="1:39" ht="14.25" x14ac:dyDescent="0.2">
      <c r="A38" s="32"/>
      <c r="B38" s="96"/>
      <c r="C38" s="96" t="s">
        <v>124</v>
      </c>
      <c r="D38" s="97" t="s">
        <v>125</v>
      </c>
      <c r="E38" s="36">
        <v>1000</v>
      </c>
      <c r="F38" s="37">
        <f t="shared" ref="F38:F40" si="0">E38*SUM(I38:K38)</f>
        <v>12000</v>
      </c>
      <c r="G38" s="97" t="s">
        <v>82</v>
      </c>
      <c r="H38" s="97" t="s">
        <v>126</v>
      </c>
      <c r="I38" s="90"/>
      <c r="J38" s="90">
        <v>12</v>
      </c>
      <c r="K38" s="90"/>
      <c r="L38" s="98"/>
      <c r="M38" s="98"/>
      <c r="N38" s="98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100"/>
      <c r="AJ38" s="17"/>
      <c r="AK38" s="12"/>
      <c r="AL38" s="13"/>
      <c r="AM38" s="13"/>
    </row>
    <row r="39" spans="1:39" ht="14.25" x14ac:dyDescent="0.2">
      <c r="A39" s="32"/>
      <c r="B39" s="96"/>
      <c r="C39" s="57" t="s">
        <v>127</v>
      </c>
      <c r="D39" s="81" t="s">
        <v>128</v>
      </c>
      <c r="E39" s="82">
        <v>200</v>
      </c>
      <c r="F39" s="37">
        <f t="shared" si="0"/>
        <v>600</v>
      </c>
      <c r="G39" s="97" t="s">
        <v>129</v>
      </c>
      <c r="H39" s="58" t="s">
        <v>130</v>
      </c>
      <c r="I39" s="88"/>
      <c r="J39" s="62">
        <v>3</v>
      </c>
      <c r="K39" s="62"/>
      <c r="L39" s="98"/>
      <c r="M39" s="98"/>
      <c r="N39" s="98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100"/>
      <c r="AJ39" s="17"/>
      <c r="AK39" s="12"/>
      <c r="AL39" s="13"/>
      <c r="AM39" s="13"/>
    </row>
    <row r="40" spans="1:39" ht="14.25" x14ac:dyDescent="0.2">
      <c r="A40" s="32"/>
      <c r="B40" s="101"/>
      <c r="C40" s="102" t="s">
        <v>131</v>
      </c>
      <c r="D40" s="62" t="s">
        <v>132</v>
      </c>
      <c r="E40" s="36">
        <v>1000</v>
      </c>
      <c r="F40" s="37">
        <f t="shared" si="0"/>
        <v>2000</v>
      </c>
      <c r="G40" s="97" t="s">
        <v>129</v>
      </c>
      <c r="H40" s="58" t="s">
        <v>130</v>
      </c>
      <c r="I40" s="88"/>
      <c r="J40" s="62">
        <v>2</v>
      </c>
      <c r="K40" s="62"/>
      <c r="L40" s="98"/>
      <c r="M40" s="98"/>
      <c r="N40" s="98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100"/>
      <c r="AJ40" s="17"/>
      <c r="AK40" s="12"/>
      <c r="AL40" s="13"/>
      <c r="AM40" s="13"/>
    </row>
    <row r="41" spans="1:39" ht="15.75" customHeight="1" x14ac:dyDescent="0.2">
      <c r="A41" s="32"/>
      <c r="B41" s="101"/>
      <c r="C41" s="101" t="s">
        <v>133</v>
      </c>
      <c r="D41" s="255" t="s">
        <v>81</v>
      </c>
      <c r="E41" s="82">
        <v>200</v>
      </c>
      <c r="F41" s="233">
        <v>17200</v>
      </c>
      <c r="G41" s="252" t="s">
        <v>82</v>
      </c>
      <c r="H41" s="231" t="s">
        <v>83</v>
      </c>
      <c r="I41" s="88"/>
      <c r="J41" s="62">
        <v>10</v>
      </c>
      <c r="K41" s="62"/>
      <c r="L41" s="98"/>
      <c r="M41" s="98"/>
      <c r="N41" s="98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100"/>
      <c r="AJ41" s="17"/>
      <c r="AK41" s="12"/>
      <c r="AL41" s="13"/>
      <c r="AM41" s="13"/>
    </row>
    <row r="42" spans="1:39" ht="15.75" customHeight="1" x14ac:dyDescent="0.2">
      <c r="A42" s="32"/>
      <c r="B42" s="101"/>
      <c r="C42" s="101" t="s">
        <v>134</v>
      </c>
      <c r="D42" s="232"/>
      <c r="E42" s="82">
        <v>600</v>
      </c>
      <c r="F42" s="234"/>
      <c r="G42" s="234"/>
      <c r="H42" s="232"/>
      <c r="I42" s="88"/>
      <c r="J42" s="62">
        <v>5</v>
      </c>
      <c r="K42" s="62"/>
      <c r="L42" s="98"/>
      <c r="M42" s="98"/>
      <c r="N42" s="98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100"/>
      <c r="AJ42" s="17"/>
      <c r="AK42" s="12"/>
      <c r="AL42" s="13"/>
      <c r="AM42" s="13"/>
    </row>
    <row r="43" spans="1:39" ht="15.75" customHeight="1" x14ac:dyDescent="0.2">
      <c r="A43" s="32"/>
      <c r="B43" s="101"/>
      <c r="C43" s="101" t="s">
        <v>135</v>
      </c>
      <c r="D43" s="232"/>
      <c r="E43" s="82">
        <v>600</v>
      </c>
      <c r="F43" s="234"/>
      <c r="G43" s="234"/>
      <c r="H43" s="232"/>
      <c r="I43" s="88"/>
      <c r="J43" s="62">
        <v>5</v>
      </c>
      <c r="K43" s="62"/>
      <c r="L43" s="98"/>
      <c r="M43" s="98"/>
      <c r="N43" s="98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100"/>
      <c r="AJ43" s="17"/>
      <c r="AK43" s="12"/>
      <c r="AL43" s="13"/>
      <c r="AM43" s="13"/>
    </row>
    <row r="44" spans="1:39" ht="15.75" customHeight="1" x14ac:dyDescent="0.2">
      <c r="A44" s="32"/>
      <c r="B44" s="101"/>
      <c r="C44" s="101" t="s">
        <v>136</v>
      </c>
      <c r="D44" s="232"/>
      <c r="E44" s="82">
        <v>600</v>
      </c>
      <c r="F44" s="234"/>
      <c r="G44" s="234"/>
      <c r="H44" s="232"/>
      <c r="I44" s="88"/>
      <c r="J44" s="62">
        <v>5</v>
      </c>
      <c r="K44" s="62"/>
      <c r="L44" s="98"/>
      <c r="M44" s="98"/>
      <c r="N44" s="98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100"/>
      <c r="AJ44" s="17"/>
      <c r="AK44" s="12"/>
      <c r="AL44" s="13"/>
      <c r="AM44" s="13"/>
    </row>
    <row r="45" spans="1:39" ht="12.75" customHeight="1" x14ac:dyDescent="0.2">
      <c r="A45" s="32"/>
      <c r="B45" s="101"/>
      <c r="C45" s="101" t="s">
        <v>137</v>
      </c>
      <c r="D45" s="232"/>
      <c r="E45" s="82">
        <v>1200</v>
      </c>
      <c r="F45" s="234"/>
      <c r="G45" s="234"/>
      <c r="H45" s="232"/>
      <c r="I45" s="88"/>
      <c r="J45" s="62">
        <v>2</v>
      </c>
      <c r="K45" s="62"/>
      <c r="L45" s="98"/>
      <c r="M45" s="98"/>
      <c r="N45" s="98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100"/>
      <c r="AJ45" s="17"/>
      <c r="AK45" s="12"/>
      <c r="AL45" s="13"/>
      <c r="AM45" s="13"/>
    </row>
    <row r="46" spans="1:39" ht="15.75" customHeight="1" x14ac:dyDescent="0.2">
      <c r="A46" s="32"/>
      <c r="B46" s="101"/>
      <c r="C46" s="101" t="s">
        <v>138</v>
      </c>
      <c r="D46" s="232"/>
      <c r="E46" s="82">
        <v>500</v>
      </c>
      <c r="F46" s="234"/>
      <c r="G46" s="234"/>
      <c r="H46" s="232"/>
      <c r="I46" s="88"/>
      <c r="J46" s="62">
        <v>2</v>
      </c>
      <c r="K46" s="62"/>
      <c r="L46" s="98"/>
      <c r="M46" s="98"/>
      <c r="N46" s="98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100"/>
      <c r="AJ46" s="17"/>
      <c r="AK46" s="12"/>
      <c r="AL46" s="13"/>
      <c r="AM46" s="13"/>
    </row>
    <row r="47" spans="1:39" ht="15.75" customHeight="1" x14ac:dyDescent="0.2">
      <c r="A47" s="32"/>
      <c r="B47" s="101"/>
      <c r="C47" s="101" t="s">
        <v>139</v>
      </c>
      <c r="D47" s="232"/>
      <c r="E47" s="82">
        <v>500</v>
      </c>
      <c r="F47" s="234"/>
      <c r="G47" s="234"/>
      <c r="H47" s="232"/>
      <c r="I47" s="88"/>
      <c r="J47" s="62">
        <v>2</v>
      </c>
      <c r="K47" s="62"/>
      <c r="L47" s="98"/>
      <c r="M47" s="98"/>
      <c r="N47" s="98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100"/>
      <c r="AJ47" s="17"/>
      <c r="AK47" s="12"/>
      <c r="AL47" s="13"/>
      <c r="AM47" s="13"/>
    </row>
    <row r="48" spans="1:39" ht="15.75" customHeight="1" x14ac:dyDescent="0.2">
      <c r="A48" s="32"/>
      <c r="B48" s="101"/>
      <c r="C48" s="101" t="s">
        <v>140</v>
      </c>
      <c r="D48" s="232"/>
      <c r="E48" s="82">
        <v>500</v>
      </c>
      <c r="F48" s="234"/>
      <c r="G48" s="234"/>
      <c r="H48" s="232"/>
      <c r="I48" s="88"/>
      <c r="J48" s="62">
        <v>2</v>
      </c>
      <c r="K48" s="62"/>
      <c r="L48" s="98"/>
      <c r="M48" s="98"/>
      <c r="N48" s="98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100"/>
      <c r="AJ48" s="17"/>
      <c r="AK48" s="12"/>
      <c r="AL48" s="13"/>
      <c r="AM48" s="13"/>
    </row>
    <row r="49" spans="1:39" ht="15.75" customHeight="1" x14ac:dyDescent="0.2">
      <c r="A49" s="32"/>
      <c r="B49" s="101"/>
      <c r="C49" s="103" t="s">
        <v>141</v>
      </c>
      <c r="D49" s="232"/>
      <c r="E49" s="82">
        <v>200</v>
      </c>
      <c r="F49" s="234"/>
      <c r="G49" s="234"/>
      <c r="H49" s="232"/>
      <c r="I49" s="88"/>
      <c r="J49" s="62">
        <v>2</v>
      </c>
      <c r="K49" s="62"/>
      <c r="L49" s="98"/>
      <c r="M49" s="98"/>
      <c r="N49" s="98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100"/>
      <c r="AJ49" s="17"/>
      <c r="AK49" s="12"/>
      <c r="AL49" s="13"/>
      <c r="AM49" s="13"/>
    </row>
    <row r="50" spans="1:39" ht="15.75" customHeight="1" x14ac:dyDescent="0.2">
      <c r="A50" s="32"/>
      <c r="B50" s="101"/>
      <c r="C50" s="103" t="s">
        <v>142</v>
      </c>
      <c r="D50" s="236"/>
      <c r="E50" s="82">
        <v>200</v>
      </c>
      <c r="F50" s="234"/>
      <c r="G50" s="222"/>
      <c r="H50" s="236"/>
      <c r="I50" s="88"/>
      <c r="J50" s="62">
        <v>2</v>
      </c>
      <c r="K50" s="62"/>
      <c r="L50" s="98"/>
      <c r="M50" s="98"/>
      <c r="N50" s="98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100"/>
      <c r="AJ50" s="17"/>
      <c r="AK50" s="12"/>
      <c r="AL50" s="13"/>
      <c r="AM50" s="13"/>
    </row>
    <row r="51" spans="1:39" ht="14.25" x14ac:dyDescent="0.2">
      <c r="A51" s="32"/>
      <c r="B51" s="96"/>
      <c r="C51" s="57" t="s">
        <v>143</v>
      </c>
      <c r="D51" s="81" t="s">
        <v>144</v>
      </c>
      <c r="E51" s="82">
        <v>500</v>
      </c>
      <c r="F51" s="37">
        <f>E51*SUM(I51:K51)</f>
        <v>30000</v>
      </c>
      <c r="G51" s="97" t="s">
        <v>82</v>
      </c>
      <c r="H51" s="58" t="s">
        <v>83</v>
      </c>
      <c r="I51" s="88"/>
      <c r="J51" s="62">
        <v>60</v>
      </c>
      <c r="K51" s="62"/>
      <c r="L51" s="98"/>
      <c r="M51" s="98"/>
      <c r="N51" s="98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100"/>
      <c r="AJ51" s="17"/>
      <c r="AK51" s="12"/>
      <c r="AL51" s="13"/>
      <c r="AM51" s="13"/>
    </row>
    <row r="52" spans="1:39" ht="14.25" x14ac:dyDescent="0.2">
      <c r="A52" s="32"/>
      <c r="B52" s="96"/>
      <c r="C52" s="57" t="s">
        <v>145</v>
      </c>
      <c r="D52" s="231" t="s">
        <v>81</v>
      </c>
      <c r="E52" s="82">
        <v>300</v>
      </c>
      <c r="F52" s="233">
        <f>(E52*J52)+(E53*J53)+(E54*J54)</f>
        <v>43750</v>
      </c>
      <c r="G52" s="252" t="s">
        <v>82</v>
      </c>
      <c r="H52" s="252" t="s">
        <v>146</v>
      </c>
      <c r="I52" s="88"/>
      <c r="J52" s="62">
        <v>75</v>
      </c>
      <c r="K52" s="62"/>
      <c r="L52" s="98"/>
      <c r="M52" s="98"/>
      <c r="N52" s="98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100"/>
      <c r="AJ52" s="17"/>
      <c r="AK52" s="12"/>
      <c r="AL52" s="13"/>
      <c r="AM52" s="13"/>
    </row>
    <row r="53" spans="1:39" ht="14.25" x14ac:dyDescent="0.2">
      <c r="A53" s="32"/>
      <c r="B53" s="96"/>
      <c r="C53" s="57" t="s">
        <v>147</v>
      </c>
      <c r="D53" s="232"/>
      <c r="E53" s="82">
        <v>250</v>
      </c>
      <c r="F53" s="234"/>
      <c r="G53" s="234"/>
      <c r="H53" s="234"/>
      <c r="I53" s="88"/>
      <c r="J53" s="62">
        <v>61</v>
      </c>
      <c r="K53" s="62"/>
      <c r="L53" s="98"/>
      <c r="M53" s="98"/>
      <c r="N53" s="98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100"/>
      <c r="AJ53" s="17"/>
      <c r="AK53" s="12"/>
      <c r="AL53" s="13"/>
      <c r="AM53" s="13"/>
    </row>
    <row r="54" spans="1:39" ht="14.25" x14ac:dyDescent="0.2">
      <c r="A54" s="32"/>
      <c r="B54" s="96"/>
      <c r="C54" s="57" t="s">
        <v>148</v>
      </c>
      <c r="D54" s="236"/>
      <c r="E54" s="82">
        <v>200</v>
      </c>
      <c r="F54" s="234"/>
      <c r="G54" s="222"/>
      <c r="H54" s="222"/>
      <c r="I54" s="88"/>
      <c r="J54" s="62">
        <v>30</v>
      </c>
      <c r="K54" s="62"/>
      <c r="L54" s="98"/>
      <c r="M54" s="98"/>
      <c r="N54" s="98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100"/>
      <c r="AJ54" s="17"/>
      <c r="AK54" s="12"/>
      <c r="AL54" s="13"/>
      <c r="AM54" s="13"/>
    </row>
    <row r="55" spans="1:39" ht="15.75" customHeight="1" x14ac:dyDescent="0.2">
      <c r="A55" s="104" t="s">
        <v>149</v>
      </c>
      <c r="B55" s="105"/>
      <c r="C55" s="106" t="s">
        <v>150</v>
      </c>
      <c r="D55" s="65"/>
      <c r="E55" s="107"/>
      <c r="F55" s="65"/>
      <c r="G55" s="108"/>
      <c r="H55" s="109"/>
      <c r="I55" s="109"/>
      <c r="J55" s="109"/>
      <c r="K55" s="109"/>
      <c r="L55" s="110"/>
      <c r="M55" s="110"/>
      <c r="N55" s="110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2"/>
      <c r="AJ55" s="31"/>
      <c r="AK55" s="23"/>
    </row>
    <row r="56" spans="1:39" ht="14.25" x14ac:dyDescent="0.2">
      <c r="A56" s="32"/>
      <c r="B56" s="113" t="s">
        <v>151</v>
      </c>
      <c r="C56" s="114" t="s">
        <v>152</v>
      </c>
      <c r="D56" s="231" t="s">
        <v>81</v>
      </c>
      <c r="E56" s="82">
        <v>4000</v>
      </c>
      <c r="F56" s="233">
        <v>127500</v>
      </c>
      <c r="G56" s="235" t="s">
        <v>113</v>
      </c>
      <c r="H56" s="231" t="s">
        <v>146</v>
      </c>
      <c r="I56" s="62"/>
      <c r="J56" s="62">
        <v>20</v>
      </c>
      <c r="K56" s="62"/>
      <c r="L56" s="40"/>
      <c r="M56" s="40"/>
      <c r="N56" s="40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2"/>
      <c r="AJ56" s="31"/>
      <c r="AK56" s="23"/>
    </row>
    <row r="57" spans="1:39" ht="14.25" x14ac:dyDescent="0.2">
      <c r="A57" s="32"/>
      <c r="B57" s="116" t="s">
        <v>153</v>
      </c>
      <c r="C57" s="117" t="s">
        <v>154</v>
      </c>
      <c r="D57" s="232"/>
      <c r="E57" s="82">
        <v>9500</v>
      </c>
      <c r="F57" s="234"/>
      <c r="G57" s="236"/>
      <c r="H57" s="236"/>
      <c r="I57" s="62"/>
      <c r="J57" s="62">
        <v>5</v>
      </c>
      <c r="K57" s="62"/>
      <c r="L57" s="40"/>
      <c r="M57" s="40"/>
      <c r="N57" s="40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2"/>
      <c r="AJ57" s="31"/>
      <c r="AK57" s="23"/>
    </row>
    <row r="58" spans="1:39" ht="14.25" x14ac:dyDescent="0.2">
      <c r="A58" s="32"/>
      <c r="B58" s="118" t="s">
        <v>155</v>
      </c>
      <c r="C58" s="119" t="s">
        <v>156</v>
      </c>
      <c r="D58" s="81" t="s">
        <v>157</v>
      </c>
      <c r="E58" s="82">
        <v>8000</v>
      </c>
      <c r="F58" s="120">
        <f t="shared" ref="F58:F59" si="1">E58*SUM(I58:K58)</f>
        <v>40000</v>
      </c>
      <c r="G58" s="83" t="s">
        <v>82</v>
      </c>
      <c r="H58" s="58" t="s">
        <v>146</v>
      </c>
      <c r="I58" s="62"/>
      <c r="J58" s="62">
        <v>5</v>
      </c>
      <c r="K58" s="62"/>
      <c r="L58" s="40"/>
      <c r="M58" s="40"/>
      <c r="N58" s="40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2"/>
      <c r="AJ58" s="31"/>
      <c r="AK58" s="23"/>
    </row>
    <row r="59" spans="1:39" ht="14.25" x14ac:dyDescent="0.2">
      <c r="A59" s="32"/>
      <c r="B59" s="121"/>
      <c r="C59" s="122" t="s">
        <v>158</v>
      </c>
      <c r="D59" s="81" t="s">
        <v>159</v>
      </c>
      <c r="E59" s="82">
        <v>200</v>
      </c>
      <c r="F59" s="37">
        <f t="shared" si="1"/>
        <v>50000</v>
      </c>
      <c r="G59" s="83" t="s">
        <v>82</v>
      </c>
      <c r="H59" s="58" t="s">
        <v>146</v>
      </c>
      <c r="I59" s="62"/>
      <c r="J59" s="62"/>
      <c r="K59" s="62">
        <v>250</v>
      </c>
      <c r="L59" s="98"/>
      <c r="M59" s="98"/>
      <c r="N59" s="98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100"/>
      <c r="AJ59" s="17"/>
      <c r="AK59" s="12"/>
      <c r="AL59" s="123"/>
      <c r="AM59" s="123"/>
    </row>
    <row r="60" spans="1:39" ht="14.25" x14ac:dyDescent="0.2">
      <c r="A60" s="32"/>
      <c r="B60" s="49"/>
      <c r="C60" s="124" t="s">
        <v>160</v>
      </c>
      <c r="D60" s="231" t="s">
        <v>81</v>
      </c>
      <c r="E60" s="89">
        <v>450</v>
      </c>
      <c r="F60" s="233">
        <v>14450</v>
      </c>
      <c r="G60" s="252" t="s">
        <v>82</v>
      </c>
      <c r="H60" s="252" t="s">
        <v>146</v>
      </c>
      <c r="I60" s="90"/>
      <c r="J60" s="90">
        <v>15</v>
      </c>
      <c r="K60" s="90"/>
      <c r="L60" s="40"/>
      <c r="M60" s="40"/>
      <c r="N60" s="40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2"/>
      <c r="AJ60" s="31"/>
      <c r="AK60" s="23"/>
    </row>
    <row r="61" spans="1:39" ht="14.25" x14ac:dyDescent="0.2">
      <c r="A61" s="32"/>
      <c r="B61" s="49" t="s">
        <v>161</v>
      </c>
      <c r="C61" s="125" t="s">
        <v>162</v>
      </c>
      <c r="D61" s="232"/>
      <c r="E61" s="76">
        <v>250</v>
      </c>
      <c r="F61" s="234"/>
      <c r="G61" s="234"/>
      <c r="H61" s="234"/>
      <c r="I61" s="77"/>
      <c r="J61" s="77">
        <v>20</v>
      </c>
      <c r="K61" s="77"/>
      <c r="L61" s="40"/>
      <c r="M61" s="40"/>
      <c r="N61" s="40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2"/>
      <c r="AJ61" s="31"/>
      <c r="AK61" s="23"/>
    </row>
    <row r="62" spans="1:39" ht="14.25" x14ac:dyDescent="0.2">
      <c r="A62" s="32"/>
      <c r="B62" s="118"/>
      <c r="C62" s="126" t="s">
        <v>163</v>
      </c>
      <c r="D62" s="236"/>
      <c r="E62" s="55">
        <v>270</v>
      </c>
      <c r="F62" s="234"/>
      <c r="G62" s="222"/>
      <c r="H62" s="222"/>
      <c r="I62" s="62"/>
      <c r="J62" s="62">
        <v>10</v>
      </c>
      <c r="K62" s="62"/>
      <c r="L62" s="40"/>
      <c r="M62" s="40"/>
      <c r="N62" s="40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2"/>
      <c r="AJ62" s="31"/>
      <c r="AK62" s="23"/>
    </row>
    <row r="63" spans="1:39" ht="14.25" x14ac:dyDescent="0.2">
      <c r="A63" s="32"/>
      <c r="B63" s="49" t="s">
        <v>164</v>
      </c>
      <c r="C63" s="50" t="s">
        <v>165</v>
      </c>
      <c r="D63" s="230" t="s">
        <v>81</v>
      </c>
      <c r="E63" s="76">
        <v>2000</v>
      </c>
      <c r="F63" s="233">
        <v>35000</v>
      </c>
      <c r="G63" s="230" t="s">
        <v>82</v>
      </c>
      <c r="H63" s="127" t="s">
        <v>146</v>
      </c>
      <c r="I63" s="62"/>
      <c r="J63" s="77"/>
      <c r="K63" s="77">
        <v>5</v>
      </c>
      <c r="L63" s="40"/>
      <c r="M63" s="40"/>
      <c r="N63" s="40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2"/>
      <c r="AJ63" s="31"/>
      <c r="AK63" s="23"/>
    </row>
    <row r="64" spans="1:39" ht="15.75" customHeight="1" x14ac:dyDescent="0.2">
      <c r="A64" s="32"/>
      <c r="B64" s="49"/>
      <c r="C64" s="50" t="s">
        <v>166</v>
      </c>
      <c r="D64" s="222"/>
      <c r="E64" s="46">
        <v>5000</v>
      </c>
      <c r="F64" s="234"/>
      <c r="G64" s="222"/>
      <c r="H64" s="127"/>
      <c r="I64" s="77"/>
      <c r="J64" s="77"/>
      <c r="K64" s="77">
        <v>5</v>
      </c>
      <c r="L64" s="40"/>
      <c r="M64" s="40"/>
      <c r="N64" s="40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2"/>
      <c r="AJ64" s="31"/>
      <c r="AK64" s="23"/>
    </row>
    <row r="65" spans="1:37" ht="14.25" x14ac:dyDescent="0.2">
      <c r="A65" s="32"/>
      <c r="B65" s="95"/>
      <c r="C65" s="50" t="s">
        <v>167</v>
      </c>
      <c r="D65" s="127" t="s">
        <v>168</v>
      </c>
      <c r="E65" s="46">
        <v>1500</v>
      </c>
      <c r="F65" s="37">
        <f t="shared" ref="F65:F66" si="2">E65*SUM(I65:K65)</f>
        <v>45000</v>
      </c>
      <c r="G65" s="83" t="s">
        <v>82</v>
      </c>
      <c r="H65" s="127" t="s">
        <v>146</v>
      </c>
      <c r="I65" s="77"/>
      <c r="J65" s="77"/>
      <c r="K65" s="77">
        <v>30</v>
      </c>
      <c r="L65" s="40"/>
      <c r="M65" s="40"/>
      <c r="N65" s="40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2"/>
      <c r="AJ65" s="31"/>
      <c r="AK65" s="23"/>
    </row>
    <row r="66" spans="1:37" ht="24" x14ac:dyDescent="0.2">
      <c r="A66" s="32"/>
      <c r="B66" s="95"/>
      <c r="C66" s="50" t="s">
        <v>169</v>
      </c>
      <c r="D66" s="127" t="s">
        <v>159</v>
      </c>
      <c r="E66" s="46">
        <v>300</v>
      </c>
      <c r="F66" s="37">
        <f t="shared" si="2"/>
        <v>75000</v>
      </c>
      <c r="G66" s="83" t="s">
        <v>113</v>
      </c>
      <c r="H66" s="58" t="s">
        <v>146</v>
      </c>
      <c r="I66" s="77"/>
      <c r="J66" s="77">
        <v>250</v>
      </c>
      <c r="K66" s="77"/>
      <c r="L66" s="40"/>
      <c r="M66" s="40"/>
      <c r="N66" s="40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2"/>
      <c r="AJ66" s="31"/>
      <c r="AK66" s="23"/>
    </row>
    <row r="67" spans="1:37" ht="15.75" customHeight="1" x14ac:dyDescent="0.2">
      <c r="A67" s="104" t="s">
        <v>170</v>
      </c>
      <c r="B67" s="105"/>
      <c r="C67" s="106" t="s">
        <v>171</v>
      </c>
      <c r="D67" s="65"/>
      <c r="E67" s="107"/>
      <c r="F67" s="65"/>
      <c r="G67" s="108"/>
      <c r="H67" s="109"/>
      <c r="I67" s="109"/>
      <c r="J67" s="109"/>
      <c r="K67" s="109"/>
      <c r="L67" s="110"/>
      <c r="M67" s="110"/>
      <c r="N67" s="110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2"/>
      <c r="AJ67" s="31"/>
      <c r="AK67" s="23"/>
    </row>
    <row r="68" spans="1:37" ht="14.25" x14ac:dyDescent="0.2">
      <c r="A68" s="32"/>
      <c r="B68" s="34"/>
      <c r="C68" s="45" t="s">
        <v>172</v>
      </c>
      <c r="D68" s="231" t="s">
        <v>81</v>
      </c>
      <c r="E68" s="82">
        <v>60000</v>
      </c>
      <c r="F68" s="233">
        <v>165000</v>
      </c>
      <c r="G68" s="235" t="s">
        <v>113</v>
      </c>
      <c r="H68" s="58" t="s">
        <v>146</v>
      </c>
      <c r="I68" s="62"/>
      <c r="J68" s="62">
        <v>1</v>
      </c>
      <c r="K68" s="62"/>
      <c r="L68" s="40"/>
      <c r="M68" s="40"/>
      <c r="N68" s="40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2"/>
      <c r="AJ68" s="31"/>
      <c r="AK68" s="23"/>
    </row>
    <row r="69" spans="1:37" ht="14.25" x14ac:dyDescent="0.2">
      <c r="A69" s="32"/>
      <c r="B69" s="34"/>
      <c r="C69" s="45" t="s">
        <v>173</v>
      </c>
      <c r="D69" s="232"/>
      <c r="E69" s="82">
        <v>105000</v>
      </c>
      <c r="F69" s="234"/>
      <c r="G69" s="236"/>
      <c r="H69" s="58" t="s">
        <v>146</v>
      </c>
      <c r="I69" s="62"/>
      <c r="J69" s="62">
        <v>1</v>
      </c>
      <c r="K69" s="62"/>
      <c r="L69" s="40"/>
      <c r="M69" s="40"/>
      <c r="N69" s="40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2"/>
      <c r="AJ69" s="31"/>
      <c r="AK69" s="23"/>
    </row>
    <row r="70" spans="1:37" ht="24" x14ac:dyDescent="0.2">
      <c r="A70" s="32"/>
      <c r="B70" s="34"/>
      <c r="C70" s="128" t="s">
        <v>174</v>
      </c>
      <c r="D70" s="129" t="s">
        <v>81</v>
      </c>
      <c r="E70" s="89">
        <v>400000</v>
      </c>
      <c r="F70" s="130">
        <f t="shared" ref="F70:F77" si="3">E70*SUM(I70:K70)</f>
        <v>400000</v>
      </c>
      <c r="G70" s="129" t="s">
        <v>113</v>
      </c>
      <c r="H70" s="129" t="s">
        <v>146</v>
      </c>
      <c r="I70" s="53"/>
      <c r="J70" s="53"/>
      <c r="K70" s="47">
        <v>1</v>
      </c>
      <c r="L70" s="40"/>
      <c r="M70" s="40"/>
      <c r="N70" s="40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2"/>
      <c r="AJ70" s="31"/>
      <c r="AK70" s="23"/>
    </row>
    <row r="71" spans="1:37" ht="24" x14ac:dyDescent="0.2">
      <c r="A71" s="32"/>
      <c r="B71" s="34"/>
      <c r="C71" s="45" t="s">
        <v>175</v>
      </c>
      <c r="D71" s="81" t="s">
        <v>81</v>
      </c>
      <c r="E71" s="82">
        <v>60000</v>
      </c>
      <c r="F71" s="37">
        <f t="shared" si="3"/>
        <v>60000</v>
      </c>
      <c r="G71" s="83" t="s">
        <v>113</v>
      </c>
      <c r="H71" s="58" t="s">
        <v>146</v>
      </c>
      <c r="I71" s="62"/>
      <c r="J71" s="62"/>
      <c r="K71" s="62">
        <v>1</v>
      </c>
      <c r="L71" s="40"/>
      <c r="M71" s="40"/>
      <c r="N71" s="40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2"/>
      <c r="AJ71" s="31"/>
      <c r="AK71" s="23"/>
    </row>
    <row r="72" spans="1:37" ht="84" x14ac:dyDescent="0.2">
      <c r="A72" s="32"/>
      <c r="B72" s="95"/>
      <c r="C72" s="50" t="s">
        <v>176</v>
      </c>
      <c r="D72" s="81" t="s">
        <v>81</v>
      </c>
      <c r="E72" s="82">
        <v>43000</v>
      </c>
      <c r="F72" s="37">
        <f t="shared" si="3"/>
        <v>43000</v>
      </c>
      <c r="G72" s="83" t="s">
        <v>113</v>
      </c>
      <c r="H72" s="58" t="s">
        <v>146</v>
      </c>
      <c r="I72" s="62"/>
      <c r="J72" s="62">
        <v>1</v>
      </c>
      <c r="K72" s="62"/>
      <c r="L72" s="40"/>
      <c r="M72" s="40"/>
      <c r="N72" s="40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2"/>
      <c r="AJ72" s="31"/>
      <c r="AK72" s="23"/>
    </row>
    <row r="73" spans="1:37" ht="204" x14ac:dyDescent="0.2">
      <c r="A73" s="32"/>
      <c r="B73" s="95"/>
      <c r="C73" s="50" t="s">
        <v>177</v>
      </c>
      <c r="D73" s="81" t="s">
        <v>81</v>
      </c>
      <c r="E73" s="82">
        <v>80000</v>
      </c>
      <c r="F73" s="37">
        <f t="shared" si="3"/>
        <v>80000</v>
      </c>
      <c r="G73" s="83" t="s">
        <v>113</v>
      </c>
      <c r="H73" s="58" t="s">
        <v>146</v>
      </c>
      <c r="I73" s="62"/>
      <c r="J73" s="62">
        <v>1</v>
      </c>
      <c r="K73" s="62"/>
      <c r="L73" s="40"/>
      <c r="M73" s="40"/>
      <c r="N73" s="40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2"/>
      <c r="AJ73" s="31"/>
      <c r="AK73" s="23"/>
    </row>
    <row r="74" spans="1:37" ht="24" x14ac:dyDescent="0.2">
      <c r="A74" s="32"/>
      <c r="B74" s="34"/>
      <c r="C74" s="45" t="s">
        <v>178</v>
      </c>
      <c r="D74" s="81" t="s">
        <v>179</v>
      </c>
      <c r="E74" s="82">
        <v>1000</v>
      </c>
      <c r="F74" s="37">
        <f t="shared" si="3"/>
        <v>25000</v>
      </c>
      <c r="G74" s="83" t="s">
        <v>113</v>
      </c>
      <c r="H74" s="58" t="s">
        <v>146</v>
      </c>
      <c r="I74" s="62"/>
      <c r="J74" s="62"/>
      <c r="K74" s="62">
        <v>25</v>
      </c>
      <c r="L74" s="40"/>
      <c r="M74" s="40"/>
      <c r="N74" s="40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2"/>
      <c r="AJ74" s="31"/>
      <c r="AK74" s="23"/>
    </row>
    <row r="75" spans="1:37" ht="24" x14ac:dyDescent="0.2">
      <c r="A75" s="32"/>
      <c r="B75" s="34"/>
      <c r="C75" s="45" t="s">
        <v>180</v>
      </c>
      <c r="D75" s="81" t="s">
        <v>179</v>
      </c>
      <c r="E75" s="82">
        <v>1000</v>
      </c>
      <c r="F75" s="37">
        <f t="shared" si="3"/>
        <v>25000</v>
      </c>
      <c r="G75" s="83" t="s">
        <v>113</v>
      </c>
      <c r="H75" s="58" t="s">
        <v>146</v>
      </c>
      <c r="I75" s="62"/>
      <c r="J75" s="62"/>
      <c r="K75" s="62">
        <v>25</v>
      </c>
      <c r="L75" s="40"/>
      <c r="M75" s="40"/>
      <c r="N75" s="40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2"/>
      <c r="AJ75" s="31"/>
      <c r="AK75" s="23"/>
    </row>
    <row r="76" spans="1:37" ht="24" x14ac:dyDescent="0.2">
      <c r="A76" s="32"/>
      <c r="B76" s="34"/>
      <c r="C76" s="45" t="s">
        <v>181</v>
      </c>
      <c r="D76" s="81" t="s">
        <v>179</v>
      </c>
      <c r="E76" s="82">
        <v>1000</v>
      </c>
      <c r="F76" s="37">
        <f t="shared" si="3"/>
        <v>25000</v>
      </c>
      <c r="G76" s="83" t="s">
        <v>113</v>
      </c>
      <c r="H76" s="58" t="s">
        <v>146</v>
      </c>
      <c r="I76" s="62"/>
      <c r="J76" s="62"/>
      <c r="K76" s="62">
        <v>25</v>
      </c>
      <c r="L76" s="40"/>
      <c r="M76" s="40"/>
      <c r="N76" s="40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2"/>
      <c r="AJ76" s="31"/>
      <c r="AK76" s="23"/>
    </row>
    <row r="77" spans="1:37" ht="24" x14ac:dyDescent="0.2">
      <c r="A77" s="32"/>
      <c r="B77" s="34"/>
      <c r="C77" s="45" t="s">
        <v>182</v>
      </c>
      <c r="D77" s="81" t="s">
        <v>183</v>
      </c>
      <c r="E77" s="82">
        <v>200</v>
      </c>
      <c r="F77" s="37">
        <f t="shared" si="3"/>
        <v>5800</v>
      </c>
      <c r="G77" s="83" t="s">
        <v>113</v>
      </c>
      <c r="H77" s="58" t="s">
        <v>146</v>
      </c>
      <c r="I77" s="62"/>
      <c r="J77" s="62">
        <v>29</v>
      </c>
      <c r="K77" s="62"/>
      <c r="L77" s="40"/>
      <c r="M77" s="40"/>
      <c r="N77" s="40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2"/>
      <c r="AJ77" s="31"/>
      <c r="AK77" s="23"/>
    </row>
    <row r="78" spans="1:37" ht="15.75" customHeight="1" x14ac:dyDescent="0.2">
      <c r="A78" s="104" t="s">
        <v>184</v>
      </c>
      <c r="B78" s="105"/>
      <c r="C78" s="106" t="s">
        <v>185</v>
      </c>
      <c r="D78" s="65"/>
      <c r="E78" s="107"/>
      <c r="F78" s="65"/>
      <c r="G78" s="108"/>
      <c r="H78" s="108"/>
      <c r="I78" s="109"/>
      <c r="J78" s="109"/>
      <c r="K78" s="109"/>
      <c r="L78" s="110"/>
      <c r="M78" s="110"/>
      <c r="N78" s="110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2"/>
      <c r="AJ78" s="31"/>
      <c r="AK78" s="23"/>
    </row>
    <row r="79" spans="1:37" ht="306" customHeight="1" x14ac:dyDescent="0.2">
      <c r="A79" s="32"/>
      <c r="B79" s="95"/>
      <c r="C79" s="131" t="s">
        <v>186</v>
      </c>
      <c r="D79" s="97" t="s">
        <v>81</v>
      </c>
      <c r="E79" s="36">
        <v>4000000</v>
      </c>
      <c r="F79" s="37">
        <f t="shared" ref="F79:F81" si="4">E79*SUM(I79:K79)</f>
        <v>4000000</v>
      </c>
      <c r="G79" s="97" t="s">
        <v>187</v>
      </c>
      <c r="H79" s="97" t="s">
        <v>146</v>
      </c>
      <c r="I79" s="90"/>
      <c r="J79" s="90">
        <v>1</v>
      </c>
      <c r="K79" s="90"/>
      <c r="L79" s="40"/>
      <c r="M79" s="40"/>
      <c r="N79" s="40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2"/>
      <c r="AJ79" s="31"/>
      <c r="AK79" s="23"/>
    </row>
    <row r="80" spans="1:37" ht="396" x14ac:dyDescent="0.2">
      <c r="A80" s="32"/>
      <c r="B80" s="132"/>
      <c r="C80" s="50" t="s">
        <v>188</v>
      </c>
      <c r="D80" s="127" t="s">
        <v>81</v>
      </c>
      <c r="E80" s="46">
        <v>500000</v>
      </c>
      <c r="F80" s="37">
        <f t="shared" si="4"/>
        <v>500000</v>
      </c>
      <c r="G80" s="127" t="s">
        <v>189</v>
      </c>
      <c r="H80" s="127" t="s">
        <v>146</v>
      </c>
      <c r="I80" s="77"/>
      <c r="J80" s="77">
        <v>1</v>
      </c>
      <c r="K80" s="77"/>
      <c r="L80" s="40"/>
      <c r="M80" s="40"/>
      <c r="N80" s="40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2"/>
      <c r="AJ80" s="31"/>
      <c r="AK80" s="23"/>
    </row>
    <row r="81" spans="1:37" ht="264" x14ac:dyDescent="0.2">
      <c r="A81" s="32"/>
      <c r="B81" s="133"/>
      <c r="C81" s="134" t="s">
        <v>190</v>
      </c>
      <c r="D81" s="75" t="s">
        <v>112</v>
      </c>
      <c r="E81" s="135">
        <v>250000</v>
      </c>
      <c r="F81" s="37">
        <f t="shared" si="4"/>
        <v>500000</v>
      </c>
      <c r="G81" s="75" t="s">
        <v>113</v>
      </c>
      <c r="H81" s="75" t="s">
        <v>146</v>
      </c>
      <c r="I81" s="136"/>
      <c r="J81" s="136">
        <v>2</v>
      </c>
      <c r="K81" s="136"/>
      <c r="L81" s="137"/>
      <c r="M81" s="137"/>
      <c r="N81" s="137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9"/>
      <c r="AJ81" s="31"/>
      <c r="AK81" s="23"/>
    </row>
    <row r="82" spans="1:37" ht="15.75" customHeight="1" x14ac:dyDescent="0.2">
      <c r="A82" s="140"/>
      <c r="B82" s="141"/>
      <c r="C82" s="141"/>
      <c r="D82" s="142"/>
      <c r="E82" s="143"/>
      <c r="F82" s="144"/>
      <c r="G82" s="145"/>
      <c r="H82" s="145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"/>
      <c r="AK82" s="1"/>
    </row>
    <row r="83" spans="1:37" ht="15.75" customHeight="1" x14ac:dyDescent="0.25">
      <c r="A83" s="146" t="s">
        <v>191</v>
      </c>
      <c r="B83" s="4"/>
      <c r="C83" s="4"/>
      <c r="D83" s="237">
        <f>SUM(F12:F81)</f>
        <v>6658099.9800000004</v>
      </c>
      <c r="E83" s="238"/>
      <c r="F83" s="238"/>
      <c r="G83" s="9"/>
      <c r="H83" s="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hidden="1" customHeight="1" x14ac:dyDescent="0.25">
      <c r="A84" s="147" t="s">
        <v>192</v>
      </c>
      <c r="B84" s="148"/>
      <c r="C84" s="148"/>
      <c r="D84" s="220">
        <f>PRODUCT(D83,0.1)</f>
        <v>665809.99800000014</v>
      </c>
      <c r="E84" s="221"/>
      <c r="F84" s="222"/>
      <c r="G84" s="9"/>
      <c r="H84" s="9"/>
      <c r="I84" s="239"/>
      <c r="J84" s="227"/>
      <c r="K84" s="239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149"/>
      <c r="AI84" s="1"/>
      <c r="AJ84" s="1"/>
      <c r="AK84" s="1"/>
    </row>
    <row r="85" spans="1:37" ht="15.75" hidden="1" customHeight="1" x14ac:dyDescent="0.25">
      <c r="A85" s="150" t="s">
        <v>193</v>
      </c>
      <c r="B85" s="99"/>
      <c r="C85" s="99"/>
      <c r="D85" s="223">
        <f>PRODUCT(D83,0.1)</f>
        <v>665809.99800000014</v>
      </c>
      <c r="E85" s="224"/>
      <c r="F85" s="225"/>
      <c r="G85" s="9"/>
      <c r="H85" s="9"/>
      <c r="I85" s="151"/>
      <c r="J85" s="151"/>
      <c r="K85" s="229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152"/>
      <c r="AI85" s="1"/>
      <c r="AJ85" s="1"/>
      <c r="AK85" s="1"/>
    </row>
    <row r="86" spans="1:37" ht="15.75" hidden="1" customHeight="1" x14ac:dyDescent="0.25">
      <c r="A86" s="150" t="s">
        <v>194</v>
      </c>
      <c r="B86" s="99"/>
      <c r="C86" s="99"/>
      <c r="D86" s="223">
        <f>SUM(D83:F85)</f>
        <v>7989719.9759999998</v>
      </c>
      <c r="E86" s="224"/>
      <c r="F86" s="225"/>
      <c r="G86" s="9"/>
      <c r="H86" s="9"/>
      <c r="I86" s="151"/>
      <c r="J86" s="151"/>
      <c r="K86" s="229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152"/>
      <c r="AI86" s="1"/>
      <c r="AJ86" s="1"/>
      <c r="AK86" s="1"/>
    </row>
    <row r="87" spans="1:37" ht="15.75" customHeight="1" x14ac:dyDescent="0.2">
      <c r="A87" s="153"/>
      <c r="B87" s="4"/>
      <c r="C87" s="4"/>
      <c r="D87" s="1"/>
      <c r="E87" s="7"/>
      <c r="F87" s="8"/>
      <c r="G87" s="9"/>
      <c r="H87" s="9"/>
      <c r="I87" s="151"/>
      <c r="J87" s="151"/>
      <c r="K87" s="229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152"/>
      <c r="AI87" s="1"/>
      <c r="AJ87" s="1"/>
      <c r="AK87" s="1"/>
    </row>
    <row r="88" spans="1:37" ht="15.75" customHeight="1" x14ac:dyDescent="0.2">
      <c r="A88" s="154" t="s">
        <v>195</v>
      </c>
      <c r="B88" s="4"/>
      <c r="C88" s="4"/>
      <c r="D88" s="1"/>
      <c r="E88" s="7"/>
      <c r="F88" s="8"/>
      <c r="G88" s="9"/>
      <c r="H88" s="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">
      <c r="A89" s="12"/>
      <c r="B89" s="4"/>
      <c r="C89" s="4"/>
      <c r="D89" s="1"/>
      <c r="E89" s="7"/>
      <c r="F89" s="8"/>
      <c r="G89" s="9"/>
      <c r="H89" s="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5">
      <c r="A90" s="155" t="s">
        <v>196</v>
      </c>
      <c r="B90" s="4"/>
      <c r="C90" s="4"/>
      <c r="D90" s="156" t="s">
        <v>197</v>
      </c>
      <c r="E90" s="157"/>
      <c r="F90" s="8"/>
      <c r="G90" s="158" t="s">
        <v>198</v>
      </c>
      <c r="H90" s="1"/>
      <c r="I90" s="1"/>
      <c r="J90" s="158" t="s">
        <v>199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51"/>
    </row>
    <row r="91" spans="1:37" ht="15.75" customHeight="1" x14ac:dyDescent="0.2">
      <c r="A91" s="155"/>
      <c r="B91" s="4"/>
      <c r="C91" s="4"/>
      <c r="D91" s="1"/>
      <c r="E91" s="157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51"/>
      <c r="AK91" s="151"/>
    </row>
    <row r="92" spans="1:37" ht="15.75" customHeight="1" x14ac:dyDescent="0.2">
      <c r="A92" s="4"/>
      <c r="B92" s="4"/>
      <c r="C92" s="4"/>
      <c r="D92" s="1"/>
      <c r="E92" s="157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51"/>
      <c r="AK92" s="151"/>
    </row>
    <row r="93" spans="1:37" ht="15.75" customHeight="1" x14ac:dyDescent="0.25">
      <c r="A93" s="226" t="s">
        <v>200</v>
      </c>
      <c r="B93" s="227"/>
      <c r="C93" s="227"/>
      <c r="D93" s="158" t="s">
        <v>201</v>
      </c>
      <c r="E93" s="157"/>
      <c r="F93" s="8"/>
      <c r="G93" s="158" t="s">
        <v>202</v>
      </c>
      <c r="H93" s="1"/>
      <c r="I93" s="1"/>
      <c r="J93" s="158" t="s">
        <v>203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customHeight="1" x14ac:dyDescent="0.2">
      <c r="A94" s="228" t="s">
        <v>204</v>
      </c>
      <c r="B94" s="227"/>
      <c r="C94" s="227"/>
      <c r="D94" s="1" t="s">
        <v>205</v>
      </c>
      <c r="E94" s="157"/>
      <c r="F94" s="8"/>
      <c r="G94" s="1" t="s">
        <v>206</v>
      </c>
      <c r="H94" s="1"/>
      <c r="I94" s="1"/>
      <c r="J94" s="1" t="s">
        <v>207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51"/>
      <c r="AK94" s="151"/>
    </row>
    <row r="95" spans="1:37" ht="15.75" customHeight="1" x14ac:dyDescent="0.2">
      <c r="A95" s="1"/>
      <c r="B95" s="1"/>
      <c r="C95" s="1"/>
      <c r="D95" s="1"/>
      <c r="E95" s="157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">
      <c r="A96" s="1" t="s">
        <v>208</v>
      </c>
      <c r="B96" s="1"/>
      <c r="C96" s="1"/>
      <c r="D96" s="1" t="s">
        <v>209</v>
      </c>
      <c r="E96" s="157"/>
      <c r="F96" s="8"/>
      <c r="G96" s="1" t="s">
        <v>209</v>
      </c>
      <c r="H96" s="1"/>
      <c r="I96" s="1"/>
      <c r="J96" s="1" t="s">
        <v>209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4:35" ht="15.75" customHeight="1" x14ac:dyDescent="0.2">
      <c r="D97" s="1"/>
      <c r="E97" s="7"/>
      <c r="F97" s="8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4:35" ht="15.75" customHeight="1" x14ac:dyDescent="0.2">
      <c r="D98" s="1"/>
      <c r="E98" s="7"/>
      <c r="F98" s="8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4:35" ht="15.75" customHeight="1" x14ac:dyDescent="0.2">
      <c r="D99" s="1"/>
      <c r="E99" s="7"/>
      <c r="F99" s="8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4:35" ht="15.75" customHeight="1" x14ac:dyDescent="0.2">
      <c r="D100" s="1"/>
      <c r="E100" s="7"/>
      <c r="F100" s="8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4:35" ht="15.75" customHeight="1" x14ac:dyDescent="0.2">
      <c r="D101" s="1"/>
      <c r="E101" s="7"/>
      <c r="F101" s="8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4:35" ht="15.75" customHeight="1" x14ac:dyDescent="0.2">
      <c r="D102" s="1"/>
      <c r="E102" s="7"/>
      <c r="F102" s="8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4:35" ht="15.75" customHeight="1" x14ac:dyDescent="0.2">
      <c r="D103" s="1"/>
      <c r="E103" s="7"/>
      <c r="F103" s="8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4:35" ht="15.75" customHeight="1" x14ac:dyDescent="0.2">
      <c r="D104" s="1"/>
      <c r="E104" s="7"/>
      <c r="F104" s="8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4:35" ht="15.75" customHeight="1" x14ac:dyDescent="0.2">
      <c r="D105" s="1"/>
      <c r="E105" s="7"/>
      <c r="F105" s="8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4:35" ht="15.75" customHeight="1" x14ac:dyDescent="0.2">
      <c r="D106" s="1"/>
      <c r="E106" s="7"/>
      <c r="F106" s="8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4:35" ht="15.75" customHeight="1" x14ac:dyDescent="0.2">
      <c r="D107" s="1"/>
      <c r="E107" s="7"/>
      <c r="F107" s="8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4:35" ht="15.75" customHeight="1" x14ac:dyDescent="0.2">
      <c r="D108" s="1"/>
      <c r="E108" s="7"/>
      <c r="F108" s="8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4:35" ht="15.75" customHeight="1" x14ac:dyDescent="0.2">
      <c r="D109" s="1"/>
      <c r="E109" s="7"/>
      <c r="F109" s="8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4:35" ht="15.75" customHeight="1" x14ac:dyDescent="0.2">
      <c r="D110" s="1"/>
      <c r="E110" s="7"/>
      <c r="F110" s="8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4:35" ht="15.75" customHeight="1" x14ac:dyDescent="0.2">
      <c r="D111" s="1"/>
      <c r="E111" s="7"/>
      <c r="F111" s="8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4:35" ht="15.75" customHeight="1" x14ac:dyDescent="0.2">
      <c r="D112" s="1"/>
      <c r="E112" s="7"/>
      <c r="F112" s="8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4:35" ht="15.75" customHeight="1" x14ac:dyDescent="0.2">
      <c r="D113" s="1"/>
      <c r="E113" s="7"/>
      <c r="F113" s="8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4:35" ht="15.75" customHeight="1" x14ac:dyDescent="0.25">
      <c r="E114" s="159"/>
    </row>
    <row r="115" spans="4:35" ht="15.75" customHeight="1" x14ac:dyDescent="0.25">
      <c r="E115" s="159"/>
    </row>
    <row r="116" spans="4:35" ht="15.75" customHeight="1" x14ac:dyDescent="0.25">
      <c r="E116" s="159"/>
    </row>
    <row r="117" spans="4:35" ht="15.75" customHeight="1" x14ac:dyDescent="0.25">
      <c r="E117" s="159"/>
    </row>
    <row r="118" spans="4:35" ht="15.75" customHeight="1" x14ac:dyDescent="0.25">
      <c r="E118" s="159"/>
    </row>
    <row r="119" spans="4:35" ht="15.75" customHeight="1" x14ac:dyDescent="0.25">
      <c r="E119" s="159"/>
    </row>
    <row r="120" spans="4:35" ht="15.75" customHeight="1" x14ac:dyDescent="0.25">
      <c r="E120" s="159"/>
    </row>
    <row r="121" spans="4:35" ht="15.75" customHeight="1" x14ac:dyDescent="0.25">
      <c r="E121" s="159"/>
    </row>
    <row r="122" spans="4:35" ht="15.75" customHeight="1" x14ac:dyDescent="0.25">
      <c r="E122" s="159"/>
    </row>
    <row r="123" spans="4:35" ht="15.75" customHeight="1" x14ac:dyDescent="0.25">
      <c r="E123" s="159"/>
    </row>
    <row r="124" spans="4:35" ht="15.75" customHeight="1" x14ac:dyDescent="0.25">
      <c r="E124" s="159"/>
    </row>
    <row r="125" spans="4:35" ht="15.75" customHeight="1" x14ac:dyDescent="0.25">
      <c r="E125" s="159"/>
    </row>
    <row r="126" spans="4:35" ht="15.75" customHeight="1" x14ac:dyDescent="0.25">
      <c r="E126" s="159"/>
    </row>
    <row r="127" spans="4:35" ht="15.75" customHeight="1" x14ac:dyDescent="0.25">
      <c r="E127" s="159"/>
    </row>
    <row r="128" spans="4:35" ht="15.75" customHeight="1" x14ac:dyDescent="0.25">
      <c r="E128" s="159"/>
    </row>
    <row r="129" spans="5:5" ht="15.75" customHeight="1" x14ac:dyDescent="0.25">
      <c r="E129" s="159"/>
    </row>
    <row r="130" spans="5:5" ht="15.75" customHeight="1" x14ac:dyDescent="0.25">
      <c r="E130" s="159"/>
    </row>
    <row r="131" spans="5:5" ht="15.75" customHeight="1" x14ac:dyDescent="0.25">
      <c r="E131" s="159"/>
    </row>
    <row r="132" spans="5:5" ht="15.75" customHeight="1" x14ac:dyDescent="0.25">
      <c r="E132" s="159"/>
    </row>
    <row r="133" spans="5:5" ht="15.75" customHeight="1" x14ac:dyDescent="0.25">
      <c r="E133" s="159"/>
    </row>
    <row r="134" spans="5:5" ht="15.75" customHeight="1" x14ac:dyDescent="0.25">
      <c r="E134" s="159"/>
    </row>
    <row r="135" spans="5:5" ht="15.75" customHeight="1" x14ac:dyDescent="0.25">
      <c r="E135" s="159"/>
    </row>
    <row r="136" spans="5:5" ht="15.75" customHeight="1" x14ac:dyDescent="0.25">
      <c r="E136" s="159"/>
    </row>
    <row r="137" spans="5:5" ht="15.75" customHeight="1" x14ac:dyDescent="0.25">
      <c r="E137" s="159"/>
    </row>
    <row r="138" spans="5:5" ht="15.75" customHeight="1" x14ac:dyDescent="0.25">
      <c r="E138" s="159"/>
    </row>
    <row r="139" spans="5:5" ht="15.75" customHeight="1" x14ac:dyDescent="0.25">
      <c r="E139" s="159"/>
    </row>
    <row r="140" spans="5:5" ht="15.75" customHeight="1" x14ac:dyDescent="0.25">
      <c r="E140" s="159"/>
    </row>
    <row r="141" spans="5:5" ht="15.75" customHeight="1" x14ac:dyDescent="0.25">
      <c r="E141" s="159"/>
    </row>
    <row r="142" spans="5:5" ht="15.75" customHeight="1" x14ac:dyDescent="0.25">
      <c r="E142" s="159"/>
    </row>
    <row r="143" spans="5:5" ht="15.75" customHeight="1" x14ac:dyDescent="0.25">
      <c r="E143" s="159"/>
    </row>
    <row r="144" spans="5:5" ht="15.75" customHeight="1" x14ac:dyDescent="0.25">
      <c r="E144" s="159"/>
    </row>
    <row r="145" spans="5:5" ht="15.75" customHeight="1" x14ac:dyDescent="0.25">
      <c r="E145" s="159"/>
    </row>
    <row r="146" spans="5:5" ht="15.75" customHeight="1" x14ac:dyDescent="0.25">
      <c r="E146" s="159"/>
    </row>
    <row r="147" spans="5:5" ht="15.75" customHeight="1" x14ac:dyDescent="0.25">
      <c r="E147" s="159"/>
    </row>
    <row r="148" spans="5:5" ht="15.75" customHeight="1" x14ac:dyDescent="0.25">
      <c r="E148" s="159"/>
    </row>
    <row r="149" spans="5:5" ht="15.75" customHeight="1" x14ac:dyDescent="0.25">
      <c r="E149" s="159"/>
    </row>
    <row r="150" spans="5:5" ht="15.75" customHeight="1" x14ac:dyDescent="0.25">
      <c r="E150" s="159"/>
    </row>
    <row r="151" spans="5:5" ht="15.75" customHeight="1" x14ac:dyDescent="0.25">
      <c r="E151" s="159"/>
    </row>
    <row r="152" spans="5:5" ht="15.75" customHeight="1" x14ac:dyDescent="0.25">
      <c r="E152" s="159"/>
    </row>
    <row r="153" spans="5:5" ht="15.75" customHeight="1" x14ac:dyDescent="0.25">
      <c r="E153" s="159"/>
    </row>
    <row r="154" spans="5:5" ht="15.75" customHeight="1" x14ac:dyDescent="0.25">
      <c r="E154" s="159"/>
    </row>
    <row r="155" spans="5:5" ht="15.75" customHeight="1" x14ac:dyDescent="0.25">
      <c r="E155" s="159"/>
    </row>
    <row r="156" spans="5:5" ht="15.75" customHeight="1" x14ac:dyDescent="0.25">
      <c r="E156" s="159"/>
    </row>
    <row r="157" spans="5:5" ht="15.75" customHeight="1" x14ac:dyDescent="0.25">
      <c r="E157" s="159"/>
    </row>
    <row r="158" spans="5:5" ht="15.75" customHeight="1" x14ac:dyDescent="0.25">
      <c r="E158" s="159"/>
    </row>
    <row r="159" spans="5:5" ht="15.75" customHeight="1" x14ac:dyDescent="0.25">
      <c r="E159" s="159"/>
    </row>
    <row r="160" spans="5:5" ht="15.75" customHeight="1" x14ac:dyDescent="0.25">
      <c r="E160" s="159"/>
    </row>
    <row r="161" spans="5:5" ht="15.75" customHeight="1" x14ac:dyDescent="0.25">
      <c r="E161" s="159"/>
    </row>
    <row r="162" spans="5:5" ht="15.75" customHeight="1" x14ac:dyDescent="0.25">
      <c r="E162" s="159"/>
    </row>
    <row r="163" spans="5:5" ht="15.75" customHeight="1" x14ac:dyDescent="0.25">
      <c r="E163" s="159"/>
    </row>
    <row r="164" spans="5:5" ht="15.75" customHeight="1" x14ac:dyDescent="0.25">
      <c r="E164" s="159"/>
    </row>
    <row r="165" spans="5:5" ht="15.75" customHeight="1" x14ac:dyDescent="0.25">
      <c r="E165" s="159"/>
    </row>
    <row r="166" spans="5:5" ht="15.75" customHeight="1" x14ac:dyDescent="0.25">
      <c r="E166" s="159"/>
    </row>
    <row r="167" spans="5:5" ht="15.75" customHeight="1" x14ac:dyDescent="0.25">
      <c r="E167" s="159"/>
    </row>
    <row r="168" spans="5:5" ht="15.75" customHeight="1" x14ac:dyDescent="0.25">
      <c r="E168" s="159"/>
    </row>
    <row r="169" spans="5:5" ht="15.75" customHeight="1" x14ac:dyDescent="0.25">
      <c r="E169" s="159"/>
    </row>
    <row r="170" spans="5:5" ht="15.75" customHeight="1" x14ac:dyDescent="0.25">
      <c r="E170" s="159"/>
    </row>
    <row r="171" spans="5:5" ht="15.75" customHeight="1" x14ac:dyDescent="0.25">
      <c r="E171" s="159"/>
    </row>
    <row r="172" spans="5:5" ht="15.75" customHeight="1" x14ac:dyDescent="0.25">
      <c r="E172" s="159"/>
    </row>
    <row r="173" spans="5:5" ht="15.75" customHeight="1" x14ac:dyDescent="0.25">
      <c r="E173" s="159"/>
    </row>
    <row r="174" spans="5:5" ht="15.75" customHeight="1" x14ac:dyDescent="0.25">
      <c r="E174" s="159"/>
    </row>
    <row r="175" spans="5:5" ht="15.75" customHeight="1" x14ac:dyDescent="0.25">
      <c r="E175" s="159"/>
    </row>
    <row r="176" spans="5:5" ht="15.75" customHeight="1" x14ac:dyDescent="0.25">
      <c r="E176" s="159"/>
    </row>
    <row r="177" spans="5:5" ht="15.75" customHeight="1" x14ac:dyDescent="0.25">
      <c r="E177" s="159"/>
    </row>
    <row r="178" spans="5:5" ht="15.75" customHeight="1" x14ac:dyDescent="0.25">
      <c r="E178" s="159"/>
    </row>
    <row r="179" spans="5:5" ht="15.75" customHeight="1" x14ac:dyDescent="0.25">
      <c r="E179" s="159"/>
    </row>
    <row r="180" spans="5:5" ht="15.75" customHeight="1" x14ac:dyDescent="0.25">
      <c r="E180" s="159"/>
    </row>
    <row r="181" spans="5:5" ht="15.75" customHeight="1" x14ac:dyDescent="0.25">
      <c r="E181" s="159"/>
    </row>
    <row r="182" spans="5:5" ht="15.75" customHeight="1" x14ac:dyDescent="0.25">
      <c r="E182" s="159"/>
    </row>
    <row r="183" spans="5:5" ht="15.75" customHeight="1" x14ac:dyDescent="0.25">
      <c r="E183" s="159"/>
    </row>
    <row r="184" spans="5:5" ht="15.75" customHeight="1" x14ac:dyDescent="0.25">
      <c r="E184" s="159"/>
    </row>
    <row r="185" spans="5:5" ht="15.75" customHeight="1" x14ac:dyDescent="0.25">
      <c r="E185" s="159"/>
    </row>
    <row r="186" spans="5:5" ht="15.75" customHeight="1" x14ac:dyDescent="0.25">
      <c r="E186" s="159"/>
    </row>
    <row r="187" spans="5:5" ht="15.75" customHeight="1" x14ac:dyDescent="0.25">
      <c r="E187" s="159"/>
    </row>
    <row r="188" spans="5:5" ht="15.75" customHeight="1" x14ac:dyDescent="0.25">
      <c r="E188" s="159"/>
    </row>
    <row r="189" spans="5:5" ht="15.75" customHeight="1" x14ac:dyDescent="0.25">
      <c r="E189" s="159"/>
    </row>
    <row r="190" spans="5:5" ht="15.75" customHeight="1" x14ac:dyDescent="0.25">
      <c r="E190" s="159"/>
    </row>
    <row r="191" spans="5:5" ht="15.75" customHeight="1" x14ac:dyDescent="0.25">
      <c r="E191" s="159"/>
    </row>
    <row r="192" spans="5:5" ht="15.75" customHeight="1" x14ac:dyDescent="0.25">
      <c r="E192" s="159"/>
    </row>
    <row r="193" spans="5:5" ht="15.75" customHeight="1" x14ac:dyDescent="0.25">
      <c r="E193" s="159"/>
    </row>
    <row r="194" spans="5:5" ht="15.75" customHeight="1" x14ac:dyDescent="0.25">
      <c r="E194" s="159"/>
    </row>
    <row r="195" spans="5:5" ht="15.75" customHeight="1" x14ac:dyDescent="0.25">
      <c r="E195" s="159"/>
    </row>
    <row r="196" spans="5:5" ht="15.75" customHeight="1" x14ac:dyDescent="0.25">
      <c r="E196" s="159"/>
    </row>
    <row r="197" spans="5:5" ht="15.75" customHeight="1" x14ac:dyDescent="0.25">
      <c r="E197" s="159"/>
    </row>
    <row r="198" spans="5:5" ht="15.75" customHeight="1" x14ac:dyDescent="0.25">
      <c r="E198" s="159"/>
    </row>
    <row r="199" spans="5:5" ht="15.75" customHeight="1" x14ac:dyDescent="0.25">
      <c r="E199" s="159"/>
    </row>
    <row r="200" spans="5:5" ht="15.75" customHeight="1" x14ac:dyDescent="0.25">
      <c r="E200" s="159"/>
    </row>
    <row r="201" spans="5:5" ht="15.75" customHeight="1" x14ac:dyDescent="0.25">
      <c r="E201" s="159"/>
    </row>
    <row r="202" spans="5:5" ht="15.75" customHeight="1" x14ac:dyDescent="0.25">
      <c r="E202" s="159"/>
    </row>
    <row r="203" spans="5:5" ht="15.75" customHeight="1" x14ac:dyDescent="0.25">
      <c r="E203" s="159"/>
    </row>
    <row r="204" spans="5:5" ht="15.75" customHeight="1" x14ac:dyDescent="0.25">
      <c r="E204" s="159"/>
    </row>
    <row r="205" spans="5:5" ht="15.75" customHeight="1" x14ac:dyDescent="0.25">
      <c r="E205" s="159"/>
    </row>
    <row r="206" spans="5:5" ht="15.75" customHeight="1" x14ac:dyDescent="0.25">
      <c r="E206" s="159"/>
    </row>
    <row r="207" spans="5:5" ht="15.75" customHeight="1" x14ac:dyDescent="0.25">
      <c r="E207" s="159"/>
    </row>
    <row r="208" spans="5:5" ht="15.75" customHeight="1" x14ac:dyDescent="0.25">
      <c r="E208" s="159"/>
    </row>
    <row r="209" spans="5:5" ht="15.75" customHeight="1" x14ac:dyDescent="0.25">
      <c r="E209" s="159"/>
    </row>
    <row r="210" spans="5:5" ht="15.75" customHeight="1" x14ac:dyDescent="0.25">
      <c r="E210" s="159"/>
    </row>
    <row r="211" spans="5:5" ht="15.75" customHeight="1" x14ac:dyDescent="0.25">
      <c r="E211" s="159"/>
    </row>
    <row r="212" spans="5:5" ht="15.75" customHeight="1" x14ac:dyDescent="0.25">
      <c r="E212" s="159"/>
    </row>
    <row r="213" spans="5:5" ht="15.75" customHeight="1" x14ac:dyDescent="0.25">
      <c r="E213" s="159"/>
    </row>
    <row r="214" spans="5:5" ht="15.75" customHeight="1" x14ac:dyDescent="0.25">
      <c r="E214" s="159"/>
    </row>
    <row r="215" spans="5:5" ht="15.75" customHeight="1" x14ac:dyDescent="0.25">
      <c r="E215" s="159"/>
    </row>
    <row r="216" spans="5:5" ht="15.75" customHeight="1" x14ac:dyDescent="0.25">
      <c r="E216" s="159"/>
    </row>
    <row r="217" spans="5:5" ht="15.75" customHeight="1" x14ac:dyDescent="0.25">
      <c r="E217" s="159"/>
    </row>
    <row r="218" spans="5:5" ht="15.75" customHeight="1" x14ac:dyDescent="0.25">
      <c r="E218" s="159"/>
    </row>
    <row r="219" spans="5:5" ht="15.75" customHeight="1" x14ac:dyDescent="0.25">
      <c r="E219" s="159"/>
    </row>
    <row r="220" spans="5:5" ht="15.75" customHeight="1" x14ac:dyDescent="0.25">
      <c r="E220" s="159"/>
    </row>
    <row r="221" spans="5:5" ht="15.75" customHeight="1" x14ac:dyDescent="0.25">
      <c r="E221" s="159"/>
    </row>
    <row r="222" spans="5:5" ht="15.75" customHeight="1" x14ac:dyDescent="0.25">
      <c r="E222" s="159"/>
    </row>
    <row r="223" spans="5:5" ht="15.75" customHeight="1" x14ac:dyDescent="0.25">
      <c r="E223" s="159"/>
    </row>
    <row r="224" spans="5:5" ht="15.75" customHeight="1" x14ac:dyDescent="0.25">
      <c r="E224" s="159"/>
    </row>
    <row r="225" spans="5:5" ht="15.75" customHeight="1" x14ac:dyDescent="0.25">
      <c r="E225" s="159"/>
    </row>
    <row r="226" spans="5:5" ht="15.75" customHeight="1" x14ac:dyDescent="0.25">
      <c r="E226" s="159"/>
    </row>
    <row r="227" spans="5:5" ht="15.75" customHeight="1" x14ac:dyDescent="0.25">
      <c r="E227" s="159"/>
    </row>
    <row r="228" spans="5:5" ht="15.75" customHeight="1" x14ac:dyDescent="0.25">
      <c r="E228" s="159"/>
    </row>
    <row r="229" spans="5:5" ht="15.75" customHeight="1" x14ac:dyDescent="0.25">
      <c r="E229" s="159"/>
    </row>
    <row r="230" spans="5:5" ht="15.75" customHeight="1" x14ac:dyDescent="0.25">
      <c r="E230" s="159"/>
    </row>
    <row r="231" spans="5:5" ht="15.75" customHeight="1" x14ac:dyDescent="0.25">
      <c r="E231" s="159"/>
    </row>
    <row r="232" spans="5:5" ht="15.75" customHeight="1" x14ac:dyDescent="0.25">
      <c r="E232" s="159"/>
    </row>
    <row r="233" spans="5:5" ht="15.75" customHeight="1" x14ac:dyDescent="0.25">
      <c r="E233" s="159"/>
    </row>
    <row r="234" spans="5:5" ht="15.75" customHeight="1" x14ac:dyDescent="0.25">
      <c r="E234" s="159"/>
    </row>
    <row r="235" spans="5:5" ht="15.75" customHeight="1" x14ac:dyDescent="0.25">
      <c r="E235" s="159"/>
    </row>
    <row r="236" spans="5:5" ht="15.75" customHeight="1" x14ac:dyDescent="0.25">
      <c r="E236" s="159"/>
    </row>
    <row r="237" spans="5:5" ht="15.75" customHeight="1" x14ac:dyDescent="0.25">
      <c r="E237" s="159"/>
    </row>
    <row r="238" spans="5:5" ht="15.75" customHeight="1" x14ac:dyDescent="0.25">
      <c r="E238" s="159"/>
    </row>
    <row r="239" spans="5:5" ht="15.75" customHeight="1" x14ac:dyDescent="0.25">
      <c r="E239" s="159"/>
    </row>
    <row r="240" spans="5:5" ht="15.75" customHeight="1" x14ac:dyDescent="0.25">
      <c r="E240" s="159"/>
    </row>
    <row r="241" spans="5:5" ht="15.75" customHeight="1" x14ac:dyDescent="0.25">
      <c r="E241" s="159"/>
    </row>
    <row r="242" spans="5:5" ht="15.75" customHeight="1" x14ac:dyDescent="0.25">
      <c r="E242" s="159"/>
    </row>
    <row r="243" spans="5:5" ht="15.75" customHeight="1" x14ac:dyDescent="0.25">
      <c r="E243" s="159"/>
    </row>
    <row r="244" spans="5:5" ht="15.75" customHeight="1" x14ac:dyDescent="0.25">
      <c r="E244" s="159"/>
    </row>
    <row r="245" spans="5:5" ht="15.75" customHeight="1" x14ac:dyDescent="0.25">
      <c r="E245" s="159"/>
    </row>
    <row r="246" spans="5:5" ht="15.75" customHeight="1" x14ac:dyDescent="0.25">
      <c r="E246" s="159"/>
    </row>
    <row r="247" spans="5:5" ht="15.75" customHeight="1" x14ac:dyDescent="0.25">
      <c r="E247" s="159"/>
    </row>
    <row r="248" spans="5:5" ht="15.75" customHeight="1" x14ac:dyDescent="0.25">
      <c r="E248" s="159"/>
    </row>
    <row r="249" spans="5:5" ht="15.75" customHeight="1" x14ac:dyDescent="0.25">
      <c r="E249" s="159"/>
    </row>
    <row r="250" spans="5:5" ht="15.75" customHeight="1" x14ac:dyDescent="0.25">
      <c r="E250" s="159"/>
    </row>
    <row r="251" spans="5:5" ht="15.75" customHeight="1" x14ac:dyDescent="0.25">
      <c r="E251" s="159"/>
    </row>
    <row r="252" spans="5:5" ht="15.75" customHeight="1" x14ac:dyDescent="0.25">
      <c r="E252" s="159"/>
    </row>
    <row r="253" spans="5:5" ht="15.75" customHeight="1" x14ac:dyDescent="0.25">
      <c r="E253" s="159"/>
    </row>
    <row r="254" spans="5:5" ht="15.75" customHeight="1" x14ac:dyDescent="0.25">
      <c r="E254" s="159"/>
    </row>
    <row r="255" spans="5:5" ht="15.75" customHeight="1" x14ac:dyDescent="0.25">
      <c r="E255" s="159"/>
    </row>
    <row r="256" spans="5:5" ht="15.75" customHeight="1" x14ac:dyDescent="0.25">
      <c r="E256" s="159"/>
    </row>
    <row r="257" spans="5:5" ht="15.75" customHeight="1" x14ac:dyDescent="0.25">
      <c r="E257" s="159"/>
    </row>
    <row r="258" spans="5:5" ht="15.75" customHeight="1" x14ac:dyDescent="0.25">
      <c r="E258" s="159"/>
    </row>
    <row r="259" spans="5:5" ht="15.75" customHeight="1" x14ac:dyDescent="0.25">
      <c r="E259" s="159"/>
    </row>
    <row r="260" spans="5:5" ht="15.75" customHeight="1" x14ac:dyDescent="0.25">
      <c r="E260" s="159"/>
    </row>
    <row r="261" spans="5:5" ht="15.75" customHeight="1" x14ac:dyDescent="0.25">
      <c r="E261" s="159"/>
    </row>
    <row r="262" spans="5:5" ht="15.75" customHeight="1" x14ac:dyDescent="0.25">
      <c r="E262" s="159"/>
    </row>
    <row r="263" spans="5:5" ht="15.75" customHeight="1" x14ac:dyDescent="0.25">
      <c r="E263" s="159"/>
    </row>
    <row r="264" spans="5:5" ht="15.75" customHeight="1" x14ac:dyDescent="0.25">
      <c r="E264" s="159"/>
    </row>
    <row r="265" spans="5:5" ht="15.75" customHeight="1" x14ac:dyDescent="0.25">
      <c r="E265" s="159"/>
    </row>
    <row r="266" spans="5:5" ht="15.75" customHeight="1" x14ac:dyDescent="0.25">
      <c r="E266" s="159"/>
    </row>
    <row r="267" spans="5:5" ht="15.75" customHeight="1" x14ac:dyDescent="0.25">
      <c r="E267" s="159"/>
    </row>
    <row r="268" spans="5:5" ht="15.75" customHeight="1" x14ac:dyDescent="0.25">
      <c r="E268" s="159"/>
    </row>
    <row r="269" spans="5:5" ht="15.75" customHeight="1" x14ac:dyDescent="0.25">
      <c r="E269" s="159"/>
    </row>
    <row r="270" spans="5:5" ht="15.75" customHeight="1" x14ac:dyDescent="0.25">
      <c r="E270" s="159"/>
    </row>
    <row r="271" spans="5:5" ht="15.75" customHeight="1" x14ac:dyDescent="0.25">
      <c r="E271" s="159"/>
    </row>
    <row r="272" spans="5:5" ht="15.75" customHeight="1" x14ac:dyDescent="0.25">
      <c r="E272" s="159"/>
    </row>
    <row r="273" spans="5:5" ht="15.75" customHeight="1" x14ac:dyDescent="0.25">
      <c r="E273" s="159"/>
    </row>
    <row r="274" spans="5:5" ht="15.75" customHeight="1" x14ac:dyDescent="0.25">
      <c r="E274" s="159"/>
    </row>
    <row r="275" spans="5:5" ht="15.75" customHeight="1" x14ac:dyDescent="0.25">
      <c r="E275" s="159"/>
    </row>
    <row r="276" spans="5:5" ht="15.75" customHeight="1" x14ac:dyDescent="0.25">
      <c r="E276" s="159"/>
    </row>
    <row r="277" spans="5:5" ht="15.75" customHeight="1" x14ac:dyDescent="0.25">
      <c r="E277" s="159"/>
    </row>
    <row r="278" spans="5:5" ht="15.75" customHeight="1" x14ac:dyDescent="0.25">
      <c r="E278" s="159"/>
    </row>
    <row r="279" spans="5:5" ht="15.75" customHeight="1" x14ac:dyDescent="0.25">
      <c r="E279" s="159"/>
    </row>
    <row r="280" spans="5:5" ht="15.75" customHeight="1" x14ac:dyDescent="0.25">
      <c r="E280" s="159"/>
    </row>
    <row r="281" spans="5:5" ht="15.75" customHeight="1" x14ac:dyDescent="0.25">
      <c r="E281" s="159"/>
    </row>
    <row r="282" spans="5:5" ht="15.75" customHeight="1" x14ac:dyDescent="0.25">
      <c r="E282" s="159"/>
    </row>
    <row r="283" spans="5:5" ht="15.75" customHeight="1" x14ac:dyDescent="0.25">
      <c r="E283" s="159"/>
    </row>
    <row r="284" spans="5:5" ht="15.75" customHeight="1" x14ac:dyDescent="0.25">
      <c r="E284" s="159"/>
    </row>
    <row r="285" spans="5:5" ht="15.75" customHeight="1" x14ac:dyDescent="0.25">
      <c r="E285" s="159"/>
    </row>
    <row r="286" spans="5:5" ht="15.75" customHeight="1" x14ac:dyDescent="0.25">
      <c r="E286" s="159"/>
    </row>
    <row r="287" spans="5:5" ht="15.75" customHeight="1" x14ac:dyDescent="0.25">
      <c r="E287" s="159"/>
    </row>
    <row r="288" spans="5:5" ht="15.75" customHeight="1" x14ac:dyDescent="0.25">
      <c r="E288" s="159"/>
    </row>
    <row r="289" spans="5:5" ht="15.75" customHeight="1" x14ac:dyDescent="0.25">
      <c r="E289" s="159"/>
    </row>
    <row r="290" spans="5:5" ht="15.75" customHeight="1" x14ac:dyDescent="0.25">
      <c r="E290" s="159"/>
    </row>
    <row r="291" spans="5:5" ht="15.75" customHeight="1" x14ac:dyDescent="0.25">
      <c r="E291" s="159"/>
    </row>
    <row r="292" spans="5:5" ht="15.75" customHeight="1" x14ac:dyDescent="0.25">
      <c r="E292" s="159"/>
    </row>
    <row r="293" spans="5:5" ht="15.75" customHeight="1" x14ac:dyDescent="0.25">
      <c r="E293" s="159"/>
    </row>
    <row r="294" spans="5:5" ht="15.75" customHeight="1" x14ac:dyDescent="0.25">
      <c r="E294" s="159"/>
    </row>
    <row r="295" spans="5:5" ht="15.75" customHeight="1" x14ac:dyDescent="0.25">
      <c r="E295" s="159"/>
    </row>
    <row r="296" spans="5:5" ht="15.75" customHeight="1" x14ac:dyDescent="0.25">
      <c r="E296" s="159"/>
    </row>
    <row r="297" spans="5:5" ht="15.75" customHeight="1" x14ac:dyDescent="0.2"/>
    <row r="298" spans="5:5" ht="15.75" customHeight="1" x14ac:dyDescent="0.2"/>
    <row r="299" spans="5:5" ht="15.75" customHeight="1" x14ac:dyDescent="0.2"/>
    <row r="300" spans="5:5" ht="15.75" customHeight="1" x14ac:dyDescent="0.2"/>
    <row r="301" spans="5:5" ht="15.75" customHeight="1" x14ac:dyDescent="0.2"/>
    <row r="302" spans="5:5" ht="15.75" customHeight="1" x14ac:dyDescent="0.2"/>
    <row r="303" spans="5:5" ht="15.75" customHeight="1" x14ac:dyDescent="0.2"/>
    <row r="304" spans="5:5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60">
    <mergeCell ref="D60:D62"/>
    <mergeCell ref="D28:D29"/>
    <mergeCell ref="D30:D37"/>
    <mergeCell ref="D41:D50"/>
    <mergeCell ref="D52:D54"/>
    <mergeCell ref="D56:D57"/>
    <mergeCell ref="F41:F50"/>
    <mergeCell ref="G41:G50"/>
    <mergeCell ref="H41:H50"/>
    <mergeCell ref="F52:F54"/>
    <mergeCell ref="G52:G54"/>
    <mergeCell ref="H52:H54"/>
    <mergeCell ref="F56:F57"/>
    <mergeCell ref="G56:G57"/>
    <mergeCell ref="H56:H57"/>
    <mergeCell ref="F60:F62"/>
    <mergeCell ref="G60:G62"/>
    <mergeCell ref="H60:H62"/>
    <mergeCell ref="F28:F29"/>
    <mergeCell ref="G28:G29"/>
    <mergeCell ref="H28:H29"/>
    <mergeCell ref="G30:G37"/>
    <mergeCell ref="H30:H37"/>
    <mergeCell ref="F30:F37"/>
    <mergeCell ref="D12:D21"/>
    <mergeCell ref="F12:F21"/>
    <mergeCell ref="G12:G21"/>
    <mergeCell ref="H12:H21"/>
    <mergeCell ref="H24:H26"/>
    <mergeCell ref="F24:F26"/>
    <mergeCell ref="G24:G26"/>
    <mergeCell ref="D24:D26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K85:AG85"/>
    <mergeCell ref="K86:AG86"/>
    <mergeCell ref="K87:AG87"/>
    <mergeCell ref="D63:D64"/>
    <mergeCell ref="D68:D69"/>
    <mergeCell ref="F68:F69"/>
    <mergeCell ref="G68:G69"/>
    <mergeCell ref="D83:F83"/>
    <mergeCell ref="I84:J84"/>
    <mergeCell ref="K84:AG84"/>
    <mergeCell ref="F63:F64"/>
    <mergeCell ref="G63:G64"/>
    <mergeCell ref="D84:F84"/>
    <mergeCell ref="D85:F85"/>
    <mergeCell ref="D86:F86"/>
    <mergeCell ref="A93:C93"/>
    <mergeCell ref="A94:C94"/>
  </mergeCells>
  <pageMargins left="0.7" right="0.7" top="0.75" bottom="0.75" header="0" footer="0"/>
  <pageSetup paperSize="1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035"/>
  <sheetViews>
    <sheetView tabSelected="1" zoomScale="70" zoomScaleNormal="70" workbookViewId="0">
      <selection activeCell="I43" sqref="I43"/>
    </sheetView>
  </sheetViews>
  <sheetFormatPr defaultColWidth="12.625" defaultRowHeight="15" customHeight="1" x14ac:dyDescent="0.2"/>
  <cols>
    <col min="1" max="1" width="13" customWidth="1"/>
    <col min="2" max="2" width="15" customWidth="1"/>
    <col min="3" max="3" width="61.125" customWidth="1"/>
    <col min="4" max="4" width="11.625" customWidth="1"/>
    <col min="5" max="5" width="12" customWidth="1"/>
    <col min="6" max="6" width="13.5" customWidth="1"/>
    <col min="7" max="7" width="29.5" customWidth="1"/>
    <col min="8" max="8" width="15.625" customWidth="1"/>
    <col min="9" max="13" width="7.625" customWidth="1"/>
    <col min="14" max="34" width="0.375" customWidth="1"/>
    <col min="35" max="35" width="22.625" customWidth="1"/>
    <col min="36" max="36" width="7.625" customWidth="1"/>
  </cols>
  <sheetData>
    <row r="1" spans="1:36" ht="15.75" x14ac:dyDescent="0.2">
      <c r="A1" s="245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160"/>
    </row>
    <row r="2" spans="1:36" ht="14.25" x14ac:dyDescent="0.2">
      <c r="AJ2" s="160"/>
    </row>
    <row r="3" spans="1:36" x14ac:dyDescent="0.25">
      <c r="A3" s="24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160"/>
    </row>
    <row r="4" spans="1:36" ht="14.25" x14ac:dyDescent="0.2">
      <c r="A4" s="246" t="s">
        <v>210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160"/>
    </row>
    <row r="5" spans="1:36" x14ac:dyDescent="0.2">
      <c r="A5" s="6"/>
      <c r="B5" s="4"/>
      <c r="C5" s="4"/>
      <c r="D5" s="4"/>
      <c r="E5" s="5"/>
      <c r="F5" s="161"/>
      <c r="G5" s="162"/>
      <c r="H5" s="16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60"/>
    </row>
    <row r="6" spans="1:36" x14ac:dyDescent="0.2">
      <c r="A6" s="3" t="s">
        <v>3</v>
      </c>
      <c r="B6" s="4"/>
      <c r="C6" s="4"/>
      <c r="D6" s="4"/>
      <c r="E6" s="5"/>
      <c r="F6" s="161"/>
      <c r="G6" s="162"/>
      <c r="H6" s="16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60"/>
    </row>
    <row r="7" spans="1:36" x14ac:dyDescent="0.2">
      <c r="A7" s="6" t="s">
        <v>4</v>
      </c>
      <c r="B7" s="4"/>
      <c r="C7" s="4"/>
      <c r="D7" s="4"/>
      <c r="E7" s="5"/>
      <c r="F7" s="161"/>
      <c r="G7" s="162"/>
      <c r="H7" s="16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60"/>
    </row>
    <row r="8" spans="1:36" ht="22.5" customHeight="1" x14ac:dyDescent="0.2">
      <c r="A8" s="248" t="s">
        <v>5</v>
      </c>
      <c r="B8" s="240" t="s">
        <v>6</v>
      </c>
      <c r="C8" s="240" t="s">
        <v>7</v>
      </c>
      <c r="D8" s="11" t="s">
        <v>8</v>
      </c>
      <c r="E8" s="250" t="s">
        <v>9</v>
      </c>
      <c r="F8" s="251" t="s">
        <v>10</v>
      </c>
      <c r="G8" s="240" t="s">
        <v>11</v>
      </c>
      <c r="H8" s="240" t="s">
        <v>12</v>
      </c>
      <c r="I8" s="242" t="s">
        <v>13</v>
      </c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4"/>
      <c r="AJ8" s="163"/>
    </row>
    <row r="9" spans="1:36" ht="24" x14ac:dyDescent="0.2">
      <c r="A9" s="249"/>
      <c r="B9" s="241"/>
      <c r="C9" s="241"/>
      <c r="D9" s="14" t="s">
        <v>14</v>
      </c>
      <c r="E9" s="241"/>
      <c r="F9" s="241"/>
      <c r="G9" s="241"/>
      <c r="H9" s="241"/>
      <c r="I9" s="14" t="s">
        <v>211</v>
      </c>
      <c r="J9" s="14" t="s">
        <v>212</v>
      </c>
      <c r="K9" s="14" t="s">
        <v>213</v>
      </c>
      <c r="L9" s="15" t="s">
        <v>18</v>
      </c>
      <c r="M9" s="15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4" t="s">
        <v>27</v>
      </c>
      <c r="V9" s="14" t="s">
        <v>28</v>
      </c>
      <c r="W9" s="14" t="s">
        <v>29</v>
      </c>
      <c r="X9" s="14" t="s">
        <v>30</v>
      </c>
      <c r="Y9" s="14" t="s">
        <v>31</v>
      </c>
      <c r="Z9" s="14" t="s">
        <v>32</v>
      </c>
      <c r="AA9" s="14" t="s">
        <v>33</v>
      </c>
      <c r="AB9" s="14" t="s">
        <v>34</v>
      </c>
      <c r="AC9" s="14" t="s">
        <v>35</v>
      </c>
      <c r="AD9" s="14" t="s">
        <v>36</v>
      </c>
      <c r="AE9" s="14" t="s">
        <v>37</v>
      </c>
      <c r="AF9" s="14" t="s">
        <v>38</v>
      </c>
      <c r="AG9" s="14" t="s">
        <v>39</v>
      </c>
      <c r="AH9" s="14" t="s">
        <v>40</v>
      </c>
      <c r="AI9" s="16" t="s">
        <v>41</v>
      </c>
      <c r="AJ9" s="164"/>
    </row>
    <row r="10" spans="1:36" ht="48" x14ac:dyDescent="0.2">
      <c r="A10" s="18" t="s">
        <v>42</v>
      </c>
      <c r="B10" s="19" t="s">
        <v>43</v>
      </c>
      <c r="C10" s="165" t="s">
        <v>44</v>
      </c>
      <c r="D10" s="165" t="s">
        <v>45</v>
      </c>
      <c r="E10" s="166" t="s">
        <v>46</v>
      </c>
      <c r="F10" s="167" t="s">
        <v>47</v>
      </c>
      <c r="G10" s="165" t="s">
        <v>48</v>
      </c>
      <c r="H10" s="165" t="s">
        <v>49</v>
      </c>
      <c r="I10" s="19" t="s">
        <v>50</v>
      </c>
      <c r="J10" s="19" t="s">
        <v>51</v>
      </c>
      <c r="K10" s="19" t="s">
        <v>52</v>
      </c>
      <c r="L10" s="19" t="s">
        <v>53</v>
      </c>
      <c r="M10" s="19" t="s">
        <v>54</v>
      </c>
      <c r="N10" s="19" t="s">
        <v>55</v>
      </c>
      <c r="O10" s="19" t="s">
        <v>56</v>
      </c>
      <c r="P10" s="19" t="s">
        <v>57</v>
      </c>
      <c r="Q10" s="19" t="s">
        <v>58</v>
      </c>
      <c r="R10" s="19" t="s">
        <v>59</v>
      </c>
      <c r="S10" s="19" t="s">
        <v>60</v>
      </c>
      <c r="T10" s="19" t="s">
        <v>61</v>
      </c>
      <c r="U10" s="19" t="s">
        <v>62</v>
      </c>
      <c r="V10" s="19" t="s">
        <v>63</v>
      </c>
      <c r="W10" s="19" t="s">
        <v>64</v>
      </c>
      <c r="X10" s="19" t="s">
        <v>65</v>
      </c>
      <c r="Y10" s="19" t="s">
        <v>66</v>
      </c>
      <c r="Z10" s="19" t="s">
        <v>67</v>
      </c>
      <c r="AA10" s="19" t="s">
        <v>68</v>
      </c>
      <c r="AB10" s="19" t="s">
        <v>69</v>
      </c>
      <c r="AC10" s="19" t="s">
        <v>70</v>
      </c>
      <c r="AD10" s="19" t="s">
        <v>71</v>
      </c>
      <c r="AE10" s="19" t="s">
        <v>72</v>
      </c>
      <c r="AF10" s="19" t="s">
        <v>73</v>
      </c>
      <c r="AG10" s="19" t="s">
        <v>74</v>
      </c>
      <c r="AH10" s="19" t="s">
        <v>75</v>
      </c>
      <c r="AI10" s="22" t="s">
        <v>76</v>
      </c>
      <c r="AJ10" s="168"/>
    </row>
    <row r="11" spans="1:36" ht="14.25" x14ac:dyDescent="0.2">
      <c r="A11" s="10" t="s">
        <v>77</v>
      </c>
      <c r="B11" s="169"/>
      <c r="C11" s="169" t="s">
        <v>78</v>
      </c>
      <c r="D11" s="170"/>
      <c r="E11" s="171"/>
      <c r="F11" s="172"/>
      <c r="G11" s="170"/>
      <c r="H11" s="170"/>
      <c r="I11" s="173"/>
      <c r="J11" s="170"/>
      <c r="K11" s="170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5"/>
      <c r="AJ11" s="176"/>
    </row>
    <row r="12" spans="1:36" ht="14.25" x14ac:dyDescent="0.2">
      <c r="A12" s="32"/>
      <c r="B12" s="33"/>
      <c r="C12" s="96" t="s">
        <v>214</v>
      </c>
      <c r="D12" s="252" t="s">
        <v>81</v>
      </c>
      <c r="E12" s="36">
        <v>300</v>
      </c>
      <c r="F12" s="233">
        <f>SUMPRODUCT(E12:E26,I12:I26)</f>
        <v>117000</v>
      </c>
      <c r="G12" s="253" t="s">
        <v>113</v>
      </c>
      <c r="H12" s="253" t="s">
        <v>215</v>
      </c>
      <c r="I12" s="38">
        <v>5</v>
      </c>
      <c r="J12" s="177"/>
      <c r="K12" s="39"/>
      <c r="L12" s="40"/>
      <c r="M12" s="40"/>
      <c r="N12" s="40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2"/>
      <c r="AJ12" s="260">
        <v>307</v>
      </c>
    </row>
    <row r="13" spans="1:36" ht="14.25" x14ac:dyDescent="0.2">
      <c r="A13" s="32"/>
      <c r="B13" s="39"/>
      <c r="C13" s="178" t="s">
        <v>216</v>
      </c>
      <c r="D13" s="234"/>
      <c r="E13" s="44">
        <v>50</v>
      </c>
      <c r="F13" s="234"/>
      <c r="G13" s="234"/>
      <c r="H13" s="234"/>
      <c r="I13" s="38">
        <v>10</v>
      </c>
      <c r="J13" s="177"/>
      <c r="K13" s="39"/>
      <c r="L13" s="40"/>
      <c r="M13" s="40"/>
      <c r="N13" s="40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2"/>
      <c r="AJ13" s="261"/>
    </row>
    <row r="14" spans="1:36" ht="14.25" x14ac:dyDescent="0.2">
      <c r="A14" s="32"/>
      <c r="B14" s="33"/>
      <c r="C14" s="57" t="s">
        <v>217</v>
      </c>
      <c r="D14" s="234"/>
      <c r="E14" s="46">
        <v>70</v>
      </c>
      <c r="F14" s="234"/>
      <c r="G14" s="234"/>
      <c r="H14" s="234"/>
      <c r="I14" s="38">
        <v>10</v>
      </c>
      <c r="J14" s="177"/>
      <c r="K14" s="39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2"/>
      <c r="AJ14" s="261"/>
    </row>
    <row r="15" spans="1:36" ht="14.25" x14ac:dyDescent="0.2">
      <c r="A15" s="32"/>
      <c r="B15" s="33" t="s">
        <v>79</v>
      </c>
      <c r="C15" s="34" t="s">
        <v>80</v>
      </c>
      <c r="D15" s="234"/>
      <c r="E15" s="36">
        <v>60</v>
      </c>
      <c r="F15" s="234"/>
      <c r="G15" s="234"/>
      <c r="H15" s="234"/>
      <c r="I15" s="38">
        <v>10</v>
      </c>
      <c r="J15" s="177"/>
      <c r="K15" s="39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2"/>
      <c r="AJ15" s="261"/>
    </row>
    <row r="16" spans="1:36" ht="14.25" x14ac:dyDescent="0.2">
      <c r="A16" s="32"/>
      <c r="B16" s="39" t="s">
        <v>84</v>
      </c>
      <c r="C16" s="43" t="s">
        <v>85</v>
      </c>
      <c r="D16" s="234"/>
      <c r="E16" s="44">
        <v>380</v>
      </c>
      <c r="F16" s="234"/>
      <c r="G16" s="234"/>
      <c r="H16" s="234"/>
      <c r="I16" s="38">
        <v>30</v>
      </c>
      <c r="J16" s="177"/>
      <c r="K16" s="39"/>
      <c r="L16" s="40"/>
      <c r="M16" s="40"/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2"/>
      <c r="AJ16" s="261"/>
    </row>
    <row r="17" spans="1:36" ht="14.25" x14ac:dyDescent="0.2">
      <c r="A17" s="32"/>
      <c r="B17" s="33" t="s">
        <v>86</v>
      </c>
      <c r="C17" s="45" t="s">
        <v>87</v>
      </c>
      <c r="D17" s="234"/>
      <c r="E17" s="46">
        <v>380</v>
      </c>
      <c r="F17" s="234"/>
      <c r="G17" s="234"/>
      <c r="H17" s="234"/>
      <c r="I17" s="38">
        <v>20</v>
      </c>
      <c r="J17" s="177"/>
      <c r="K17" s="39"/>
      <c r="L17" s="40"/>
      <c r="M17" s="40"/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2"/>
      <c r="AJ17" s="261"/>
    </row>
    <row r="18" spans="1:36" ht="14.25" x14ac:dyDescent="0.2">
      <c r="A18" s="32"/>
      <c r="B18" s="33" t="s">
        <v>88</v>
      </c>
      <c r="C18" s="45" t="s">
        <v>218</v>
      </c>
      <c r="D18" s="234"/>
      <c r="E18" s="46">
        <v>150</v>
      </c>
      <c r="F18" s="234"/>
      <c r="G18" s="234"/>
      <c r="H18" s="234"/>
      <c r="I18" s="38">
        <v>50</v>
      </c>
      <c r="J18" s="177"/>
      <c r="K18" s="39"/>
      <c r="L18" s="40"/>
      <c r="M18" s="40"/>
      <c r="N18" s="40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2"/>
      <c r="AJ18" s="261"/>
    </row>
    <row r="19" spans="1:36" ht="14.25" x14ac:dyDescent="0.2">
      <c r="A19" s="32"/>
      <c r="B19" s="33" t="s">
        <v>90</v>
      </c>
      <c r="C19" s="45" t="s">
        <v>91</v>
      </c>
      <c r="D19" s="234"/>
      <c r="E19" s="44">
        <v>35</v>
      </c>
      <c r="F19" s="234"/>
      <c r="G19" s="234"/>
      <c r="H19" s="234"/>
      <c r="I19" s="38">
        <v>20</v>
      </c>
      <c r="J19" s="177"/>
      <c r="K19" s="39"/>
      <c r="L19" s="40"/>
      <c r="M19" s="40"/>
      <c r="N19" s="40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2"/>
      <c r="AJ19" s="261"/>
    </row>
    <row r="20" spans="1:36" ht="14.25" x14ac:dyDescent="0.2">
      <c r="A20" s="32"/>
      <c r="B20" s="33" t="s">
        <v>92</v>
      </c>
      <c r="C20" s="34" t="s">
        <v>219</v>
      </c>
      <c r="D20" s="234"/>
      <c r="E20" s="36">
        <v>150</v>
      </c>
      <c r="F20" s="234"/>
      <c r="G20" s="234"/>
      <c r="H20" s="234"/>
      <c r="I20" s="38">
        <v>50</v>
      </c>
      <c r="J20" s="177"/>
      <c r="K20" s="39"/>
      <c r="L20" s="40"/>
      <c r="M20" s="40"/>
      <c r="N20" s="40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2"/>
      <c r="AJ20" s="261"/>
    </row>
    <row r="21" spans="1:36" ht="14.25" x14ac:dyDescent="0.2">
      <c r="A21" s="32"/>
      <c r="B21" s="33" t="s">
        <v>94</v>
      </c>
      <c r="C21" s="45" t="s">
        <v>220</v>
      </c>
      <c r="D21" s="234"/>
      <c r="E21" s="46">
        <v>150</v>
      </c>
      <c r="F21" s="234"/>
      <c r="G21" s="234"/>
      <c r="H21" s="234"/>
      <c r="I21" s="38">
        <v>50</v>
      </c>
      <c r="J21" s="177"/>
      <c r="K21" s="39"/>
      <c r="L21" s="40"/>
      <c r="M21" s="40"/>
      <c r="N21" s="40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2"/>
      <c r="AJ21" s="261"/>
    </row>
    <row r="22" spans="1:36" ht="14.25" x14ac:dyDescent="0.2">
      <c r="A22" s="32"/>
      <c r="B22" s="49" t="s">
        <v>96</v>
      </c>
      <c r="C22" s="50" t="s">
        <v>97</v>
      </c>
      <c r="D22" s="234"/>
      <c r="E22" s="51">
        <v>500</v>
      </c>
      <c r="F22" s="234"/>
      <c r="G22" s="234"/>
      <c r="H22" s="234"/>
      <c r="I22" s="38">
        <v>10</v>
      </c>
      <c r="J22" s="177"/>
      <c r="K22" s="39"/>
      <c r="L22" s="40"/>
      <c r="M22" s="40"/>
      <c r="N22" s="40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2"/>
      <c r="AJ22" s="261"/>
    </row>
    <row r="23" spans="1:36" ht="14.25" x14ac:dyDescent="0.2">
      <c r="A23" s="32"/>
      <c r="B23" s="33" t="s">
        <v>98</v>
      </c>
      <c r="C23" s="45" t="s">
        <v>99</v>
      </c>
      <c r="D23" s="234"/>
      <c r="E23" s="55">
        <v>100</v>
      </c>
      <c r="F23" s="234"/>
      <c r="G23" s="234"/>
      <c r="H23" s="234"/>
      <c r="I23" s="38">
        <v>5</v>
      </c>
      <c r="J23" s="177"/>
      <c r="K23" s="39"/>
      <c r="L23" s="40"/>
      <c r="M23" s="40"/>
      <c r="N23" s="40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2"/>
      <c r="AJ23" s="261"/>
    </row>
    <row r="24" spans="1:36" ht="14.25" x14ac:dyDescent="0.2">
      <c r="A24" s="32"/>
      <c r="B24" s="33"/>
      <c r="C24" s="45" t="s">
        <v>100</v>
      </c>
      <c r="D24" s="234"/>
      <c r="E24" s="55">
        <v>200</v>
      </c>
      <c r="F24" s="234"/>
      <c r="G24" s="234"/>
      <c r="H24" s="234"/>
      <c r="I24" s="38">
        <v>5</v>
      </c>
      <c r="J24" s="177"/>
      <c r="K24" s="39"/>
      <c r="L24" s="40"/>
      <c r="M24" s="40"/>
      <c r="N24" s="40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2"/>
      <c r="AJ24" s="261"/>
    </row>
    <row r="25" spans="1:36" ht="15.75" customHeight="1" x14ac:dyDescent="0.2">
      <c r="A25" s="32"/>
      <c r="B25" s="56"/>
      <c r="C25" s="57" t="s">
        <v>221</v>
      </c>
      <c r="D25" s="234"/>
      <c r="E25" s="55">
        <v>8000</v>
      </c>
      <c r="F25" s="234"/>
      <c r="G25" s="234"/>
      <c r="H25" s="234"/>
      <c r="I25" s="47">
        <v>5</v>
      </c>
      <c r="J25" s="177"/>
      <c r="K25" s="39"/>
      <c r="L25" s="40"/>
      <c r="M25" s="40"/>
      <c r="N25" s="40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2"/>
      <c r="AJ25" s="261"/>
    </row>
    <row r="26" spans="1:36" ht="15.75" customHeight="1" x14ac:dyDescent="0.2">
      <c r="A26" s="32"/>
      <c r="B26" s="56"/>
      <c r="C26" s="57" t="s">
        <v>222</v>
      </c>
      <c r="D26" s="222"/>
      <c r="E26" s="55">
        <v>500</v>
      </c>
      <c r="F26" s="222"/>
      <c r="G26" s="222"/>
      <c r="H26" s="222"/>
      <c r="I26" s="47">
        <v>50</v>
      </c>
      <c r="J26" s="177"/>
      <c r="K26" s="39"/>
      <c r="L26" s="52"/>
      <c r="M26" s="52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4"/>
      <c r="AJ26" s="261"/>
    </row>
    <row r="27" spans="1:36" ht="24" x14ac:dyDescent="0.2">
      <c r="A27" s="32"/>
      <c r="B27" s="56"/>
      <c r="C27" s="57" t="s">
        <v>223</v>
      </c>
      <c r="D27" s="97" t="s">
        <v>224</v>
      </c>
      <c r="E27" s="55">
        <v>49999.99</v>
      </c>
      <c r="F27" s="37">
        <f>E27*SUM(I27:K27)</f>
        <v>199999.96</v>
      </c>
      <c r="G27" s="60" t="s">
        <v>113</v>
      </c>
      <c r="H27" s="60" t="s">
        <v>215</v>
      </c>
      <c r="I27" s="47"/>
      <c r="J27" s="179">
        <v>4</v>
      </c>
      <c r="K27" s="39"/>
      <c r="L27" s="52"/>
      <c r="M27" s="52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4"/>
      <c r="AJ27" s="164"/>
    </row>
    <row r="28" spans="1:36" ht="15.75" customHeight="1" x14ac:dyDescent="0.2">
      <c r="A28" s="180" t="s">
        <v>103</v>
      </c>
      <c r="B28" s="84"/>
      <c r="C28" s="181" t="s">
        <v>104</v>
      </c>
      <c r="D28" s="182"/>
      <c r="E28" s="183"/>
      <c r="F28" s="183"/>
      <c r="G28" s="58"/>
      <c r="H28" s="62"/>
      <c r="I28" s="39"/>
      <c r="J28" s="39"/>
      <c r="K28" s="39"/>
      <c r="L28" s="52"/>
      <c r="M28" s="52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4"/>
      <c r="AJ28" s="184"/>
    </row>
    <row r="29" spans="1:36" ht="14.25" x14ac:dyDescent="0.2">
      <c r="A29" s="73"/>
      <c r="B29" s="33"/>
      <c r="C29" s="185" t="s">
        <v>225</v>
      </c>
      <c r="D29" s="230" t="s">
        <v>81</v>
      </c>
      <c r="E29" s="46">
        <v>300</v>
      </c>
      <c r="F29" s="233">
        <f>SUMPRODUCT(E29:E42,J29:J42)</f>
        <v>145500</v>
      </c>
      <c r="G29" s="253" t="s">
        <v>113</v>
      </c>
      <c r="H29" s="253" t="s">
        <v>215</v>
      </c>
      <c r="I29" s="77"/>
      <c r="J29" s="77">
        <v>5</v>
      </c>
      <c r="K29" s="77"/>
      <c r="L29" s="78"/>
      <c r="M29" s="78"/>
      <c r="N29" s="78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80"/>
      <c r="AJ29" s="184"/>
    </row>
    <row r="30" spans="1:36" ht="15.75" customHeight="1" x14ac:dyDescent="0.2">
      <c r="A30" s="73"/>
      <c r="B30" s="33"/>
      <c r="C30" s="185" t="s">
        <v>226</v>
      </c>
      <c r="D30" s="234"/>
      <c r="E30" s="46">
        <v>200</v>
      </c>
      <c r="F30" s="234"/>
      <c r="G30" s="234"/>
      <c r="H30" s="234"/>
      <c r="I30" s="77"/>
      <c r="J30" s="77">
        <v>10</v>
      </c>
      <c r="K30" s="77"/>
      <c r="L30" s="78"/>
      <c r="M30" s="78"/>
      <c r="N30" s="78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80"/>
      <c r="AJ30" s="184"/>
    </row>
    <row r="31" spans="1:36" ht="15.75" customHeight="1" x14ac:dyDescent="0.2">
      <c r="A31" s="73"/>
      <c r="B31" s="33"/>
      <c r="C31" s="185" t="s">
        <v>227</v>
      </c>
      <c r="D31" s="234"/>
      <c r="E31" s="46">
        <v>300</v>
      </c>
      <c r="F31" s="234"/>
      <c r="G31" s="234"/>
      <c r="H31" s="234"/>
      <c r="I31" s="77"/>
      <c r="J31" s="77">
        <v>10</v>
      </c>
      <c r="K31" s="77"/>
      <c r="L31" s="78"/>
      <c r="M31" s="78"/>
      <c r="N31" s="78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80"/>
      <c r="AJ31" s="184"/>
    </row>
    <row r="32" spans="1:36" ht="15.75" customHeight="1" x14ac:dyDescent="0.2">
      <c r="A32" s="32"/>
      <c r="B32" s="34"/>
      <c r="C32" s="185" t="s">
        <v>228</v>
      </c>
      <c r="D32" s="234"/>
      <c r="E32" s="82">
        <v>600</v>
      </c>
      <c r="F32" s="234"/>
      <c r="G32" s="234"/>
      <c r="H32" s="234"/>
      <c r="I32" s="62"/>
      <c r="J32" s="62">
        <v>10</v>
      </c>
      <c r="K32" s="62"/>
      <c r="L32" s="40"/>
      <c r="M32" s="40"/>
      <c r="N32" s="40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2"/>
      <c r="AJ32" s="176"/>
    </row>
    <row r="33" spans="1:36" ht="15.75" customHeight="1" x14ac:dyDescent="0.2">
      <c r="A33" s="32"/>
      <c r="B33" s="34"/>
      <c r="C33" s="34" t="s">
        <v>229</v>
      </c>
      <c r="D33" s="234"/>
      <c r="E33" s="186">
        <v>1000</v>
      </c>
      <c r="F33" s="234"/>
      <c r="G33" s="234"/>
      <c r="H33" s="234"/>
      <c r="I33" s="90"/>
      <c r="J33" s="90">
        <v>5</v>
      </c>
      <c r="K33" s="90"/>
      <c r="L33" s="52"/>
      <c r="M33" s="40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  <c r="AJ33" s="176"/>
    </row>
    <row r="34" spans="1:36" ht="15.75" customHeight="1" x14ac:dyDescent="0.2">
      <c r="A34" s="32"/>
      <c r="B34" s="34"/>
      <c r="C34" s="45" t="s">
        <v>230</v>
      </c>
      <c r="D34" s="234"/>
      <c r="E34" s="186">
        <v>1200</v>
      </c>
      <c r="F34" s="234"/>
      <c r="G34" s="234"/>
      <c r="H34" s="234"/>
      <c r="I34" s="77"/>
      <c r="J34" s="77">
        <v>5</v>
      </c>
      <c r="K34" s="77"/>
      <c r="L34" s="78"/>
      <c r="M34" s="40"/>
      <c r="N34" s="40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2"/>
      <c r="AJ34" s="176"/>
    </row>
    <row r="35" spans="1:36" ht="15.75" customHeight="1" x14ac:dyDescent="0.2">
      <c r="A35" s="32"/>
      <c r="B35" s="95"/>
      <c r="C35" s="50" t="s">
        <v>231</v>
      </c>
      <c r="D35" s="234"/>
      <c r="E35" s="186">
        <v>2000</v>
      </c>
      <c r="F35" s="234"/>
      <c r="G35" s="234"/>
      <c r="H35" s="234"/>
      <c r="I35" s="77"/>
      <c r="J35" s="77">
        <v>10</v>
      </c>
      <c r="K35" s="77"/>
      <c r="L35" s="78"/>
      <c r="M35" s="40"/>
      <c r="N35" s="40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2"/>
      <c r="AJ35" s="176"/>
    </row>
    <row r="36" spans="1:36" ht="15.75" customHeight="1" x14ac:dyDescent="0.2">
      <c r="A36" s="32"/>
      <c r="B36" s="95"/>
      <c r="C36" s="50" t="s">
        <v>232</v>
      </c>
      <c r="D36" s="234"/>
      <c r="E36" s="186">
        <v>500</v>
      </c>
      <c r="F36" s="234"/>
      <c r="G36" s="234"/>
      <c r="H36" s="234"/>
      <c r="I36" s="77"/>
      <c r="J36" s="77">
        <v>10</v>
      </c>
      <c r="K36" s="77"/>
      <c r="L36" s="78"/>
      <c r="M36" s="40"/>
      <c r="N36" s="40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2"/>
      <c r="AJ36" s="176"/>
    </row>
    <row r="37" spans="1:36" ht="15.75" customHeight="1" x14ac:dyDescent="0.2">
      <c r="A37" s="32"/>
      <c r="B37" s="33" t="s">
        <v>105</v>
      </c>
      <c r="C37" s="74" t="s">
        <v>233</v>
      </c>
      <c r="D37" s="234"/>
      <c r="E37" s="186">
        <v>250</v>
      </c>
      <c r="F37" s="234"/>
      <c r="G37" s="234"/>
      <c r="H37" s="234"/>
      <c r="I37" s="77"/>
      <c r="J37" s="77">
        <v>50</v>
      </c>
      <c r="K37" s="77"/>
      <c r="L37" s="78"/>
      <c r="M37" s="40"/>
      <c r="N37" s="40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2"/>
      <c r="AJ37" s="176"/>
    </row>
    <row r="38" spans="1:36" ht="15.75" customHeight="1" x14ac:dyDescent="0.2">
      <c r="A38" s="32"/>
      <c r="B38" s="33" t="s">
        <v>107</v>
      </c>
      <c r="C38" s="74" t="s">
        <v>234</v>
      </c>
      <c r="D38" s="234"/>
      <c r="E38" s="186">
        <v>1500</v>
      </c>
      <c r="F38" s="234"/>
      <c r="G38" s="234"/>
      <c r="H38" s="234"/>
      <c r="I38" s="77"/>
      <c r="J38" s="77">
        <v>20</v>
      </c>
      <c r="K38" s="77"/>
      <c r="L38" s="78"/>
      <c r="M38" s="40"/>
      <c r="N38" s="40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2"/>
      <c r="AJ38" s="176"/>
    </row>
    <row r="39" spans="1:36" ht="15.75" customHeight="1" x14ac:dyDescent="0.2">
      <c r="A39" s="32"/>
      <c r="B39" s="33" t="s">
        <v>109</v>
      </c>
      <c r="C39" s="74" t="s">
        <v>235</v>
      </c>
      <c r="D39" s="234"/>
      <c r="E39" s="186">
        <v>1500</v>
      </c>
      <c r="F39" s="234"/>
      <c r="G39" s="234"/>
      <c r="H39" s="234"/>
      <c r="I39" s="77"/>
      <c r="J39" s="77">
        <v>20</v>
      </c>
      <c r="K39" s="77"/>
      <c r="L39" s="78"/>
      <c r="M39" s="40"/>
      <c r="N39" s="40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2"/>
      <c r="AJ39" s="176"/>
    </row>
    <row r="40" spans="1:36" ht="14.25" x14ac:dyDescent="0.2">
      <c r="A40" s="32"/>
      <c r="B40" s="95"/>
      <c r="C40" s="45" t="s">
        <v>114</v>
      </c>
      <c r="D40" s="234"/>
      <c r="E40" s="82">
        <v>6000</v>
      </c>
      <c r="F40" s="234"/>
      <c r="G40" s="234"/>
      <c r="H40" s="234"/>
      <c r="I40" s="62"/>
      <c r="J40" s="62">
        <v>2</v>
      </c>
      <c r="K40" s="77"/>
      <c r="L40" s="78"/>
      <c r="M40" s="40"/>
      <c r="N40" s="40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2"/>
      <c r="AJ40" s="176"/>
    </row>
    <row r="41" spans="1:36" ht="15.75" customHeight="1" x14ac:dyDescent="0.2">
      <c r="A41" s="32"/>
      <c r="B41" s="95"/>
      <c r="C41" s="45" t="s">
        <v>115</v>
      </c>
      <c r="D41" s="234"/>
      <c r="E41" s="82">
        <v>5000</v>
      </c>
      <c r="F41" s="234"/>
      <c r="G41" s="234"/>
      <c r="H41" s="234"/>
      <c r="I41" s="187"/>
      <c r="J41" s="62">
        <v>2</v>
      </c>
      <c r="K41" s="77"/>
      <c r="L41" s="78"/>
      <c r="M41" s="40"/>
      <c r="N41" s="40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2"/>
      <c r="AJ41" s="176"/>
    </row>
    <row r="42" spans="1:36" ht="15.75" customHeight="1" x14ac:dyDescent="0.2">
      <c r="A42" s="32"/>
      <c r="B42" s="95"/>
      <c r="C42" s="57" t="s">
        <v>236</v>
      </c>
      <c r="D42" s="222"/>
      <c r="E42" s="82">
        <v>500</v>
      </c>
      <c r="F42" s="234"/>
      <c r="G42" s="222"/>
      <c r="H42" s="222"/>
      <c r="I42" s="88"/>
      <c r="J42" s="62">
        <v>5</v>
      </c>
      <c r="K42" s="77"/>
      <c r="L42" s="78"/>
      <c r="M42" s="40"/>
      <c r="N42" s="40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2"/>
      <c r="AJ42" s="176"/>
    </row>
    <row r="43" spans="1:36" ht="216" x14ac:dyDescent="0.2">
      <c r="A43" s="32"/>
      <c r="B43" s="34"/>
      <c r="C43" s="103" t="s">
        <v>308</v>
      </c>
      <c r="D43" s="58" t="s">
        <v>81</v>
      </c>
      <c r="E43" s="82">
        <v>165000</v>
      </c>
      <c r="F43" s="188">
        <v>165000</v>
      </c>
      <c r="G43" s="60" t="s">
        <v>113</v>
      </c>
      <c r="H43" s="58" t="s">
        <v>215</v>
      </c>
      <c r="I43" s="62">
        <v>1</v>
      </c>
      <c r="J43" s="62"/>
      <c r="K43" s="62"/>
      <c r="L43" s="40"/>
      <c r="M43" s="40"/>
      <c r="N43" s="40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2"/>
      <c r="AJ43" s="176">
        <v>334</v>
      </c>
    </row>
    <row r="44" spans="1:36" ht="14.25" x14ac:dyDescent="0.2">
      <c r="A44" s="32"/>
      <c r="B44" s="34"/>
      <c r="C44" s="57" t="s">
        <v>237</v>
      </c>
      <c r="D44" s="231" t="s">
        <v>81</v>
      </c>
      <c r="E44" s="82">
        <v>30000</v>
      </c>
      <c r="F44" s="233">
        <f>SUMPRODUCT(E44:E45,I44:I45)</f>
        <v>150000</v>
      </c>
      <c r="G44" s="235" t="s">
        <v>113</v>
      </c>
      <c r="H44" s="231" t="s">
        <v>238</v>
      </c>
      <c r="I44" s="62">
        <v>3</v>
      </c>
      <c r="J44" s="62"/>
      <c r="K44" s="62"/>
      <c r="L44" s="40"/>
      <c r="M44" s="40"/>
      <c r="N44" s="40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2"/>
      <c r="AJ44" s="260">
        <v>335</v>
      </c>
    </row>
    <row r="45" spans="1:36" ht="48" x14ac:dyDescent="0.2">
      <c r="A45" s="32"/>
      <c r="B45" s="95"/>
      <c r="C45" s="50" t="s">
        <v>239</v>
      </c>
      <c r="D45" s="236"/>
      <c r="E45" s="55">
        <v>1000</v>
      </c>
      <c r="F45" s="222"/>
      <c r="G45" s="236"/>
      <c r="H45" s="236"/>
      <c r="I45" s="88">
        <v>60</v>
      </c>
      <c r="J45" s="62"/>
      <c r="K45" s="77"/>
      <c r="L45" s="78"/>
      <c r="M45" s="40"/>
      <c r="N45" s="40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2"/>
      <c r="AJ45" s="261"/>
    </row>
    <row r="46" spans="1:36" ht="15.75" customHeight="1" x14ac:dyDescent="0.2">
      <c r="A46" s="32"/>
      <c r="B46" s="95"/>
      <c r="C46" s="87" t="s">
        <v>240</v>
      </c>
      <c r="D46" s="231" t="s">
        <v>81</v>
      </c>
      <c r="E46" s="55">
        <v>1000</v>
      </c>
      <c r="F46" s="262">
        <f>SUMPRODUCT(E46:E60,J46:J60)</f>
        <v>83400</v>
      </c>
      <c r="G46" s="253" t="s">
        <v>113</v>
      </c>
      <c r="H46" s="253" t="s">
        <v>215</v>
      </c>
      <c r="I46" s="62"/>
      <c r="J46" s="62">
        <v>6</v>
      </c>
      <c r="K46" s="77"/>
      <c r="L46" s="78"/>
      <c r="M46" s="40"/>
      <c r="N46" s="40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2"/>
      <c r="AJ46" s="176"/>
    </row>
    <row r="47" spans="1:36" ht="15.75" customHeight="1" x14ac:dyDescent="0.2">
      <c r="A47" s="32"/>
      <c r="B47" s="95"/>
      <c r="C47" s="87" t="s">
        <v>241</v>
      </c>
      <c r="D47" s="232"/>
      <c r="E47" s="55">
        <v>1000</v>
      </c>
      <c r="F47" s="232"/>
      <c r="G47" s="234"/>
      <c r="H47" s="234"/>
      <c r="I47" s="62"/>
      <c r="J47" s="62">
        <v>6</v>
      </c>
      <c r="K47" s="77"/>
      <c r="L47" s="78"/>
      <c r="M47" s="40"/>
      <c r="N47" s="40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2"/>
      <c r="AJ47" s="176"/>
    </row>
    <row r="48" spans="1:36" ht="15.75" customHeight="1" x14ac:dyDescent="0.2">
      <c r="A48" s="32"/>
      <c r="B48" s="95"/>
      <c r="C48" s="87" t="s">
        <v>242</v>
      </c>
      <c r="D48" s="232"/>
      <c r="E48" s="55">
        <v>1200</v>
      </c>
      <c r="F48" s="232"/>
      <c r="G48" s="234"/>
      <c r="H48" s="234"/>
      <c r="I48" s="62"/>
      <c r="J48" s="62">
        <v>6</v>
      </c>
      <c r="K48" s="77"/>
      <c r="L48" s="78"/>
      <c r="M48" s="40"/>
      <c r="N48" s="40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2"/>
      <c r="AJ48" s="176"/>
    </row>
    <row r="49" spans="1:36" ht="15.75" customHeight="1" x14ac:dyDescent="0.2">
      <c r="A49" s="32"/>
      <c r="B49" s="95"/>
      <c r="C49" s="57" t="s">
        <v>243</v>
      </c>
      <c r="D49" s="232"/>
      <c r="E49" s="55">
        <v>1200</v>
      </c>
      <c r="F49" s="232"/>
      <c r="G49" s="234"/>
      <c r="H49" s="234"/>
      <c r="I49" s="62"/>
      <c r="J49" s="77">
        <v>6</v>
      </c>
      <c r="K49" s="77"/>
      <c r="L49" s="78"/>
      <c r="M49" s="40"/>
      <c r="N49" s="40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2"/>
      <c r="AJ49" s="176"/>
    </row>
    <row r="50" spans="1:36" ht="14.25" x14ac:dyDescent="0.2">
      <c r="A50" s="32"/>
      <c r="B50" s="95"/>
      <c r="C50" s="102" t="s">
        <v>244</v>
      </c>
      <c r="D50" s="232"/>
      <c r="E50" s="55">
        <v>600</v>
      </c>
      <c r="F50" s="232"/>
      <c r="G50" s="234"/>
      <c r="H50" s="234"/>
      <c r="I50" s="88"/>
      <c r="J50" s="62">
        <v>6</v>
      </c>
      <c r="K50" s="77"/>
      <c r="L50" s="78"/>
      <c r="M50" s="40"/>
      <c r="N50" s="40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2"/>
      <c r="AJ50" s="176"/>
    </row>
    <row r="51" spans="1:36" ht="15.75" customHeight="1" x14ac:dyDescent="0.2">
      <c r="A51" s="32"/>
      <c r="B51" s="95"/>
      <c r="C51" s="101" t="s">
        <v>245</v>
      </c>
      <c r="D51" s="232"/>
      <c r="E51" s="55">
        <v>600</v>
      </c>
      <c r="F51" s="232"/>
      <c r="G51" s="234"/>
      <c r="H51" s="234"/>
      <c r="I51" s="88"/>
      <c r="J51" s="62">
        <v>12</v>
      </c>
      <c r="K51" s="77"/>
      <c r="L51" s="78"/>
      <c r="M51" s="40"/>
      <c r="N51" s="40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2"/>
      <c r="AJ51" s="176"/>
    </row>
    <row r="52" spans="1:36" ht="15.75" customHeight="1" x14ac:dyDescent="0.2">
      <c r="A52" s="32"/>
      <c r="B52" s="95"/>
      <c r="C52" s="101" t="s">
        <v>246</v>
      </c>
      <c r="D52" s="232"/>
      <c r="E52" s="55">
        <v>600</v>
      </c>
      <c r="F52" s="232"/>
      <c r="G52" s="234"/>
      <c r="H52" s="234"/>
      <c r="I52" s="88"/>
      <c r="J52" s="62">
        <v>12</v>
      </c>
      <c r="K52" s="77"/>
      <c r="L52" s="78"/>
      <c r="M52" s="40"/>
      <c r="N52" s="40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2"/>
      <c r="AJ52" s="176"/>
    </row>
    <row r="53" spans="1:36" ht="15.75" customHeight="1" x14ac:dyDescent="0.2">
      <c r="A53" s="32"/>
      <c r="B53" s="95"/>
      <c r="C53" s="101" t="s">
        <v>247</v>
      </c>
      <c r="D53" s="232"/>
      <c r="E53" s="55">
        <v>600</v>
      </c>
      <c r="F53" s="232"/>
      <c r="G53" s="234"/>
      <c r="H53" s="234"/>
      <c r="I53" s="88"/>
      <c r="J53" s="62">
        <v>12</v>
      </c>
      <c r="K53" s="77"/>
      <c r="L53" s="78"/>
      <c r="M53" s="40"/>
      <c r="N53" s="40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2"/>
      <c r="AJ53" s="176"/>
    </row>
    <row r="54" spans="1:36" ht="15.75" customHeight="1" x14ac:dyDescent="0.2">
      <c r="A54" s="32"/>
      <c r="B54" s="95"/>
      <c r="C54" s="101" t="s">
        <v>248</v>
      </c>
      <c r="D54" s="232"/>
      <c r="E54" s="55">
        <v>600</v>
      </c>
      <c r="F54" s="232"/>
      <c r="G54" s="234"/>
      <c r="H54" s="234"/>
      <c r="I54" s="88"/>
      <c r="J54" s="62">
        <v>12</v>
      </c>
      <c r="K54" s="77"/>
      <c r="L54" s="78"/>
      <c r="M54" s="40"/>
      <c r="N54" s="40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2"/>
      <c r="AJ54" s="176"/>
    </row>
    <row r="55" spans="1:36" ht="48" x14ac:dyDescent="0.2">
      <c r="A55" s="32"/>
      <c r="B55" s="95"/>
      <c r="C55" s="101" t="s">
        <v>249</v>
      </c>
      <c r="D55" s="232"/>
      <c r="E55" s="55">
        <v>2000</v>
      </c>
      <c r="F55" s="232"/>
      <c r="G55" s="234"/>
      <c r="H55" s="234"/>
      <c r="I55" s="88"/>
      <c r="J55" s="62">
        <v>6</v>
      </c>
      <c r="K55" s="77"/>
      <c r="L55" s="78"/>
      <c r="M55" s="40"/>
      <c r="N55" s="40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2"/>
      <c r="AJ55" s="176"/>
    </row>
    <row r="56" spans="1:36" ht="15.75" customHeight="1" x14ac:dyDescent="0.2">
      <c r="A56" s="32"/>
      <c r="B56" s="95"/>
      <c r="C56" s="101" t="s">
        <v>250</v>
      </c>
      <c r="D56" s="232"/>
      <c r="E56" s="55">
        <v>500</v>
      </c>
      <c r="F56" s="232"/>
      <c r="G56" s="234"/>
      <c r="H56" s="234"/>
      <c r="I56" s="88"/>
      <c r="J56" s="62">
        <v>6</v>
      </c>
      <c r="K56" s="77"/>
      <c r="L56" s="78"/>
      <c r="M56" s="40"/>
      <c r="N56" s="40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2"/>
      <c r="AJ56" s="176"/>
    </row>
    <row r="57" spans="1:36" ht="15.75" customHeight="1" x14ac:dyDescent="0.2">
      <c r="A57" s="32"/>
      <c r="B57" s="95"/>
      <c r="C57" s="101" t="s">
        <v>251</v>
      </c>
      <c r="D57" s="232"/>
      <c r="E57" s="55">
        <v>500</v>
      </c>
      <c r="F57" s="232"/>
      <c r="G57" s="234"/>
      <c r="H57" s="234"/>
      <c r="I57" s="88"/>
      <c r="J57" s="62">
        <v>6</v>
      </c>
      <c r="K57" s="77"/>
      <c r="L57" s="78"/>
      <c r="M57" s="40"/>
      <c r="N57" s="40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2"/>
      <c r="AJ57" s="176"/>
    </row>
    <row r="58" spans="1:36" ht="15.75" customHeight="1" x14ac:dyDescent="0.2">
      <c r="A58" s="32"/>
      <c r="B58" s="95"/>
      <c r="C58" s="101" t="s">
        <v>252</v>
      </c>
      <c r="D58" s="232"/>
      <c r="E58" s="55">
        <v>500</v>
      </c>
      <c r="F58" s="232"/>
      <c r="G58" s="234"/>
      <c r="H58" s="234"/>
      <c r="I58" s="88"/>
      <c r="J58" s="62">
        <v>6</v>
      </c>
      <c r="K58" s="77"/>
      <c r="L58" s="78"/>
      <c r="M58" s="40"/>
      <c r="N58" s="40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2"/>
      <c r="AJ58" s="176"/>
    </row>
    <row r="59" spans="1:36" ht="15.75" customHeight="1" x14ac:dyDescent="0.2">
      <c r="A59" s="32"/>
      <c r="B59" s="95"/>
      <c r="C59" s="103" t="s">
        <v>253</v>
      </c>
      <c r="D59" s="232"/>
      <c r="E59" s="55">
        <v>400</v>
      </c>
      <c r="F59" s="232"/>
      <c r="G59" s="234"/>
      <c r="H59" s="234"/>
      <c r="I59" s="88"/>
      <c r="J59" s="62">
        <v>6</v>
      </c>
      <c r="K59" s="77"/>
      <c r="L59" s="78"/>
      <c r="M59" s="40"/>
      <c r="N59" s="40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2"/>
      <c r="AJ59" s="176"/>
    </row>
    <row r="60" spans="1:36" ht="15.75" customHeight="1" x14ac:dyDescent="0.2">
      <c r="A60" s="32"/>
      <c r="B60" s="95"/>
      <c r="C60" s="103" t="s">
        <v>254</v>
      </c>
      <c r="D60" s="236"/>
      <c r="E60" s="55">
        <v>200</v>
      </c>
      <c r="F60" s="236"/>
      <c r="G60" s="222"/>
      <c r="H60" s="222"/>
      <c r="I60" s="88"/>
      <c r="J60" s="62">
        <v>6</v>
      </c>
      <c r="K60" s="77"/>
      <c r="L60" s="78"/>
      <c r="M60" s="40"/>
      <c r="N60" s="40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2"/>
      <c r="AJ60" s="176"/>
    </row>
    <row r="61" spans="1:36" ht="15.75" customHeight="1" x14ac:dyDescent="0.2">
      <c r="A61" s="32"/>
      <c r="B61" s="95"/>
      <c r="C61" s="189" t="s">
        <v>255</v>
      </c>
      <c r="D61" s="62" t="s">
        <v>256</v>
      </c>
      <c r="E61" s="55">
        <v>40000</v>
      </c>
      <c r="F61" s="37">
        <f>E61*SUM(I61:K61)</f>
        <v>40000</v>
      </c>
      <c r="G61" s="179" t="s">
        <v>82</v>
      </c>
      <c r="H61" s="97" t="s">
        <v>238</v>
      </c>
      <c r="I61" s="77"/>
      <c r="J61" s="77"/>
      <c r="K61" s="77">
        <v>1</v>
      </c>
      <c r="L61" s="78"/>
      <c r="M61" s="40"/>
      <c r="N61" s="40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2"/>
      <c r="AJ61" s="176"/>
    </row>
    <row r="62" spans="1:36" ht="24" x14ac:dyDescent="0.2">
      <c r="A62" s="32"/>
      <c r="B62" s="101"/>
      <c r="C62" s="103" t="s">
        <v>257</v>
      </c>
      <c r="D62" s="255" t="s">
        <v>81</v>
      </c>
      <c r="E62" s="55">
        <v>15000</v>
      </c>
      <c r="F62" s="233">
        <f>SUMPRODUCT(E62:E63,I62:I63)</f>
        <v>30000</v>
      </c>
      <c r="G62" s="190" t="s">
        <v>113</v>
      </c>
      <c r="H62" s="190" t="s">
        <v>258</v>
      </c>
      <c r="I62" s="77">
        <v>1</v>
      </c>
      <c r="J62" s="77"/>
      <c r="K62" s="77"/>
      <c r="L62" s="191"/>
      <c r="M62" s="98"/>
      <c r="N62" s="98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100"/>
      <c r="AJ62" s="260">
        <v>336</v>
      </c>
    </row>
    <row r="63" spans="1:36" ht="24" x14ac:dyDescent="0.2">
      <c r="A63" s="32"/>
      <c r="B63" s="101"/>
      <c r="C63" s="103" t="s">
        <v>259</v>
      </c>
      <c r="D63" s="236"/>
      <c r="E63" s="55">
        <v>15000</v>
      </c>
      <c r="F63" s="222"/>
      <c r="G63" s="190" t="s">
        <v>113</v>
      </c>
      <c r="H63" s="190" t="s">
        <v>258</v>
      </c>
      <c r="I63" s="77">
        <v>1</v>
      </c>
      <c r="J63" s="77"/>
      <c r="K63" s="77"/>
      <c r="L63" s="191"/>
      <c r="M63" s="98"/>
      <c r="N63" s="98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100"/>
      <c r="AJ63" s="261"/>
    </row>
    <row r="64" spans="1:36" ht="96" x14ac:dyDescent="0.2">
      <c r="A64" s="32"/>
      <c r="B64" s="101"/>
      <c r="C64" s="103" t="s">
        <v>260</v>
      </c>
      <c r="D64" s="62" t="s">
        <v>81</v>
      </c>
      <c r="E64" s="55">
        <v>10000</v>
      </c>
      <c r="F64" s="188">
        <f>E64*SUM(I64:K64)</f>
        <v>10000</v>
      </c>
      <c r="G64" s="190" t="s">
        <v>129</v>
      </c>
      <c r="H64" s="190" t="s">
        <v>130</v>
      </c>
      <c r="I64" s="77"/>
      <c r="J64" s="77">
        <v>1</v>
      </c>
      <c r="K64" s="77"/>
      <c r="L64" s="191"/>
      <c r="M64" s="98"/>
      <c r="N64" s="98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100"/>
      <c r="AJ64" s="164"/>
    </row>
    <row r="65" spans="1:36" ht="15.75" customHeight="1" x14ac:dyDescent="0.2">
      <c r="A65" s="32" t="s">
        <v>149</v>
      </c>
      <c r="B65" s="86"/>
      <c r="C65" s="86" t="s">
        <v>150</v>
      </c>
      <c r="D65" s="182"/>
      <c r="E65" s="192"/>
      <c r="F65" s="182"/>
      <c r="G65" s="58"/>
      <c r="H65" s="62"/>
      <c r="I65" s="62"/>
      <c r="J65" s="62"/>
      <c r="K65" s="62"/>
      <c r="L65" s="40"/>
      <c r="M65" s="40"/>
      <c r="N65" s="40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2"/>
      <c r="AJ65" s="176"/>
    </row>
    <row r="66" spans="1:36" ht="24" x14ac:dyDescent="0.2">
      <c r="A66" s="32"/>
      <c r="B66" s="121"/>
      <c r="C66" s="193" t="s">
        <v>158</v>
      </c>
      <c r="D66" s="81" t="s">
        <v>159</v>
      </c>
      <c r="E66" s="82">
        <v>300</v>
      </c>
      <c r="F66" s="37">
        <f>E66*SUM(I66:K66)</f>
        <v>75000</v>
      </c>
      <c r="G66" s="83" t="s">
        <v>113</v>
      </c>
      <c r="H66" s="58" t="s">
        <v>258</v>
      </c>
      <c r="I66" s="62"/>
      <c r="J66" s="62"/>
      <c r="K66" s="62">
        <v>250</v>
      </c>
      <c r="L66" s="98"/>
      <c r="M66" s="98"/>
      <c r="N66" s="98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100"/>
      <c r="AJ66" s="164"/>
    </row>
    <row r="67" spans="1:36" ht="72" x14ac:dyDescent="0.2">
      <c r="A67" s="32"/>
      <c r="B67" s="194"/>
      <c r="C67" s="195" t="s">
        <v>261</v>
      </c>
      <c r="D67" s="81" t="s">
        <v>262</v>
      </c>
      <c r="E67" s="82">
        <v>265000</v>
      </c>
      <c r="F67" s="37">
        <v>265000</v>
      </c>
      <c r="G67" s="83" t="s">
        <v>113</v>
      </c>
      <c r="H67" s="58" t="s">
        <v>258</v>
      </c>
      <c r="I67" s="62"/>
      <c r="J67" s="62"/>
      <c r="K67" s="62">
        <v>1</v>
      </c>
      <c r="L67" s="40"/>
      <c r="M67" s="40"/>
      <c r="N67" s="40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2"/>
      <c r="AJ67" s="176"/>
    </row>
    <row r="68" spans="1:36" ht="14.25" x14ac:dyDescent="0.2">
      <c r="A68" s="32"/>
      <c r="B68" s="121"/>
      <c r="C68" s="122" t="s">
        <v>263</v>
      </c>
      <c r="D68" s="231" t="s">
        <v>81</v>
      </c>
      <c r="E68" s="82">
        <v>40</v>
      </c>
      <c r="F68" s="233">
        <f>E68*I68+E69*I69+E70*I70+E71*I71+E72*I72+E73*I73</f>
        <v>48250</v>
      </c>
      <c r="G68" s="235" t="s">
        <v>82</v>
      </c>
      <c r="H68" s="231" t="s">
        <v>215</v>
      </c>
      <c r="I68" s="62">
        <v>50</v>
      </c>
      <c r="J68" s="62"/>
      <c r="K68" s="62"/>
      <c r="L68" s="40"/>
      <c r="M68" s="40"/>
      <c r="N68" s="40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2"/>
      <c r="AJ68" s="260">
        <v>319</v>
      </c>
    </row>
    <row r="69" spans="1:36" ht="14.25" x14ac:dyDescent="0.2">
      <c r="A69" s="32"/>
      <c r="B69" s="49"/>
      <c r="C69" s="196" t="s">
        <v>264</v>
      </c>
      <c r="D69" s="232"/>
      <c r="E69" s="197">
        <v>40</v>
      </c>
      <c r="F69" s="234"/>
      <c r="G69" s="232"/>
      <c r="H69" s="232"/>
      <c r="I69" s="90">
        <v>50</v>
      </c>
      <c r="J69" s="90"/>
      <c r="K69" s="90"/>
      <c r="L69" s="40"/>
      <c r="M69" s="40"/>
      <c r="N69" s="40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2"/>
      <c r="AJ69" s="261"/>
    </row>
    <row r="70" spans="1:36" ht="14.25" x14ac:dyDescent="0.2">
      <c r="A70" s="32"/>
      <c r="B70" s="49"/>
      <c r="C70" s="196" t="s">
        <v>265</v>
      </c>
      <c r="D70" s="232"/>
      <c r="E70" s="197">
        <v>250</v>
      </c>
      <c r="F70" s="234"/>
      <c r="G70" s="232"/>
      <c r="H70" s="232"/>
      <c r="I70" s="90">
        <v>25</v>
      </c>
      <c r="J70" s="90"/>
      <c r="K70" s="90"/>
      <c r="L70" s="40"/>
      <c r="M70" s="40"/>
      <c r="N70" s="40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2"/>
      <c r="AJ70" s="261"/>
    </row>
    <row r="71" spans="1:36" ht="14.25" x14ac:dyDescent="0.2">
      <c r="A71" s="32"/>
      <c r="B71" s="49"/>
      <c r="C71" s="196" t="s">
        <v>266</v>
      </c>
      <c r="D71" s="232"/>
      <c r="E71" s="197">
        <v>50</v>
      </c>
      <c r="F71" s="234"/>
      <c r="G71" s="232"/>
      <c r="H71" s="232"/>
      <c r="I71" s="90">
        <v>10</v>
      </c>
      <c r="J71" s="90"/>
      <c r="K71" s="90"/>
      <c r="L71" s="40"/>
      <c r="M71" s="40"/>
      <c r="N71" s="40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2"/>
      <c r="AJ71" s="261"/>
    </row>
    <row r="72" spans="1:36" ht="14.25" x14ac:dyDescent="0.2">
      <c r="A72" s="32"/>
      <c r="B72" s="49"/>
      <c r="C72" s="196" t="s">
        <v>267</v>
      </c>
      <c r="D72" s="232"/>
      <c r="E72" s="197">
        <v>50</v>
      </c>
      <c r="F72" s="234"/>
      <c r="G72" s="232"/>
      <c r="H72" s="232"/>
      <c r="I72" s="90">
        <v>50</v>
      </c>
      <c r="J72" s="90"/>
      <c r="K72" s="90"/>
      <c r="L72" s="40"/>
      <c r="M72" s="40"/>
      <c r="N72" s="40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2"/>
      <c r="AJ72" s="261"/>
    </row>
    <row r="73" spans="1:36" ht="14.25" x14ac:dyDescent="0.2">
      <c r="A73" s="32"/>
      <c r="B73" s="49"/>
      <c r="C73" s="198" t="s">
        <v>268</v>
      </c>
      <c r="D73" s="236"/>
      <c r="E73" s="197">
        <v>7000</v>
      </c>
      <c r="F73" s="234"/>
      <c r="G73" s="236"/>
      <c r="H73" s="236"/>
      <c r="I73" s="90">
        <v>5</v>
      </c>
      <c r="J73" s="90"/>
      <c r="K73" s="90"/>
      <c r="L73" s="40"/>
      <c r="M73" s="40"/>
      <c r="N73" s="40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2"/>
      <c r="AJ73" s="261"/>
    </row>
    <row r="74" spans="1:36" ht="14.25" x14ac:dyDescent="0.2">
      <c r="A74" s="32"/>
      <c r="B74" s="49"/>
      <c r="C74" s="196" t="s">
        <v>269</v>
      </c>
      <c r="D74" s="259" t="s">
        <v>81</v>
      </c>
      <c r="E74" s="197">
        <v>100</v>
      </c>
      <c r="F74" s="233">
        <f>E74*I74+E75*I75+E76*I76+E77*I77</f>
        <v>7500</v>
      </c>
      <c r="G74" s="235" t="s">
        <v>82</v>
      </c>
      <c r="H74" s="231" t="s">
        <v>215</v>
      </c>
      <c r="I74" s="90">
        <v>10</v>
      </c>
      <c r="J74" s="90"/>
      <c r="K74" s="90"/>
      <c r="L74" s="40"/>
      <c r="M74" s="40"/>
      <c r="N74" s="40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2"/>
      <c r="AJ74" s="260">
        <v>320</v>
      </c>
    </row>
    <row r="75" spans="1:36" ht="14.25" x14ac:dyDescent="0.2">
      <c r="A75" s="32"/>
      <c r="B75" s="49"/>
      <c r="C75" s="196" t="s">
        <v>270</v>
      </c>
      <c r="D75" s="232"/>
      <c r="E75" s="197">
        <v>500</v>
      </c>
      <c r="F75" s="234"/>
      <c r="G75" s="232"/>
      <c r="H75" s="232"/>
      <c r="I75" s="90">
        <v>3</v>
      </c>
      <c r="J75" s="90"/>
      <c r="K75" s="90"/>
      <c r="L75" s="40"/>
      <c r="M75" s="40"/>
      <c r="N75" s="40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2"/>
      <c r="AJ75" s="261"/>
    </row>
    <row r="76" spans="1:36" ht="14.25" x14ac:dyDescent="0.2">
      <c r="A76" s="32"/>
      <c r="B76" s="49"/>
      <c r="C76" s="196" t="s">
        <v>271</v>
      </c>
      <c r="D76" s="232"/>
      <c r="E76" s="197">
        <v>500</v>
      </c>
      <c r="F76" s="234"/>
      <c r="G76" s="232"/>
      <c r="H76" s="232"/>
      <c r="I76" s="90">
        <v>5</v>
      </c>
      <c r="J76" s="90"/>
      <c r="K76" s="90"/>
      <c r="L76" s="40"/>
      <c r="M76" s="40"/>
      <c r="N76" s="40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2"/>
      <c r="AJ76" s="261"/>
    </row>
    <row r="77" spans="1:36" ht="14.25" x14ac:dyDescent="0.2">
      <c r="A77" s="32"/>
      <c r="B77" s="49"/>
      <c r="C77" s="196" t="s">
        <v>272</v>
      </c>
      <c r="D77" s="232"/>
      <c r="E77" s="197">
        <v>500</v>
      </c>
      <c r="F77" s="234"/>
      <c r="G77" s="236"/>
      <c r="H77" s="236"/>
      <c r="I77" s="90">
        <v>5</v>
      </c>
      <c r="J77" s="90"/>
      <c r="K77" s="90"/>
      <c r="L77" s="40"/>
      <c r="M77" s="40"/>
      <c r="N77" s="40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2"/>
      <c r="AJ77" s="261"/>
    </row>
    <row r="78" spans="1:36" ht="14.25" x14ac:dyDescent="0.2">
      <c r="A78" s="32"/>
      <c r="B78" s="194"/>
      <c r="C78" s="199" t="s">
        <v>273</v>
      </c>
      <c r="D78" s="115" t="s">
        <v>157</v>
      </c>
      <c r="E78" s="200">
        <v>22000</v>
      </c>
      <c r="F78" s="120">
        <f t="shared" ref="F78:F79" si="0">E78*SUM(I78:K78)</f>
        <v>110000</v>
      </c>
      <c r="G78" s="83" t="s">
        <v>82</v>
      </c>
      <c r="H78" s="58" t="s">
        <v>258</v>
      </c>
      <c r="I78" s="62">
        <v>5</v>
      </c>
      <c r="J78" s="62"/>
      <c r="K78" s="62"/>
      <c r="L78" s="40"/>
      <c r="M78" s="40"/>
      <c r="N78" s="40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2"/>
      <c r="AJ78" s="176">
        <v>345</v>
      </c>
    </row>
    <row r="79" spans="1:36" ht="48" x14ac:dyDescent="0.2">
      <c r="A79" s="32"/>
      <c r="B79" s="194"/>
      <c r="C79" s="95" t="s">
        <v>274</v>
      </c>
      <c r="D79" s="97" t="s">
        <v>168</v>
      </c>
      <c r="E79" s="36">
        <v>1500</v>
      </c>
      <c r="F79" s="37">
        <f t="shared" si="0"/>
        <v>45000</v>
      </c>
      <c r="G79" s="83" t="s">
        <v>82</v>
      </c>
      <c r="H79" s="58" t="s">
        <v>258</v>
      </c>
      <c r="I79" s="62">
        <v>30</v>
      </c>
      <c r="J79" s="62"/>
      <c r="K79" s="62"/>
      <c r="L79" s="40"/>
      <c r="M79" s="40"/>
      <c r="N79" s="40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2"/>
      <c r="AJ79" s="176">
        <v>346</v>
      </c>
    </row>
    <row r="80" spans="1:36" ht="14.25" x14ac:dyDescent="0.2">
      <c r="A80" s="32"/>
      <c r="B80" s="49"/>
      <c r="C80" s="96" t="s">
        <v>275</v>
      </c>
      <c r="D80" s="231" t="s">
        <v>81</v>
      </c>
      <c r="E80" s="36">
        <v>1000</v>
      </c>
      <c r="F80" s="233">
        <f>SUMPRODUCT(E80:E84,J80:J84)</f>
        <v>34450</v>
      </c>
      <c r="G80" s="97" t="s">
        <v>82</v>
      </c>
      <c r="H80" s="97" t="s">
        <v>215</v>
      </c>
      <c r="I80" s="90"/>
      <c r="J80" s="90">
        <v>15</v>
      </c>
      <c r="K80" s="77"/>
      <c r="L80" s="40"/>
      <c r="M80" s="40"/>
      <c r="N80" s="40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2"/>
      <c r="AJ80" s="176"/>
    </row>
    <row r="81" spans="1:36" ht="14.25" x14ac:dyDescent="0.2">
      <c r="A81" s="32"/>
      <c r="B81" s="101"/>
      <c r="C81" s="102" t="s">
        <v>276</v>
      </c>
      <c r="D81" s="232"/>
      <c r="E81" s="36">
        <v>1000</v>
      </c>
      <c r="F81" s="234"/>
      <c r="G81" s="97" t="s">
        <v>82</v>
      </c>
      <c r="H81" s="97" t="s">
        <v>215</v>
      </c>
      <c r="I81" s="88"/>
      <c r="J81" s="62">
        <v>5</v>
      </c>
      <c r="K81" s="62"/>
      <c r="L81" s="98"/>
      <c r="M81" s="98"/>
      <c r="N81" s="98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100"/>
      <c r="AJ81" s="164"/>
    </row>
    <row r="82" spans="1:36" ht="15.75" customHeight="1" x14ac:dyDescent="0.2">
      <c r="A82" s="32"/>
      <c r="B82" s="49"/>
      <c r="C82" s="124" t="s">
        <v>277</v>
      </c>
      <c r="D82" s="232"/>
      <c r="E82" s="89">
        <v>450</v>
      </c>
      <c r="F82" s="234"/>
      <c r="G82" s="252" t="s">
        <v>82</v>
      </c>
      <c r="H82" s="252" t="s">
        <v>215</v>
      </c>
      <c r="I82" s="90"/>
      <c r="J82" s="90">
        <v>15</v>
      </c>
      <c r="K82" s="77"/>
      <c r="L82" s="40"/>
      <c r="M82" s="40"/>
      <c r="N82" s="40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2"/>
      <c r="AJ82" s="176"/>
    </row>
    <row r="83" spans="1:36" ht="14.25" x14ac:dyDescent="0.2">
      <c r="A83" s="32"/>
      <c r="B83" s="49" t="s">
        <v>161</v>
      </c>
      <c r="C83" s="125" t="s">
        <v>162</v>
      </c>
      <c r="D83" s="232"/>
      <c r="E83" s="76">
        <v>250</v>
      </c>
      <c r="F83" s="234"/>
      <c r="G83" s="234"/>
      <c r="H83" s="234"/>
      <c r="I83" s="77"/>
      <c r="J83" s="77">
        <v>20</v>
      </c>
      <c r="K83" s="77"/>
      <c r="L83" s="40"/>
      <c r="M83" s="40"/>
      <c r="N83" s="40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2"/>
      <c r="AJ83" s="176"/>
    </row>
    <row r="84" spans="1:36" ht="14.25" x14ac:dyDescent="0.2">
      <c r="A84" s="32"/>
      <c r="B84" s="194"/>
      <c r="C84" s="201" t="s">
        <v>163</v>
      </c>
      <c r="D84" s="236"/>
      <c r="E84" s="55">
        <v>270</v>
      </c>
      <c r="F84" s="234"/>
      <c r="G84" s="222"/>
      <c r="H84" s="222"/>
      <c r="I84" s="62"/>
      <c r="J84" s="62">
        <v>10</v>
      </c>
      <c r="K84" s="77"/>
      <c r="L84" s="40"/>
      <c r="M84" s="40"/>
      <c r="N84" s="40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2"/>
      <c r="AJ84" s="176"/>
    </row>
    <row r="85" spans="1:36" ht="15.75" customHeight="1" x14ac:dyDescent="0.2">
      <c r="A85" s="32" t="s">
        <v>170</v>
      </c>
      <c r="B85" s="86"/>
      <c r="C85" s="202" t="s">
        <v>171</v>
      </c>
      <c r="D85" s="182"/>
      <c r="E85" s="192"/>
      <c r="F85" s="182"/>
      <c r="G85" s="58"/>
      <c r="H85" s="62"/>
      <c r="I85" s="62"/>
      <c r="J85" s="62"/>
      <c r="K85" s="62"/>
      <c r="L85" s="40"/>
      <c r="M85" s="40"/>
      <c r="N85" s="40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2"/>
      <c r="AJ85" s="176"/>
    </row>
    <row r="86" spans="1:36" ht="24" x14ac:dyDescent="0.2">
      <c r="A86" s="32"/>
      <c r="B86" s="34"/>
      <c r="C86" s="57" t="s">
        <v>278</v>
      </c>
      <c r="D86" s="81" t="s">
        <v>168</v>
      </c>
      <c r="E86" s="82">
        <v>230</v>
      </c>
      <c r="F86" s="188">
        <f>E86*K86</f>
        <v>6900</v>
      </c>
      <c r="G86" s="83" t="s">
        <v>113</v>
      </c>
      <c r="H86" s="97" t="s">
        <v>215</v>
      </c>
      <c r="I86" s="62"/>
      <c r="J86" s="62"/>
      <c r="K86" s="62">
        <v>30</v>
      </c>
      <c r="L86" s="40"/>
      <c r="M86" s="40"/>
      <c r="N86" s="40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2"/>
      <c r="AJ86" s="176"/>
    </row>
    <row r="87" spans="1:36" ht="24" x14ac:dyDescent="0.2">
      <c r="A87" s="32"/>
      <c r="B87" s="34"/>
      <c r="C87" s="57" t="s">
        <v>279</v>
      </c>
      <c r="D87" s="81" t="s">
        <v>280</v>
      </c>
      <c r="E87" s="82">
        <v>95</v>
      </c>
      <c r="F87" s="59">
        <f t="shared" ref="F87:F88" si="1">E87*J87</f>
        <v>4750</v>
      </c>
      <c r="G87" s="83" t="s">
        <v>113</v>
      </c>
      <c r="H87" s="97" t="s">
        <v>215</v>
      </c>
      <c r="I87" s="62"/>
      <c r="J87" s="62">
        <v>50</v>
      </c>
      <c r="K87" s="62"/>
      <c r="L87" s="40"/>
      <c r="M87" s="40"/>
      <c r="N87" s="40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2"/>
      <c r="AJ87" s="176"/>
    </row>
    <row r="88" spans="1:36" ht="24" x14ac:dyDescent="0.2">
      <c r="A88" s="32"/>
      <c r="B88" s="34"/>
      <c r="C88" s="57" t="s">
        <v>281</v>
      </c>
      <c r="D88" s="81" t="s">
        <v>282</v>
      </c>
      <c r="E88" s="82">
        <v>500</v>
      </c>
      <c r="F88" s="59">
        <f t="shared" si="1"/>
        <v>35000</v>
      </c>
      <c r="G88" s="83" t="s">
        <v>113</v>
      </c>
      <c r="H88" s="97" t="s">
        <v>215</v>
      </c>
      <c r="I88" s="62"/>
      <c r="J88" s="62">
        <v>70</v>
      </c>
      <c r="K88" s="62"/>
      <c r="L88" s="40"/>
      <c r="M88" s="40"/>
      <c r="N88" s="40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2"/>
      <c r="AJ88" s="176"/>
    </row>
    <row r="89" spans="1:36" ht="24" x14ac:dyDescent="0.2">
      <c r="A89" s="32"/>
      <c r="B89" s="34"/>
      <c r="C89" s="57" t="s">
        <v>283</v>
      </c>
      <c r="D89" s="81" t="s">
        <v>81</v>
      </c>
      <c r="E89" s="82">
        <v>49500</v>
      </c>
      <c r="F89" s="203">
        <f t="shared" ref="F89:F96" si="2">E89*SUM(I89:K89)</f>
        <v>49500</v>
      </c>
      <c r="G89" s="83" t="s">
        <v>113</v>
      </c>
      <c r="H89" s="97" t="s">
        <v>258</v>
      </c>
      <c r="I89" s="62"/>
      <c r="J89" s="62">
        <v>1</v>
      </c>
      <c r="K89" s="62"/>
      <c r="L89" s="40"/>
      <c r="M89" s="40"/>
      <c r="N89" s="40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2"/>
      <c r="AJ89" s="176"/>
    </row>
    <row r="90" spans="1:36" ht="14.25" x14ac:dyDescent="0.2">
      <c r="A90" s="32"/>
      <c r="B90" s="34"/>
      <c r="C90" s="204" t="s">
        <v>284</v>
      </c>
      <c r="D90" s="35" t="s">
        <v>81</v>
      </c>
      <c r="E90" s="197">
        <v>5000</v>
      </c>
      <c r="F90" s="203">
        <f t="shared" si="2"/>
        <v>5000</v>
      </c>
      <c r="G90" s="97" t="s">
        <v>129</v>
      </c>
      <c r="H90" s="58" t="s">
        <v>130</v>
      </c>
      <c r="I90" s="88"/>
      <c r="J90" s="62">
        <v>1</v>
      </c>
      <c r="K90" s="47"/>
      <c r="L90" s="40"/>
      <c r="M90" s="40"/>
      <c r="N90" s="40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2"/>
      <c r="AJ90" s="176"/>
    </row>
    <row r="91" spans="1:36" ht="24" x14ac:dyDescent="0.2">
      <c r="A91" s="32"/>
      <c r="B91" s="34"/>
      <c r="C91" s="205" t="s">
        <v>285</v>
      </c>
      <c r="D91" s="97" t="s">
        <v>81</v>
      </c>
      <c r="E91" s="36">
        <v>100000</v>
      </c>
      <c r="F91" s="203">
        <f t="shared" si="2"/>
        <v>100000</v>
      </c>
      <c r="G91" s="97" t="s">
        <v>113</v>
      </c>
      <c r="H91" s="97" t="s">
        <v>258</v>
      </c>
      <c r="I91" s="90">
        <v>1</v>
      </c>
      <c r="J91" s="53"/>
      <c r="K91" s="47"/>
      <c r="L91" s="40"/>
      <c r="M91" s="40"/>
      <c r="N91" s="40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2"/>
      <c r="AJ91" s="176">
        <v>344</v>
      </c>
    </row>
    <row r="92" spans="1:36" ht="24" x14ac:dyDescent="0.2">
      <c r="A92" s="32"/>
      <c r="B92" s="34"/>
      <c r="C92" s="205" t="s">
        <v>286</v>
      </c>
      <c r="D92" s="35" t="s">
        <v>81</v>
      </c>
      <c r="E92" s="36">
        <v>100000</v>
      </c>
      <c r="F92" s="203">
        <f t="shared" si="2"/>
        <v>100000</v>
      </c>
      <c r="G92" s="97" t="s">
        <v>113</v>
      </c>
      <c r="H92" s="97" t="s">
        <v>258</v>
      </c>
      <c r="I92" s="90">
        <v>1</v>
      </c>
      <c r="J92" s="53"/>
      <c r="K92" s="47"/>
      <c r="L92" s="40"/>
      <c r="M92" s="40"/>
      <c r="N92" s="40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2"/>
      <c r="AJ92" s="176">
        <v>338</v>
      </c>
    </row>
    <row r="93" spans="1:36" ht="24" x14ac:dyDescent="0.2">
      <c r="A93" s="32"/>
      <c r="B93" s="34"/>
      <c r="C93" s="205" t="s">
        <v>287</v>
      </c>
      <c r="D93" s="97" t="s">
        <v>81</v>
      </c>
      <c r="E93" s="36">
        <v>100000</v>
      </c>
      <c r="F93" s="203">
        <f t="shared" si="2"/>
        <v>100000</v>
      </c>
      <c r="G93" s="97" t="s">
        <v>113</v>
      </c>
      <c r="H93" s="97" t="s">
        <v>258</v>
      </c>
      <c r="I93" s="53"/>
      <c r="J93" s="90">
        <v>1</v>
      </c>
      <c r="K93" s="47"/>
      <c r="L93" s="40"/>
      <c r="M93" s="40"/>
      <c r="N93" s="40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2"/>
      <c r="AJ93" s="176"/>
    </row>
    <row r="94" spans="1:36" ht="24" x14ac:dyDescent="0.2">
      <c r="A94" s="32"/>
      <c r="B94" s="34"/>
      <c r="C94" s="205" t="s">
        <v>288</v>
      </c>
      <c r="D94" s="35" t="s">
        <v>81</v>
      </c>
      <c r="E94" s="36">
        <v>100000</v>
      </c>
      <c r="F94" s="203">
        <f t="shared" si="2"/>
        <v>100000</v>
      </c>
      <c r="G94" s="97" t="s">
        <v>113</v>
      </c>
      <c r="H94" s="97" t="s">
        <v>258</v>
      </c>
      <c r="I94" s="53"/>
      <c r="J94" s="90">
        <v>1</v>
      </c>
      <c r="K94" s="47"/>
      <c r="L94" s="40"/>
      <c r="M94" s="40"/>
      <c r="N94" s="40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2"/>
      <c r="AJ94" s="176"/>
    </row>
    <row r="95" spans="1:36" ht="60" x14ac:dyDescent="0.2">
      <c r="A95" s="32"/>
      <c r="B95" s="95"/>
      <c r="C95" s="206" t="s">
        <v>289</v>
      </c>
      <c r="D95" s="81" t="s">
        <v>81</v>
      </c>
      <c r="E95" s="82">
        <v>60000</v>
      </c>
      <c r="F95" s="37">
        <f t="shared" si="2"/>
        <v>60000</v>
      </c>
      <c r="G95" s="83" t="s">
        <v>113</v>
      </c>
      <c r="H95" s="97" t="s">
        <v>258</v>
      </c>
      <c r="I95" s="62">
        <v>1</v>
      </c>
      <c r="J95" s="62"/>
      <c r="K95" s="62"/>
      <c r="L95" s="40"/>
      <c r="M95" s="40"/>
      <c r="N95" s="40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2"/>
      <c r="AJ95" s="176">
        <v>324</v>
      </c>
    </row>
    <row r="96" spans="1:36" ht="48" x14ac:dyDescent="0.2">
      <c r="A96" s="32"/>
      <c r="B96" s="95"/>
      <c r="C96" s="206" t="s">
        <v>290</v>
      </c>
      <c r="D96" s="81" t="s">
        <v>81</v>
      </c>
      <c r="E96" s="82">
        <v>150000</v>
      </c>
      <c r="F96" s="37">
        <f t="shared" si="2"/>
        <v>150000</v>
      </c>
      <c r="G96" s="83" t="s">
        <v>113</v>
      </c>
      <c r="H96" s="97" t="s">
        <v>258</v>
      </c>
      <c r="I96" s="62"/>
      <c r="J96" s="62">
        <v>1</v>
      </c>
      <c r="K96" s="62"/>
      <c r="L96" s="40"/>
      <c r="M96" s="40"/>
      <c r="N96" s="40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2"/>
      <c r="AJ96" s="176"/>
    </row>
    <row r="97" spans="1:36" ht="24" x14ac:dyDescent="0.2">
      <c r="A97" s="32"/>
      <c r="B97" s="34"/>
      <c r="C97" s="204" t="s">
        <v>291</v>
      </c>
      <c r="D97" s="81" t="s">
        <v>179</v>
      </c>
      <c r="E97" s="82">
        <v>1000</v>
      </c>
      <c r="F97" s="37">
        <f>E97*SUM(J97:K97)</f>
        <v>25000</v>
      </c>
      <c r="G97" s="83" t="s">
        <v>113</v>
      </c>
      <c r="H97" s="97" t="s">
        <v>258</v>
      </c>
      <c r="J97" s="62"/>
      <c r="K97" s="62">
        <v>25</v>
      </c>
      <c r="L97" s="40"/>
      <c r="M97" s="40"/>
      <c r="N97" s="40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2"/>
      <c r="AJ97" s="176"/>
    </row>
    <row r="98" spans="1:36" ht="24" x14ac:dyDescent="0.2">
      <c r="A98" s="32"/>
      <c r="B98" s="34"/>
      <c r="C98" s="204" t="s">
        <v>292</v>
      </c>
      <c r="D98" s="81" t="s">
        <v>179</v>
      </c>
      <c r="E98" s="82">
        <v>1000</v>
      </c>
      <c r="F98" s="37">
        <f t="shared" ref="F98:F100" si="3">E98*SUM(I98:K98)</f>
        <v>25000</v>
      </c>
      <c r="G98" s="83" t="s">
        <v>113</v>
      </c>
      <c r="H98" s="97" t="s">
        <v>258</v>
      </c>
      <c r="I98" s="62">
        <v>25</v>
      </c>
      <c r="J98" s="62"/>
      <c r="K98" s="62"/>
      <c r="L98" s="40"/>
      <c r="M98" s="40"/>
      <c r="N98" s="40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2"/>
      <c r="AJ98" s="176">
        <v>325</v>
      </c>
    </row>
    <row r="99" spans="1:36" ht="24" x14ac:dyDescent="0.2">
      <c r="A99" s="32"/>
      <c r="B99" s="34"/>
      <c r="C99" s="204" t="s">
        <v>293</v>
      </c>
      <c r="D99" s="81" t="s">
        <v>179</v>
      </c>
      <c r="E99" s="82">
        <v>1000</v>
      </c>
      <c r="F99" s="37">
        <f t="shared" si="3"/>
        <v>25000</v>
      </c>
      <c r="G99" s="83" t="s">
        <v>113</v>
      </c>
      <c r="H99" s="97" t="s">
        <v>258</v>
      </c>
      <c r="I99" s="62">
        <v>25</v>
      </c>
      <c r="J99" s="62"/>
      <c r="K99" s="62"/>
      <c r="L99" s="40"/>
      <c r="M99" s="40"/>
      <c r="N99" s="40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2"/>
      <c r="AJ99" s="176">
        <v>326</v>
      </c>
    </row>
    <row r="100" spans="1:36" ht="24" x14ac:dyDescent="0.2">
      <c r="A100" s="32"/>
      <c r="B100" s="34"/>
      <c r="C100" s="204" t="s">
        <v>294</v>
      </c>
      <c r="D100" s="81" t="s">
        <v>179</v>
      </c>
      <c r="E100" s="82">
        <v>1500</v>
      </c>
      <c r="F100" s="37">
        <f t="shared" si="3"/>
        <v>37500</v>
      </c>
      <c r="G100" s="83" t="s">
        <v>113</v>
      </c>
      <c r="H100" s="97" t="s">
        <v>258</v>
      </c>
      <c r="I100" s="62">
        <v>25</v>
      </c>
      <c r="J100" s="62"/>
      <c r="K100" s="62"/>
      <c r="L100" s="40"/>
      <c r="M100" s="40"/>
      <c r="N100" s="40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2"/>
      <c r="AJ100" s="176">
        <v>327</v>
      </c>
    </row>
    <row r="101" spans="1:36" ht="24" x14ac:dyDescent="0.2">
      <c r="A101" s="32"/>
      <c r="B101" s="34"/>
      <c r="C101" s="204" t="s">
        <v>178</v>
      </c>
      <c r="D101" s="81" t="s">
        <v>179</v>
      </c>
      <c r="E101" s="82">
        <v>1000</v>
      </c>
      <c r="F101" s="37">
        <f>E101*SUM(J101:K101)</f>
        <v>25000</v>
      </c>
      <c r="G101" s="83" t="s">
        <v>113</v>
      </c>
      <c r="H101" s="97" t="s">
        <v>258</v>
      </c>
      <c r="I101" s="62"/>
      <c r="J101" s="62"/>
      <c r="K101" s="62">
        <v>25</v>
      </c>
      <c r="L101" s="40"/>
      <c r="M101" s="40"/>
      <c r="N101" s="40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2"/>
      <c r="AJ101" s="176"/>
    </row>
    <row r="102" spans="1:36" ht="24" x14ac:dyDescent="0.2">
      <c r="A102" s="32"/>
      <c r="B102" s="34"/>
      <c r="C102" s="204" t="s">
        <v>295</v>
      </c>
      <c r="D102" s="81" t="s">
        <v>179</v>
      </c>
      <c r="E102" s="82">
        <v>1999.99</v>
      </c>
      <c r="F102" s="37">
        <f t="shared" ref="F102:F110" si="4">E102*SUM(I102:K102)</f>
        <v>49999.75</v>
      </c>
      <c r="G102" s="83" t="s">
        <v>113</v>
      </c>
      <c r="H102" s="97" t="s">
        <v>258</v>
      </c>
      <c r="I102" s="62">
        <v>25</v>
      </c>
      <c r="J102" s="62"/>
      <c r="K102" s="62"/>
      <c r="L102" s="40"/>
      <c r="M102" s="40"/>
      <c r="N102" s="40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2"/>
      <c r="AJ102" s="176">
        <v>328</v>
      </c>
    </row>
    <row r="103" spans="1:36" ht="24" x14ac:dyDescent="0.2">
      <c r="A103" s="32"/>
      <c r="B103" s="34"/>
      <c r="C103" s="204" t="s">
        <v>296</v>
      </c>
      <c r="D103" s="81" t="s">
        <v>179</v>
      </c>
      <c r="E103" s="82">
        <v>1999.99</v>
      </c>
      <c r="F103" s="37">
        <f t="shared" si="4"/>
        <v>49999.75</v>
      </c>
      <c r="G103" s="83" t="s">
        <v>113</v>
      </c>
      <c r="H103" s="97" t="s">
        <v>258</v>
      </c>
      <c r="I103" s="62">
        <v>25</v>
      </c>
      <c r="J103" s="62"/>
      <c r="K103" s="62"/>
      <c r="L103" s="40"/>
      <c r="M103" s="40"/>
      <c r="N103" s="40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2"/>
      <c r="AJ103" s="176">
        <v>329</v>
      </c>
    </row>
    <row r="104" spans="1:36" ht="24" x14ac:dyDescent="0.2">
      <c r="A104" s="32"/>
      <c r="B104" s="34"/>
      <c r="C104" s="204" t="s">
        <v>297</v>
      </c>
      <c r="D104" s="81" t="s">
        <v>298</v>
      </c>
      <c r="E104" s="82">
        <v>4950</v>
      </c>
      <c r="F104" s="37">
        <f t="shared" si="4"/>
        <v>49500</v>
      </c>
      <c r="G104" s="83" t="s">
        <v>113</v>
      </c>
      <c r="H104" s="97" t="s">
        <v>258</v>
      </c>
      <c r="I104" s="62">
        <v>10</v>
      </c>
      <c r="J104" s="62"/>
      <c r="K104" s="62"/>
      <c r="L104" s="40"/>
      <c r="M104" s="40"/>
      <c r="N104" s="40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2"/>
      <c r="AJ104" s="176">
        <v>330</v>
      </c>
    </row>
    <row r="105" spans="1:36" ht="24" x14ac:dyDescent="0.2">
      <c r="A105" s="32"/>
      <c r="B105" s="34"/>
      <c r="C105" s="204" t="s">
        <v>299</v>
      </c>
      <c r="D105" s="81" t="s">
        <v>298</v>
      </c>
      <c r="E105" s="82">
        <v>4950</v>
      </c>
      <c r="F105" s="37">
        <f t="shared" si="4"/>
        <v>49500</v>
      </c>
      <c r="G105" s="83" t="s">
        <v>113</v>
      </c>
      <c r="H105" s="97" t="s">
        <v>258</v>
      </c>
      <c r="I105" s="62">
        <v>10</v>
      </c>
      <c r="J105" s="62"/>
      <c r="K105" s="62"/>
      <c r="L105" s="40"/>
      <c r="M105" s="40"/>
      <c r="N105" s="40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2"/>
      <c r="AJ105" s="207">
        <v>510</v>
      </c>
    </row>
    <row r="106" spans="1:36" ht="24" x14ac:dyDescent="0.2">
      <c r="A106" s="32"/>
      <c r="B106" s="34"/>
      <c r="C106" s="204" t="s">
        <v>300</v>
      </c>
      <c r="D106" s="81" t="s">
        <v>179</v>
      </c>
      <c r="E106" s="82">
        <v>1000</v>
      </c>
      <c r="F106" s="37">
        <f t="shared" si="4"/>
        <v>25000</v>
      </c>
      <c r="G106" s="83" t="s">
        <v>113</v>
      </c>
      <c r="H106" s="97" t="s">
        <v>258</v>
      </c>
      <c r="I106" s="62"/>
      <c r="J106" s="62">
        <v>25</v>
      </c>
      <c r="K106" s="62"/>
      <c r="L106" s="40"/>
      <c r="M106" s="40"/>
      <c r="N106" s="40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2"/>
      <c r="AJ106" s="176">
        <v>331</v>
      </c>
    </row>
    <row r="107" spans="1:36" ht="24" x14ac:dyDescent="0.2">
      <c r="A107" s="32"/>
      <c r="B107" s="34"/>
      <c r="C107" s="204" t="s">
        <v>301</v>
      </c>
      <c r="D107" s="81" t="s">
        <v>302</v>
      </c>
      <c r="E107" s="82">
        <v>2499</v>
      </c>
      <c r="F107" s="37">
        <f t="shared" si="4"/>
        <v>49980</v>
      </c>
      <c r="G107" s="83" t="s">
        <v>113</v>
      </c>
      <c r="H107" s="97" t="s">
        <v>258</v>
      </c>
      <c r="I107" s="62"/>
      <c r="J107" s="62">
        <v>20</v>
      </c>
      <c r="K107" s="62"/>
      <c r="L107" s="40"/>
      <c r="M107" s="40"/>
      <c r="N107" s="40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2"/>
      <c r="AJ107" s="168"/>
    </row>
    <row r="108" spans="1:36" ht="24" x14ac:dyDescent="0.2">
      <c r="A108" s="32"/>
      <c r="B108" s="34"/>
      <c r="C108" s="204" t="s">
        <v>303</v>
      </c>
      <c r="D108" s="81" t="s">
        <v>302</v>
      </c>
      <c r="E108" s="82">
        <v>2000</v>
      </c>
      <c r="F108" s="37">
        <f t="shared" si="4"/>
        <v>40000</v>
      </c>
      <c r="G108" s="83" t="s">
        <v>113</v>
      </c>
      <c r="H108" s="97" t="s">
        <v>258</v>
      </c>
      <c r="I108" s="62"/>
      <c r="J108" s="208">
        <v>20</v>
      </c>
      <c r="K108" s="62"/>
      <c r="L108" s="40"/>
      <c r="M108" s="40"/>
      <c r="N108" s="40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2"/>
      <c r="AJ108" s="168"/>
    </row>
    <row r="109" spans="1:36" ht="324" x14ac:dyDescent="0.2">
      <c r="A109" s="32"/>
      <c r="B109" s="34"/>
      <c r="C109" s="206" t="s">
        <v>304</v>
      </c>
      <c r="D109" s="81" t="s">
        <v>81</v>
      </c>
      <c r="E109" s="82">
        <v>450000</v>
      </c>
      <c r="F109" s="37">
        <f t="shared" si="4"/>
        <v>450000</v>
      </c>
      <c r="G109" s="83" t="s">
        <v>113</v>
      </c>
      <c r="H109" s="97" t="s">
        <v>238</v>
      </c>
      <c r="I109" s="62"/>
      <c r="J109" s="208">
        <v>1</v>
      </c>
      <c r="K109" s="62"/>
      <c r="L109" s="40"/>
      <c r="M109" s="40"/>
      <c r="N109" s="40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2"/>
      <c r="AJ109" s="168"/>
    </row>
    <row r="110" spans="1:36" ht="192" x14ac:dyDescent="0.2">
      <c r="A110" s="32"/>
      <c r="B110" s="34"/>
      <c r="C110" s="206" t="s">
        <v>305</v>
      </c>
      <c r="D110" s="81" t="s">
        <v>81</v>
      </c>
      <c r="E110" s="82">
        <v>125000</v>
      </c>
      <c r="F110" s="37">
        <f t="shared" si="4"/>
        <v>125000</v>
      </c>
      <c r="G110" s="83" t="s">
        <v>113</v>
      </c>
      <c r="H110" s="97" t="s">
        <v>258</v>
      </c>
      <c r="I110" s="62"/>
      <c r="J110" s="208">
        <v>1</v>
      </c>
      <c r="K110" s="62"/>
      <c r="L110" s="40"/>
      <c r="M110" s="40"/>
      <c r="N110" s="40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2"/>
      <c r="AJ110" s="168"/>
    </row>
    <row r="111" spans="1:36" ht="14.25" x14ac:dyDescent="0.2">
      <c r="A111" s="32" t="s">
        <v>184</v>
      </c>
      <c r="B111" s="86"/>
      <c r="C111" s="202" t="s">
        <v>185</v>
      </c>
      <c r="D111" s="209"/>
      <c r="E111" s="210"/>
      <c r="F111" s="209"/>
      <c r="G111" s="58"/>
      <c r="H111" s="58"/>
      <c r="I111" s="62"/>
      <c r="J111" s="62"/>
      <c r="K111" s="62"/>
      <c r="L111" s="40"/>
      <c r="M111" s="40"/>
      <c r="N111" s="40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2"/>
      <c r="AJ111" s="168"/>
    </row>
    <row r="112" spans="1:36" ht="396" x14ac:dyDescent="0.2">
      <c r="A112" s="32"/>
      <c r="B112" s="132"/>
      <c r="C112" s="50" t="s">
        <v>306</v>
      </c>
      <c r="D112" s="127" t="s">
        <v>81</v>
      </c>
      <c r="E112" s="46">
        <v>500000</v>
      </c>
      <c r="F112" s="37">
        <f>E112*SUM(I112:K112)</f>
        <v>500000</v>
      </c>
      <c r="G112" s="127" t="s">
        <v>189</v>
      </c>
      <c r="H112" s="97" t="s">
        <v>307</v>
      </c>
      <c r="I112" s="77"/>
      <c r="J112" s="77">
        <v>1</v>
      </c>
      <c r="K112" s="77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68"/>
    </row>
    <row r="113" spans="1:36" ht="15.75" customHeight="1" x14ac:dyDescent="0.2">
      <c r="A113" s="140"/>
      <c r="B113" s="141"/>
      <c r="C113" s="141"/>
      <c r="D113" s="211"/>
      <c r="E113" s="212"/>
      <c r="F113" s="213"/>
      <c r="G113" s="214"/>
      <c r="H113" s="214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60"/>
    </row>
    <row r="114" spans="1:36" ht="15.75" customHeight="1" x14ac:dyDescent="0.2">
      <c r="A114" s="146" t="s">
        <v>191</v>
      </c>
      <c r="B114" s="4"/>
      <c r="C114" s="4"/>
      <c r="D114" s="256">
        <f>SUM(F12:F105)</f>
        <v>2573749.46</v>
      </c>
      <c r="E114" s="238"/>
      <c r="F114" s="238"/>
      <c r="G114" s="162"/>
      <c r="H114" s="16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60"/>
    </row>
    <row r="115" spans="1:36" ht="15.75" hidden="1" customHeight="1" x14ac:dyDescent="0.2">
      <c r="A115" s="147" t="s">
        <v>192</v>
      </c>
      <c r="B115" s="148"/>
      <c r="C115" s="148"/>
      <c r="D115" s="257">
        <f>PRODUCT(D114,0.1)</f>
        <v>257374.946</v>
      </c>
      <c r="E115" s="221"/>
      <c r="F115" s="222"/>
      <c r="G115" s="162"/>
      <c r="H115" s="162"/>
      <c r="I115" s="239"/>
      <c r="J115" s="227"/>
      <c r="K115" s="239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149"/>
      <c r="AI115" s="1"/>
      <c r="AJ115" s="160"/>
    </row>
    <row r="116" spans="1:36" ht="15.75" hidden="1" customHeight="1" x14ac:dyDescent="0.2">
      <c r="A116" s="150" t="s">
        <v>193</v>
      </c>
      <c r="B116" s="99"/>
      <c r="C116" s="99"/>
      <c r="D116" s="258">
        <f>PRODUCT(D114,0.1)</f>
        <v>257374.946</v>
      </c>
      <c r="E116" s="224"/>
      <c r="F116" s="225"/>
      <c r="G116" s="162"/>
      <c r="H116" s="162"/>
      <c r="I116" s="151"/>
      <c r="J116" s="151"/>
      <c r="K116" s="229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152"/>
      <c r="AI116" s="1"/>
      <c r="AJ116" s="160"/>
    </row>
    <row r="117" spans="1:36" ht="15.75" hidden="1" customHeight="1" x14ac:dyDescent="0.2">
      <c r="A117" s="150" t="s">
        <v>194</v>
      </c>
      <c r="B117" s="99"/>
      <c r="C117" s="99"/>
      <c r="D117" s="258">
        <f>SUM(D114:F116)</f>
        <v>3088499.352</v>
      </c>
      <c r="E117" s="224"/>
      <c r="F117" s="225"/>
      <c r="G117" s="162"/>
      <c r="H117" s="162"/>
      <c r="I117" s="151"/>
      <c r="J117" s="151"/>
      <c r="K117" s="229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152"/>
      <c r="AI117" s="1"/>
      <c r="AJ117" s="160"/>
    </row>
    <row r="118" spans="1:36" ht="15.75" customHeight="1" x14ac:dyDescent="0.2">
      <c r="A118" s="153"/>
      <c r="B118" s="4"/>
      <c r="C118" s="4"/>
      <c r="D118" s="4"/>
      <c r="E118" s="5"/>
      <c r="F118" s="161"/>
      <c r="G118" s="162"/>
      <c r="H118" s="162"/>
      <c r="I118" s="151"/>
      <c r="J118" s="151"/>
      <c r="K118" s="229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152"/>
      <c r="AI118" s="1"/>
      <c r="AJ118" s="160"/>
    </row>
    <row r="119" spans="1:36" ht="15.75" customHeight="1" x14ac:dyDescent="0.2">
      <c r="A119" s="154" t="s">
        <v>195</v>
      </c>
      <c r="B119" s="4"/>
      <c r="C119" s="4"/>
      <c r="D119" s="4"/>
      <c r="E119" s="5"/>
      <c r="F119" s="161"/>
      <c r="G119" s="162"/>
      <c r="H119" s="16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60"/>
    </row>
    <row r="120" spans="1:36" ht="15.75" customHeight="1" x14ac:dyDescent="0.2">
      <c r="A120" s="12"/>
      <c r="B120" s="4"/>
      <c r="C120" s="4"/>
      <c r="D120" s="4"/>
      <c r="E120" s="5"/>
      <c r="F120" s="161"/>
      <c r="G120" s="162"/>
      <c r="H120" s="16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60"/>
    </row>
    <row r="121" spans="1:36" ht="15.75" customHeight="1" x14ac:dyDescent="0.25">
      <c r="A121" s="155" t="s">
        <v>196</v>
      </c>
      <c r="B121" s="4"/>
      <c r="C121" s="4"/>
      <c r="D121" s="215" t="s">
        <v>197</v>
      </c>
      <c r="E121" s="216"/>
      <c r="F121" s="161"/>
      <c r="G121" s="155" t="s">
        <v>198</v>
      </c>
      <c r="H121" s="4"/>
      <c r="I121" s="1"/>
      <c r="J121" s="158" t="s">
        <v>199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60"/>
    </row>
    <row r="122" spans="1:36" ht="15.75" customHeight="1" x14ac:dyDescent="0.2">
      <c r="A122" s="155"/>
      <c r="B122" s="4"/>
      <c r="C122" s="4"/>
      <c r="D122" s="4"/>
      <c r="E122" s="216"/>
      <c r="F122" s="161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17"/>
    </row>
    <row r="123" spans="1:36" ht="15.75" customHeight="1" x14ac:dyDescent="0.2">
      <c r="A123" s="4"/>
      <c r="B123" s="4"/>
      <c r="C123" s="4"/>
      <c r="D123" s="4"/>
      <c r="E123" s="216"/>
      <c r="F123" s="161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217"/>
    </row>
    <row r="124" spans="1:36" ht="15.75" customHeight="1" x14ac:dyDescent="0.25">
      <c r="A124" s="226" t="s">
        <v>200</v>
      </c>
      <c r="B124" s="227"/>
      <c r="C124" s="227"/>
      <c r="D124" s="155" t="s">
        <v>201</v>
      </c>
      <c r="E124" s="216"/>
      <c r="F124" s="161"/>
      <c r="G124" s="155" t="s">
        <v>202</v>
      </c>
      <c r="H124" s="4"/>
      <c r="I124" s="1"/>
      <c r="J124" s="158" t="s">
        <v>203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60"/>
    </row>
    <row r="125" spans="1:36" ht="15" customHeight="1" x14ac:dyDescent="0.2">
      <c r="A125" s="228" t="s">
        <v>204</v>
      </c>
      <c r="B125" s="227"/>
      <c r="C125" s="227"/>
      <c r="D125" s="4" t="s">
        <v>205</v>
      </c>
      <c r="E125" s="216"/>
      <c r="F125" s="161"/>
      <c r="G125" s="4" t="s">
        <v>206</v>
      </c>
      <c r="H125" s="4"/>
      <c r="I125" s="1"/>
      <c r="J125" s="1" t="s">
        <v>207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217"/>
    </row>
    <row r="126" spans="1:36" ht="15.75" customHeight="1" x14ac:dyDescent="0.2">
      <c r="A126" s="1"/>
      <c r="B126" s="1"/>
      <c r="C126" s="4"/>
      <c r="D126" s="4"/>
      <c r="E126" s="216"/>
      <c r="F126" s="161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60"/>
    </row>
    <row r="127" spans="1:36" ht="15.75" customHeight="1" x14ac:dyDescent="0.2">
      <c r="A127" s="1" t="s">
        <v>208</v>
      </c>
      <c r="B127" s="1"/>
      <c r="C127" s="4"/>
      <c r="D127" s="4" t="s">
        <v>209</v>
      </c>
      <c r="E127" s="216"/>
      <c r="F127" s="161"/>
      <c r="G127" s="4" t="s">
        <v>209</v>
      </c>
      <c r="H127" s="4"/>
      <c r="I127" s="1"/>
      <c r="J127" s="1" t="s">
        <v>209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60"/>
    </row>
    <row r="128" spans="1:36" ht="15.75" customHeight="1" x14ac:dyDescent="0.2">
      <c r="C128" s="123"/>
      <c r="D128" s="4"/>
      <c r="E128" s="5"/>
      <c r="F128" s="161"/>
      <c r="G128" s="162"/>
      <c r="H128" s="16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218"/>
    </row>
    <row r="129" spans="3:36" ht="15.75" customHeight="1" x14ac:dyDescent="0.2">
      <c r="C129" s="123"/>
      <c r="D129" s="4"/>
      <c r="E129" s="5"/>
      <c r="F129" s="161"/>
      <c r="G129" s="162"/>
      <c r="H129" s="16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218"/>
    </row>
    <row r="130" spans="3:36" ht="15.75" customHeight="1" x14ac:dyDescent="0.2">
      <c r="C130" s="123"/>
      <c r="D130" s="4"/>
      <c r="E130" s="5"/>
      <c r="F130" s="161"/>
      <c r="G130" s="162"/>
      <c r="H130" s="16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218"/>
    </row>
    <row r="131" spans="3:36" ht="15.75" customHeight="1" x14ac:dyDescent="0.2">
      <c r="C131" s="123"/>
      <c r="D131" s="4"/>
      <c r="E131" s="5"/>
      <c r="F131" s="161"/>
      <c r="G131" s="162"/>
      <c r="H131" s="16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218"/>
    </row>
    <row r="132" spans="3:36" ht="15.75" customHeight="1" x14ac:dyDescent="0.2">
      <c r="C132" s="123"/>
      <c r="D132" s="4"/>
      <c r="E132" s="5"/>
      <c r="F132" s="161"/>
      <c r="G132" s="162"/>
      <c r="H132" s="16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218"/>
    </row>
    <row r="133" spans="3:36" ht="15.75" customHeight="1" x14ac:dyDescent="0.2">
      <c r="C133" s="123"/>
      <c r="D133" s="4"/>
      <c r="E133" s="5"/>
      <c r="F133" s="161"/>
      <c r="G133" s="162"/>
      <c r="H133" s="16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218"/>
    </row>
    <row r="134" spans="3:36" ht="15.75" customHeight="1" x14ac:dyDescent="0.2">
      <c r="C134" s="123"/>
      <c r="D134" s="4"/>
      <c r="E134" s="5"/>
      <c r="F134" s="161"/>
      <c r="G134" s="162"/>
      <c r="H134" s="16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218"/>
    </row>
    <row r="135" spans="3:36" ht="15.75" customHeight="1" x14ac:dyDescent="0.2">
      <c r="C135" s="123"/>
      <c r="D135" s="4"/>
      <c r="E135" s="5"/>
      <c r="F135" s="161"/>
      <c r="G135" s="162"/>
      <c r="H135" s="16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218"/>
    </row>
    <row r="136" spans="3:36" ht="15.75" customHeight="1" x14ac:dyDescent="0.2">
      <c r="C136" s="123"/>
      <c r="D136" s="4"/>
      <c r="E136" s="5"/>
      <c r="F136" s="161"/>
      <c r="G136" s="162"/>
      <c r="H136" s="16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218"/>
    </row>
    <row r="137" spans="3:36" ht="15.75" customHeight="1" x14ac:dyDescent="0.2">
      <c r="C137" s="123"/>
      <c r="D137" s="4"/>
      <c r="E137" s="5"/>
      <c r="F137" s="161"/>
      <c r="G137" s="162"/>
      <c r="H137" s="16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218"/>
    </row>
    <row r="138" spans="3:36" ht="15.75" customHeight="1" x14ac:dyDescent="0.2">
      <c r="C138" s="123"/>
      <c r="D138" s="4"/>
      <c r="E138" s="5"/>
      <c r="F138" s="161"/>
      <c r="G138" s="162"/>
      <c r="H138" s="16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218"/>
    </row>
    <row r="139" spans="3:36" ht="15.75" customHeight="1" x14ac:dyDescent="0.2">
      <c r="C139" s="123"/>
      <c r="D139" s="4"/>
      <c r="E139" s="5"/>
      <c r="F139" s="161"/>
      <c r="G139" s="162"/>
      <c r="H139" s="16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218"/>
    </row>
    <row r="140" spans="3:36" ht="15.75" customHeight="1" x14ac:dyDescent="0.2">
      <c r="C140" s="123"/>
      <c r="D140" s="4"/>
      <c r="E140" s="5"/>
      <c r="F140" s="161"/>
      <c r="G140" s="162"/>
      <c r="H140" s="16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218"/>
    </row>
    <row r="141" spans="3:36" ht="15.75" customHeight="1" x14ac:dyDescent="0.2">
      <c r="C141" s="123"/>
      <c r="D141" s="4"/>
      <c r="E141" s="5"/>
      <c r="F141" s="161"/>
      <c r="G141" s="162"/>
      <c r="H141" s="16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218"/>
    </row>
    <row r="142" spans="3:36" ht="15.75" customHeight="1" x14ac:dyDescent="0.2">
      <c r="C142" s="123"/>
      <c r="D142" s="4"/>
      <c r="E142" s="5"/>
      <c r="F142" s="161"/>
      <c r="G142" s="162"/>
      <c r="H142" s="16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218"/>
    </row>
    <row r="143" spans="3:36" ht="15.75" customHeight="1" x14ac:dyDescent="0.2">
      <c r="C143" s="123"/>
      <c r="D143" s="4"/>
      <c r="E143" s="5"/>
      <c r="F143" s="161"/>
      <c r="G143" s="162"/>
      <c r="H143" s="16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218"/>
    </row>
    <row r="144" spans="3:36" ht="15.75" customHeight="1" x14ac:dyDescent="0.2">
      <c r="C144" s="123"/>
      <c r="D144" s="4"/>
      <c r="E144" s="5"/>
      <c r="F144" s="161"/>
      <c r="G144" s="162"/>
      <c r="H144" s="16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218"/>
    </row>
    <row r="145" spans="3:36" ht="15.75" customHeight="1" x14ac:dyDescent="0.2">
      <c r="C145" s="123"/>
      <c r="D145" s="123"/>
      <c r="E145" s="219"/>
      <c r="F145" s="123"/>
      <c r="G145" s="123"/>
      <c r="H145" s="123"/>
      <c r="AJ145" s="218"/>
    </row>
    <row r="146" spans="3:36" ht="15.75" customHeight="1" x14ac:dyDescent="0.2">
      <c r="C146" s="123"/>
      <c r="D146" s="123"/>
      <c r="E146" s="219"/>
      <c r="F146" s="123"/>
      <c r="G146" s="123"/>
      <c r="H146" s="123"/>
      <c r="AJ146" s="218"/>
    </row>
    <row r="147" spans="3:36" ht="15.75" customHeight="1" x14ac:dyDescent="0.2">
      <c r="C147" s="123"/>
      <c r="D147" s="123"/>
      <c r="E147" s="219"/>
      <c r="F147" s="123"/>
      <c r="G147" s="123"/>
      <c r="H147" s="123"/>
      <c r="AJ147" s="218"/>
    </row>
    <row r="148" spans="3:36" ht="15.75" customHeight="1" x14ac:dyDescent="0.2">
      <c r="C148" s="123"/>
      <c r="D148" s="123"/>
      <c r="E148" s="219"/>
      <c r="F148" s="123"/>
      <c r="G148" s="123"/>
      <c r="H148" s="123"/>
      <c r="AJ148" s="218"/>
    </row>
    <row r="149" spans="3:36" ht="15.75" customHeight="1" x14ac:dyDescent="0.2">
      <c r="C149" s="123"/>
      <c r="D149" s="123"/>
      <c r="E149" s="219"/>
      <c r="F149" s="123"/>
      <c r="G149" s="123"/>
      <c r="H149" s="123"/>
      <c r="AJ149" s="218"/>
    </row>
    <row r="150" spans="3:36" ht="15.75" customHeight="1" x14ac:dyDescent="0.2">
      <c r="C150" s="123"/>
      <c r="D150" s="123"/>
      <c r="E150" s="219"/>
      <c r="F150" s="123"/>
      <c r="G150" s="123"/>
      <c r="H150" s="123"/>
      <c r="AJ150" s="218"/>
    </row>
    <row r="151" spans="3:36" ht="15.75" customHeight="1" x14ac:dyDescent="0.2">
      <c r="C151" s="123"/>
      <c r="D151" s="123"/>
      <c r="E151" s="219"/>
      <c r="F151" s="123"/>
      <c r="G151" s="123"/>
      <c r="H151" s="123"/>
      <c r="AJ151" s="218"/>
    </row>
    <row r="152" spans="3:36" ht="15.75" customHeight="1" x14ac:dyDescent="0.2">
      <c r="C152" s="123"/>
      <c r="D152" s="123"/>
      <c r="E152" s="219"/>
      <c r="F152" s="123"/>
      <c r="G152" s="123"/>
      <c r="H152" s="123"/>
      <c r="AJ152" s="218"/>
    </row>
    <row r="153" spans="3:36" ht="15.75" customHeight="1" x14ac:dyDescent="0.2">
      <c r="C153" s="123"/>
      <c r="D153" s="123"/>
      <c r="E153" s="219"/>
      <c r="F153" s="123"/>
      <c r="G153" s="123"/>
      <c r="H153" s="123"/>
      <c r="AJ153" s="218"/>
    </row>
    <row r="154" spans="3:36" ht="15.75" customHeight="1" x14ac:dyDescent="0.2">
      <c r="C154" s="123"/>
      <c r="D154" s="123"/>
      <c r="E154" s="219"/>
      <c r="F154" s="123"/>
      <c r="G154" s="123"/>
      <c r="H154" s="123"/>
      <c r="AJ154" s="218"/>
    </row>
    <row r="155" spans="3:36" ht="15.75" customHeight="1" x14ac:dyDescent="0.2">
      <c r="C155" s="123"/>
      <c r="D155" s="123"/>
      <c r="E155" s="219"/>
      <c r="F155" s="123"/>
      <c r="G155" s="123"/>
      <c r="H155" s="123"/>
      <c r="AJ155" s="218"/>
    </row>
    <row r="156" spans="3:36" ht="15.75" customHeight="1" x14ac:dyDescent="0.2">
      <c r="C156" s="123"/>
      <c r="D156" s="123"/>
      <c r="E156" s="219"/>
      <c r="F156" s="123"/>
      <c r="G156" s="123"/>
      <c r="H156" s="123"/>
      <c r="AJ156" s="218"/>
    </row>
    <row r="157" spans="3:36" ht="15.75" customHeight="1" x14ac:dyDescent="0.2">
      <c r="C157" s="123"/>
      <c r="D157" s="123"/>
      <c r="E157" s="219"/>
      <c r="F157" s="123"/>
      <c r="G157" s="123"/>
      <c r="H157" s="123"/>
      <c r="AJ157" s="218"/>
    </row>
    <row r="158" spans="3:36" ht="15.75" customHeight="1" x14ac:dyDescent="0.2">
      <c r="C158" s="123"/>
      <c r="D158" s="123"/>
      <c r="E158" s="219"/>
      <c r="F158" s="123"/>
      <c r="G158" s="123"/>
      <c r="H158" s="123"/>
      <c r="AJ158" s="218"/>
    </row>
    <row r="159" spans="3:36" ht="15.75" customHeight="1" x14ac:dyDescent="0.2">
      <c r="C159" s="123"/>
      <c r="D159" s="123"/>
      <c r="E159" s="219"/>
      <c r="F159" s="123"/>
      <c r="G159" s="123"/>
      <c r="H159" s="123"/>
      <c r="AJ159" s="218"/>
    </row>
    <row r="160" spans="3:36" ht="15.75" customHeight="1" x14ac:dyDescent="0.2">
      <c r="C160" s="123"/>
      <c r="D160" s="123"/>
      <c r="E160" s="219"/>
      <c r="F160" s="123"/>
      <c r="G160" s="123"/>
      <c r="H160" s="123"/>
      <c r="AJ160" s="218"/>
    </row>
    <row r="161" spans="3:36" ht="15.75" customHeight="1" x14ac:dyDescent="0.2">
      <c r="C161" s="123"/>
      <c r="D161" s="123"/>
      <c r="E161" s="219"/>
      <c r="F161" s="123"/>
      <c r="G161" s="123"/>
      <c r="H161" s="123"/>
      <c r="AJ161" s="218"/>
    </row>
    <row r="162" spans="3:36" ht="15.75" customHeight="1" x14ac:dyDescent="0.2">
      <c r="C162" s="123"/>
      <c r="D162" s="123"/>
      <c r="E162" s="219"/>
      <c r="F162" s="123"/>
      <c r="G162" s="123"/>
      <c r="H162" s="123"/>
      <c r="AJ162" s="218"/>
    </row>
    <row r="163" spans="3:36" ht="15.75" customHeight="1" x14ac:dyDescent="0.2">
      <c r="C163" s="123"/>
      <c r="D163" s="123"/>
      <c r="E163" s="219"/>
      <c r="F163" s="123"/>
      <c r="G163" s="123"/>
      <c r="H163" s="123"/>
      <c r="AJ163" s="218"/>
    </row>
    <row r="164" spans="3:36" ht="15.75" customHeight="1" x14ac:dyDescent="0.2">
      <c r="C164" s="123"/>
      <c r="D164" s="123"/>
      <c r="E164" s="219"/>
      <c r="F164" s="123"/>
      <c r="G164" s="123"/>
      <c r="H164" s="123"/>
      <c r="AJ164" s="218"/>
    </row>
    <row r="165" spans="3:36" ht="15.75" customHeight="1" x14ac:dyDescent="0.2">
      <c r="C165" s="123"/>
      <c r="D165" s="123"/>
      <c r="E165" s="219"/>
      <c r="F165" s="123"/>
      <c r="G165" s="123"/>
      <c r="H165" s="123"/>
      <c r="AJ165" s="218"/>
    </row>
    <row r="166" spans="3:36" ht="15.75" customHeight="1" x14ac:dyDescent="0.2">
      <c r="C166" s="123"/>
      <c r="D166" s="123"/>
      <c r="E166" s="219"/>
      <c r="F166" s="123"/>
      <c r="G166" s="123"/>
      <c r="H166" s="123"/>
      <c r="AJ166" s="218"/>
    </row>
    <row r="167" spans="3:36" ht="15.75" customHeight="1" x14ac:dyDescent="0.2">
      <c r="C167" s="123"/>
      <c r="D167" s="123"/>
      <c r="E167" s="219"/>
      <c r="F167" s="123"/>
      <c r="G167" s="123"/>
      <c r="H167" s="123"/>
      <c r="AJ167" s="218"/>
    </row>
    <row r="168" spans="3:36" ht="15.75" customHeight="1" x14ac:dyDescent="0.2">
      <c r="C168" s="123"/>
      <c r="D168" s="123"/>
      <c r="E168" s="219"/>
      <c r="F168" s="123"/>
      <c r="G168" s="123"/>
      <c r="H168" s="123"/>
      <c r="AJ168" s="218"/>
    </row>
    <row r="169" spans="3:36" ht="15.75" customHeight="1" x14ac:dyDescent="0.2">
      <c r="C169" s="123"/>
      <c r="D169" s="123"/>
      <c r="E169" s="219"/>
      <c r="F169" s="123"/>
      <c r="G169" s="123"/>
      <c r="H169" s="123"/>
      <c r="AJ169" s="218"/>
    </row>
    <row r="170" spans="3:36" ht="15.75" customHeight="1" x14ac:dyDescent="0.2">
      <c r="C170" s="123"/>
      <c r="D170" s="123"/>
      <c r="E170" s="219"/>
      <c r="F170" s="123"/>
      <c r="G170" s="123"/>
      <c r="H170" s="123"/>
      <c r="AJ170" s="218"/>
    </row>
    <row r="171" spans="3:36" ht="15.75" customHeight="1" x14ac:dyDescent="0.2">
      <c r="C171" s="123"/>
      <c r="D171" s="123"/>
      <c r="E171" s="219"/>
      <c r="F171" s="123"/>
      <c r="G171" s="123"/>
      <c r="H171" s="123"/>
      <c r="AJ171" s="218"/>
    </row>
    <row r="172" spans="3:36" ht="15.75" customHeight="1" x14ac:dyDescent="0.2">
      <c r="C172" s="123"/>
      <c r="D172" s="123"/>
      <c r="E172" s="219"/>
      <c r="F172" s="123"/>
      <c r="G172" s="123"/>
      <c r="H172" s="123"/>
      <c r="AJ172" s="218"/>
    </row>
    <row r="173" spans="3:36" ht="15.75" customHeight="1" x14ac:dyDescent="0.2">
      <c r="C173" s="123"/>
      <c r="D173" s="123"/>
      <c r="E173" s="219"/>
      <c r="F173" s="123"/>
      <c r="G173" s="123"/>
      <c r="H173" s="123"/>
      <c r="AJ173" s="218"/>
    </row>
    <row r="174" spans="3:36" ht="15.75" customHeight="1" x14ac:dyDescent="0.2">
      <c r="C174" s="123"/>
      <c r="D174" s="123"/>
      <c r="E174" s="219"/>
      <c r="F174" s="123"/>
      <c r="G174" s="123"/>
      <c r="H174" s="123"/>
      <c r="AJ174" s="218"/>
    </row>
    <row r="175" spans="3:36" ht="15.75" customHeight="1" x14ac:dyDescent="0.2">
      <c r="C175" s="123"/>
      <c r="D175" s="123"/>
      <c r="E175" s="219"/>
      <c r="F175" s="123"/>
      <c r="G175" s="123"/>
      <c r="H175" s="123"/>
      <c r="AJ175" s="218"/>
    </row>
    <row r="176" spans="3:36" ht="15.75" customHeight="1" x14ac:dyDescent="0.2">
      <c r="C176" s="123"/>
      <c r="D176" s="123"/>
      <c r="E176" s="219"/>
      <c r="F176" s="123"/>
      <c r="G176" s="123"/>
      <c r="H176" s="123"/>
      <c r="AJ176" s="218"/>
    </row>
    <row r="177" spans="3:36" ht="15.75" customHeight="1" x14ac:dyDescent="0.2">
      <c r="C177" s="123"/>
      <c r="D177" s="123"/>
      <c r="E177" s="219"/>
      <c r="F177" s="123"/>
      <c r="G177" s="123"/>
      <c r="H177" s="123"/>
      <c r="AJ177" s="218"/>
    </row>
    <row r="178" spans="3:36" ht="15.75" customHeight="1" x14ac:dyDescent="0.2">
      <c r="C178" s="123"/>
      <c r="D178" s="123"/>
      <c r="E178" s="219"/>
      <c r="F178" s="123"/>
      <c r="G178" s="123"/>
      <c r="H178" s="123"/>
      <c r="AJ178" s="218"/>
    </row>
    <row r="179" spans="3:36" ht="15.75" customHeight="1" x14ac:dyDescent="0.2">
      <c r="C179" s="123"/>
      <c r="D179" s="123"/>
      <c r="E179" s="219"/>
      <c r="F179" s="123"/>
      <c r="G179" s="123"/>
      <c r="H179" s="123"/>
      <c r="AJ179" s="218"/>
    </row>
    <row r="180" spans="3:36" ht="15.75" customHeight="1" x14ac:dyDescent="0.2">
      <c r="C180" s="123"/>
      <c r="D180" s="123"/>
      <c r="E180" s="219"/>
      <c r="F180" s="123"/>
      <c r="G180" s="123"/>
      <c r="H180" s="123"/>
      <c r="AJ180" s="218"/>
    </row>
    <row r="181" spans="3:36" ht="15.75" customHeight="1" x14ac:dyDescent="0.2">
      <c r="C181" s="123"/>
      <c r="D181" s="123"/>
      <c r="E181" s="219"/>
      <c r="F181" s="123"/>
      <c r="G181" s="123"/>
      <c r="H181" s="123"/>
      <c r="AJ181" s="218"/>
    </row>
    <row r="182" spans="3:36" ht="15.75" customHeight="1" x14ac:dyDescent="0.2">
      <c r="C182" s="123"/>
      <c r="D182" s="123"/>
      <c r="E182" s="219"/>
      <c r="F182" s="123"/>
      <c r="G182" s="123"/>
      <c r="H182" s="123"/>
      <c r="AJ182" s="218"/>
    </row>
    <row r="183" spans="3:36" ht="15.75" customHeight="1" x14ac:dyDescent="0.2">
      <c r="C183" s="123"/>
      <c r="D183" s="123"/>
      <c r="E183" s="219"/>
      <c r="F183" s="123"/>
      <c r="G183" s="123"/>
      <c r="H183" s="123"/>
      <c r="AJ183" s="218"/>
    </row>
    <row r="184" spans="3:36" ht="15.75" customHeight="1" x14ac:dyDescent="0.2">
      <c r="C184" s="123"/>
      <c r="D184" s="123"/>
      <c r="E184" s="219"/>
      <c r="F184" s="123"/>
      <c r="G184" s="123"/>
      <c r="H184" s="123"/>
      <c r="AJ184" s="218"/>
    </row>
    <row r="185" spans="3:36" ht="15.75" customHeight="1" x14ac:dyDescent="0.2">
      <c r="C185" s="123"/>
      <c r="D185" s="123"/>
      <c r="E185" s="219"/>
      <c r="F185" s="123"/>
      <c r="G185" s="123"/>
      <c r="H185" s="123"/>
      <c r="AJ185" s="218"/>
    </row>
    <row r="186" spans="3:36" ht="15.75" customHeight="1" x14ac:dyDescent="0.2">
      <c r="C186" s="123"/>
      <c r="D186" s="123"/>
      <c r="E186" s="219"/>
      <c r="F186" s="123"/>
      <c r="G186" s="123"/>
      <c r="H186" s="123"/>
      <c r="AJ186" s="218"/>
    </row>
    <row r="187" spans="3:36" ht="15.75" customHeight="1" x14ac:dyDescent="0.2">
      <c r="C187" s="123"/>
      <c r="D187" s="123"/>
      <c r="E187" s="219"/>
      <c r="F187" s="123"/>
      <c r="G187" s="123"/>
      <c r="H187" s="123"/>
      <c r="AJ187" s="218"/>
    </row>
    <row r="188" spans="3:36" ht="15.75" customHeight="1" x14ac:dyDescent="0.2">
      <c r="C188" s="123"/>
      <c r="D188" s="123"/>
      <c r="E188" s="219"/>
      <c r="F188" s="123"/>
      <c r="G188" s="123"/>
      <c r="H188" s="123"/>
      <c r="AJ188" s="218"/>
    </row>
    <row r="189" spans="3:36" ht="15.75" customHeight="1" x14ac:dyDescent="0.2">
      <c r="C189" s="123"/>
      <c r="D189" s="123"/>
      <c r="E189" s="219"/>
      <c r="F189" s="123"/>
      <c r="G189" s="123"/>
      <c r="H189" s="123"/>
      <c r="AJ189" s="218"/>
    </row>
    <row r="190" spans="3:36" ht="15.75" customHeight="1" x14ac:dyDescent="0.2">
      <c r="C190" s="123"/>
      <c r="D190" s="123"/>
      <c r="E190" s="219"/>
      <c r="F190" s="123"/>
      <c r="G190" s="123"/>
      <c r="H190" s="123"/>
      <c r="AJ190" s="218"/>
    </row>
    <row r="191" spans="3:36" ht="15.75" customHeight="1" x14ac:dyDescent="0.2">
      <c r="C191" s="123"/>
      <c r="D191" s="123"/>
      <c r="E191" s="219"/>
      <c r="F191" s="123"/>
      <c r="G191" s="123"/>
      <c r="H191" s="123"/>
      <c r="AJ191" s="218"/>
    </row>
    <row r="192" spans="3:36" ht="15.75" customHeight="1" x14ac:dyDescent="0.2">
      <c r="C192" s="123"/>
      <c r="D192" s="123"/>
      <c r="E192" s="219"/>
      <c r="F192" s="123"/>
      <c r="G192" s="123"/>
      <c r="H192" s="123"/>
      <c r="AJ192" s="218"/>
    </row>
    <row r="193" spans="3:36" ht="15.75" customHeight="1" x14ac:dyDescent="0.2">
      <c r="C193" s="123"/>
      <c r="D193" s="123"/>
      <c r="E193" s="219"/>
      <c r="F193" s="123"/>
      <c r="G193" s="123"/>
      <c r="H193" s="123"/>
      <c r="AJ193" s="218"/>
    </row>
    <row r="194" spans="3:36" ht="15.75" customHeight="1" x14ac:dyDescent="0.2">
      <c r="C194" s="123"/>
      <c r="D194" s="123"/>
      <c r="E194" s="219"/>
      <c r="F194" s="123"/>
      <c r="G194" s="123"/>
      <c r="H194" s="123"/>
      <c r="AJ194" s="218"/>
    </row>
    <row r="195" spans="3:36" ht="15.75" customHeight="1" x14ac:dyDescent="0.2">
      <c r="C195" s="123"/>
      <c r="D195" s="123"/>
      <c r="E195" s="219"/>
      <c r="F195" s="123"/>
      <c r="G195" s="123"/>
      <c r="H195" s="123"/>
      <c r="AJ195" s="218"/>
    </row>
    <row r="196" spans="3:36" ht="15.75" customHeight="1" x14ac:dyDescent="0.2">
      <c r="C196" s="123"/>
      <c r="D196" s="123"/>
      <c r="E196" s="219"/>
      <c r="F196" s="123"/>
      <c r="G196" s="123"/>
      <c r="H196" s="123"/>
      <c r="AJ196" s="218"/>
    </row>
    <row r="197" spans="3:36" ht="15.75" customHeight="1" x14ac:dyDescent="0.2">
      <c r="C197" s="123"/>
      <c r="D197" s="123"/>
      <c r="E197" s="219"/>
      <c r="F197" s="123"/>
      <c r="G197" s="123"/>
      <c r="H197" s="123"/>
      <c r="AJ197" s="218"/>
    </row>
    <row r="198" spans="3:36" ht="15.75" customHeight="1" x14ac:dyDescent="0.2">
      <c r="C198" s="123"/>
      <c r="D198" s="123"/>
      <c r="E198" s="219"/>
      <c r="F198" s="123"/>
      <c r="G198" s="123"/>
      <c r="H198" s="123"/>
      <c r="AJ198" s="218"/>
    </row>
    <row r="199" spans="3:36" ht="15.75" customHeight="1" x14ac:dyDescent="0.2">
      <c r="C199" s="123"/>
      <c r="D199" s="123"/>
      <c r="E199" s="219"/>
      <c r="F199" s="123"/>
      <c r="G199" s="123"/>
      <c r="H199" s="123"/>
      <c r="AJ199" s="218"/>
    </row>
    <row r="200" spans="3:36" ht="15.75" customHeight="1" x14ac:dyDescent="0.2">
      <c r="C200" s="123"/>
      <c r="D200" s="123"/>
      <c r="E200" s="219"/>
      <c r="F200" s="123"/>
      <c r="G200" s="123"/>
      <c r="H200" s="123"/>
      <c r="AJ200" s="218"/>
    </row>
    <row r="201" spans="3:36" ht="15.75" customHeight="1" x14ac:dyDescent="0.2">
      <c r="C201" s="123"/>
      <c r="D201" s="123"/>
      <c r="E201" s="219"/>
      <c r="F201" s="123"/>
      <c r="G201" s="123"/>
      <c r="H201" s="123"/>
      <c r="AJ201" s="218"/>
    </row>
    <row r="202" spans="3:36" ht="15.75" customHeight="1" x14ac:dyDescent="0.2">
      <c r="C202" s="123"/>
      <c r="D202" s="123"/>
      <c r="E202" s="219"/>
      <c r="F202" s="123"/>
      <c r="G202" s="123"/>
      <c r="H202" s="123"/>
      <c r="AJ202" s="218"/>
    </row>
    <row r="203" spans="3:36" ht="15.75" customHeight="1" x14ac:dyDescent="0.2">
      <c r="C203" s="123"/>
      <c r="D203" s="123"/>
      <c r="E203" s="219"/>
      <c r="F203" s="123"/>
      <c r="G203" s="123"/>
      <c r="H203" s="123"/>
      <c r="AJ203" s="218"/>
    </row>
    <row r="204" spans="3:36" ht="15.75" customHeight="1" x14ac:dyDescent="0.2">
      <c r="C204" s="123"/>
      <c r="D204" s="123"/>
      <c r="E204" s="219"/>
      <c r="F204" s="123"/>
      <c r="G204" s="123"/>
      <c r="H204" s="123"/>
      <c r="AJ204" s="218"/>
    </row>
    <row r="205" spans="3:36" ht="15.75" customHeight="1" x14ac:dyDescent="0.2">
      <c r="C205" s="123"/>
      <c r="D205" s="123"/>
      <c r="E205" s="219"/>
      <c r="F205" s="123"/>
      <c r="G205" s="123"/>
      <c r="H205" s="123"/>
      <c r="AJ205" s="218"/>
    </row>
    <row r="206" spans="3:36" ht="15.75" customHeight="1" x14ac:dyDescent="0.2">
      <c r="C206" s="123"/>
      <c r="D206" s="123"/>
      <c r="E206" s="219"/>
      <c r="F206" s="123"/>
      <c r="G206" s="123"/>
      <c r="H206" s="123"/>
      <c r="AJ206" s="218"/>
    </row>
    <row r="207" spans="3:36" ht="15.75" customHeight="1" x14ac:dyDescent="0.2">
      <c r="C207" s="123"/>
      <c r="D207" s="123"/>
      <c r="E207" s="219"/>
      <c r="F207" s="123"/>
      <c r="G207" s="123"/>
      <c r="H207" s="123"/>
      <c r="AJ207" s="218"/>
    </row>
    <row r="208" spans="3:36" ht="15.75" customHeight="1" x14ac:dyDescent="0.2">
      <c r="C208" s="123"/>
      <c r="D208" s="123"/>
      <c r="E208" s="219"/>
      <c r="F208" s="123"/>
      <c r="G208" s="123"/>
      <c r="H208" s="123"/>
      <c r="AJ208" s="218"/>
    </row>
    <row r="209" spans="3:36" ht="15.75" customHeight="1" x14ac:dyDescent="0.2">
      <c r="C209" s="123"/>
      <c r="D209" s="123"/>
      <c r="E209" s="219"/>
      <c r="F209" s="123"/>
      <c r="G209" s="123"/>
      <c r="H209" s="123"/>
      <c r="AJ209" s="218"/>
    </row>
    <row r="210" spans="3:36" ht="15.75" customHeight="1" x14ac:dyDescent="0.2">
      <c r="C210" s="123"/>
      <c r="D210" s="123"/>
      <c r="E210" s="219"/>
      <c r="F210" s="123"/>
      <c r="G210" s="123"/>
      <c r="H210" s="123"/>
      <c r="AJ210" s="218"/>
    </row>
    <row r="211" spans="3:36" ht="15.75" customHeight="1" x14ac:dyDescent="0.2">
      <c r="C211" s="123"/>
      <c r="D211" s="123"/>
      <c r="E211" s="219"/>
      <c r="F211" s="123"/>
      <c r="G211" s="123"/>
      <c r="H211" s="123"/>
      <c r="AJ211" s="218"/>
    </row>
    <row r="212" spans="3:36" ht="15.75" customHeight="1" x14ac:dyDescent="0.2">
      <c r="C212" s="123"/>
      <c r="D212" s="123"/>
      <c r="E212" s="219"/>
      <c r="F212" s="123"/>
      <c r="G212" s="123"/>
      <c r="H212" s="123"/>
      <c r="AJ212" s="218"/>
    </row>
    <row r="213" spans="3:36" ht="15.75" customHeight="1" x14ac:dyDescent="0.2">
      <c r="C213" s="123"/>
      <c r="D213" s="123"/>
      <c r="E213" s="219"/>
      <c r="F213" s="123"/>
      <c r="G213" s="123"/>
      <c r="H213" s="123"/>
      <c r="AJ213" s="218"/>
    </row>
    <row r="214" spans="3:36" ht="15.75" customHeight="1" x14ac:dyDescent="0.2">
      <c r="C214" s="123"/>
      <c r="D214" s="123"/>
      <c r="E214" s="219"/>
      <c r="F214" s="123"/>
      <c r="G214" s="123"/>
      <c r="H214" s="123"/>
      <c r="AJ214" s="218"/>
    </row>
    <row r="215" spans="3:36" ht="15.75" customHeight="1" x14ac:dyDescent="0.2">
      <c r="C215" s="123"/>
      <c r="D215" s="123"/>
      <c r="E215" s="219"/>
      <c r="F215" s="123"/>
      <c r="G215" s="123"/>
      <c r="H215" s="123"/>
      <c r="AJ215" s="218"/>
    </row>
    <row r="216" spans="3:36" ht="15.75" customHeight="1" x14ac:dyDescent="0.2">
      <c r="C216" s="123"/>
      <c r="D216" s="123"/>
      <c r="E216" s="219"/>
      <c r="F216" s="123"/>
      <c r="G216" s="123"/>
      <c r="H216" s="123"/>
      <c r="AJ216" s="218"/>
    </row>
    <row r="217" spans="3:36" ht="15.75" customHeight="1" x14ac:dyDescent="0.2">
      <c r="C217" s="123"/>
      <c r="D217" s="123"/>
      <c r="E217" s="219"/>
      <c r="F217" s="123"/>
      <c r="G217" s="123"/>
      <c r="H217" s="123"/>
      <c r="AJ217" s="218"/>
    </row>
    <row r="218" spans="3:36" ht="15.75" customHeight="1" x14ac:dyDescent="0.2">
      <c r="C218" s="123"/>
      <c r="D218" s="123"/>
      <c r="E218" s="219"/>
      <c r="F218" s="123"/>
      <c r="G218" s="123"/>
      <c r="H218" s="123"/>
      <c r="AJ218" s="218"/>
    </row>
    <row r="219" spans="3:36" ht="15.75" customHeight="1" x14ac:dyDescent="0.2">
      <c r="C219" s="123"/>
      <c r="D219" s="123"/>
      <c r="E219" s="219"/>
      <c r="F219" s="123"/>
      <c r="G219" s="123"/>
      <c r="H219" s="123"/>
      <c r="AJ219" s="218"/>
    </row>
    <row r="220" spans="3:36" ht="15.75" customHeight="1" x14ac:dyDescent="0.2">
      <c r="C220" s="123"/>
      <c r="D220" s="123"/>
      <c r="E220" s="219"/>
      <c r="F220" s="123"/>
      <c r="G220" s="123"/>
      <c r="H220" s="123"/>
      <c r="AJ220" s="218"/>
    </row>
    <row r="221" spans="3:36" ht="15.75" customHeight="1" x14ac:dyDescent="0.2">
      <c r="C221" s="123"/>
      <c r="D221" s="123"/>
      <c r="E221" s="219"/>
      <c r="F221" s="123"/>
      <c r="G221" s="123"/>
      <c r="H221" s="123"/>
      <c r="AJ221" s="218"/>
    </row>
    <row r="222" spans="3:36" ht="15.75" customHeight="1" x14ac:dyDescent="0.2">
      <c r="C222" s="123"/>
      <c r="D222" s="123"/>
      <c r="E222" s="219"/>
      <c r="F222" s="123"/>
      <c r="G222" s="123"/>
      <c r="H222" s="123"/>
      <c r="AJ222" s="218"/>
    </row>
    <row r="223" spans="3:36" ht="15.75" customHeight="1" x14ac:dyDescent="0.2">
      <c r="C223" s="123"/>
      <c r="D223" s="123"/>
      <c r="E223" s="219"/>
      <c r="F223" s="123"/>
      <c r="G223" s="123"/>
      <c r="H223" s="123"/>
      <c r="AJ223" s="218"/>
    </row>
    <row r="224" spans="3:36" ht="15.75" customHeight="1" x14ac:dyDescent="0.2">
      <c r="C224" s="123"/>
      <c r="D224" s="123"/>
      <c r="E224" s="219"/>
      <c r="F224" s="123"/>
      <c r="G224" s="123"/>
      <c r="H224" s="123"/>
      <c r="AJ224" s="218"/>
    </row>
    <row r="225" spans="3:36" ht="15.75" customHeight="1" x14ac:dyDescent="0.2">
      <c r="C225" s="123"/>
      <c r="D225" s="123"/>
      <c r="E225" s="219"/>
      <c r="F225" s="123"/>
      <c r="G225" s="123"/>
      <c r="H225" s="123"/>
      <c r="AJ225" s="218"/>
    </row>
    <row r="226" spans="3:36" ht="15.75" customHeight="1" x14ac:dyDescent="0.2">
      <c r="C226" s="123"/>
      <c r="D226" s="123"/>
      <c r="E226" s="219"/>
      <c r="F226" s="123"/>
      <c r="G226" s="123"/>
      <c r="H226" s="123"/>
      <c r="AJ226" s="218"/>
    </row>
    <row r="227" spans="3:36" ht="15.75" customHeight="1" x14ac:dyDescent="0.2">
      <c r="C227" s="123"/>
      <c r="D227" s="123"/>
      <c r="E227" s="219"/>
      <c r="F227" s="123"/>
      <c r="G227" s="123"/>
      <c r="H227" s="123"/>
      <c r="AJ227" s="218"/>
    </row>
    <row r="228" spans="3:36" ht="15.75" customHeight="1" x14ac:dyDescent="0.2">
      <c r="C228" s="123"/>
      <c r="D228" s="123"/>
      <c r="E228" s="219"/>
      <c r="F228" s="123"/>
      <c r="G228" s="123"/>
      <c r="H228" s="123"/>
      <c r="AJ228" s="218"/>
    </row>
    <row r="229" spans="3:36" ht="15.75" customHeight="1" x14ac:dyDescent="0.2">
      <c r="C229" s="123"/>
      <c r="D229" s="123"/>
      <c r="E229" s="219"/>
      <c r="F229" s="123"/>
      <c r="G229" s="123"/>
      <c r="H229" s="123"/>
      <c r="AJ229" s="218"/>
    </row>
    <row r="230" spans="3:36" ht="15.75" customHeight="1" x14ac:dyDescent="0.2">
      <c r="C230" s="123"/>
      <c r="D230" s="123"/>
      <c r="E230" s="219"/>
      <c r="F230" s="123"/>
      <c r="G230" s="123"/>
      <c r="H230" s="123"/>
      <c r="AJ230" s="218"/>
    </row>
    <row r="231" spans="3:36" ht="15.75" customHeight="1" x14ac:dyDescent="0.2">
      <c r="C231" s="123"/>
      <c r="D231" s="123"/>
      <c r="E231" s="219"/>
      <c r="F231" s="123"/>
      <c r="G231" s="123"/>
      <c r="H231" s="123"/>
      <c r="AJ231" s="218"/>
    </row>
    <row r="232" spans="3:36" ht="15.75" customHeight="1" x14ac:dyDescent="0.2">
      <c r="C232" s="123"/>
      <c r="D232" s="123"/>
      <c r="E232" s="219"/>
      <c r="F232" s="123"/>
      <c r="G232" s="123"/>
      <c r="H232" s="123"/>
      <c r="AJ232" s="218"/>
    </row>
    <row r="233" spans="3:36" ht="15.75" customHeight="1" x14ac:dyDescent="0.2">
      <c r="C233" s="123"/>
      <c r="D233" s="123"/>
      <c r="E233" s="219"/>
      <c r="F233" s="123"/>
      <c r="G233" s="123"/>
      <c r="H233" s="123"/>
      <c r="AJ233" s="218"/>
    </row>
    <row r="234" spans="3:36" ht="15.75" customHeight="1" x14ac:dyDescent="0.2">
      <c r="C234" s="123"/>
      <c r="D234" s="123"/>
      <c r="E234" s="219"/>
      <c r="F234" s="123"/>
      <c r="G234" s="123"/>
      <c r="H234" s="123"/>
      <c r="AJ234" s="218"/>
    </row>
    <row r="235" spans="3:36" ht="15.75" customHeight="1" x14ac:dyDescent="0.2">
      <c r="C235" s="123"/>
      <c r="D235" s="123"/>
      <c r="E235" s="219"/>
      <c r="F235" s="123"/>
      <c r="G235" s="123"/>
      <c r="H235" s="123"/>
      <c r="AJ235" s="218"/>
    </row>
    <row r="236" spans="3:36" ht="15.75" customHeight="1" x14ac:dyDescent="0.2">
      <c r="C236" s="123"/>
      <c r="D236" s="123"/>
      <c r="E236" s="219"/>
      <c r="F236" s="123"/>
      <c r="G236" s="123"/>
      <c r="H236" s="123"/>
      <c r="AJ236" s="218"/>
    </row>
    <row r="237" spans="3:36" ht="15.75" customHeight="1" x14ac:dyDescent="0.2">
      <c r="C237" s="123"/>
      <c r="D237" s="123"/>
      <c r="E237" s="219"/>
      <c r="F237" s="123"/>
      <c r="G237" s="123"/>
      <c r="H237" s="123"/>
      <c r="AJ237" s="218"/>
    </row>
    <row r="238" spans="3:36" ht="15.75" customHeight="1" x14ac:dyDescent="0.2">
      <c r="C238" s="123"/>
      <c r="D238" s="123"/>
      <c r="E238" s="219"/>
      <c r="F238" s="123"/>
      <c r="G238" s="123"/>
      <c r="H238" s="123"/>
      <c r="AJ238" s="218"/>
    </row>
    <row r="239" spans="3:36" ht="15.75" customHeight="1" x14ac:dyDescent="0.2">
      <c r="C239" s="123"/>
      <c r="D239" s="123"/>
      <c r="E239" s="219"/>
      <c r="F239" s="123"/>
      <c r="G239" s="123"/>
      <c r="H239" s="123"/>
      <c r="AJ239" s="218"/>
    </row>
    <row r="240" spans="3:36" ht="15.75" customHeight="1" x14ac:dyDescent="0.2">
      <c r="C240" s="123"/>
      <c r="D240" s="123"/>
      <c r="E240" s="219"/>
      <c r="F240" s="123"/>
      <c r="G240" s="123"/>
      <c r="H240" s="123"/>
      <c r="AJ240" s="218"/>
    </row>
    <row r="241" spans="3:36" ht="15.75" customHeight="1" x14ac:dyDescent="0.2">
      <c r="C241" s="123"/>
      <c r="D241" s="123"/>
      <c r="E241" s="219"/>
      <c r="F241" s="123"/>
      <c r="G241" s="123"/>
      <c r="H241" s="123"/>
      <c r="AJ241" s="218"/>
    </row>
    <row r="242" spans="3:36" ht="15.75" customHeight="1" x14ac:dyDescent="0.2">
      <c r="C242" s="123"/>
      <c r="D242" s="123"/>
      <c r="E242" s="219"/>
      <c r="F242" s="123"/>
      <c r="G242" s="123"/>
      <c r="H242" s="123"/>
      <c r="AJ242" s="218"/>
    </row>
    <row r="243" spans="3:36" ht="15.75" customHeight="1" x14ac:dyDescent="0.2">
      <c r="C243" s="123"/>
      <c r="D243" s="123"/>
      <c r="E243" s="219"/>
      <c r="F243" s="123"/>
      <c r="G243" s="123"/>
      <c r="H243" s="123"/>
      <c r="AJ243" s="218"/>
    </row>
    <row r="244" spans="3:36" ht="15.75" customHeight="1" x14ac:dyDescent="0.2">
      <c r="C244" s="123"/>
      <c r="D244" s="123"/>
      <c r="E244" s="219"/>
      <c r="F244" s="123"/>
      <c r="G244" s="123"/>
      <c r="H244" s="123"/>
      <c r="AJ244" s="218"/>
    </row>
    <row r="245" spans="3:36" ht="15.75" customHeight="1" x14ac:dyDescent="0.2">
      <c r="C245" s="123"/>
      <c r="D245" s="123"/>
      <c r="E245" s="219"/>
      <c r="F245" s="123"/>
      <c r="G245" s="123"/>
      <c r="H245" s="123"/>
      <c r="AJ245" s="218"/>
    </row>
    <row r="246" spans="3:36" ht="15.75" customHeight="1" x14ac:dyDescent="0.2">
      <c r="C246" s="123"/>
      <c r="D246" s="123"/>
      <c r="E246" s="219"/>
      <c r="F246" s="123"/>
      <c r="G246" s="123"/>
      <c r="H246" s="123"/>
      <c r="AJ246" s="218"/>
    </row>
    <row r="247" spans="3:36" ht="15.75" customHeight="1" x14ac:dyDescent="0.2">
      <c r="C247" s="123"/>
      <c r="D247" s="123"/>
      <c r="E247" s="219"/>
      <c r="F247" s="123"/>
      <c r="G247" s="123"/>
      <c r="H247" s="123"/>
      <c r="AJ247" s="218"/>
    </row>
    <row r="248" spans="3:36" ht="15.75" customHeight="1" x14ac:dyDescent="0.2">
      <c r="C248" s="123"/>
      <c r="D248" s="123"/>
      <c r="E248" s="219"/>
      <c r="F248" s="123"/>
      <c r="G248" s="123"/>
      <c r="H248" s="123"/>
      <c r="AJ248" s="218"/>
    </row>
    <row r="249" spans="3:36" ht="15.75" customHeight="1" x14ac:dyDescent="0.2">
      <c r="C249" s="123"/>
      <c r="D249" s="123"/>
      <c r="E249" s="219"/>
      <c r="F249" s="123"/>
      <c r="G249" s="123"/>
      <c r="H249" s="123"/>
      <c r="AJ249" s="218"/>
    </row>
    <row r="250" spans="3:36" ht="15.75" customHeight="1" x14ac:dyDescent="0.2">
      <c r="C250" s="123"/>
      <c r="D250" s="123"/>
      <c r="E250" s="219"/>
      <c r="F250" s="123"/>
      <c r="G250" s="123"/>
      <c r="H250" s="123"/>
      <c r="AJ250" s="218"/>
    </row>
    <row r="251" spans="3:36" ht="15.75" customHeight="1" x14ac:dyDescent="0.2">
      <c r="C251" s="123"/>
      <c r="D251" s="123"/>
      <c r="E251" s="219"/>
      <c r="F251" s="123"/>
      <c r="G251" s="123"/>
      <c r="H251" s="123"/>
      <c r="AJ251" s="218"/>
    </row>
    <row r="252" spans="3:36" ht="15.75" customHeight="1" x14ac:dyDescent="0.2">
      <c r="C252" s="123"/>
      <c r="D252" s="123"/>
      <c r="E252" s="219"/>
      <c r="F252" s="123"/>
      <c r="G252" s="123"/>
      <c r="H252" s="123"/>
      <c r="AJ252" s="218"/>
    </row>
    <row r="253" spans="3:36" ht="15.75" customHeight="1" x14ac:dyDescent="0.2">
      <c r="C253" s="123"/>
      <c r="D253" s="123"/>
      <c r="E253" s="219"/>
      <c r="F253" s="123"/>
      <c r="G253" s="123"/>
      <c r="H253" s="123"/>
      <c r="AJ253" s="218"/>
    </row>
    <row r="254" spans="3:36" ht="15.75" customHeight="1" x14ac:dyDescent="0.2">
      <c r="C254" s="123"/>
      <c r="D254" s="123"/>
      <c r="E254" s="219"/>
      <c r="F254" s="123"/>
      <c r="G254" s="123"/>
      <c r="H254" s="123"/>
      <c r="AJ254" s="218"/>
    </row>
    <row r="255" spans="3:36" ht="15.75" customHeight="1" x14ac:dyDescent="0.2">
      <c r="C255" s="123"/>
      <c r="D255" s="123"/>
      <c r="E255" s="219"/>
      <c r="F255" s="123"/>
      <c r="G255" s="123"/>
      <c r="H255" s="123"/>
      <c r="AJ255" s="218"/>
    </row>
    <row r="256" spans="3:36" ht="15.75" customHeight="1" x14ac:dyDescent="0.2">
      <c r="C256" s="123"/>
      <c r="D256" s="123"/>
      <c r="E256" s="219"/>
      <c r="F256" s="123"/>
      <c r="G256" s="123"/>
      <c r="H256" s="123"/>
      <c r="AJ256" s="218"/>
    </row>
    <row r="257" spans="3:36" ht="15.75" customHeight="1" x14ac:dyDescent="0.2">
      <c r="C257" s="123"/>
      <c r="D257" s="123"/>
      <c r="E257" s="219"/>
      <c r="F257" s="123"/>
      <c r="G257" s="123"/>
      <c r="H257" s="123"/>
      <c r="AJ257" s="218"/>
    </row>
    <row r="258" spans="3:36" ht="15.75" customHeight="1" x14ac:dyDescent="0.2">
      <c r="C258" s="123"/>
      <c r="D258" s="123"/>
      <c r="E258" s="219"/>
      <c r="F258" s="123"/>
      <c r="G258" s="123"/>
      <c r="H258" s="123"/>
      <c r="AJ258" s="218"/>
    </row>
    <row r="259" spans="3:36" ht="15.75" customHeight="1" x14ac:dyDescent="0.2">
      <c r="C259" s="123"/>
      <c r="D259" s="123"/>
      <c r="E259" s="219"/>
      <c r="F259" s="123"/>
      <c r="G259" s="123"/>
      <c r="H259" s="123"/>
      <c r="AJ259" s="218"/>
    </row>
    <row r="260" spans="3:36" ht="15.75" customHeight="1" x14ac:dyDescent="0.2">
      <c r="C260" s="123"/>
      <c r="D260" s="123"/>
      <c r="E260" s="219"/>
      <c r="F260" s="123"/>
      <c r="G260" s="123"/>
      <c r="H260" s="123"/>
      <c r="AJ260" s="218"/>
    </row>
    <row r="261" spans="3:36" ht="15.75" customHeight="1" x14ac:dyDescent="0.2">
      <c r="C261" s="123"/>
      <c r="D261" s="123"/>
      <c r="E261" s="219"/>
      <c r="F261" s="123"/>
      <c r="G261" s="123"/>
      <c r="H261" s="123"/>
      <c r="AJ261" s="218"/>
    </row>
    <row r="262" spans="3:36" ht="15.75" customHeight="1" x14ac:dyDescent="0.2">
      <c r="C262" s="123"/>
      <c r="D262" s="123"/>
      <c r="E262" s="219"/>
      <c r="F262" s="123"/>
      <c r="G262" s="123"/>
      <c r="H262" s="123"/>
      <c r="AJ262" s="218"/>
    </row>
    <row r="263" spans="3:36" ht="15.75" customHeight="1" x14ac:dyDescent="0.2">
      <c r="C263" s="123"/>
      <c r="D263" s="123"/>
      <c r="E263" s="219"/>
      <c r="F263" s="123"/>
      <c r="G263" s="123"/>
      <c r="H263" s="123"/>
      <c r="AJ263" s="218"/>
    </row>
    <row r="264" spans="3:36" ht="15.75" customHeight="1" x14ac:dyDescent="0.2">
      <c r="C264" s="123"/>
      <c r="D264" s="123"/>
      <c r="E264" s="219"/>
      <c r="F264" s="123"/>
      <c r="G264" s="123"/>
      <c r="H264" s="123"/>
      <c r="AJ264" s="218"/>
    </row>
    <row r="265" spans="3:36" ht="15.75" customHeight="1" x14ac:dyDescent="0.2">
      <c r="C265" s="123"/>
      <c r="D265" s="123"/>
      <c r="E265" s="219"/>
      <c r="F265" s="123"/>
      <c r="G265" s="123"/>
      <c r="H265" s="123"/>
      <c r="AJ265" s="218"/>
    </row>
    <row r="266" spans="3:36" ht="15.75" customHeight="1" x14ac:dyDescent="0.2">
      <c r="C266" s="123"/>
      <c r="D266" s="123"/>
      <c r="E266" s="219"/>
      <c r="F266" s="123"/>
      <c r="G266" s="123"/>
      <c r="H266" s="123"/>
      <c r="AJ266" s="218"/>
    </row>
    <row r="267" spans="3:36" ht="15.75" customHeight="1" x14ac:dyDescent="0.2">
      <c r="C267" s="123"/>
      <c r="D267" s="123"/>
      <c r="E267" s="219"/>
      <c r="F267" s="123"/>
      <c r="G267" s="123"/>
      <c r="H267" s="123"/>
      <c r="AJ267" s="218"/>
    </row>
    <row r="268" spans="3:36" ht="15.75" customHeight="1" x14ac:dyDescent="0.2">
      <c r="C268" s="123"/>
      <c r="D268" s="123"/>
      <c r="E268" s="219"/>
      <c r="F268" s="123"/>
      <c r="G268" s="123"/>
      <c r="H268" s="123"/>
      <c r="AJ268" s="218"/>
    </row>
    <row r="269" spans="3:36" ht="15.75" customHeight="1" x14ac:dyDescent="0.2">
      <c r="C269" s="123"/>
      <c r="D269" s="123"/>
      <c r="E269" s="219"/>
      <c r="F269" s="123"/>
      <c r="G269" s="123"/>
      <c r="H269" s="123"/>
      <c r="AJ269" s="218"/>
    </row>
    <row r="270" spans="3:36" ht="15.75" customHeight="1" x14ac:dyDescent="0.2">
      <c r="C270" s="123"/>
      <c r="D270" s="123"/>
      <c r="E270" s="219"/>
      <c r="F270" s="123"/>
      <c r="G270" s="123"/>
      <c r="H270" s="123"/>
      <c r="AJ270" s="218"/>
    </row>
    <row r="271" spans="3:36" ht="15.75" customHeight="1" x14ac:dyDescent="0.2">
      <c r="C271" s="123"/>
      <c r="D271" s="123"/>
      <c r="E271" s="219"/>
      <c r="F271" s="123"/>
      <c r="G271" s="123"/>
      <c r="H271" s="123"/>
      <c r="AJ271" s="218"/>
    </row>
    <row r="272" spans="3:36" ht="15.75" customHeight="1" x14ac:dyDescent="0.2">
      <c r="C272" s="123"/>
      <c r="D272" s="123"/>
      <c r="E272" s="219"/>
      <c r="F272" s="123"/>
      <c r="G272" s="123"/>
      <c r="H272" s="123"/>
      <c r="AJ272" s="218"/>
    </row>
    <row r="273" spans="3:36" ht="15.75" customHeight="1" x14ac:dyDescent="0.2">
      <c r="C273" s="123"/>
      <c r="D273" s="123"/>
      <c r="E273" s="219"/>
      <c r="F273" s="123"/>
      <c r="G273" s="123"/>
      <c r="H273" s="123"/>
      <c r="AJ273" s="218"/>
    </row>
    <row r="274" spans="3:36" ht="15.75" customHeight="1" x14ac:dyDescent="0.2">
      <c r="C274" s="123"/>
      <c r="D274" s="123"/>
      <c r="E274" s="219"/>
      <c r="F274" s="123"/>
      <c r="G274" s="123"/>
      <c r="H274" s="123"/>
      <c r="AJ274" s="218"/>
    </row>
    <row r="275" spans="3:36" ht="15.75" customHeight="1" x14ac:dyDescent="0.2">
      <c r="C275" s="123"/>
      <c r="D275" s="123"/>
      <c r="E275" s="219"/>
      <c r="F275" s="123"/>
      <c r="G275" s="123"/>
      <c r="H275" s="123"/>
      <c r="AJ275" s="218"/>
    </row>
    <row r="276" spans="3:36" ht="15.75" customHeight="1" x14ac:dyDescent="0.2">
      <c r="C276" s="123"/>
      <c r="D276" s="123"/>
      <c r="E276" s="219"/>
      <c r="F276" s="123"/>
      <c r="G276" s="123"/>
      <c r="H276" s="123"/>
      <c r="AJ276" s="218"/>
    </row>
    <row r="277" spans="3:36" ht="15.75" customHeight="1" x14ac:dyDescent="0.2">
      <c r="C277" s="123"/>
      <c r="D277" s="123"/>
      <c r="E277" s="219"/>
      <c r="F277" s="123"/>
      <c r="G277" s="123"/>
      <c r="H277" s="123"/>
      <c r="AJ277" s="218"/>
    </row>
    <row r="278" spans="3:36" ht="15.75" customHeight="1" x14ac:dyDescent="0.2">
      <c r="C278" s="123"/>
      <c r="D278" s="123"/>
      <c r="E278" s="219"/>
      <c r="F278" s="123"/>
      <c r="G278" s="123"/>
      <c r="H278" s="123"/>
      <c r="AJ278" s="218"/>
    </row>
    <row r="279" spans="3:36" ht="15.75" customHeight="1" x14ac:dyDescent="0.2">
      <c r="C279" s="123"/>
      <c r="D279" s="123"/>
      <c r="E279" s="219"/>
      <c r="F279" s="123"/>
      <c r="G279" s="123"/>
      <c r="H279" s="123"/>
      <c r="AJ279" s="218"/>
    </row>
    <row r="280" spans="3:36" ht="15.75" customHeight="1" x14ac:dyDescent="0.2">
      <c r="C280" s="123"/>
      <c r="D280" s="123"/>
      <c r="E280" s="219"/>
      <c r="F280" s="123"/>
      <c r="G280" s="123"/>
      <c r="H280" s="123"/>
      <c r="AJ280" s="218"/>
    </row>
    <row r="281" spans="3:36" ht="15.75" customHeight="1" x14ac:dyDescent="0.2">
      <c r="C281" s="123"/>
      <c r="D281" s="123"/>
      <c r="E281" s="219"/>
      <c r="F281" s="123"/>
      <c r="G281" s="123"/>
      <c r="H281" s="123"/>
      <c r="AJ281" s="218"/>
    </row>
    <row r="282" spans="3:36" ht="15.75" customHeight="1" x14ac:dyDescent="0.2">
      <c r="C282" s="123"/>
      <c r="D282" s="123"/>
      <c r="E282" s="219"/>
      <c r="F282" s="123"/>
      <c r="G282" s="123"/>
      <c r="H282" s="123"/>
      <c r="AJ282" s="218"/>
    </row>
    <row r="283" spans="3:36" ht="15.75" customHeight="1" x14ac:dyDescent="0.2">
      <c r="C283" s="123"/>
      <c r="D283" s="123"/>
      <c r="E283" s="219"/>
      <c r="F283" s="123"/>
      <c r="G283" s="123"/>
      <c r="H283" s="123"/>
      <c r="AJ283" s="218"/>
    </row>
    <row r="284" spans="3:36" ht="15.75" customHeight="1" x14ac:dyDescent="0.2">
      <c r="C284" s="123"/>
      <c r="D284" s="123"/>
      <c r="E284" s="219"/>
      <c r="F284" s="123"/>
      <c r="G284" s="123"/>
      <c r="H284" s="123"/>
      <c r="AJ284" s="218"/>
    </row>
    <row r="285" spans="3:36" ht="15.75" customHeight="1" x14ac:dyDescent="0.2">
      <c r="C285" s="123"/>
      <c r="D285" s="123"/>
      <c r="E285" s="219"/>
      <c r="F285" s="123"/>
      <c r="G285" s="123"/>
      <c r="H285" s="123"/>
      <c r="AJ285" s="218"/>
    </row>
    <row r="286" spans="3:36" ht="15.75" customHeight="1" x14ac:dyDescent="0.2">
      <c r="C286" s="123"/>
      <c r="D286" s="123"/>
      <c r="E286" s="219"/>
      <c r="F286" s="123"/>
      <c r="G286" s="123"/>
      <c r="H286" s="123"/>
      <c r="AJ286" s="218"/>
    </row>
    <row r="287" spans="3:36" ht="15.75" customHeight="1" x14ac:dyDescent="0.2">
      <c r="C287" s="123"/>
      <c r="D287" s="123"/>
      <c r="E287" s="219"/>
      <c r="F287" s="123"/>
      <c r="G287" s="123"/>
      <c r="H287" s="123"/>
      <c r="AJ287" s="218"/>
    </row>
    <row r="288" spans="3:36" ht="15.75" customHeight="1" x14ac:dyDescent="0.2">
      <c r="C288" s="123"/>
      <c r="D288" s="123"/>
      <c r="E288" s="219"/>
      <c r="F288" s="123"/>
      <c r="G288" s="123"/>
      <c r="H288" s="123"/>
      <c r="AJ288" s="218"/>
    </row>
    <row r="289" spans="3:36" ht="15.75" customHeight="1" x14ac:dyDescent="0.2">
      <c r="C289" s="123"/>
      <c r="D289" s="123"/>
      <c r="E289" s="219"/>
      <c r="F289" s="123"/>
      <c r="G289" s="123"/>
      <c r="H289" s="123"/>
      <c r="AJ289" s="218"/>
    </row>
    <row r="290" spans="3:36" ht="15.75" customHeight="1" x14ac:dyDescent="0.2">
      <c r="C290" s="123"/>
      <c r="D290" s="123"/>
      <c r="E290" s="219"/>
      <c r="F290" s="123"/>
      <c r="G290" s="123"/>
      <c r="H290" s="123"/>
      <c r="AJ290" s="218"/>
    </row>
    <row r="291" spans="3:36" ht="15.75" customHeight="1" x14ac:dyDescent="0.2">
      <c r="C291" s="123"/>
      <c r="D291" s="123"/>
      <c r="E291" s="219"/>
      <c r="F291" s="123"/>
      <c r="G291" s="123"/>
      <c r="H291" s="123"/>
      <c r="AJ291" s="218"/>
    </row>
    <row r="292" spans="3:36" ht="15.75" customHeight="1" x14ac:dyDescent="0.2">
      <c r="C292" s="123"/>
      <c r="D292" s="123"/>
      <c r="E292" s="219"/>
      <c r="F292" s="123"/>
      <c r="G292" s="123"/>
      <c r="H292" s="123"/>
      <c r="AJ292" s="218"/>
    </row>
    <row r="293" spans="3:36" ht="15.75" customHeight="1" x14ac:dyDescent="0.2">
      <c r="C293" s="123"/>
      <c r="D293" s="123"/>
      <c r="E293" s="219"/>
      <c r="F293" s="123"/>
      <c r="G293" s="123"/>
      <c r="H293" s="123"/>
      <c r="AJ293" s="218"/>
    </row>
    <row r="294" spans="3:36" ht="15.75" customHeight="1" x14ac:dyDescent="0.2">
      <c r="C294" s="123"/>
      <c r="D294" s="123"/>
      <c r="E294" s="219"/>
      <c r="F294" s="123"/>
      <c r="G294" s="123"/>
      <c r="H294" s="123"/>
      <c r="AJ294" s="218"/>
    </row>
    <row r="295" spans="3:36" ht="15.75" customHeight="1" x14ac:dyDescent="0.2">
      <c r="C295" s="123"/>
      <c r="D295" s="123"/>
      <c r="E295" s="219"/>
      <c r="F295" s="123"/>
      <c r="G295" s="123"/>
      <c r="H295" s="123"/>
      <c r="AJ295" s="218"/>
    </row>
    <row r="296" spans="3:36" ht="15.75" customHeight="1" x14ac:dyDescent="0.2">
      <c r="C296" s="123"/>
      <c r="D296" s="123"/>
      <c r="E296" s="219"/>
      <c r="F296" s="123"/>
      <c r="G296" s="123"/>
      <c r="H296" s="123"/>
      <c r="AJ296" s="218"/>
    </row>
    <row r="297" spans="3:36" ht="15.75" customHeight="1" x14ac:dyDescent="0.2">
      <c r="C297" s="123"/>
      <c r="D297" s="123"/>
      <c r="E297" s="219"/>
      <c r="F297" s="123"/>
      <c r="G297" s="123"/>
      <c r="H297" s="123"/>
      <c r="AJ297" s="218"/>
    </row>
    <row r="298" spans="3:36" ht="15.75" customHeight="1" x14ac:dyDescent="0.2">
      <c r="C298" s="123"/>
      <c r="D298" s="123"/>
      <c r="E298" s="219"/>
      <c r="F298" s="123"/>
      <c r="G298" s="123"/>
      <c r="H298" s="123"/>
      <c r="AJ298" s="218"/>
    </row>
    <row r="299" spans="3:36" ht="15.75" customHeight="1" x14ac:dyDescent="0.2">
      <c r="C299" s="123"/>
      <c r="D299" s="123"/>
      <c r="E299" s="219"/>
      <c r="F299" s="123"/>
      <c r="G299" s="123"/>
      <c r="H299" s="123"/>
      <c r="AJ299" s="218"/>
    </row>
    <row r="300" spans="3:36" ht="15.75" customHeight="1" x14ac:dyDescent="0.2">
      <c r="C300" s="123"/>
      <c r="D300" s="123"/>
      <c r="E300" s="219"/>
      <c r="F300" s="123"/>
      <c r="G300" s="123"/>
      <c r="H300" s="123"/>
      <c r="AJ300" s="218"/>
    </row>
    <row r="301" spans="3:36" ht="15.75" customHeight="1" x14ac:dyDescent="0.2">
      <c r="C301" s="123"/>
      <c r="D301" s="123"/>
      <c r="E301" s="219"/>
      <c r="F301" s="123"/>
      <c r="G301" s="123"/>
      <c r="H301" s="123"/>
      <c r="AJ301" s="218"/>
    </row>
    <row r="302" spans="3:36" ht="15.75" customHeight="1" x14ac:dyDescent="0.2">
      <c r="C302" s="123"/>
      <c r="D302" s="123"/>
      <c r="E302" s="219"/>
      <c r="F302" s="123"/>
      <c r="G302" s="123"/>
      <c r="H302" s="123"/>
      <c r="AJ302" s="218"/>
    </row>
    <row r="303" spans="3:36" ht="15.75" customHeight="1" x14ac:dyDescent="0.2">
      <c r="C303" s="123"/>
      <c r="D303" s="123"/>
      <c r="E303" s="219"/>
      <c r="F303" s="123"/>
      <c r="G303" s="123"/>
      <c r="H303" s="123"/>
      <c r="AJ303" s="218"/>
    </row>
    <row r="304" spans="3:36" ht="15.75" customHeight="1" x14ac:dyDescent="0.2">
      <c r="C304" s="123"/>
      <c r="D304" s="123"/>
      <c r="E304" s="219"/>
      <c r="F304" s="123"/>
      <c r="G304" s="123"/>
      <c r="H304" s="123"/>
      <c r="AJ304" s="218"/>
    </row>
    <row r="305" spans="3:36" ht="15.75" customHeight="1" x14ac:dyDescent="0.2">
      <c r="C305" s="123"/>
      <c r="D305" s="123"/>
      <c r="E305" s="219"/>
      <c r="F305" s="123"/>
      <c r="G305" s="123"/>
      <c r="H305" s="123"/>
      <c r="AJ305" s="218"/>
    </row>
    <row r="306" spans="3:36" ht="15.75" customHeight="1" x14ac:dyDescent="0.2">
      <c r="C306" s="123"/>
      <c r="D306" s="123"/>
      <c r="E306" s="219"/>
      <c r="F306" s="123"/>
      <c r="G306" s="123"/>
      <c r="H306" s="123"/>
      <c r="AJ306" s="218"/>
    </row>
    <row r="307" spans="3:36" ht="15.75" customHeight="1" x14ac:dyDescent="0.2">
      <c r="C307" s="123"/>
      <c r="D307" s="123"/>
      <c r="E307" s="219"/>
      <c r="F307" s="123"/>
      <c r="G307" s="123"/>
      <c r="H307" s="123"/>
      <c r="AJ307" s="218"/>
    </row>
    <row r="308" spans="3:36" ht="15.75" customHeight="1" x14ac:dyDescent="0.2">
      <c r="C308" s="123"/>
      <c r="D308" s="123"/>
      <c r="E308" s="219"/>
      <c r="F308" s="123"/>
      <c r="G308" s="123"/>
      <c r="H308" s="123"/>
      <c r="AJ308" s="218"/>
    </row>
    <row r="309" spans="3:36" ht="15.75" customHeight="1" x14ac:dyDescent="0.2">
      <c r="C309" s="123"/>
      <c r="D309" s="123"/>
      <c r="E309" s="219"/>
      <c r="F309" s="123"/>
      <c r="G309" s="123"/>
      <c r="H309" s="123"/>
      <c r="AJ309" s="218"/>
    </row>
    <row r="310" spans="3:36" ht="15.75" customHeight="1" x14ac:dyDescent="0.2">
      <c r="C310" s="123"/>
      <c r="D310" s="123"/>
      <c r="E310" s="219"/>
      <c r="F310" s="123"/>
      <c r="G310" s="123"/>
      <c r="H310" s="123"/>
      <c r="AJ310" s="218"/>
    </row>
    <row r="311" spans="3:36" ht="15.75" customHeight="1" x14ac:dyDescent="0.2">
      <c r="C311" s="123"/>
      <c r="D311" s="123"/>
      <c r="E311" s="219"/>
      <c r="F311" s="123"/>
      <c r="G311" s="123"/>
      <c r="H311" s="123"/>
      <c r="AJ311" s="218"/>
    </row>
    <row r="312" spans="3:36" ht="15.75" customHeight="1" x14ac:dyDescent="0.2">
      <c r="C312" s="123"/>
      <c r="D312" s="123"/>
      <c r="E312" s="219"/>
      <c r="F312" s="123"/>
      <c r="G312" s="123"/>
      <c r="H312" s="123"/>
      <c r="AJ312" s="218"/>
    </row>
    <row r="313" spans="3:36" ht="15.75" customHeight="1" x14ac:dyDescent="0.2">
      <c r="C313" s="123"/>
      <c r="D313" s="123"/>
      <c r="E313" s="219"/>
      <c r="F313" s="123"/>
      <c r="G313" s="123"/>
      <c r="H313" s="123"/>
      <c r="AJ313" s="218"/>
    </row>
    <row r="314" spans="3:36" ht="15.75" customHeight="1" x14ac:dyDescent="0.2">
      <c r="C314" s="123"/>
      <c r="D314" s="123"/>
      <c r="E314" s="219"/>
      <c r="F314" s="123"/>
      <c r="G314" s="123"/>
      <c r="H314" s="123"/>
      <c r="AJ314" s="218"/>
    </row>
    <row r="315" spans="3:36" ht="15.75" customHeight="1" x14ac:dyDescent="0.2">
      <c r="C315" s="123"/>
      <c r="D315" s="123"/>
      <c r="E315" s="219"/>
      <c r="F315" s="123"/>
      <c r="G315" s="123"/>
      <c r="H315" s="123"/>
      <c r="AJ315" s="218"/>
    </row>
    <row r="316" spans="3:36" ht="15.75" customHeight="1" x14ac:dyDescent="0.2">
      <c r="C316" s="123"/>
      <c r="D316" s="123"/>
      <c r="E316" s="219"/>
      <c r="F316" s="123"/>
      <c r="G316" s="123"/>
      <c r="H316" s="123"/>
      <c r="AJ316" s="218"/>
    </row>
    <row r="317" spans="3:36" ht="15.75" customHeight="1" x14ac:dyDescent="0.2">
      <c r="C317" s="123"/>
      <c r="D317" s="123"/>
      <c r="E317" s="219"/>
      <c r="F317" s="123"/>
      <c r="G317" s="123"/>
      <c r="H317" s="123"/>
      <c r="AJ317" s="218"/>
    </row>
    <row r="318" spans="3:36" ht="15.75" customHeight="1" x14ac:dyDescent="0.2">
      <c r="C318" s="123"/>
      <c r="D318" s="123"/>
      <c r="E318" s="219"/>
      <c r="F318" s="123"/>
      <c r="G318" s="123"/>
      <c r="H318" s="123"/>
      <c r="AJ318" s="218"/>
    </row>
    <row r="319" spans="3:36" ht="15.75" customHeight="1" x14ac:dyDescent="0.2">
      <c r="C319" s="123"/>
      <c r="D319" s="123"/>
      <c r="E319" s="219"/>
      <c r="F319" s="123"/>
      <c r="G319" s="123"/>
      <c r="H319" s="123"/>
      <c r="AJ319" s="218"/>
    </row>
    <row r="320" spans="3:36" ht="15.75" customHeight="1" x14ac:dyDescent="0.2">
      <c r="C320" s="123"/>
      <c r="D320" s="123"/>
      <c r="E320" s="219"/>
      <c r="F320" s="123"/>
      <c r="G320" s="123"/>
      <c r="H320" s="123"/>
      <c r="AJ320" s="218"/>
    </row>
    <row r="321" spans="3:36" ht="15.75" customHeight="1" x14ac:dyDescent="0.2">
      <c r="C321" s="123"/>
      <c r="D321" s="123"/>
      <c r="E321" s="219"/>
      <c r="F321" s="123"/>
      <c r="G321" s="123"/>
      <c r="H321" s="123"/>
      <c r="AJ321" s="218"/>
    </row>
    <row r="322" spans="3:36" ht="15.75" customHeight="1" x14ac:dyDescent="0.2">
      <c r="C322" s="123"/>
      <c r="D322" s="123"/>
      <c r="E322" s="219"/>
      <c r="F322" s="123"/>
      <c r="G322" s="123"/>
      <c r="H322" s="123"/>
      <c r="AJ322" s="218"/>
    </row>
    <row r="323" spans="3:36" ht="15.75" customHeight="1" x14ac:dyDescent="0.2">
      <c r="C323" s="123"/>
      <c r="D323" s="123"/>
      <c r="E323" s="219"/>
      <c r="F323" s="123"/>
      <c r="G323" s="123"/>
      <c r="H323" s="123"/>
      <c r="AJ323" s="218"/>
    </row>
    <row r="324" spans="3:36" ht="15.75" customHeight="1" x14ac:dyDescent="0.2">
      <c r="C324" s="123"/>
      <c r="D324" s="123"/>
      <c r="E324" s="219"/>
      <c r="F324" s="123"/>
      <c r="G324" s="123"/>
      <c r="H324" s="123"/>
      <c r="AJ324" s="218"/>
    </row>
    <row r="325" spans="3:36" ht="15.75" customHeight="1" x14ac:dyDescent="0.2">
      <c r="C325" s="123"/>
      <c r="D325" s="123"/>
      <c r="E325" s="219"/>
      <c r="F325" s="123"/>
      <c r="G325" s="123"/>
      <c r="H325" s="123"/>
      <c r="AJ325" s="218"/>
    </row>
    <row r="326" spans="3:36" ht="15.75" customHeight="1" x14ac:dyDescent="0.2">
      <c r="C326" s="123"/>
      <c r="D326" s="123"/>
      <c r="E326" s="219"/>
      <c r="F326" s="123"/>
      <c r="G326" s="123"/>
      <c r="H326" s="123"/>
      <c r="AJ326" s="218"/>
    </row>
    <row r="327" spans="3:36" ht="15.75" customHeight="1" x14ac:dyDescent="0.2">
      <c r="C327" s="123"/>
      <c r="D327" s="123"/>
      <c r="E327" s="219"/>
      <c r="F327" s="123"/>
      <c r="G327" s="123"/>
      <c r="H327" s="123"/>
      <c r="AJ327" s="218"/>
    </row>
    <row r="328" spans="3:36" ht="15.75" customHeight="1" x14ac:dyDescent="0.2">
      <c r="C328" s="123"/>
      <c r="D328" s="123"/>
      <c r="E328" s="123"/>
      <c r="F328" s="123"/>
      <c r="G328" s="123"/>
      <c r="H328" s="123"/>
      <c r="AJ328" s="218"/>
    </row>
    <row r="329" spans="3:36" ht="15.75" customHeight="1" x14ac:dyDescent="0.2">
      <c r="C329" s="123"/>
      <c r="D329" s="123"/>
      <c r="E329" s="123"/>
      <c r="F329" s="123"/>
      <c r="G329" s="123"/>
      <c r="H329" s="123"/>
      <c r="AJ329" s="218"/>
    </row>
    <row r="330" spans="3:36" ht="15.75" customHeight="1" x14ac:dyDescent="0.2">
      <c r="C330" s="123"/>
      <c r="D330" s="123"/>
      <c r="E330" s="123"/>
      <c r="F330" s="123"/>
      <c r="G330" s="123"/>
      <c r="H330" s="123"/>
      <c r="AJ330" s="218"/>
    </row>
    <row r="331" spans="3:36" ht="15.75" customHeight="1" x14ac:dyDescent="0.2">
      <c r="C331" s="123"/>
      <c r="D331" s="123"/>
      <c r="E331" s="123"/>
      <c r="F331" s="123"/>
      <c r="G331" s="123"/>
      <c r="H331" s="123"/>
      <c r="AJ331" s="218"/>
    </row>
    <row r="332" spans="3:36" ht="15.75" customHeight="1" x14ac:dyDescent="0.2">
      <c r="C332" s="123"/>
      <c r="D332" s="123"/>
      <c r="E332" s="123"/>
      <c r="F332" s="123"/>
      <c r="G332" s="123"/>
      <c r="H332" s="123"/>
      <c r="AJ332" s="218"/>
    </row>
    <row r="333" spans="3:36" ht="15.75" customHeight="1" x14ac:dyDescent="0.2">
      <c r="C333" s="123"/>
      <c r="D333" s="123"/>
      <c r="E333" s="123"/>
      <c r="F333" s="123"/>
      <c r="G333" s="123"/>
      <c r="H333" s="123"/>
      <c r="AJ333" s="218"/>
    </row>
    <row r="334" spans="3:36" ht="15.75" customHeight="1" x14ac:dyDescent="0.2">
      <c r="C334" s="123"/>
      <c r="D334" s="123"/>
      <c r="E334" s="123"/>
      <c r="F334" s="123"/>
      <c r="G334" s="123"/>
      <c r="H334" s="123"/>
      <c r="AJ334" s="218"/>
    </row>
    <row r="335" spans="3:36" ht="15.75" customHeight="1" x14ac:dyDescent="0.2">
      <c r="C335" s="123"/>
      <c r="D335" s="123"/>
      <c r="E335" s="123"/>
      <c r="F335" s="123"/>
      <c r="G335" s="123"/>
      <c r="H335" s="123"/>
      <c r="AJ335" s="218"/>
    </row>
    <row r="336" spans="3:36" ht="15.75" customHeight="1" x14ac:dyDescent="0.2">
      <c r="C336" s="123"/>
      <c r="D336" s="123"/>
      <c r="E336" s="123"/>
      <c r="F336" s="123"/>
      <c r="G336" s="123"/>
      <c r="H336" s="123"/>
      <c r="AJ336" s="218"/>
    </row>
    <row r="337" spans="3:36" ht="15.75" customHeight="1" x14ac:dyDescent="0.2">
      <c r="C337" s="123"/>
      <c r="D337" s="123"/>
      <c r="E337" s="123"/>
      <c r="F337" s="123"/>
      <c r="G337" s="123"/>
      <c r="H337" s="123"/>
      <c r="AJ337" s="218"/>
    </row>
    <row r="338" spans="3:36" ht="15.75" customHeight="1" x14ac:dyDescent="0.2">
      <c r="C338" s="123"/>
      <c r="D338" s="123"/>
      <c r="E338" s="123"/>
      <c r="F338" s="123"/>
      <c r="G338" s="123"/>
      <c r="H338" s="123"/>
      <c r="AJ338" s="218"/>
    </row>
    <row r="339" spans="3:36" ht="15.75" customHeight="1" x14ac:dyDescent="0.2">
      <c r="C339" s="123"/>
      <c r="D339" s="123"/>
      <c r="E339" s="123"/>
      <c r="F339" s="123"/>
      <c r="G339" s="123"/>
      <c r="H339" s="123"/>
      <c r="AJ339" s="218"/>
    </row>
    <row r="340" spans="3:36" ht="15.75" customHeight="1" x14ac:dyDescent="0.2">
      <c r="C340" s="123"/>
      <c r="D340" s="123"/>
      <c r="E340" s="123"/>
      <c r="F340" s="123"/>
      <c r="G340" s="123"/>
      <c r="H340" s="123"/>
      <c r="AJ340" s="218"/>
    </row>
    <row r="341" spans="3:36" ht="15.75" customHeight="1" x14ac:dyDescent="0.2">
      <c r="C341" s="123"/>
      <c r="D341" s="123"/>
      <c r="E341" s="123"/>
      <c r="F341" s="123"/>
      <c r="G341" s="123"/>
      <c r="H341" s="123"/>
      <c r="AJ341" s="218"/>
    </row>
    <row r="342" spans="3:36" ht="15.75" customHeight="1" x14ac:dyDescent="0.2">
      <c r="C342" s="123"/>
      <c r="D342" s="123"/>
      <c r="E342" s="123"/>
      <c r="F342" s="123"/>
      <c r="G342" s="123"/>
      <c r="H342" s="123"/>
      <c r="AJ342" s="218"/>
    </row>
    <row r="343" spans="3:36" ht="15.75" customHeight="1" x14ac:dyDescent="0.2">
      <c r="C343" s="123"/>
      <c r="D343" s="123"/>
      <c r="E343" s="123"/>
      <c r="F343" s="123"/>
      <c r="G343" s="123"/>
      <c r="H343" s="123"/>
      <c r="AJ343" s="218"/>
    </row>
    <row r="344" spans="3:36" ht="15.75" customHeight="1" x14ac:dyDescent="0.2">
      <c r="C344" s="123"/>
      <c r="D344" s="123"/>
      <c r="E344" s="123"/>
      <c r="F344" s="123"/>
      <c r="G344" s="123"/>
      <c r="H344" s="123"/>
      <c r="AJ344" s="218"/>
    </row>
    <row r="345" spans="3:36" ht="15.75" customHeight="1" x14ac:dyDescent="0.2">
      <c r="C345" s="123"/>
      <c r="D345" s="123"/>
      <c r="E345" s="123"/>
      <c r="F345" s="123"/>
      <c r="G345" s="123"/>
      <c r="H345" s="123"/>
      <c r="AJ345" s="218"/>
    </row>
    <row r="346" spans="3:36" ht="15.75" customHeight="1" x14ac:dyDescent="0.2">
      <c r="C346" s="123"/>
      <c r="D346" s="123"/>
      <c r="E346" s="123"/>
      <c r="F346" s="123"/>
      <c r="G346" s="123"/>
      <c r="H346" s="123"/>
      <c r="AJ346" s="218"/>
    </row>
    <row r="347" spans="3:36" ht="15.75" customHeight="1" x14ac:dyDescent="0.2">
      <c r="C347" s="123"/>
      <c r="D347" s="123"/>
      <c r="E347" s="123"/>
      <c r="F347" s="123"/>
      <c r="G347" s="123"/>
      <c r="H347" s="123"/>
      <c r="AJ347" s="218"/>
    </row>
    <row r="348" spans="3:36" ht="15.75" customHeight="1" x14ac:dyDescent="0.2">
      <c r="C348" s="123"/>
      <c r="D348" s="123"/>
      <c r="E348" s="123"/>
      <c r="F348" s="123"/>
      <c r="G348" s="123"/>
      <c r="H348" s="123"/>
      <c r="AJ348" s="218"/>
    </row>
    <row r="349" spans="3:36" ht="15.75" customHeight="1" x14ac:dyDescent="0.2">
      <c r="C349" s="123"/>
      <c r="D349" s="123"/>
      <c r="E349" s="123"/>
      <c r="F349" s="123"/>
      <c r="G349" s="123"/>
      <c r="H349" s="123"/>
      <c r="AJ349" s="218"/>
    </row>
    <row r="350" spans="3:36" ht="15.75" customHeight="1" x14ac:dyDescent="0.2">
      <c r="C350" s="123"/>
      <c r="D350" s="123"/>
      <c r="E350" s="123"/>
      <c r="F350" s="123"/>
      <c r="G350" s="123"/>
      <c r="H350" s="123"/>
      <c r="AJ350" s="218"/>
    </row>
    <row r="351" spans="3:36" ht="15.75" customHeight="1" x14ac:dyDescent="0.2">
      <c r="C351" s="123"/>
      <c r="D351" s="123"/>
      <c r="E351" s="123"/>
      <c r="F351" s="123"/>
      <c r="G351" s="123"/>
      <c r="H351" s="123"/>
      <c r="AJ351" s="218"/>
    </row>
    <row r="352" spans="3:36" ht="15.75" customHeight="1" x14ac:dyDescent="0.2">
      <c r="C352" s="123"/>
      <c r="D352" s="123"/>
      <c r="E352" s="123"/>
      <c r="F352" s="123"/>
      <c r="G352" s="123"/>
      <c r="H352" s="123"/>
      <c r="AJ352" s="218"/>
    </row>
    <row r="353" spans="3:36" ht="15.75" customHeight="1" x14ac:dyDescent="0.2">
      <c r="C353" s="123"/>
      <c r="D353" s="123"/>
      <c r="E353" s="123"/>
      <c r="F353" s="123"/>
      <c r="G353" s="123"/>
      <c r="H353" s="123"/>
      <c r="AJ353" s="218"/>
    </row>
    <row r="354" spans="3:36" ht="15.75" customHeight="1" x14ac:dyDescent="0.2">
      <c r="C354" s="123"/>
      <c r="D354" s="123"/>
      <c r="E354" s="123"/>
      <c r="F354" s="123"/>
      <c r="G354" s="123"/>
      <c r="H354" s="123"/>
      <c r="AJ354" s="218"/>
    </row>
    <row r="355" spans="3:36" ht="15.75" customHeight="1" x14ac:dyDescent="0.2">
      <c r="C355" s="123"/>
      <c r="D355" s="123"/>
      <c r="E355" s="123"/>
      <c r="F355" s="123"/>
      <c r="G355" s="123"/>
      <c r="H355" s="123"/>
      <c r="AJ355" s="218"/>
    </row>
    <row r="356" spans="3:36" ht="15.75" customHeight="1" x14ac:dyDescent="0.2">
      <c r="C356" s="123"/>
      <c r="D356" s="123"/>
      <c r="E356" s="123"/>
      <c r="F356" s="123"/>
      <c r="G356" s="123"/>
      <c r="H356" s="123"/>
      <c r="AJ356" s="218"/>
    </row>
    <row r="357" spans="3:36" ht="15.75" customHeight="1" x14ac:dyDescent="0.2">
      <c r="C357" s="123"/>
      <c r="D357" s="123"/>
      <c r="E357" s="123"/>
      <c r="F357" s="123"/>
      <c r="G357" s="123"/>
      <c r="H357" s="123"/>
      <c r="AJ357" s="218"/>
    </row>
    <row r="358" spans="3:36" ht="15.75" customHeight="1" x14ac:dyDescent="0.2">
      <c r="C358" s="123"/>
      <c r="D358" s="123"/>
      <c r="E358" s="123"/>
      <c r="F358" s="123"/>
      <c r="G358" s="123"/>
      <c r="H358" s="123"/>
      <c r="AJ358" s="218"/>
    </row>
    <row r="359" spans="3:36" ht="15.75" customHeight="1" x14ac:dyDescent="0.2">
      <c r="C359" s="123"/>
      <c r="D359" s="123"/>
      <c r="E359" s="123"/>
      <c r="F359" s="123"/>
      <c r="G359" s="123"/>
      <c r="H359" s="123"/>
      <c r="AJ359" s="218"/>
    </row>
    <row r="360" spans="3:36" ht="15.75" customHeight="1" x14ac:dyDescent="0.2">
      <c r="C360" s="123"/>
      <c r="D360" s="123"/>
      <c r="E360" s="123"/>
      <c r="F360" s="123"/>
      <c r="G360" s="123"/>
      <c r="H360" s="123"/>
      <c r="AJ360" s="218"/>
    </row>
    <row r="361" spans="3:36" ht="15.75" customHeight="1" x14ac:dyDescent="0.2">
      <c r="C361" s="123"/>
      <c r="D361" s="123"/>
      <c r="E361" s="123"/>
      <c r="F361" s="123"/>
      <c r="G361" s="123"/>
      <c r="H361" s="123"/>
      <c r="AJ361" s="218"/>
    </row>
    <row r="362" spans="3:36" ht="15.75" customHeight="1" x14ac:dyDescent="0.2">
      <c r="C362" s="123"/>
      <c r="D362" s="123"/>
      <c r="E362" s="123"/>
      <c r="F362" s="123"/>
      <c r="G362" s="123"/>
      <c r="H362" s="123"/>
      <c r="AJ362" s="218"/>
    </row>
    <row r="363" spans="3:36" ht="15.75" customHeight="1" x14ac:dyDescent="0.2">
      <c r="C363" s="123"/>
      <c r="D363" s="123"/>
      <c r="E363" s="123"/>
      <c r="F363" s="123"/>
      <c r="G363" s="123"/>
      <c r="H363" s="123"/>
      <c r="AJ363" s="218"/>
    </row>
    <row r="364" spans="3:36" ht="15.75" customHeight="1" x14ac:dyDescent="0.2">
      <c r="C364" s="123"/>
      <c r="D364" s="123"/>
      <c r="E364" s="123"/>
      <c r="F364" s="123"/>
      <c r="G364" s="123"/>
      <c r="H364" s="123"/>
      <c r="AJ364" s="218"/>
    </row>
    <row r="365" spans="3:36" ht="15.75" customHeight="1" x14ac:dyDescent="0.2">
      <c r="C365" s="123"/>
      <c r="D365" s="123"/>
      <c r="E365" s="123"/>
      <c r="F365" s="123"/>
      <c r="G365" s="123"/>
      <c r="H365" s="123"/>
      <c r="AJ365" s="218"/>
    </row>
    <row r="366" spans="3:36" ht="15.75" customHeight="1" x14ac:dyDescent="0.2">
      <c r="C366" s="123"/>
      <c r="D366" s="123"/>
      <c r="E366" s="123"/>
      <c r="F366" s="123"/>
      <c r="G366" s="123"/>
      <c r="H366" s="123"/>
      <c r="AJ366" s="218"/>
    </row>
    <row r="367" spans="3:36" ht="15.75" customHeight="1" x14ac:dyDescent="0.2">
      <c r="C367" s="123"/>
      <c r="D367" s="123"/>
      <c r="E367" s="123"/>
      <c r="F367" s="123"/>
      <c r="G367" s="123"/>
      <c r="H367" s="123"/>
      <c r="AJ367" s="218"/>
    </row>
    <row r="368" spans="3:36" ht="15.75" customHeight="1" x14ac:dyDescent="0.2">
      <c r="C368" s="123"/>
      <c r="D368" s="123"/>
      <c r="E368" s="123"/>
      <c r="F368" s="123"/>
      <c r="G368" s="123"/>
      <c r="H368" s="123"/>
      <c r="AJ368" s="218"/>
    </row>
    <row r="369" spans="3:36" ht="15.75" customHeight="1" x14ac:dyDescent="0.2">
      <c r="C369" s="123"/>
      <c r="D369" s="123"/>
      <c r="E369" s="123"/>
      <c r="F369" s="123"/>
      <c r="G369" s="123"/>
      <c r="H369" s="123"/>
      <c r="AJ369" s="218"/>
    </row>
    <row r="370" spans="3:36" ht="15.75" customHeight="1" x14ac:dyDescent="0.2">
      <c r="C370" s="123"/>
      <c r="D370" s="123"/>
      <c r="E370" s="123"/>
      <c r="F370" s="123"/>
      <c r="G370" s="123"/>
      <c r="H370" s="123"/>
      <c r="AJ370" s="218"/>
    </row>
    <row r="371" spans="3:36" ht="15.75" customHeight="1" x14ac:dyDescent="0.2">
      <c r="C371" s="123"/>
      <c r="D371" s="123"/>
      <c r="E371" s="123"/>
      <c r="F371" s="123"/>
      <c r="G371" s="123"/>
      <c r="H371" s="123"/>
      <c r="AJ371" s="218"/>
    </row>
    <row r="372" spans="3:36" ht="15.75" customHeight="1" x14ac:dyDescent="0.2">
      <c r="C372" s="123"/>
      <c r="D372" s="123"/>
      <c r="E372" s="123"/>
      <c r="F372" s="123"/>
      <c r="G372" s="123"/>
      <c r="H372" s="123"/>
      <c r="AJ372" s="218"/>
    </row>
    <row r="373" spans="3:36" ht="15.75" customHeight="1" x14ac:dyDescent="0.2">
      <c r="C373" s="123"/>
      <c r="D373" s="123"/>
      <c r="E373" s="123"/>
      <c r="F373" s="123"/>
      <c r="G373" s="123"/>
      <c r="H373" s="123"/>
      <c r="AJ373" s="218"/>
    </row>
    <row r="374" spans="3:36" ht="15.75" customHeight="1" x14ac:dyDescent="0.2">
      <c r="C374" s="123"/>
      <c r="D374" s="123"/>
      <c r="E374" s="123"/>
      <c r="F374" s="123"/>
      <c r="G374" s="123"/>
      <c r="H374" s="123"/>
      <c r="AJ374" s="218"/>
    </row>
    <row r="375" spans="3:36" ht="15.75" customHeight="1" x14ac:dyDescent="0.2">
      <c r="C375" s="123"/>
      <c r="D375" s="123"/>
      <c r="E375" s="123"/>
      <c r="F375" s="123"/>
      <c r="G375" s="123"/>
      <c r="H375" s="123"/>
      <c r="AJ375" s="218"/>
    </row>
    <row r="376" spans="3:36" ht="15.75" customHeight="1" x14ac:dyDescent="0.2">
      <c r="C376" s="123"/>
      <c r="D376" s="123"/>
      <c r="E376" s="123"/>
      <c r="F376" s="123"/>
      <c r="G376" s="123"/>
      <c r="H376" s="123"/>
      <c r="AJ376" s="218"/>
    </row>
    <row r="377" spans="3:36" ht="15.75" customHeight="1" x14ac:dyDescent="0.2">
      <c r="C377" s="123"/>
      <c r="D377" s="123"/>
      <c r="E377" s="123"/>
      <c r="F377" s="123"/>
      <c r="G377" s="123"/>
      <c r="H377" s="123"/>
      <c r="AJ377" s="218"/>
    </row>
    <row r="378" spans="3:36" ht="15.75" customHeight="1" x14ac:dyDescent="0.2">
      <c r="C378" s="123"/>
      <c r="D378" s="123"/>
      <c r="E378" s="123"/>
      <c r="F378" s="123"/>
      <c r="G378" s="123"/>
      <c r="H378" s="123"/>
      <c r="AJ378" s="218"/>
    </row>
    <row r="379" spans="3:36" ht="15.75" customHeight="1" x14ac:dyDescent="0.2">
      <c r="C379" s="123"/>
      <c r="D379" s="123"/>
      <c r="E379" s="123"/>
      <c r="F379" s="123"/>
      <c r="G379" s="123"/>
      <c r="H379" s="123"/>
      <c r="AJ379" s="218"/>
    </row>
    <row r="380" spans="3:36" ht="15.75" customHeight="1" x14ac:dyDescent="0.2">
      <c r="C380" s="123"/>
      <c r="D380" s="123"/>
      <c r="E380" s="123"/>
      <c r="F380" s="123"/>
      <c r="G380" s="123"/>
      <c r="H380" s="123"/>
      <c r="AJ380" s="218"/>
    </row>
    <row r="381" spans="3:36" ht="15.75" customHeight="1" x14ac:dyDescent="0.2">
      <c r="C381" s="123"/>
      <c r="D381" s="123"/>
      <c r="E381" s="123"/>
      <c r="F381" s="123"/>
      <c r="G381" s="123"/>
      <c r="H381" s="123"/>
      <c r="AJ381" s="218"/>
    </row>
    <row r="382" spans="3:36" ht="15.75" customHeight="1" x14ac:dyDescent="0.2">
      <c r="C382" s="123"/>
      <c r="D382" s="123"/>
      <c r="E382" s="123"/>
      <c r="F382" s="123"/>
      <c r="G382" s="123"/>
      <c r="H382" s="123"/>
      <c r="AJ382" s="218"/>
    </row>
    <row r="383" spans="3:36" ht="15.75" customHeight="1" x14ac:dyDescent="0.2">
      <c r="C383" s="123"/>
      <c r="D383" s="123"/>
      <c r="E383" s="123"/>
      <c r="F383" s="123"/>
      <c r="G383" s="123"/>
      <c r="H383" s="123"/>
      <c r="AJ383" s="218"/>
    </row>
    <row r="384" spans="3:36" ht="15.75" customHeight="1" x14ac:dyDescent="0.2">
      <c r="C384" s="123"/>
      <c r="D384" s="123"/>
      <c r="E384" s="123"/>
      <c r="F384" s="123"/>
      <c r="G384" s="123"/>
      <c r="H384" s="123"/>
      <c r="AJ384" s="218"/>
    </row>
    <row r="385" spans="3:36" ht="15.75" customHeight="1" x14ac:dyDescent="0.2">
      <c r="C385" s="123"/>
      <c r="D385" s="123"/>
      <c r="E385" s="123"/>
      <c r="F385" s="123"/>
      <c r="G385" s="123"/>
      <c r="H385" s="123"/>
      <c r="AJ385" s="218"/>
    </row>
    <row r="386" spans="3:36" ht="15.75" customHeight="1" x14ac:dyDescent="0.2">
      <c r="C386" s="123"/>
      <c r="D386" s="123"/>
      <c r="E386" s="123"/>
      <c r="F386" s="123"/>
      <c r="G386" s="123"/>
      <c r="H386" s="123"/>
      <c r="AJ386" s="218"/>
    </row>
    <row r="387" spans="3:36" ht="15.75" customHeight="1" x14ac:dyDescent="0.2">
      <c r="C387" s="123"/>
      <c r="D387" s="123"/>
      <c r="E387" s="123"/>
      <c r="F387" s="123"/>
      <c r="G387" s="123"/>
      <c r="H387" s="123"/>
      <c r="AJ387" s="218"/>
    </row>
    <row r="388" spans="3:36" ht="15.75" customHeight="1" x14ac:dyDescent="0.2">
      <c r="C388" s="123"/>
      <c r="D388" s="123"/>
      <c r="E388" s="123"/>
      <c r="F388" s="123"/>
      <c r="G388" s="123"/>
      <c r="H388" s="123"/>
      <c r="AJ388" s="218"/>
    </row>
    <row r="389" spans="3:36" ht="15.75" customHeight="1" x14ac:dyDescent="0.2">
      <c r="C389" s="123"/>
      <c r="D389" s="123"/>
      <c r="E389" s="123"/>
      <c r="F389" s="123"/>
      <c r="G389" s="123"/>
      <c r="H389" s="123"/>
      <c r="AJ389" s="218"/>
    </row>
    <row r="390" spans="3:36" ht="15.75" customHeight="1" x14ac:dyDescent="0.2">
      <c r="C390" s="123"/>
      <c r="D390" s="123"/>
      <c r="E390" s="123"/>
      <c r="F390" s="123"/>
      <c r="G390" s="123"/>
      <c r="H390" s="123"/>
      <c r="AJ390" s="218"/>
    </row>
    <row r="391" spans="3:36" ht="15.75" customHeight="1" x14ac:dyDescent="0.2">
      <c r="C391" s="123"/>
      <c r="D391" s="123"/>
      <c r="E391" s="123"/>
      <c r="F391" s="123"/>
      <c r="G391" s="123"/>
      <c r="H391" s="123"/>
      <c r="AJ391" s="218"/>
    </row>
    <row r="392" spans="3:36" ht="15.75" customHeight="1" x14ac:dyDescent="0.2">
      <c r="C392" s="123"/>
      <c r="D392" s="123"/>
      <c r="E392" s="123"/>
      <c r="F392" s="123"/>
      <c r="G392" s="123"/>
      <c r="H392" s="123"/>
      <c r="AJ392" s="218"/>
    </row>
    <row r="393" spans="3:36" ht="15.75" customHeight="1" x14ac:dyDescent="0.2">
      <c r="C393" s="123"/>
      <c r="D393" s="123"/>
      <c r="E393" s="123"/>
      <c r="F393" s="123"/>
      <c r="G393" s="123"/>
      <c r="H393" s="123"/>
      <c r="AJ393" s="218"/>
    </row>
    <row r="394" spans="3:36" ht="15.75" customHeight="1" x14ac:dyDescent="0.2">
      <c r="C394" s="123"/>
      <c r="D394" s="123"/>
      <c r="E394" s="123"/>
      <c r="F394" s="123"/>
      <c r="G394" s="123"/>
      <c r="H394" s="123"/>
      <c r="AJ394" s="218"/>
    </row>
    <row r="395" spans="3:36" ht="15.75" customHeight="1" x14ac:dyDescent="0.2">
      <c r="C395" s="123"/>
      <c r="D395" s="123"/>
      <c r="E395" s="123"/>
      <c r="F395" s="123"/>
      <c r="G395" s="123"/>
      <c r="H395" s="123"/>
      <c r="AJ395" s="218"/>
    </row>
    <row r="396" spans="3:36" ht="15.75" customHeight="1" x14ac:dyDescent="0.2">
      <c r="C396" s="123"/>
      <c r="D396" s="123"/>
      <c r="E396" s="123"/>
      <c r="F396" s="123"/>
      <c r="G396" s="123"/>
      <c r="H396" s="123"/>
      <c r="AJ396" s="218"/>
    </row>
    <row r="397" spans="3:36" ht="15.75" customHeight="1" x14ac:dyDescent="0.2">
      <c r="C397" s="123"/>
      <c r="D397" s="123"/>
      <c r="E397" s="123"/>
      <c r="F397" s="123"/>
      <c r="G397" s="123"/>
      <c r="H397" s="123"/>
      <c r="AJ397" s="218"/>
    </row>
    <row r="398" spans="3:36" ht="15.75" customHeight="1" x14ac:dyDescent="0.2">
      <c r="C398" s="123"/>
      <c r="D398" s="123"/>
      <c r="E398" s="123"/>
      <c r="F398" s="123"/>
      <c r="G398" s="123"/>
      <c r="H398" s="123"/>
      <c r="AJ398" s="218"/>
    </row>
    <row r="399" spans="3:36" ht="15.75" customHeight="1" x14ac:dyDescent="0.2">
      <c r="C399" s="123"/>
      <c r="D399" s="123"/>
      <c r="E399" s="123"/>
      <c r="F399" s="123"/>
      <c r="G399" s="123"/>
      <c r="H399" s="123"/>
      <c r="AJ399" s="218"/>
    </row>
    <row r="400" spans="3:36" ht="15.75" customHeight="1" x14ac:dyDescent="0.2">
      <c r="C400" s="123"/>
      <c r="D400" s="123"/>
      <c r="E400" s="123"/>
      <c r="F400" s="123"/>
      <c r="G400" s="123"/>
      <c r="H400" s="123"/>
      <c r="AJ400" s="218"/>
    </row>
    <row r="401" spans="3:36" ht="15.75" customHeight="1" x14ac:dyDescent="0.2">
      <c r="C401" s="123"/>
      <c r="D401" s="123"/>
      <c r="E401" s="123"/>
      <c r="F401" s="123"/>
      <c r="G401" s="123"/>
      <c r="H401" s="123"/>
      <c r="AJ401" s="218"/>
    </row>
    <row r="402" spans="3:36" ht="15.75" customHeight="1" x14ac:dyDescent="0.2">
      <c r="C402" s="123"/>
      <c r="D402" s="123"/>
      <c r="E402" s="123"/>
      <c r="F402" s="123"/>
      <c r="G402" s="123"/>
      <c r="H402" s="123"/>
      <c r="AJ402" s="218"/>
    </row>
    <row r="403" spans="3:36" ht="15.75" customHeight="1" x14ac:dyDescent="0.2">
      <c r="C403" s="123"/>
      <c r="D403" s="123"/>
      <c r="E403" s="123"/>
      <c r="F403" s="123"/>
      <c r="G403" s="123"/>
      <c r="H403" s="123"/>
      <c r="AJ403" s="218"/>
    </row>
    <row r="404" spans="3:36" ht="15.75" customHeight="1" x14ac:dyDescent="0.2">
      <c r="C404" s="123"/>
      <c r="D404" s="123"/>
      <c r="E404" s="123"/>
      <c r="F404" s="123"/>
      <c r="G404" s="123"/>
      <c r="H404" s="123"/>
      <c r="AJ404" s="218"/>
    </row>
    <row r="405" spans="3:36" ht="15.75" customHeight="1" x14ac:dyDescent="0.2">
      <c r="C405" s="123"/>
      <c r="D405" s="123"/>
      <c r="E405" s="123"/>
      <c r="F405" s="123"/>
      <c r="G405" s="123"/>
      <c r="H405" s="123"/>
      <c r="AJ405" s="218"/>
    </row>
    <row r="406" spans="3:36" ht="15.75" customHeight="1" x14ac:dyDescent="0.2">
      <c r="C406" s="123"/>
      <c r="D406" s="123"/>
      <c r="E406" s="123"/>
      <c r="F406" s="123"/>
      <c r="G406" s="123"/>
      <c r="H406" s="123"/>
      <c r="AJ406" s="218"/>
    </row>
    <row r="407" spans="3:36" ht="15.75" customHeight="1" x14ac:dyDescent="0.2">
      <c r="C407" s="123"/>
      <c r="D407" s="123"/>
      <c r="E407" s="123"/>
      <c r="F407" s="123"/>
      <c r="G407" s="123"/>
      <c r="H407" s="123"/>
      <c r="AJ407" s="218"/>
    </row>
    <row r="408" spans="3:36" ht="15.75" customHeight="1" x14ac:dyDescent="0.2">
      <c r="C408" s="123"/>
      <c r="D408" s="123"/>
      <c r="E408" s="123"/>
      <c r="F408" s="123"/>
      <c r="G408" s="123"/>
      <c r="H408" s="123"/>
      <c r="AJ408" s="218"/>
    </row>
    <row r="409" spans="3:36" ht="15.75" customHeight="1" x14ac:dyDescent="0.2">
      <c r="C409" s="123"/>
      <c r="D409" s="123"/>
      <c r="E409" s="123"/>
      <c r="F409" s="123"/>
      <c r="G409" s="123"/>
      <c r="H409" s="123"/>
      <c r="AJ409" s="218"/>
    </row>
    <row r="410" spans="3:36" ht="15.75" customHeight="1" x14ac:dyDescent="0.2">
      <c r="C410" s="123"/>
      <c r="D410" s="123"/>
      <c r="E410" s="123"/>
      <c r="F410" s="123"/>
      <c r="G410" s="123"/>
      <c r="H410" s="123"/>
      <c r="AJ410" s="218"/>
    </row>
    <row r="411" spans="3:36" ht="15.75" customHeight="1" x14ac:dyDescent="0.2">
      <c r="C411" s="123"/>
      <c r="D411" s="123"/>
      <c r="E411" s="123"/>
      <c r="F411" s="123"/>
      <c r="G411" s="123"/>
      <c r="H411" s="123"/>
      <c r="AJ411" s="218"/>
    </row>
    <row r="412" spans="3:36" ht="15.75" customHeight="1" x14ac:dyDescent="0.2">
      <c r="C412" s="123"/>
      <c r="D412" s="123"/>
      <c r="E412" s="123"/>
      <c r="F412" s="123"/>
      <c r="G412" s="123"/>
      <c r="H412" s="123"/>
      <c r="AJ412" s="218"/>
    </row>
    <row r="413" spans="3:36" ht="15.75" customHeight="1" x14ac:dyDescent="0.2">
      <c r="C413" s="123"/>
      <c r="D413" s="123"/>
      <c r="E413" s="123"/>
      <c r="F413" s="123"/>
      <c r="G413" s="123"/>
      <c r="H413" s="123"/>
      <c r="AJ413" s="218"/>
    </row>
    <row r="414" spans="3:36" ht="15.75" customHeight="1" x14ac:dyDescent="0.2">
      <c r="C414" s="123"/>
      <c r="D414" s="123"/>
      <c r="E414" s="123"/>
      <c r="F414" s="123"/>
      <c r="G414" s="123"/>
      <c r="H414" s="123"/>
      <c r="AJ414" s="218"/>
    </row>
    <row r="415" spans="3:36" ht="15.75" customHeight="1" x14ac:dyDescent="0.2">
      <c r="C415" s="123"/>
      <c r="D415" s="123"/>
      <c r="E415" s="123"/>
      <c r="F415" s="123"/>
      <c r="G415" s="123"/>
      <c r="H415" s="123"/>
      <c r="AJ415" s="218"/>
    </row>
    <row r="416" spans="3:36" ht="15.75" customHeight="1" x14ac:dyDescent="0.2">
      <c r="C416" s="123"/>
      <c r="D416" s="123"/>
      <c r="E416" s="123"/>
      <c r="F416" s="123"/>
      <c r="G416" s="123"/>
      <c r="H416" s="123"/>
      <c r="AJ416" s="218"/>
    </row>
    <row r="417" spans="3:36" ht="15.75" customHeight="1" x14ac:dyDescent="0.2">
      <c r="C417" s="123"/>
      <c r="D417" s="123"/>
      <c r="E417" s="123"/>
      <c r="F417" s="123"/>
      <c r="G417" s="123"/>
      <c r="H417" s="123"/>
      <c r="AJ417" s="218"/>
    </row>
    <row r="418" spans="3:36" ht="15.75" customHeight="1" x14ac:dyDescent="0.2">
      <c r="C418" s="123"/>
      <c r="D418" s="123"/>
      <c r="E418" s="123"/>
      <c r="F418" s="123"/>
      <c r="G418" s="123"/>
      <c r="H418" s="123"/>
      <c r="AJ418" s="218"/>
    </row>
    <row r="419" spans="3:36" ht="15.75" customHeight="1" x14ac:dyDescent="0.2">
      <c r="C419" s="123"/>
      <c r="D419" s="123"/>
      <c r="E419" s="123"/>
      <c r="F419" s="123"/>
      <c r="G419" s="123"/>
      <c r="H419" s="123"/>
      <c r="AJ419" s="218"/>
    </row>
    <row r="420" spans="3:36" ht="15.75" customHeight="1" x14ac:dyDescent="0.2">
      <c r="C420" s="123"/>
      <c r="D420" s="123"/>
      <c r="E420" s="123"/>
      <c r="F420" s="123"/>
      <c r="G420" s="123"/>
      <c r="H420" s="123"/>
      <c r="AJ420" s="218"/>
    </row>
    <row r="421" spans="3:36" ht="15.75" customHeight="1" x14ac:dyDescent="0.2">
      <c r="C421" s="123"/>
      <c r="D421" s="123"/>
      <c r="E421" s="123"/>
      <c r="F421" s="123"/>
      <c r="G421" s="123"/>
      <c r="H421" s="123"/>
      <c r="AJ421" s="218"/>
    </row>
    <row r="422" spans="3:36" ht="15.75" customHeight="1" x14ac:dyDescent="0.2">
      <c r="C422" s="123"/>
      <c r="D422" s="123"/>
      <c r="E422" s="123"/>
      <c r="F422" s="123"/>
      <c r="G422" s="123"/>
      <c r="H422" s="123"/>
      <c r="AJ422" s="218"/>
    </row>
    <row r="423" spans="3:36" ht="15.75" customHeight="1" x14ac:dyDescent="0.2">
      <c r="C423" s="123"/>
      <c r="D423" s="123"/>
      <c r="E423" s="123"/>
      <c r="F423" s="123"/>
      <c r="G423" s="123"/>
      <c r="H423" s="123"/>
      <c r="AJ423" s="218"/>
    </row>
    <row r="424" spans="3:36" ht="15.75" customHeight="1" x14ac:dyDescent="0.2">
      <c r="C424" s="123"/>
      <c r="D424" s="123"/>
      <c r="E424" s="123"/>
      <c r="F424" s="123"/>
      <c r="G424" s="123"/>
      <c r="H424" s="123"/>
      <c r="AJ424" s="218"/>
    </row>
    <row r="425" spans="3:36" ht="15.75" customHeight="1" x14ac:dyDescent="0.2">
      <c r="C425" s="123"/>
      <c r="D425" s="123"/>
      <c r="E425" s="123"/>
      <c r="F425" s="123"/>
      <c r="G425" s="123"/>
      <c r="H425" s="123"/>
      <c r="AJ425" s="218"/>
    </row>
    <row r="426" spans="3:36" ht="15.75" customHeight="1" x14ac:dyDescent="0.2">
      <c r="C426" s="123"/>
      <c r="D426" s="123"/>
      <c r="E426" s="123"/>
      <c r="F426" s="123"/>
      <c r="G426" s="123"/>
      <c r="H426" s="123"/>
      <c r="AJ426" s="218"/>
    </row>
    <row r="427" spans="3:36" ht="15.75" customHeight="1" x14ac:dyDescent="0.2">
      <c r="C427" s="123"/>
      <c r="D427" s="123"/>
      <c r="E427" s="123"/>
      <c r="F427" s="123"/>
      <c r="G427" s="123"/>
      <c r="H427" s="123"/>
      <c r="AJ427" s="218"/>
    </row>
    <row r="428" spans="3:36" ht="15.75" customHeight="1" x14ac:dyDescent="0.2">
      <c r="C428" s="123"/>
      <c r="D428" s="123"/>
      <c r="E428" s="123"/>
      <c r="F428" s="123"/>
      <c r="G428" s="123"/>
      <c r="H428" s="123"/>
      <c r="AJ428" s="218"/>
    </row>
    <row r="429" spans="3:36" ht="15.75" customHeight="1" x14ac:dyDescent="0.2">
      <c r="C429" s="123"/>
      <c r="D429" s="123"/>
      <c r="E429" s="123"/>
      <c r="F429" s="123"/>
      <c r="G429" s="123"/>
      <c r="H429" s="123"/>
      <c r="AJ429" s="218"/>
    </row>
    <row r="430" spans="3:36" ht="15.75" customHeight="1" x14ac:dyDescent="0.2">
      <c r="C430" s="123"/>
      <c r="D430" s="123"/>
      <c r="E430" s="123"/>
      <c r="F430" s="123"/>
      <c r="G430" s="123"/>
      <c r="H430" s="123"/>
      <c r="AJ430" s="218"/>
    </row>
    <row r="431" spans="3:36" ht="15.75" customHeight="1" x14ac:dyDescent="0.2">
      <c r="C431" s="123"/>
      <c r="D431" s="123"/>
      <c r="E431" s="123"/>
      <c r="F431" s="123"/>
      <c r="G431" s="123"/>
      <c r="H431" s="123"/>
      <c r="AJ431" s="218"/>
    </row>
    <row r="432" spans="3:36" ht="15.75" customHeight="1" x14ac:dyDescent="0.2">
      <c r="C432" s="123"/>
      <c r="D432" s="123"/>
      <c r="E432" s="123"/>
      <c r="F432" s="123"/>
      <c r="G432" s="123"/>
      <c r="H432" s="123"/>
      <c r="AJ432" s="218"/>
    </row>
    <row r="433" spans="3:36" ht="15.75" customHeight="1" x14ac:dyDescent="0.2">
      <c r="C433" s="123"/>
      <c r="D433" s="123"/>
      <c r="E433" s="123"/>
      <c r="F433" s="123"/>
      <c r="G433" s="123"/>
      <c r="H433" s="123"/>
      <c r="AJ433" s="218"/>
    </row>
    <row r="434" spans="3:36" ht="15.75" customHeight="1" x14ac:dyDescent="0.2">
      <c r="C434" s="123"/>
      <c r="D434" s="123"/>
      <c r="E434" s="123"/>
      <c r="F434" s="123"/>
      <c r="G434" s="123"/>
      <c r="H434" s="123"/>
      <c r="AJ434" s="218"/>
    </row>
    <row r="435" spans="3:36" ht="15.75" customHeight="1" x14ac:dyDescent="0.2">
      <c r="C435" s="123"/>
      <c r="D435" s="123"/>
      <c r="E435" s="123"/>
      <c r="F435" s="123"/>
      <c r="G435" s="123"/>
      <c r="H435" s="123"/>
      <c r="AJ435" s="218"/>
    </row>
    <row r="436" spans="3:36" ht="15.75" customHeight="1" x14ac:dyDescent="0.2">
      <c r="C436" s="123"/>
      <c r="D436" s="123"/>
      <c r="E436" s="123"/>
      <c r="F436" s="123"/>
      <c r="G436" s="123"/>
      <c r="H436" s="123"/>
      <c r="AJ436" s="218"/>
    </row>
    <row r="437" spans="3:36" ht="15.75" customHeight="1" x14ac:dyDescent="0.2">
      <c r="C437" s="123"/>
      <c r="D437" s="123"/>
      <c r="E437" s="123"/>
      <c r="F437" s="123"/>
      <c r="G437" s="123"/>
      <c r="H437" s="123"/>
      <c r="AJ437" s="218"/>
    </row>
    <row r="438" spans="3:36" ht="15.75" customHeight="1" x14ac:dyDescent="0.2">
      <c r="C438" s="123"/>
      <c r="D438" s="123"/>
      <c r="E438" s="123"/>
      <c r="F438" s="123"/>
      <c r="G438" s="123"/>
      <c r="H438" s="123"/>
      <c r="AJ438" s="218"/>
    </row>
    <row r="439" spans="3:36" ht="15.75" customHeight="1" x14ac:dyDescent="0.2">
      <c r="C439" s="123"/>
      <c r="D439" s="123"/>
      <c r="E439" s="123"/>
      <c r="F439" s="123"/>
      <c r="G439" s="123"/>
      <c r="H439" s="123"/>
      <c r="AJ439" s="218"/>
    </row>
    <row r="440" spans="3:36" ht="15.75" customHeight="1" x14ac:dyDescent="0.2">
      <c r="C440" s="123"/>
      <c r="D440" s="123"/>
      <c r="E440" s="123"/>
      <c r="F440" s="123"/>
      <c r="G440" s="123"/>
      <c r="H440" s="123"/>
      <c r="AJ440" s="218"/>
    </row>
    <row r="441" spans="3:36" ht="15.75" customHeight="1" x14ac:dyDescent="0.2">
      <c r="C441" s="123"/>
      <c r="D441" s="123"/>
      <c r="E441" s="123"/>
      <c r="F441" s="123"/>
      <c r="G441" s="123"/>
      <c r="H441" s="123"/>
      <c r="AJ441" s="218"/>
    </row>
    <row r="442" spans="3:36" ht="15.75" customHeight="1" x14ac:dyDescent="0.2">
      <c r="C442" s="123"/>
      <c r="D442" s="123"/>
      <c r="E442" s="123"/>
      <c r="F442" s="123"/>
      <c r="G442" s="123"/>
      <c r="H442" s="123"/>
      <c r="AJ442" s="218"/>
    </row>
    <row r="443" spans="3:36" ht="15.75" customHeight="1" x14ac:dyDescent="0.2">
      <c r="C443" s="123"/>
      <c r="D443" s="123"/>
      <c r="E443" s="123"/>
      <c r="F443" s="123"/>
      <c r="G443" s="123"/>
      <c r="H443" s="123"/>
      <c r="AJ443" s="218"/>
    </row>
    <row r="444" spans="3:36" ht="15.75" customHeight="1" x14ac:dyDescent="0.2">
      <c r="C444" s="123"/>
      <c r="D444" s="123"/>
      <c r="E444" s="123"/>
      <c r="F444" s="123"/>
      <c r="G444" s="123"/>
      <c r="H444" s="123"/>
      <c r="AJ444" s="218"/>
    </row>
    <row r="445" spans="3:36" ht="15.75" customHeight="1" x14ac:dyDescent="0.2">
      <c r="C445" s="123"/>
      <c r="D445" s="123"/>
      <c r="E445" s="123"/>
      <c r="F445" s="123"/>
      <c r="G445" s="123"/>
      <c r="H445" s="123"/>
      <c r="AJ445" s="218"/>
    </row>
    <row r="446" spans="3:36" ht="15.75" customHeight="1" x14ac:dyDescent="0.2">
      <c r="C446" s="123"/>
      <c r="D446" s="123"/>
      <c r="E446" s="123"/>
      <c r="F446" s="123"/>
      <c r="G446" s="123"/>
      <c r="H446" s="123"/>
      <c r="AJ446" s="218"/>
    </row>
    <row r="447" spans="3:36" ht="15.75" customHeight="1" x14ac:dyDescent="0.2">
      <c r="C447" s="123"/>
      <c r="D447" s="123"/>
      <c r="E447" s="123"/>
      <c r="F447" s="123"/>
      <c r="G447" s="123"/>
      <c r="H447" s="123"/>
      <c r="AJ447" s="218"/>
    </row>
    <row r="448" spans="3:36" ht="15.75" customHeight="1" x14ac:dyDescent="0.2">
      <c r="C448" s="123"/>
      <c r="D448" s="123"/>
      <c r="E448" s="123"/>
      <c r="F448" s="123"/>
      <c r="G448" s="123"/>
      <c r="H448" s="123"/>
      <c r="AJ448" s="218"/>
    </row>
    <row r="449" spans="3:36" ht="15.75" customHeight="1" x14ac:dyDescent="0.2">
      <c r="C449" s="123"/>
      <c r="D449" s="123"/>
      <c r="E449" s="123"/>
      <c r="F449" s="123"/>
      <c r="G449" s="123"/>
      <c r="H449" s="123"/>
      <c r="AJ449" s="218"/>
    </row>
    <row r="450" spans="3:36" ht="15.75" customHeight="1" x14ac:dyDescent="0.2">
      <c r="C450" s="123"/>
      <c r="D450" s="123"/>
      <c r="E450" s="123"/>
      <c r="F450" s="123"/>
      <c r="G450" s="123"/>
      <c r="H450" s="123"/>
      <c r="AJ450" s="218"/>
    </row>
    <row r="451" spans="3:36" ht="15.75" customHeight="1" x14ac:dyDescent="0.2">
      <c r="C451" s="123"/>
      <c r="D451" s="123"/>
      <c r="E451" s="123"/>
      <c r="F451" s="123"/>
      <c r="G451" s="123"/>
      <c r="H451" s="123"/>
      <c r="AJ451" s="218"/>
    </row>
    <row r="452" spans="3:36" ht="15.75" customHeight="1" x14ac:dyDescent="0.2">
      <c r="C452" s="123"/>
      <c r="D452" s="123"/>
      <c r="E452" s="123"/>
      <c r="F452" s="123"/>
      <c r="G452" s="123"/>
      <c r="H452" s="123"/>
      <c r="AJ452" s="218"/>
    </row>
    <row r="453" spans="3:36" ht="15.75" customHeight="1" x14ac:dyDescent="0.2">
      <c r="C453" s="123"/>
      <c r="D453" s="123"/>
      <c r="E453" s="123"/>
      <c r="F453" s="123"/>
      <c r="G453" s="123"/>
      <c r="H453" s="123"/>
      <c r="AJ453" s="218"/>
    </row>
    <row r="454" spans="3:36" ht="15.75" customHeight="1" x14ac:dyDescent="0.2">
      <c r="C454" s="123"/>
      <c r="D454" s="123"/>
      <c r="E454" s="123"/>
      <c r="F454" s="123"/>
      <c r="G454" s="123"/>
      <c r="H454" s="123"/>
      <c r="AJ454" s="218"/>
    </row>
    <row r="455" spans="3:36" ht="15.75" customHeight="1" x14ac:dyDescent="0.2">
      <c r="C455" s="123"/>
      <c r="D455" s="123"/>
      <c r="E455" s="123"/>
      <c r="F455" s="123"/>
      <c r="G455" s="123"/>
      <c r="H455" s="123"/>
      <c r="AJ455" s="218"/>
    </row>
    <row r="456" spans="3:36" ht="15.75" customHeight="1" x14ac:dyDescent="0.2">
      <c r="C456" s="123"/>
      <c r="D456" s="123"/>
      <c r="E456" s="123"/>
      <c r="F456" s="123"/>
      <c r="G456" s="123"/>
      <c r="H456" s="123"/>
      <c r="AJ456" s="218"/>
    </row>
    <row r="457" spans="3:36" ht="15.75" customHeight="1" x14ac:dyDescent="0.2">
      <c r="C457" s="123"/>
      <c r="D457" s="123"/>
      <c r="E457" s="123"/>
      <c r="F457" s="123"/>
      <c r="G457" s="123"/>
      <c r="H457" s="123"/>
      <c r="AJ457" s="218"/>
    </row>
    <row r="458" spans="3:36" ht="15.75" customHeight="1" x14ac:dyDescent="0.2">
      <c r="C458" s="123"/>
      <c r="D458" s="123"/>
      <c r="E458" s="123"/>
      <c r="F458" s="123"/>
      <c r="G458" s="123"/>
      <c r="H458" s="123"/>
      <c r="AJ458" s="218"/>
    </row>
    <row r="459" spans="3:36" ht="15.75" customHeight="1" x14ac:dyDescent="0.2">
      <c r="C459" s="123"/>
      <c r="D459" s="123"/>
      <c r="E459" s="123"/>
      <c r="F459" s="123"/>
      <c r="G459" s="123"/>
      <c r="H459" s="123"/>
      <c r="AJ459" s="218"/>
    </row>
    <row r="460" spans="3:36" ht="15.75" customHeight="1" x14ac:dyDescent="0.2">
      <c r="C460" s="123"/>
      <c r="D460" s="123"/>
      <c r="E460" s="123"/>
      <c r="F460" s="123"/>
      <c r="G460" s="123"/>
      <c r="H460" s="123"/>
      <c r="AJ460" s="218"/>
    </row>
    <row r="461" spans="3:36" ht="15.75" customHeight="1" x14ac:dyDescent="0.2">
      <c r="C461" s="123"/>
      <c r="D461" s="123"/>
      <c r="E461" s="123"/>
      <c r="F461" s="123"/>
      <c r="G461" s="123"/>
      <c r="H461" s="123"/>
      <c r="AJ461" s="218"/>
    </row>
    <row r="462" spans="3:36" ht="15.75" customHeight="1" x14ac:dyDescent="0.2">
      <c r="C462" s="123"/>
      <c r="D462" s="123"/>
      <c r="E462" s="123"/>
      <c r="F462" s="123"/>
      <c r="G462" s="123"/>
      <c r="H462" s="123"/>
      <c r="AJ462" s="218"/>
    </row>
    <row r="463" spans="3:36" ht="15.75" customHeight="1" x14ac:dyDescent="0.2">
      <c r="C463" s="123"/>
      <c r="D463" s="123"/>
      <c r="E463" s="123"/>
      <c r="F463" s="123"/>
      <c r="G463" s="123"/>
      <c r="H463" s="123"/>
      <c r="AJ463" s="218"/>
    </row>
    <row r="464" spans="3:36" ht="15.75" customHeight="1" x14ac:dyDescent="0.2">
      <c r="C464" s="123"/>
      <c r="D464" s="123"/>
      <c r="E464" s="123"/>
      <c r="F464" s="123"/>
      <c r="G464" s="123"/>
      <c r="H464" s="123"/>
      <c r="AJ464" s="218"/>
    </row>
    <row r="465" spans="3:36" ht="15.75" customHeight="1" x14ac:dyDescent="0.2">
      <c r="C465" s="123"/>
      <c r="D465" s="123"/>
      <c r="E465" s="123"/>
      <c r="F465" s="123"/>
      <c r="G465" s="123"/>
      <c r="H465" s="123"/>
      <c r="AJ465" s="218"/>
    </row>
    <row r="466" spans="3:36" ht="15.75" customHeight="1" x14ac:dyDescent="0.2">
      <c r="C466" s="123"/>
      <c r="D466" s="123"/>
      <c r="E466" s="123"/>
      <c r="F466" s="123"/>
      <c r="G466" s="123"/>
      <c r="H466" s="123"/>
      <c r="AJ466" s="218"/>
    </row>
    <row r="467" spans="3:36" ht="15.75" customHeight="1" x14ac:dyDescent="0.2">
      <c r="C467" s="123"/>
      <c r="D467" s="123"/>
      <c r="E467" s="123"/>
      <c r="F467" s="123"/>
      <c r="G467" s="123"/>
      <c r="H467" s="123"/>
      <c r="AJ467" s="218"/>
    </row>
    <row r="468" spans="3:36" ht="15.75" customHeight="1" x14ac:dyDescent="0.2">
      <c r="C468" s="123"/>
      <c r="D468" s="123"/>
      <c r="E468" s="123"/>
      <c r="F468" s="123"/>
      <c r="G468" s="123"/>
      <c r="H468" s="123"/>
      <c r="AJ468" s="218"/>
    </row>
    <row r="469" spans="3:36" ht="15.75" customHeight="1" x14ac:dyDescent="0.2">
      <c r="C469" s="123"/>
      <c r="D469" s="123"/>
      <c r="E469" s="123"/>
      <c r="F469" s="123"/>
      <c r="G469" s="123"/>
      <c r="H469" s="123"/>
      <c r="AJ469" s="218"/>
    </row>
    <row r="470" spans="3:36" ht="15.75" customHeight="1" x14ac:dyDescent="0.2">
      <c r="C470" s="123"/>
      <c r="D470" s="123"/>
      <c r="E470" s="123"/>
      <c r="F470" s="123"/>
      <c r="G470" s="123"/>
      <c r="H470" s="123"/>
      <c r="AJ470" s="218"/>
    </row>
    <row r="471" spans="3:36" ht="15.75" customHeight="1" x14ac:dyDescent="0.2">
      <c r="C471" s="123"/>
      <c r="D471" s="123"/>
      <c r="E471" s="123"/>
      <c r="F471" s="123"/>
      <c r="G471" s="123"/>
      <c r="H471" s="123"/>
      <c r="AJ471" s="218"/>
    </row>
    <row r="472" spans="3:36" ht="15.75" customHeight="1" x14ac:dyDescent="0.2">
      <c r="C472" s="123"/>
      <c r="D472" s="123"/>
      <c r="E472" s="123"/>
      <c r="F472" s="123"/>
      <c r="G472" s="123"/>
      <c r="H472" s="123"/>
      <c r="AJ472" s="218"/>
    </row>
    <row r="473" spans="3:36" ht="15.75" customHeight="1" x14ac:dyDescent="0.2">
      <c r="C473" s="123"/>
      <c r="D473" s="123"/>
      <c r="E473" s="123"/>
      <c r="F473" s="123"/>
      <c r="G473" s="123"/>
      <c r="H473" s="123"/>
      <c r="AJ473" s="218"/>
    </row>
    <row r="474" spans="3:36" ht="15.75" customHeight="1" x14ac:dyDescent="0.2">
      <c r="C474" s="123"/>
      <c r="D474" s="123"/>
      <c r="E474" s="123"/>
      <c r="F474" s="123"/>
      <c r="G474" s="123"/>
      <c r="H474" s="123"/>
      <c r="AJ474" s="218"/>
    </row>
    <row r="475" spans="3:36" ht="15.75" customHeight="1" x14ac:dyDescent="0.2">
      <c r="C475" s="123"/>
      <c r="D475" s="123"/>
      <c r="E475" s="123"/>
      <c r="F475" s="123"/>
      <c r="G475" s="123"/>
      <c r="H475" s="123"/>
      <c r="AJ475" s="218"/>
    </row>
    <row r="476" spans="3:36" ht="15.75" customHeight="1" x14ac:dyDescent="0.2">
      <c r="C476" s="123"/>
      <c r="D476" s="123"/>
      <c r="E476" s="123"/>
      <c r="F476" s="123"/>
      <c r="G476" s="123"/>
      <c r="H476" s="123"/>
      <c r="AJ476" s="218"/>
    </row>
    <row r="477" spans="3:36" ht="15.75" customHeight="1" x14ac:dyDescent="0.2">
      <c r="C477" s="123"/>
      <c r="D477" s="123"/>
      <c r="E477" s="123"/>
      <c r="F477" s="123"/>
      <c r="G477" s="123"/>
      <c r="H477" s="123"/>
      <c r="AJ477" s="218"/>
    </row>
    <row r="478" spans="3:36" ht="15.75" customHeight="1" x14ac:dyDescent="0.2">
      <c r="C478" s="123"/>
      <c r="D478" s="123"/>
      <c r="E478" s="123"/>
      <c r="F478" s="123"/>
      <c r="G478" s="123"/>
      <c r="H478" s="123"/>
      <c r="AJ478" s="218"/>
    </row>
    <row r="479" spans="3:36" ht="15.75" customHeight="1" x14ac:dyDescent="0.2">
      <c r="C479" s="123"/>
      <c r="D479" s="123"/>
      <c r="E479" s="123"/>
      <c r="F479" s="123"/>
      <c r="G479" s="123"/>
      <c r="H479" s="123"/>
      <c r="AJ479" s="218"/>
    </row>
    <row r="480" spans="3:36" ht="15.75" customHeight="1" x14ac:dyDescent="0.2">
      <c r="C480" s="123"/>
      <c r="D480" s="123"/>
      <c r="E480" s="123"/>
      <c r="F480" s="123"/>
      <c r="G480" s="123"/>
      <c r="H480" s="123"/>
      <c r="AJ480" s="218"/>
    </row>
    <row r="481" spans="3:36" ht="15.75" customHeight="1" x14ac:dyDescent="0.2">
      <c r="C481" s="123"/>
      <c r="D481" s="123"/>
      <c r="E481" s="123"/>
      <c r="F481" s="123"/>
      <c r="G481" s="123"/>
      <c r="H481" s="123"/>
      <c r="AJ481" s="218"/>
    </row>
    <row r="482" spans="3:36" ht="15.75" customHeight="1" x14ac:dyDescent="0.2">
      <c r="C482" s="123"/>
      <c r="D482" s="123"/>
      <c r="E482" s="123"/>
      <c r="F482" s="123"/>
      <c r="G482" s="123"/>
      <c r="H482" s="123"/>
      <c r="AJ482" s="218"/>
    </row>
    <row r="483" spans="3:36" ht="15.75" customHeight="1" x14ac:dyDescent="0.2">
      <c r="C483" s="123"/>
      <c r="D483" s="123"/>
      <c r="E483" s="123"/>
      <c r="F483" s="123"/>
      <c r="G483" s="123"/>
      <c r="H483" s="123"/>
      <c r="AJ483" s="218"/>
    </row>
    <row r="484" spans="3:36" ht="15.75" customHeight="1" x14ac:dyDescent="0.2">
      <c r="C484" s="123"/>
      <c r="D484" s="123"/>
      <c r="E484" s="123"/>
      <c r="F484" s="123"/>
      <c r="G484" s="123"/>
      <c r="H484" s="123"/>
      <c r="AJ484" s="218"/>
    </row>
    <row r="485" spans="3:36" ht="15.75" customHeight="1" x14ac:dyDescent="0.2">
      <c r="C485" s="123"/>
      <c r="D485" s="123"/>
      <c r="E485" s="123"/>
      <c r="F485" s="123"/>
      <c r="G485" s="123"/>
      <c r="H485" s="123"/>
      <c r="AJ485" s="218"/>
    </row>
    <row r="486" spans="3:36" ht="15.75" customHeight="1" x14ac:dyDescent="0.2">
      <c r="C486" s="123"/>
      <c r="D486" s="123"/>
      <c r="E486" s="123"/>
      <c r="F486" s="123"/>
      <c r="G486" s="123"/>
      <c r="H486" s="123"/>
      <c r="AJ486" s="218"/>
    </row>
    <row r="487" spans="3:36" ht="15.75" customHeight="1" x14ac:dyDescent="0.2">
      <c r="C487" s="123"/>
      <c r="D487" s="123"/>
      <c r="E487" s="123"/>
      <c r="F487" s="123"/>
      <c r="G487" s="123"/>
      <c r="H487" s="123"/>
      <c r="AJ487" s="218"/>
    </row>
    <row r="488" spans="3:36" ht="15.75" customHeight="1" x14ac:dyDescent="0.2">
      <c r="C488" s="123"/>
      <c r="D488" s="123"/>
      <c r="E488" s="123"/>
      <c r="F488" s="123"/>
      <c r="G488" s="123"/>
      <c r="H488" s="123"/>
      <c r="AJ488" s="218"/>
    </row>
    <row r="489" spans="3:36" ht="15.75" customHeight="1" x14ac:dyDescent="0.2">
      <c r="C489" s="123"/>
      <c r="D489" s="123"/>
      <c r="E489" s="123"/>
      <c r="F489" s="123"/>
      <c r="G489" s="123"/>
      <c r="H489" s="123"/>
      <c r="AJ489" s="218"/>
    </row>
    <row r="490" spans="3:36" ht="15.75" customHeight="1" x14ac:dyDescent="0.2">
      <c r="C490" s="123"/>
      <c r="D490" s="123"/>
      <c r="E490" s="123"/>
      <c r="F490" s="123"/>
      <c r="G490" s="123"/>
      <c r="H490" s="123"/>
      <c r="AJ490" s="218"/>
    </row>
    <row r="491" spans="3:36" ht="15.75" customHeight="1" x14ac:dyDescent="0.2">
      <c r="C491" s="123"/>
      <c r="D491" s="123"/>
      <c r="E491" s="123"/>
      <c r="F491" s="123"/>
      <c r="G491" s="123"/>
      <c r="H491" s="123"/>
      <c r="AJ491" s="218"/>
    </row>
    <row r="492" spans="3:36" ht="15.75" customHeight="1" x14ac:dyDescent="0.2">
      <c r="C492" s="123"/>
      <c r="D492" s="123"/>
      <c r="E492" s="123"/>
      <c r="F492" s="123"/>
      <c r="G492" s="123"/>
      <c r="H492" s="123"/>
      <c r="AJ492" s="218"/>
    </row>
    <row r="493" spans="3:36" ht="15.75" customHeight="1" x14ac:dyDescent="0.2">
      <c r="C493" s="123"/>
      <c r="D493" s="123"/>
      <c r="E493" s="123"/>
      <c r="F493" s="123"/>
      <c r="G493" s="123"/>
      <c r="H493" s="123"/>
      <c r="AJ493" s="218"/>
    </row>
    <row r="494" spans="3:36" ht="15.75" customHeight="1" x14ac:dyDescent="0.2">
      <c r="C494" s="123"/>
      <c r="D494" s="123"/>
      <c r="E494" s="123"/>
      <c r="F494" s="123"/>
      <c r="G494" s="123"/>
      <c r="H494" s="123"/>
      <c r="AJ494" s="218"/>
    </row>
    <row r="495" spans="3:36" ht="15.75" customHeight="1" x14ac:dyDescent="0.2">
      <c r="C495" s="123"/>
      <c r="D495" s="123"/>
      <c r="E495" s="123"/>
      <c r="F495" s="123"/>
      <c r="G495" s="123"/>
      <c r="H495" s="123"/>
      <c r="AJ495" s="218"/>
    </row>
    <row r="496" spans="3:36" ht="15.75" customHeight="1" x14ac:dyDescent="0.2">
      <c r="C496" s="123"/>
      <c r="D496" s="123"/>
      <c r="E496" s="123"/>
      <c r="F496" s="123"/>
      <c r="G496" s="123"/>
      <c r="H496" s="123"/>
      <c r="AJ496" s="218"/>
    </row>
    <row r="497" spans="3:36" ht="15.75" customHeight="1" x14ac:dyDescent="0.2">
      <c r="C497" s="123"/>
      <c r="D497" s="123"/>
      <c r="E497" s="123"/>
      <c r="F497" s="123"/>
      <c r="G497" s="123"/>
      <c r="H497" s="123"/>
      <c r="AJ497" s="218"/>
    </row>
    <row r="498" spans="3:36" ht="15.75" customHeight="1" x14ac:dyDescent="0.2">
      <c r="C498" s="123"/>
      <c r="D498" s="123"/>
      <c r="E498" s="123"/>
      <c r="F498" s="123"/>
      <c r="G498" s="123"/>
      <c r="H498" s="123"/>
      <c r="AJ498" s="218"/>
    </row>
    <row r="499" spans="3:36" ht="15.75" customHeight="1" x14ac:dyDescent="0.2">
      <c r="C499" s="123"/>
      <c r="D499" s="123"/>
      <c r="E499" s="123"/>
      <c r="F499" s="123"/>
      <c r="G499" s="123"/>
      <c r="H499" s="123"/>
      <c r="AJ499" s="218"/>
    </row>
    <row r="500" spans="3:36" ht="15.75" customHeight="1" x14ac:dyDescent="0.2">
      <c r="C500" s="123"/>
      <c r="D500" s="123"/>
      <c r="E500" s="123"/>
      <c r="F500" s="123"/>
      <c r="G500" s="123"/>
      <c r="H500" s="123"/>
      <c r="AJ500" s="218"/>
    </row>
    <row r="501" spans="3:36" ht="15.75" customHeight="1" x14ac:dyDescent="0.2">
      <c r="C501" s="123"/>
      <c r="D501" s="123"/>
      <c r="E501" s="123"/>
      <c r="F501" s="123"/>
      <c r="G501" s="123"/>
      <c r="H501" s="123"/>
      <c r="AJ501" s="218"/>
    </row>
    <row r="502" spans="3:36" ht="15.75" customHeight="1" x14ac:dyDescent="0.2">
      <c r="C502" s="123"/>
      <c r="D502" s="123"/>
      <c r="E502" s="123"/>
      <c r="F502" s="123"/>
      <c r="G502" s="123"/>
      <c r="H502" s="123"/>
      <c r="AJ502" s="218"/>
    </row>
    <row r="503" spans="3:36" ht="15.75" customHeight="1" x14ac:dyDescent="0.2">
      <c r="C503" s="123"/>
      <c r="D503" s="123"/>
      <c r="E503" s="123"/>
      <c r="F503" s="123"/>
      <c r="G503" s="123"/>
      <c r="H503" s="123"/>
      <c r="AJ503" s="218"/>
    </row>
    <row r="504" spans="3:36" ht="15.75" customHeight="1" x14ac:dyDescent="0.2">
      <c r="C504" s="123"/>
      <c r="D504" s="123"/>
      <c r="E504" s="123"/>
      <c r="F504" s="123"/>
      <c r="G504" s="123"/>
      <c r="H504" s="123"/>
      <c r="AJ504" s="218"/>
    </row>
    <row r="505" spans="3:36" ht="15.75" customHeight="1" x14ac:dyDescent="0.2">
      <c r="C505" s="123"/>
      <c r="D505" s="123"/>
      <c r="E505" s="123"/>
      <c r="F505" s="123"/>
      <c r="G505" s="123"/>
      <c r="H505" s="123"/>
      <c r="AJ505" s="218"/>
    </row>
    <row r="506" spans="3:36" ht="15.75" customHeight="1" x14ac:dyDescent="0.2">
      <c r="C506" s="123"/>
      <c r="D506" s="123"/>
      <c r="E506" s="123"/>
      <c r="F506" s="123"/>
      <c r="G506" s="123"/>
      <c r="H506" s="123"/>
      <c r="AJ506" s="218"/>
    </row>
    <row r="507" spans="3:36" ht="15.75" customHeight="1" x14ac:dyDescent="0.2">
      <c r="C507" s="123"/>
      <c r="D507" s="123"/>
      <c r="E507" s="123"/>
      <c r="F507" s="123"/>
      <c r="G507" s="123"/>
      <c r="H507" s="123"/>
      <c r="AJ507" s="218"/>
    </row>
    <row r="508" spans="3:36" ht="15.75" customHeight="1" x14ac:dyDescent="0.2">
      <c r="C508" s="123"/>
      <c r="D508" s="123"/>
      <c r="E508" s="123"/>
      <c r="F508" s="123"/>
      <c r="G508" s="123"/>
      <c r="H508" s="123"/>
      <c r="AJ508" s="218"/>
    </row>
    <row r="509" spans="3:36" ht="15.75" customHeight="1" x14ac:dyDescent="0.2">
      <c r="C509" s="123"/>
      <c r="D509" s="123"/>
      <c r="E509" s="123"/>
      <c r="F509" s="123"/>
      <c r="G509" s="123"/>
      <c r="H509" s="123"/>
      <c r="AJ509" s="218"/>
    </row>
    <row r="510" spans="3:36" ht="15.75" customHeight="1" x14ac:dyDescent="0.2">
      <c r="C510" s="123"/>
      <c r="D510" s="123"/>
      <c r="E510" s="123"/>
      <c r="F510" s="123"/>
      <c r="G510" s="123"/>
      <c r="H510" s="123"/>
      <c r="AJ510" s="218"/>
    </row>
    <row r="511" spans="3:36" ht="15.75" customHeight="1" x14ac:dyDescent="0.2">
      <c r="C511" s="123"/>
      <c r="D511" s="123"/>
      <c r="E511" s="123"/>
      <c r="F511" s="123"/>
      <c r="G511" s="123"/>
      <c r="H511" s="123"/>
      <c r="AJ511" s="218"/>
    </row>
    <row r="512" spans="3:36" ht="15.75" customHeight="1" x14ac:dyDescent="0.2">
      <c r="C512" s="123"/>
      <c r="D512" s="123"/>
      <c r="E512" s="123"/>
      <c r="F512" s="123"/>
      <c r="G512" s="123"/>
      <c r="H512" s="123"/>
      <c r="AJ512" s="218"/>
    </row>
    <row r="513" spans="3:36" ht="15.75" customHeight="1" x14ac:dyDescent="0.2">
      <c r="C513" s="123"/>
      <c r="D513" s="123"/>
      <c r="E513" s="123"/>
      <c r="F513" s="123"/>
      <c r="G513" s="123"/>
      <c r="H513" s="123"/>
      <c r="AJ513" s="218"/>
    </row>
    <row r="514" spans="3:36" ht="15.75" customHeight="1" x14ac:dyDescent="0.2">
      <c r="C514" s="123"/>
      <c r="D514" s="123"/>
      <c r="E514" s="123"/>
      <c r="F514" s="123"/>
      <c r="G514" s="123"/>
      <c r="H514" s="123"/>
      <c r="AJ514" s="218"/>
    </row>
    <row r="515" spans="3:36" ht="15.75" customHeight="1" x14ac:dyDescent="0.2">
      <c r="C515" s="123"/>
      <c r="D515" s="123"/>
      <c r="E515" s="123"/>
      <c r="F515" s="123"/>
      <c r="G515" s="123"/>
      <c r="H515" s="123"/>
      <c r="AJ515" s="218"/>
    </row>
    <row r="516" spans="3:36" ht="15.75" customHeight="1" x14ac:dyDescent="0.2">
      <c r="C516" s="123"/>
      <c r="D516" s="123"/>
      <c r="E516" s="123"/>
      <c r="F516" s="123"/>
      <c r="G516" s="123"/>
      <c r="H516" s="123"/>
      <c r="AJ516" s="218"/>
    </row>
    <row r="517" spans="3:36" ht="15.75" customHeight="1" x14ac:dyDescent="0.2">
      <c r="C517" s="123"/>
      <c r="D517" s="123"/>
      <c r="E517" s="123"/>
      <c r="F517" s="123"/>
      <c r="G517" s="123"/>
      <c r="H517" s="123"/>
      <c r="AJ517" s="218"/>
    </row>
    <row r="518" spans="3:36" ht="15.75" customHeight="1" x14ac:dyDescent="0.2">
      <c r="C518" s="123"/>
      <c r="D518" s="123"/>
      <c r="E518" s="123"/>
      <c r="F518" s="123"/>
      <c r="G518" s="123"/>
      <c r="H518" s="123"/>
      <c r="AJ518" s="218"/>
    </row>
    <row r="519" spans="3:36" ht="15.75" customHeight="1" x14ac:dyDescent="0.2">
      <c r="C519" s="123"/>
      <c r="D519" s="123"/>
      <c r="E519" s="123"/>
      <c r="F519" s="123"/>
      <c r="G519" s="123"/>
      <c r="H519" s="123"/>
      <c r="AJ519" s="218"/>
    </row>
    <row r="520" spans="3:36" ht="15.75" customHeight="1" x14ac:dyDescent="0.2">
      <c r="C520" s="123"/>
      <c r="D520" s="123"/>
      <c r="E520" s="123"/>
      <c r="F520" s="123"/>
      <c r="G520" s="123"/>
      <c r="H520" s="123"/>
      <c r="AJ520" s="218"/>
    </row>
    <row r="521" spans="3:36" ht="15.75" customHeight="1" x14ac:dyDescent="0.2">
      <c r="C521" s="123"/>
      <c r="D521" s="123"/>
      <c r="E521" s="123"/>
      <c r="F521" s="123"/>
      <c r="G521" s="123"/>
      <c r="H521" s="123"/>
      <c r="AJ521" s="218"/>
    </row>
    <row r="522" spans="3:36" ht="15.75" customHeight="1" x14ac:dyDescent="0.2">
      <c r="C522" s="123"/>
      <c r="D522" s="123"/>
      <c r="E522" s="123"/>
      <c r="F522" s="123"/>
      <c r="G522" s="123"/>
      <c r="H522" s="123"/>
      <c r="AJ522" s="218"/>
    </row>
    <row r="523" spans="3:36" ht="15.75" customHeight="1" x14ac:dyDescent="0.2">
      <c r="C523" s="123"/>
      <c r="D523" s="123"/>
      <c r="E523" s="123"/>
      <c r="F523" s="123"/>
      <c r="G523" s="123"/>
      <c r="H523" s="123"/>
      <c r="AJ523" s="218"/>
    </row>
    <row r="524" spans="3:36" ht="15.75" customHeight="1" x14ac:dyDescent="0.2">
      <c r="C524" s="123"/>
      <c r="D524" s="123"/>
      <c r="E524" s="123"/>
      <c r="F524" s="123"/>
      <c r="G524" s="123"/>
      <c r="H524" s="123"/>
      <c r="AJ524" s="218"/>
    </row>
    <row r="525" spans="3:36" ht="15.75" customHeight="1" x14ac:dyDescent="0.2">
      <c r="C525" s="123"/>
      <c r="D525" s="123"/>
      <c r="E525" s="123"/>
      <c r="F525" s="123"/>
      <c r="G525" s="123"/>
      <c r="H525" s="123"/>
      <c r="AJ525" s="218"/>
    </row>
    <row r="526" spans="3:36" ht="15.75" customHeight="1" x14ac:dyDescent="0.2">
      <c r="C526" s="123"/>
      <c r="D526" s="123"/>
      <c r="E526" s="123"/>
      <c r="F526" s="123"/>
      <c r="G526" s="123"/>
      <c r="H526" s="123"/>
      <c r="AJ526" s="218"/>
    </row>
    <row r="527" spans="3:36" ht="15.75" customHeight="1" x14ac:dyDescent="0.2">
      <c r="C527" s="123"/>
      <c r="D527" s="123"/>
      <c r="E527" s="123"/>
      <c r="F527" s="123"/>
      <c r="G527" s="123"/>
      <c r="H527" s="123"/>
      <c r="AJ527" s="218"/>
    </row>
    <row r="528" spans="3:36" ht="15.75" customHeight="1" x14ac:dyDescent="0.2">
      <c r="C528" s="123"/>
      <c r="D528" s="123"/>
      <c r="E528" s="123"/>
      <c r="F528" s="123"/>
      <c r="G528" s="123"/>
      <c r="H528" s="123"/>
      <c r="AJ528" s="218"/>
    </row>
    <row r="529" spans="3:36" ht="15.75" customHeight="1" x14ac:dyDescent="0.2">
      <c r="C529" s="123"/>
      <c r="D529" s="123"/>
      <c r="E529" s="123"/>
      <c r="F529" s="123"/>
      <c r="G529" s="123"/>
      <c r="H529" s="123"/>
      <c r="AJ529" s="218"/>
    </row>
    <row r="530" spans="3:36" ht="15.75" customHeight="1" x14ac:dyDescent="0.2">
      <c r="C530" s="123"/>
      <c r="D530" s="123"/>
      <c r="E530" s="123"/>
      <c r="F530" s="123"/>
      <c r="G530" s="123"/>
      <c r="H530" s="123"/>
      <c r="AJ530" s="218"/>
    </row>
    <row r="531" spans="3:36" ht="15.75" customHeight="1" x14ac:dyDescent="0.2">
      <c r="C531" s="123"/>
      <c r="D531" s="123"/>
      <c r="E531" s="123"/>
      <c r="F531" s="123"/>
      <c r="G531" s="123"/>
      <c r="H531" s="123"/>
      <c r="AJ531" s="218"/>
    </row>
    <row r="532" spans="3:36" ht="15.75" customHeight="1" x14ac:dyDescent="0.2">
      <c r="C532" s="123"/>
      <c r="D532" s="123"/>
      <c r="E532" s="123"/>
      <c r="F532" s="123"/>
      <c r="G532" s="123"/>
      <c r="H532" s="123"/>
      <c r="AJ532" s="218"/>
    </row>
    <row r="533" spans="3:36" ht="15.75" customHeight="1" x14ac:dyDescent="0.2">
      <c r="C533" s="123"/>
      <c r="D533" s="123"/>
      <c r="E533" s="123"/>
      <c r="F533" s="123"/>
      <c r="G533" s="123"/>
      <c r="H533" s="123"/>
      <c r="AJ533" s="218"/>
    </row>
    <row r="534" spans="3:36" ht="15.75" customHeight="1" x14ac:dyDescent="0.2">
      <c r="C534" s="123"/>
      <c r="D534" s="123"/>
      <c r="E534" s="123"/>
      <c r="F534" s="123"/>
      <c r="G534" s="123"/>
      <c r="H534" s="123"/>
      <c r="AJ534" s="218"/>
    </row>
    <row r="535" spans="3:36" ht="15.75" customHeight="1" x14ac:dyDescent="0.2">
      <c r="C535" s="123"/>
      <c r="D535" s="123"/>
      <c r="E535" s="123"/>
      <c r="F535" s="123"/>
      <c r="G535" s="123"/>
      <c r="H535" s="123"/>
      <c r="AJ535" s="218"/>
    </row>
    <row r="536" spans="3:36" ht="15.75" customHeight="1" x14ac:dyDescent="0.2">
      <c r="C536" s="123"/>
      <c r="D536" s="123"/>
      <c r="E536" s="123"/>
      <c r="F536" s="123"/>
      <c r="G536" s="123"/>
      <c r="H536" s="123"/>
      <c r="AJ536" s="218"/>
    </row>
    <row r="537" spans="3:36" ht="15.75" customHeight="1" x14ac:dyDescent="0.2">
      <c r="C537" s="123"/>
      <c r="D537" s="123"/>
      <c r="E537" s="123"/>
      <c r="F537" s="123"/>
      <c r="G537" s="123"/>
      <c r="H537" s="123"/>
      <c r="AJ537" s="218"/>
    </row>
    <row r="538" spans="3:36" ht="15.75" customHeight="1" x14ac:dyDescent="0.2">
      <c r="C538" s="123"/>
      <c r="D538" s="123"/>
      <c r="E538" s="123"/>
      <c r="F538" s="123"/>
      <c r="G538" s="123"/>
      <c r="H538" s="123"/>
      <c r="AJ538" s="218"/>
    </row>
    <row r="539" spans="3:36" ht="15.75" customHeight="1" x14ac:dyDescent="0.2">
      <c r="C539" s="123"/>
      <c r="D539" s="123"/>
      <c r="E539" s="123"/>
      <c r="F539" s="123"/>
      <c r="G539" s="123"/>
      <c r="H539" s="123"/>
      <c r="AJ539" s="218"/>
    </row>
    <row r="540" spans="3:36" ht="15.75" customHeight="1" x14ac:dyDescent="0.2">
      <c r="C540" s="123"/>
      <c r="D540" s="123"/>
      <c r="E540" s="123"/>
      <c r="F540" s="123"/>
      <c r="G540" s="123"/>
      <c r="H540" s="123"/>
      <c r="AJ540" s="218"/>
    </row>
    <row r="541" spans="3:36" ht="15.75" customHeight="1" x14ac:dyDescent="0.2">
      <c r="C541" s="123"/>
      <c r="D541" s="123"/>
      <c r="E541" s="123"/>
      <c r="F541" s="123"/>
      <c r="G541" s="123"/>
      <c r="H541" s="123"/>
      <c r="AJ541" s="218"/>
    </row>
    <row r="542" spans="3:36" ht="15.75" customHeight="1" x14ac:dyDescent="0.2">
      <c r="C542" s="123"/>
      <c r="D542" s="123"/>
      <c r="E542" s="123"/>
      <c r="F542" s="123"/>
      <c r="G542" s="123"/>
      <c r="H542" s="123"/>
      <c r="AJ542" s="218"/>
    </row>
    <row r="543" spans="3:36" ht="15.75" customHeight="1" x14ac:dyDescent="0.2">
      <c r="C543" s="123"/>
      <c r="D543" s="123"/>
      <c r="E543" s="123"/>
      <c r="F543" s="123"/>
      <c r="G543" s="123"/>
      <c r="H543" s="123"/>
      <c r="AJ543" s="218"/>
    </row>
    <row r="544" spans="3:36" ht="15.75" customHeight="1" x14ac:dyDescent="0.2">
      <c r="C544" s="123"/>
      <c r="D544" s="123"/>
      <c r="E544" s="123"/>
      <c r="F544" s="123"/>
      <c r="G544" s="123"/>
      <c r="H544" s="123"/>
      <c r="AJ544" s="218"/>
    </row>
    <row r="545" spans="3:36" ht="15.75" customHeight="1" x14ac:dyDescent="0.2">
      <c r="C545" s="123"/>
      <c r="D545" s="123"/>
      <c r="E545" s="123"/>
      <c r="F545" s="123"/>
      <c r="G545" s="123"/>
      <c r="H545" s="123"/>
      <c r="AJ545" s="218"/>
    </row>
    <row r="546" spans="3:36" ht="15.75" customHeight="1" x14ac:dyDescent="0.2">
      <c r="C546" s="123"/>
      <c r="D546" s="123"/>
      <c r="E546" s="123"/>
      <c r="F546" s="123"/>
      <c r="G546" s="123"/>
      <c r="H546" s="123"/>
      <c r="AJ546" s="218"/>
    </row>
    <row r="547" spans="3:36" ht="15.75" customHeight="1" x14ac:dyDescent="0.2">
      <c r="C547" s="123"/>
      <c r="D547" s="123"/>
      <c r="E547" s="123"/>
      <c r="F547" s="123"/>
      <c r="G547" s="123"/>
      <c r="H547" s="123"/>
      <c r="AJ547" s="218"/>
    </row>
    <row r="548" spans="3:36" ht="15.75" customHeight="1" x14ac:dyDescent="0.2">
      <c r="C548" s="123"/>
      <c r="D548" s="123"/>
      <c r="E548" s="123"/>
      <c r="F548" s="123"/>
      <c r="G548" s="123"/>
      <c r="H548" s="123"/>
      <c r="AJ548" s="218"/>
    </row>
    <row r="549" spans="3:36" ht="15.75" customHeight="1" x14ac:dyDescent="0.2">
      <c r="C549" s="123"/>
      <c r="D549" s="123"/>
      <c r="E549" s="123"/>
      <c r="F549" s="123"/>
      <c r="G549" s="123"/>
      <c r="H549" s="123"/>
      <c r="AJ549" s="218"/>
    </row>
    <row r="550" spans="3:36" ht="15.75" customHeight="1" x14ac:dyDescent="0.2">
      <c r="C550" s="123"/>
      <c r="D550" s="123"/>
      <c r="E550" s="123"/>
      <c r="F550" s="123"/>
      <c r="G550" s="123"/>
      <c r="H550" s="123"/>
      <c r="AJ550" s="218"/>
    </row>
    <row r="551" spans="3:36" ht="15.75" customHeight="1" x14ac:dyDescent="0.2">
      <c r="C551" s="123"/>
      <c r="D551" s="123"/>
      <c r="E551" s="123"/>
      <c r="F551" s="123"/>
      <c r="G551" s="123"/>
      <c r="H551" s="123"/>
      <c r="AJ551" s="218"/>
    </row>
    <row r="552" spans="3:36" ht="15.75" customHeight="1" x14ac:dyDescent="0.2">
      <c r="C552" s="123"/>
      <c r="D552" s="123"/>
      <c r="E552" s="123"/>
      <c r="F552" s="123"/>
      <c r="G552" s="123"/>
      <c r="H552" s="123"/>
      <c r="AJ552" s="218"/>
    </row>
    <row r="553" spans="3:36" ht="15.75" customHeight="1" x14ac:dyDescent="0.2">
      <c r="C553" s="123"/>
      <c r="D553" s="123"/>
      <c r="E553" s="123"/>
      <c r="F553" s="123"/>
      <c r="G553" s="123"/>
      <c r="H553" s="123"/>
      <c r="AJ553" s="218"/>
    </row>
    <row r="554" spans="3:36" ht="15.75" customHeight="1" x14ac:dyDescent="0.2">
      <c r="C554" s="123"/>
      <c r="D554" s="123"/>
      <c r="E554" s="123"/>
      <c r="F554" s="123"/>
      <c r="G554" s="123"/>
      <c r="H554" s="123"/>
      <c r="AJ554" s="218"/>
    </row>
    <row r="555" spans="3:36" ht="15.75" customHeight="1" x14ac:dyDescent="0.2">
      <c r="C555" s="123"/>
      <c r="D555" s="123"/>
      <c r="E555" s="123"/>
      <c r="F555" s="123"/>
      <c r="G555" s="123"/>
      <c r="H555" s="123"/>
      <c r="AJ555" s="218"/>
    </row>
    <row r="556" spans="3:36" ht="15.75" customHeight="1" x14ac:dyDescent="0.2">
      <c r="C556" s="123"/>
      <c r="D556" s="123"/>
      <c r="E556" s="123"/>
      <c r="F556" s="123"/>
      <c r="G556" s="123"/>
      <c r="H556" s="123"/>
      <c r="AJ556" s="218"/>
    </row>
    <row r="557" spans="3:36" ht="15.75" customHeight="1" x14ac:dyDescent="0.2">
      <c r="C557" s="123"/>
      <c r="D557" s="123"/>
      <c r="E557" s="123"/>
      <c r="F557" s="123"/>
      <c r="G557" s="123"/>
      <c r="H557" s="123"/>
      <c r="AJ557" s="218"/>
    </row>
    <row r="558" spans="3:36" ht="15.75" customHeight="1" x14ac:dyDescent="0.2">
      <c r="C558" s="123"/>
      <c r="D558" s="123"/>
      <c r="E558" s="123"/>
      <c r="F558" s="123"/>
      <c r="G558" s="123"/>
      <c r="H558" s="123"/>
      <c r="AJ558" s="218"/>
    </row>
    <row r="559" spans="3:36" ht="15.75" customHeight="1" x14ac:dyDescent="0.2">
      <c r="C559" s="123"/>
      <c r="D559" s="123"/>
      <c r="E559" s="123"/>
      <c r="F559" s="123"/>
      <c r="G559" s="123"/>
      <c r="H559" s="123"/>
      <c r="AJ559" s="218"/>
    </row>
    <row r="560" spans="3:36" ht="15.75" customHeight="1" x14ac:dyDescent="0.2">
      <c r="C560" s="123"/>
      <c r="D560" s="123"/>
      <c r="E560" s="123"/>
      <c r="F560" s="123"/>
      <c r="G560" s="123"/>
      <c r="H560" s="123"/>
      <c r="AJ560" s="218"/>
    </row>
    <row r="561" spans="3:36" ht="15.75" customHeight="1" x14ac:dyDescent="0.2">
      <c r="C561" s="123"/>
      <c r="D561" s="123"/>
      <c r="E561" s="123"/>
      <c r="F561" s="123"/>
      <c r="G561" s="123"/>
      <c r="H561" s="123"/>
      <c r="AJ561" s="218"/>
    </row>
    <row r="562" spans="3:36" ht="15.75" customHeight="1" x14ac:dyDescent="0.2">
      <c r="C562" s="123"/>
      <c r="D562" s="123"/>
      <c r="E562" s="123"/>
      <c r="F562" s="123"/>
      <c r="G562" s="123"/>
      <c r="H562" s="123"/>
      <c r="AJ562" s="218"/>
    </row>
    <row r="563" spans="3:36" ht="15.75" customHeight="1" x14ac:dyDescent="0.2">
      <c r="C563" s="123"/>
      <c r="D563" s="123"/>
      <c r="E563" s="123"/>
      <c r="F563" s="123"/>
      <c r="G563" s="123"/>
      <c r="H563" s="123"/>
      <c r="AJ563" s="218"/>
    </row>
    <row r="564" spans="3:36" ht="15.75" customHeight="1" x14ac:dyDescent="0.2">
      <c r="C564" s="123"/>
      <c r="D564" s="123"/>
      <c r="E564" s="123"/>
      <c r="F564" s="123"/>
      <c r="G564" s="123"/>
      <c r="H564" s="123"/>
      <c r="AJ564" s="218"/>
    </row>
    <row r="565" spans="3:36" ht="15.75" customHeight="1" x14ac:dyDescent="0.2">
      <c r="C565" s="123"/>
      <c r="D565" s="123"/>
      <c r="E565" s="123"/>
      <c r="F565" s="123"/>
      <c r="G565" s="123"/>
      <c r="H565" s="123"/>
      <c r="AJ565" s="218"/>
    </row>
    <row r="566" spans="3:36" ht="15.75" customHeight="1" x14ac:dyDescent="0.2">
      <c r="C566" s="123"/>
      <c r="D566" s="123"/>
      <c r="E566" s="123"/>
      <c r="F566" s="123"/>
      <c r="G566" s="123"/>
      <c r="H566" s="123"/>
      <c r="AJ566" s="218"/>
    </row>
    <row r="567" spans="3:36" ht="15.75" customHeight="1" x14ac:dyDescent="0.2">
      <c r="C567" s="123"/>
      <c r="D567" s="123"/>
      <c r="E567" s="123"/>
      <c r="F567" s="123"/>
      <c r="G567" s="123"/>
      <c r="H567" s="123"/>
      <c r="AJ567" s="218"/>
    </row>
    <row r="568" spans="3:36" ht="15.75" customHeight="1" x14ac:dyDescent="0.2">
      <c r="C568" s="123"/>
      <c r="D568" s="123"/>
      <c r="E568" s="123"/>
      <c r="F568" s="123"/>
      <c r="G568" s="123"/>
      <c r="H568" s="123"/>
      <c r="AJ568" s="218"/>
    </row>
    <row r="569" spans="3:36" ht="15.75" customHeight="1" x14ac:dyDescent="0.2">
      <c r="C569" s="123"/>
      <c r="D569" s="123"/>
      <c r="E569" s="123"/>
      <c r="F569" s="123"/>
      <c r="G569" s="123"/>
      <c r="H569" s="123"/>
      <c r="AJ569" s="218"/>
    </row>
    <row r="570" spans="3:36" ht="15.75" customHeight="1" x14ac:dyDescent="0.2">
      <c r="C570" s="123"/>
      <c r="D570" s="123"/>
      <c r="E570" s="123"/>
      <c r="F570" s="123"/>
      <c r="G570" s="123"/>
      <c r="H570" s="123"/>
      <c r="AJ570" s="218"/>
    </row>
    <row r="571" spans="3:36" ht="15.75" customHeight="1" x14ac:dyDescent="0.2">
      <c r="C571" s="123"/>
      <c r="D571" s="123"/>
      <c r="E571" s="123"/>
      <c r="F571" s="123"/>
      <c r="G571" s="123"/>
      <c r="H571" s="123"/>
      <c r="AJ571" s="218"/>
    </row>
    <row r="572" spans="3:36" ht="15.75" customHeight="1" x14ac:dyDescent="0.2">
      <c r="C572" s="123"/>
      <c r="D572" s="123"/>
      <c r="E572" s="123"/>
      <c r="F572" s="123"/>
      <c r="G572" s="123"/>
      <c r="H572" s="123"/>
      <c r="AJ572" s="218"/>
    </row>
    <row r="573" spans="3:36" ht="15.75" customHeight="1" x14ac:dyDescent="0.2">
      <c r="C573" s="123"/>
      <c r="D573" s="123"/>
      <c r="E573" s="123"/>
      <c r="F573" s="123"/>
      <c r="G573" s="123"/>
      <c r="H573" s="123"/>
      <c r="AJ573" s="218"/>
    </row>
    <row r="574" spans="3:36" ht="15.75" customHeight="1" x14ac:dyDescent="0.2">
      <c r="C574" s="123"/>
      <c r="D574" s="123"/>
      <c r="E574" s="123"/>
      <c r="F574" s="123"/>
      <c r="G574" s="123"/>
      <c r="H574" s="123"/>
      <c r="AJ574" s="218"/>
    </row>
    <row r="575" spans="3:36" ht="15.75" customHeight="1" x14ac:dyDescent="0.2">
      <c r="C575" s="123"/>
      <c r="D575" s="123"/>
      <c r="E575" s="123"/>
      <c r="F575" s="123"/>
      <c r="G575" s="123"/>
      <c r="H575" s="123"/>
      <c r="AJ575" s="218"/>
    </row>
    <row r="576" spans="3:36" ht="15.75" customHeight="1" x14ac:dyDescent="0.2">
      <c r="C576" s="123"/>
      <c r="D576" s="123"/>
      <c r="E576" s="123"/>
      <c r="F576" s="123"/>
      <c r="G576" s="123"/>
      <c r="H576" s="123"/>
      <c r="AJ576" s="218"/>
    </row>
    <row r="577" spans="3:36" ht="15.75" customHeight="1" x14ac:dyDescent="0.2">
      <c r="C577" s="123"/>
      <c r="D577" s="123"/>
      <c r="E577" s="123"/>
      <c r="F577" s="123"/>
      <c r="G577" s="123"/>
      <c r="H577" s="123"/>
      <c r="AJ577" s="218"/>
    </row>
    <row r="578" spans="3:36" ht="15.75" customHeight="1" x14ac:dyDescent="0.2">
      <c r="C578" s="123"/>
      <c r="D578" s="123"/>
      <c r="E578" s="123"/>
      <c r="F578" s="123"/>
      <c r="G578" s="123"/>
      <c r="H578" s="123"/>
      <c r="AJ578" s="218"/>
    </row>
    <row r="579" spans="3:36" ht="15.75" customHeight="1" x14ac:dyDescent="0.2">
      <c r="C579" s="123"/>
      <c r="D579" s="123"/>
      <c r="E579" s="123"/>
      <c r="F579" s="123"/>
      <c r="G579" s="123"/>
      <c r="H579" s="123"/>
      <c r="AJ579" s="218"/>
    </row>
    <row r="580" spans="3:36" ht="15.75" customHeight="1" x14ac:dyDescent="0.2">
      <c r="C580" s="123"/>
      <c r="D580" s="123"/>
      <c r="E580" s="123"/>
      <c r="F580" s="123"/>
      <c r="G580" s="123"/>
      <c r="H580" s="123"/>
      <c r="AJ580" s="218"/>
    </row>
    <row r="581" spans="3:36" ht="15.75" customHeight="1" x14ac:dyDescent="0.2">
      <c r="C581" s="123"/>
      <c r="D581" s="123"/>
      <c r="E581" s="123"/>
      <c r="F581" s="123"/>
      <c r="G581" s="123"/>
      <c r="H581" s="123"/>
      <c r="AJ581" s="218"/>
    </row>
    <row r="582" spans="3:36" ht="15.75" customHeight="1" x14ac:dyDescent="0.2">
      <c r="C582" s="123"/>
      <c r="D582" s="123"/>
      <c r="E582" s="123"/>
      <c r="F582" s="123"/>
      <c r="G582" s="123"/>
      <c r="H582" s="123"/>
      <c r="AJ582" s="218"/>
    </row>
    <row r="583" spans="3:36" ht="15.75" customHeight="1" x14ac:dyDescent="0.2">
      <c r="C583" s="123"/>
      <c r="D583" s="123"/>
      <c r="E583" s="123"/>
      <c r="F583" s="123"/>
      <c r="G583" s="123"/>
      <c r="H583" s="123"/>
      <c r="AJ583" s="218"/>
    </row>
    <row r="584" spans="3:36" ht="15.75" customHeight="1" x14ac:dyDescent="0.2">
      <c r="C584" s="123"/>
      <c r="D584" s="123"/>
      <c r="E584" s="123"/>
      <c r="F584" s="123"/>
      <c r="G584" s="123"/>
      <c r="H584" s="123"/>
      <c r="AJ584" s="218"/>
    </row>
    <row r="585" spans="3:36" ht="15.75" customHeight="1" x14ac:dyDescent="0.2">
      <c r="C585" s="123"/>
      <c r="D585" s="123"/>
      <c r="E585" s="123"/>
      <c r="F585" s="123"/>
      <c r="G585" s="123"/>
      <c r="H585" s="123"/>
      <c r="AJ585" s="218"/>
    </row>
    <row r="586" spans="3:36" ht="15.75" customHeight="1" x14ac:dyDescent="0.2">
      <c r="C586" s="123"/>
      <c r="D586" s="123"/>
      <c r="E586" s="123"/>
      <c r="F586" s="123"/>
      <c r="G586" s="123"/>
      <c r="H586" s="123"/>
      <c r="AJ586" s="218"/>
    </row>
    <row r="587" spans="3:36" ht="15.75" customHeight="1" x14ac:dyDescent="0.2">
      <c r="C587" s="123"/>
      <c r="D587" s="123"/>
      <c r="E587" s="123"/>
      <c r="F587" s="123"/>
      <c r="G587" s="123"/>
      <c r="H587" s="123"/>
      <c r="AJ587" s="218"/>
    </row>
    <row r="588" spans="3:36" ht="15.75" customHeight="1" x14ac:dyDescent="0.2">
      <c r="C588" s="123"/>
      <c r="D588" s="123"/>
      <c r="E588" s="123"/>
      <c r="F588" s="123"/>
      <c r="G588" s="123"/>
      <c r="H588" s="123"/>
      <c r="AJ588" s="218"/>
    </row>
    <row r="589" spans="3:36" ht="15.75" customHeight="1" x14ac:dyDescent="0.2">
      <c r="C589" s="123"/>
      <c r="D589" s="123"/>
      <c r="E589" s="123"/>
      <c r="F589" s="123"/>
      <c r="G589" s="123"/>
      <c r="H589" s="123"/>
      <c r="AJ589" s="218"/>
    </row>
    <row r="590" spans="3:36" ht="15.75" customHeight="1" x14ac:dyDescent="0.2">
      <c r="C590" s="123"/>
      <c r="D590" s="123"/>
      <c r="E590" s="123"/>
      <c r="F590" s="123"/>
      <c r="G590" s="123"/>
      <c r="H590" s="123"/>
      <c r="AJ590" s="218"/>
    </row>
    <row r="591" spans="3:36" ht="15.75" customHeight="1" x14ac:dyDescent="0.2">
      <c r="C591" s="123"/>
      <c r="D591" s="123"/>
      <c r="E591" s="123"/>
      <c r="F591" s="123"/>
      <c r="G591" s="123"/>
      <c r="H591" s="123"/>
      <c r="AJ591" s="218"/>
    </row>
    <row r="592" spans="3:36" ht="15.75" customHeight="1" x14ac:dyDescent="0.2">
      <c r="C592" s="123"/>
      <c r="D592" s="123"/>
      <c r="E592" s="123"/>
      <c r="F592" s="123"/>
      <c r="G592" s="123"/>
      <c r="H592" s="123"/>
      <c r="AJ592" s="218"/>
    </row>
    <row r="593" spans="3:36" ht="15.75" customHeight="1" x14ac:dyDescent="0.2">
      <c r="C593" s="123"/>
      <c r="D593" s="123"/>
      <c r="E593" s="123"/>
      <c r="F593" s="123"/>
      <c r="G593" s="123"/>
      <c r="H593" s="123"/>
      <c r="AJ593" s="218"/>
    </row>
    <row r="594" spans="3:36" ht="15.75" customHeight="1" x14ac:dyDescent="0.2">
      <c r="C594" s="123"/>
      <c r="D594" s="123"/>
      <c r="E594" s="123"/>
      <c r="F594" s="123"/>
      <c r="G594" s="123"/>
      <c r="H594" s="123"/>
      <c r="AJ594" s="218"/>
    </row>
    <row r="595" spans="3:36" ht="15.75" customHeight="1" x14ac:dyDescent="0.2">
      <c r="C595" s="123"/>
      <c r="D595" s="123"/>
      <c r="E595" s="123"/>
      <c r="F595" s="123"/>
      <c r="G595" s="123"/>
      <c r="H595" s="123"/>
      <c r="AJ595" s="218"/>
    </row>
    <row r="596" spans="3:36" ht="15.75" customHeight="1" x14ac:dyDescent="0.2">
      <c r="C596" s="123"/>
      <c r="D596" s="123"/>
      <c r="E596" s="123"/>
      <c r="F596" s="123"/>
      <c r="G596" s="123"/>
      <c r="H596" s="123"/>
      <c r="AJ596" s="218"/>
    </row>
    <row r="597" spans="3:36" ht="15.75" customHeight="1" x14ac:dyDescent="0.2">
      <c r="C597" s="123"/>
      <c r="D597" s="123"/>
      <c r="E597" s="123"/>
      <c r="F597" s="123"/>
      <c r="G597" s="123"/>
      <c r="H597" s="123"/>
      <c r="AJ597" s="218"/>
    </row>
    <row r="598" spans="3:36" ht="15.75" customHeight="1" x14ac:dyDescent="0.2">
      <c r="C598" s="123"/>
      <c r="D598" s="123"/>
      <c r="E598" s="123"/>
      <c r="F598" s="123"/>
      <c r="G598" s="123"/>
      <c r="H598" s="123"/>
      <c r="AJ598" s="218"/>
    </row>
    <row r="599" spans="3:36" ht="15.75" customHeight="1" x14ac:dyDescent="0.2">
      <c r="C599" s="123"/>
      <c r="D599" s="123"/>
      <c r="E599" s="123"/>
      <c r="F599" s="123"/>
      <c r="G599" s="123"/>
      <c r="H599" s="123"/>
      <c r="AJ599" s="218"/>
    </row>
    <row r="600" spans="3:36" ht="15.75" customHeight="1" x14ac:dyDescent="0.2">
      <c r="C600" s="123"/>
      <c r="D600" s="123"/>
      <c r="E600" s="123"/>
      <c r="F600" s="123"/>
      <c r="G600" s="123"/>
      <c r="H600" s="123"/>
      <c r="AJ600" s="218"/>
    </row>
    <row r="601" spans="3:36" ht="15.75" customHeight="1" x14ac:dyDescent="0.2">
      <c r="C601" s="123"/>
      <c r="D601" s="123"/>
      <c r="E601" s="123"/>
      <c r="F601" s="123"/>
      <c r="G601" s="123"/>
      <c r="H601" s="123"/>
      <c r="AJ601" s="218"/>
    </row>
    <row r="602" spans="3:36" ht="15.75" customHeight="1" x14ac:dyDescent="0.2">
      <c r="C602" s="123"/>
      <c r="D602" s="123"/>
      <c r="E602" s="123"/>
      <c r="F602" s="123"/>
      <c r="G602" s="123"/>
      <c r="H602" s="123"/>
      <c r="AJ602" s="218"/>
    </row>
    <row r="603" spans="3:36" ht="15.75" customHeight="1" x14ac:dyDescent="0.2">
      <c r="C603" s="123"/>
      <c r="D603" s="123"/>
      <c r="E603" s="123"/>
      <c r="F603" s="123"/>
      <c r="G603" s="123"/>
      <c r="H603" s="123"/>
      <c r="AJ603" s="218"/>
    </row>
    <row r="604" spans="3:36" ht="15.75" customHeight="1" x14ac:dyDescent="0.2">
      <c r="C604" s="123"/>
      <c r="D604" s="123"/>
      <c r="E604" s="123"/>
      <c r="F604" s="123"/>
      <c r="G604" s="123"/>
      <c r="H604" s="123"/>
      <c r="AJ604" s="218"/>
    </row>
    <row r="605" spans="3:36" ht="15.75" customHeight="1" x14ac:dyDescent="0.2">
      <c r="C605" s="123"/>
      <c r="D605" s="123"/>
      <c r="E605" s="123"/>
      <c r="F605" s="123"/>
      <c r="G605" s="123"/>
      <c r="H605" s="123"/>
      <c r="AJ605" s="218"/>
    </row>
    <row r="606" spans="3:36" ht="15.75" customHeight="1" x14ac:dyDescent="0.2">
      <c r="C606" s="123"/>
      <c r="D606" s="123"/>
      <c r="E606" s="123"/>
      <c r="F606" s="123"/>
      <c r="G606" s="123"/>
      <c r="H606" s="123"/>
      <c r="AJ606" s="218"/>
    </row>
    <row r="607" spans="3:36" ht="15.75" customHeight="1" x14ac:dyDescent="0.2">
      <c r="C607" s="123"/>
      <c r="D607" s="123"/>
      <c r="E607" s="123"/>
      <c r="F607" s="123"/>
      <c r="G607" s="123"/>
      <c r="H607" s="123"/>
      <c r="AJ607" s="218"/>
    </row>
    <row r="608" spans="3:36" ht="15.75" customHeight="1" x14ac:dyDescent="0.2">
      <c r="C608" s="123"/>
      <c r="D608" s="123"/>
      <c r="E608" s="123"/>
      <c r="F608" s="123"/>
      <c r="G608" s="123"/>
      <c r="H608" s="123"/>
      <c r="AJ608" s="218"/>
    </row>
    <row r="609" spans="3:36" ht="15.75" customHeight="1" x14ac:dyDescent="0.2">
      <c r="C609" s="123"/>
      <c r="D609" s="123"/>
      <c r="E609" s="123"/>
      <c r="F609" s="123"/>
      <c r="G609" s="123"/>
      <c r="H609" s="123"/>
      <c r="AJ609" s="218"/>
    </row>
    <row r="610" spans="3:36" ht="15.75" customHeight="1" x14ac:dyDescent="0.2">
      <c r="C610" s="123"/>
      <c r="D610" s="123"/>
      <c r="E610" s="123"/>
      <c r="F610" s="123"/>
      <c r="G610" s="123"/>
      <c r="H610" s="123"/>
      <c r="AJ610" s="218"/>
    </row>
    <row r="611" spans="3:36" ht="15.75" customHeight="1" x14ac:dyDescent="0.2">
      <c r="C611" s="123"/>
      <c r="D611" s="123"/>
      <c r="E611" s="123"/>
      <c r="F611" s="123"/>
      <c r="G611" s="123"/>
      <c r="H611" s="123"/>
      <c r="AJ611" s="218"/>
    </row>
    <row r="612" spans="3:36" ht="15.75" customHeight="1" x14ac:dyDescent="0.2">
      <c r="C612" s="123"/>
      <c r="D612" s="123"/>
      <c r="E612" s="123"/>
      <c r="F612" s="123"/>
      <c r="G612" s="123"/>
      <c r="H612" s="123"/>
      <c r="AJ612" s="218"/>
    </row>
    <row r="613" spans="3:36" ht="15.75" customHeight="1" x14ac:dyDescent="0.2">
      <c r="C613" s="123"/>
      <c r="D613" s="123"/>
      <c r="E613" s="123"/>
      <c r="F613" s="123"/>
      <c r="G613" s="123"/>
      <c r="H613" s="123"/>
      <c r="AJ613" s="218"/>
    </row>
    <row r="614" spans="3:36" ht="15.75" customHeight="1" x14ac:dyDescent="0.2">
      <c r="C614" s="123"/>
      <c r="D614" s="123"/>
      <c r="E614" s="123"/>
      <c r="F614" s="123"/>
      <c r="G614" s="123"/>
      <c r="H614" s="123"/>
      <c r="AJ614" s="218"/>
    </row>
    <row r="615" spans="3:36" ht="15.75" customHeight="1" x14ac:dyDescent="0.2">
      <c r="C615" s="123"/>
      <c r="D615" s="123"/>
      <c r="E615" s="123"/>
      <c r="F615" s="123"/>
      <c r="G615" s="123"/>
      <c r="H615" s="123"/>
      <c r="AJ615" s="218"/>
    </row>
    <row r="616" spans="3:36" ht="15.75" customHeight="1" x14ac:dyDescent="0.2">
      <c r="C616" s="123"/>
      <c r="D616" s="123"/>
      <c r="E616" s="123"/>
      <c r="F616" s="123"/>
      <c r="G616" s="123"/>
      <c r="H616" s="123"/>
      <c r="AJ616" s="218"/>
    </row>
    <row r="617" spans="3:36" ht="15.75" customHeight="1" x14ac:dyDescent="0.2">
      <c r="C617" s="123"/>
      <c r="D617" s="123"/>
      <c r="E617" s="123"/>
      <c r="F617" s="123"/>
      <c r="G617" s="123"/>
      <c r="H617" s="123"/>
      <c r="AJ617" s="218"/>
    </row>
    <row r="618" spans="3:36" ht="15.75" customHeight="1" x14ac:dyDescent="0.2">
      <c r="C618" s="123"/>
      <c r="D618" s="123"/>
      <c r="E618" s="123"/>
      <c r="F618" s="123"/>
      <c r="G618" s="123"/>
      <c r="H618" s="123"/>
      <c r="AJ618" s="218"/>
    </row>
    <row r="619" spans="3:36" ht="15.75" customHeight="1" x14ac:dyDescent="0.2">
      <c r="C619" s="123"/>
      <c r="D619" s="123"/>
      <c r="E619" s="123"/>
      <c r="F619" s="123"/>
      <c r="G619" s="123"/>
      <c r="H619" s="123"/>
      <c r="AJ619" s="218"/>
    </row>
    <row r="620" spans="3:36" ht="15.75" customHeight="1" x14ac:dyDescent="0.2">
      <c r="C620" s="123"/>
      <c r="D620" s="123"/>
      <c r="E620" s="123"/>
      <c r="F620" s="123"/>
      <c r="G620" s="123"/>
      <c r="H620" s="123"/>
      <c r="AJ620" s="218"/>
    </row>
    <row r="621" spans="3:36" ht="15.75" customHeight="1" x14ac:dyDescent="0.2">
      <c r="C621" s="123"/>
      <c r="D621" s="123"/>
      <c r="E621" s="123"/>
      <c r="F621" s="123"/>
      <c r="G621" s="123"/>
      <c r="H621" s="123"/>
      <c r="AJ621" s="218"/>
    </row>
    <row r="622" spans="3:36" ht="15.75" customHeight="1" x14ac:dyDescent="0.2">
      <c r="C622" s="123"/>
      <c r="D622" s="123"/>
      <c r="E622" s="123"/>
      <c r="F622" s="123"/>
      <c r="G622" s="123"/>
      <c r="H622" s="123"/>
      <c r="AJ622" s="218"/>
    </row>
    <row r="623" spans="3:36" ht="15.75" customHeight="1" x14ac:dyDescent="0.2">
      <c r="C623" s="123"/>
      <c r="D623" s="123"/>
      <c r="E623" s="123"/>
      <c r="F623" s="123"/>
      <c r="G623" s="123"/>
      <c r="H623" s="123"/>
      <c r="AJ623" s="218"/>
    </row>
    <row r="624" spans="3:36" ht="15.75" customHeight="1" x14ac:dyDescent="0.2">
      <c r="C624" s="123"/>
      <c r="D624" s="123"/>
      <c r="E624" s="123"/>
      <c r="F624" s="123"/>
      <c r="G624" s="123"/>
      <c r="H624" s="123"/>
      <c r="AJ624" s="218"/>
    </row>
    <row r="625" spans="3:36" ht="15.75" customHeight="1" x14ac:dyDescent="0.2">
      <c r="C625" s="123"/>
      <c r="D625" s="123"/>
      <c r="E625" s="123"/>
      <c r="F625" s="123"/>
      <c r="G625" s="123"/>
      <c r="H625" s="123"/>
      <c r="AJ625" s="218"/>
    </row>
    <row r="626" spans="3:36" ht="15.75" customHeight="1" x14ac:dyDescent="0.2">
      <c r="C626" s="123"/>
      <c r="D626" s="123"/>
      <c r="E626" s="123"/>
      <c r="F626" s="123"/>
      <c r="G626" s="123"/>
      <c r="H626" s="123"/>
      <c r="AJ626" s="218"/>
    </row>
    <row r="627" spans="3:36" ht="15.75" customHeight="1" x14ac:dyDescent="0.2">
      <c r="C627" s="123"/>
      <c r="D627" s="123"/>
      <c r="E627" s="123"/>
      <c r="F627" s="123"/>
      <c r="G627" s="123"/>
      <c r="H627" s="123"/>
      <c r="AJ627" s="218"/>
    </row>
    <row r="628" spans="3:36" ht="15.75" customHeight="1" x14ac:dyDescent="0.2">
      <c r="C628" s="123"/>
      <c r="D628" s="123"/>
      <c r="E628" s="123"/>
      <c r="F628" s="123"/>
      <c r="G628" s="123"/>
      <c r="H628" s="123"/>
      <c r="AJ628" s="218"/>
    </row>
    <row r="629" spans="3:36" ht="15.75" customHeight="1" x14ac:dyDescent="0.2">
      <c r="C629" s="123"/>
      <c r="D629" s="123"/>
      <c r="E629" s="123"/>
      <c r="F629" s="123"/>
      <c r="G629" s="123"/>
      <c r="H629" s="123"/>
      <c r="AJ629" s="218"/>
    </row>
    <row r="630" spans="3:36" ht="15.75" customHeight="1" x14ac:dyDescent="0.2">
      <c r="C630" s="123"/>
      <c r="D630" s="123"/>
      <c r="E630" s="123"/>
      <c r="F630" s="123"/>
      <c r="G630" s="123"/>
      <c r="H630" s="123"/>
      <c r="AJ630" s="218"/>
    </row>
    <row r="631" spans="3:36" ht="15.75" customHeight="1" x14ac:dyDescent="0.2">
      <c r="C631" s="123"/>
      <c r="D631" s="123"/>
      <c r="E631" s="123"/>
      <c r="F631" s="123"/>
      <c r="G631" s="123"/>
      <c r="H631" s="123"/>
      <c r="AJ631" s="218"/>
    </row>
    <row r="632" spans="3:36" ht="15.75" customHeight="1" x14ac:dyDescent="0.2">
      <c r="C632" s="123"/>
      <c r="D632" s="123"/>
      <c r="E632" s="123"/>
      <c r="F632" s="123"/>
      <c r="G632" s="123"/>
      <c r="H632" s="123"/>
      <c r="AJ632" s="218"/>
    </row>
    <row r="633" spans="3:36" ht="15.75" customHeight="1" x14ac:dyDescent="0.2">
      <c r="C633" s="123"/>
      <c r="D633" s="123"/>
      <c r="E633" s="123"/>
      <c r="F633" s="123"/>
      <c r="G633" s="123"/>
      <c r="H633" s="123"/>
      <c r="AJ633" s="218"/>
    </row>
    <row r="634" spans="3:36" ht="15.75" customHeight="1" x14ac:dyDescent="0.2">
      <c r="C634" s="123"/>
      <c r="D634" s="123"/>
      <c r="E634" s="123"/>
      <c r="F634" s="123"/>
      <c r="G634" s="123"/>
      <c r="H634" s="123"/>
      <c r="AJ634" s="218"/>
    </row>
    <row r="635" spans="3:36" ht="15.75" customHeight="1" x14ac:dyDescent="0.2">
      <c r="C635" s="123"/>
      <c r="D635" s="123"/>
      <c r="E635" s="123"/>
      <c r="F635" s="123"/>
      <c r="G635" s="123"/>
      <c r="H635" s="123"/>
      <c r="AJ635" s="218"/>
    </row>
    <row r="636" spans="3:36" ht="15.75" customHeight="1" x14ac:dyDescent="0.2">
      <c r="C636" s="123"/>
      <c r="D636" s="123"/>
      <c r="E636" s="123"/>
      <c r="F636" s="123"/>
      <c r="G636" s="123"/>
      <c r="H636" s="123"/>
      <c r="AJ636" s="218"/>
    </row>
    <row r="637" spans="3:36" ht="15.75" customHeight="1" x14ac:dyDescent="0.2">
      <c r="C637" s="123"/>
      <c r="D637" s="123"/>
      <c r="E637" s="123"/>
      <c r="F637" s="123"/>
      <c r="G637" s="123"/>
      <c r="H637" s="123"/>
      <c r="AJ637" s="218"/>
    </row>
    <row r="638" spans="3:36" ht="15.75" customHeight="1" x14ac:dyDescent="0.2">
      <c r="C638" s="123"/>
      <c r="D638" s="123"/>
      <c r="E638" s="123"/>
      <c r="F638" s="123"/>
      <c r="G638" s="123"/>
      <c r="H638" s="123"/>
      <c r="AJ638" s="218"/>
    </row>
    <row r="639" spans="3:36" ht="15.75" customHeight="1" x14ac:dyDescent="0.2">
      <c r="C639" s="123"/>
      <c r="D639" s="123"/>
      <c r="E639" s="123"/>
      <c r="F639" s="123"/>
      <c r="G639" s="123"/>
      <c r="H639" s="123"/>
      <c r="AJ639" s="218"/>
    </row>
    <row r="640" spans="3:36" ht="15.75" customHeight="1" x14ac:dyDescent="0.2">
      <c r="C640" s="123"/>
      <c r="D640" s="123"/>
      <c r="E640" s="123"/>
      <c r="F640" s="123"/>
      <c r="G640" s="123"/>
      <c r="H640" s="123"/>
      <c r="AJ640" s="218"/>
    </row>
    <row r="641" spans="3:36" ht="15.75" customHeight="1" x14ac:dyDescent="0.2">
      <c r="C641" s="123"/>
      <c r="D641" s="123"/>
      <c r="E641" s="123"/>
      <c r="F641" s="123"/>
      <c r="G641" s="123"/>
      <c r="H641" s="123"/>
      <c r="AJ641" s="218"/>
    </row>
    <row r="642" spans="3:36" ht="15.75" customHeight="1" x14ac:dyDescent="0.2">
      <c r="C642" s="123"/>
      <c r="D642" s="123"/>
      <c r="E642" s="123"/>
      <c r="F642" s="123"/>
      <c r="G642" s="123"/>
      <c r="H642" s="123"/>
      <c r="AJ642" s="218"/>
    </row>
    <row r="643" spans="3:36" ht="15.75" customHeight="1" x14ac:dyDescent="0.2">
      <c r="C643" s="123"/>
      <c r="D643" s="123"/>
      <c r="E643" s="123"/>
      <c r="F643" s="123"/>
      <c r="G643" s="123"/>
      <c r="H643" s="123"/>
      <c r="AJ643" s="218"/>
    </row>
    <row r="644" spans="3:36" ht="15.75" customHeight="1" x14ac:dyDescent="0.2">
      <c r="C644" s="123"/>
      <c r="D644" s="123"/>
      <c r="E644" s="123"/>
      <c r="F644" s="123"/>
      <c r="G644" s="123"/>
      <c r="H644" s="123"/>
      <c r="AJ644" s="218"/>
    </row>
    <row r="645" spans="3:36" ht="15.75" customHeight="1" x14ac:dyDescent="0.2">
      <c r="C645" s="123"/>
      <c r="D645" s="123"/>
      <c r="E645" s="123"/>
      <c r="F645" s="123"/>
      <c r="G645" s="123"/>
      <c r="H645" s="123"/>
      <c r="AJ645" s="218"/>
    </row>
    <row r="646" spans="3:36" ht="15.75" customHeight="1" x14ac:dyDescent="0.2">
      <c r="C646" s="123"/>
      <c r="D646" s="123"/>
      <c r="E646" s="123"/>
      <c r="F646" s="123"/>
      <c r="G646" s="123"/>
      <c r="H646" s="123"/>
      <c r="AJ646" s="218"/>
    </row>
    <row r="647" spans="3:36" ht="15.75" customHeight="1" x14ac:dyDescent="0.2">
      <c r="C647" s="123"/>
      <c r="D647" s="123"/>
      <c r="E647" s="123"/>
      <c r="F647" s="123"/>
      <c r="G647" s="123"/>
      <c r="H647" s="123"/>
      <c r="AJ647" s="218"/>
    </row>
    <row r="648" spans="3:36" ht="15.75" customHeight="1" x14ac:dyDescent="0.2">
      <c r="C648" s="123"/>
      <c r="D648" s="123"/>
      <c r="E648" s="123"/>
      <c r="F648" s="123"/>
      <c r="G648" s="123"/>
      <c r="H648" s="123"/>
      <c r="AJ648" s="218"/>
    </row>
    <row r="649" spans="3:36" ht="15.75" customHeight="1" x14ac:dyDescent="0.2">
      <c r="C649" s="123"/>
      <c r="D649" s="123"/>
      <c r="E649" s="123"/>
      <c r="F649" s="123"/>
      <c r="G649" s="123"/>
      <c r="H649" s="123"/>
      <c r="AJ649" s="218"/>
    </row>
    <row r="650" spans="3:36" ht="15.75" customHeight="1" x14ac:dyDescent="0.2">
      <c r="C650" s="123"/>
      <c r="D650" s="123"/>
      <c r="E650" s="123"/>
      <c r="F650" s="123"/>
      <c r="G650" s="123"/>
      <c r="H650" s="123"/>
      <c r="AJ650" s="218"/>
    </row>
    <row r="651" spans="3:36" ht="15.75" customHeight="1" x14ac:dyDescent="0.2">
      <c r="C651" s="123"/>
      <c r="D651" s="123"/>
      <c r="E651" s="123"/>
      <c r="F651" s="123"/>
      <c r="G651" s="123"/>
      <c r="H651" s="123"/>
      <c r="AJ651" s="218"/>
    </row>
    <row r="652" spans="3:36" ht="15.75" customHeight="1" x14ac:dyDescent="0.2">
      <c r="C652" s="123"/>
      <c r="D652" s="123"/>
      <c r="E652" s="123"/>
      <c r="F652" s="123"/>
      <c r="G652" s="123"/>
      <c r="H652" s="123"/>
      <c r="AJ652" s="218"/>
    </row>
    <row r="653" spans="3:36" ht="15.75" customHeight="1" x14ac:dyDescent="0.2">
      <c r="C653" s="123"/>
      <c r="D653" s="123"/>
      <c r="E653" s="123"/>
      <c r="F653" s="123"/>
      <c r="G653" s="123"/>
      <c r="H653" s="123"/>
      <c r="AJ653" s="218"/>
    </row>
    <row r="654" spans="3:36" ht="15.75" customHeight="1" x14ac:dyDescent="0.2">
      <c r="C654" s="123"/>
      <c r="D654" s="123"/>
      <c r="E654" s="123"/>
      <c r="F654" s="123"/>
      <c r="G654" s="123"/>
      <c r="H654" s="123"/>
      <c r="AJ654" s="218"/>
    </row>
    <row r="655" spans="3:36" ht="15.75" customHeight="1" x14ac:dyDescent="0.2">
      <c r="C655" s="123"/>
      <c r="D655" s="123"/>
      <c r="E655" s="123"/>
      <c r="F655" s="123"/>
      <c r="G655" s="123"/>
      <c r="H655" s="123"/>
      <c r="AJ655" s="218"/>
    </row>
    <row r="656" spans="3:36" ht="15.75" customHeight="1" x14ac:dyDescent="0.2">
      <c r="C656" s="123"/>
      <c r="D656" s="123"/>
      <c r="E656" s="123"/>
      <c r="F656" s="123"/>
      <c r="G656" s="123"/>
      <c r="H656" s="123"/>
      <c r="AJ656" s="218"/>
    </row>
    <row r="657" spans="3:36" ht="15.75" customHeight="1" x14ac:dyDescent="0.2">
      <c r="C657" s="123"/>
      <c r="D657" s="123"/>
      <c r="E657" s="123"/>
      <c r="F657" s="123"/>
      <c r="G657" s="123"/>
      <c r="H657" s="123"/>
      <c r="AJ657" s="218"/>
    </row>
    <row r="658" spans="3:36" ht="15.75" customHeight="1" x14ac:dyDescent="0.2">
      <c r="C658" s="123"/>
      <c r="D658" s="123"/>
      <c r="E658" s="123"/>
      <c r="F658" s="123"/>
      <c r="G658" s="123"/>
      <c r="H658" s="123"/>
      <c r="AJ658" s="218"/>
    </row>
    <row r="659" spans="3:36" ht="15.75" customHeight="1" x14ac:dyDescent="0.2">
      <c r="C659" s="123"/>
      <c r="D659" s="123"/>
      <c r="E659" s="123"/>
      <c r="F659" s="123"/>
      <c r="G659" s="123"/>
      <c r="H659" s="123"/>
      <c r="AJ659" s="218"/>
    </row>
    <row r="660" spans="3:36" ht="15.75" customHeight="1" x14ac:dyDescent="0.2">
      <c r="C660" s="123"/>
      <c r="D660" s="123"/>
      <c r="E660" s="123"/>
      <c r="F660" s="123"/>
      <c r="G660" s="123"/>
      <c r="H660" s="123"/>
      <c r="AJ660" s="218"/>
    </row>
    <row r="661" spans="3:36" ht="15.75" customHeight="1" x14ac:dyDescent="0.2">
      <c r="C661" s="123"/>
      <c r="D661" s="123"/>
      <c r="E661" s="123"/>
      <c r="F661" s="123"/>
      <c r="G661" s="123"/>
      <c r="H661" s="123"/>
      <c r="AJ661" s="218"/>
    </row>
    <row r="662" spans="3:36" ht="15.75" customHeight="1" x14ac:dyDescent="0.2">
      <c r="C662" s="123"/>
      <c r="D662" s="123"/>
      <c r="E662" s="123"/>
      <c r="F662" s="123"/>
      <c r="G662" s="123"/>
      <c r="H662" s="123"/>
      <c r="AJ662" s="218"/>
    </row>
    <row r="663" spans="3:36" ht="15.75" customHeight="1" x14ac:dyDescent="0.2">
      <c r="C663" s="123"/>
      <c r="D663" s="123"/>
      <c r="E663" s="123"/>
      <c r="F663" s="123"/>
      <c r="G663" s="123"/>
      <c r="H663" s="123"/>
      <c r="AJ663" s="218"/>
    </row>
    <row r="664" spans="3:36" ht="15.75" customHeight="1" x14ac:dyDescent="0.2">
      <c r="C664" s="123"/>
      <c r="D664" s="123"/>
      <c r="E664" s="123"/>
      <c r="F664" s="123"/>
      <c r="G664" s="123"/>
      <c r="H664" s="123"/>
      <c r="AJ664" s="218"/>
    </row>
    <row r="665" spans="3:36" ht="15.75" customHeight="1" x14ac:dyDescent="0.2">
      <c r="C665" s="123"/>
      <c r="D665" s="123"/>
      <c r="E665" s="123"/>
      <c r="F665" s="123"/>
      <c r="G665" s="123"/>
      <c r="H665" s="123"/>
      <c r="AJ665" s="218"/>
    </row>
    <row r="666" spans="3:36" ht="15.75" customHeight="1" x14ac:dyDescent="0.2">
      <c r="C666" s="123"/>
      <c r="D666" s="123"/>
      <c r="E666" s="123"/>
      <c r="F666" s="123"/>
      <c r="G666" s="123"/>
      <c r="H666" s="123"/>
      <c r="AJ666" s="218"/>
    </row>
    <row r="667" spans="3:36" ht="15.75" customHeight="1" x14ac:dyDescent="0.2">
      <c r="C667" s="123"/>
      <c r="D667" s="123"/>
      <c r="E667" s="123"/>
      <c r="F667" s="123"/>
      <c r="G667" s="123"/>
      <c r="H667" s="123"/>
      <c r="AJ667" s="218"/>
    </row>
    <row r="668" spans="3:36" ht="15.75" customHeight="1" x14ac:dyDescent="0.2">
      <c r="C668" s="123"/>
      <c r="D668" s="123"/>
      <c r="E668" s="123"/>
      <c r="F668" s="123"/>
      <c r="G668" s="123"/>
      <c r="H668" s="123"/>
      <c r="AJ668" s="218"/>
    </row>
    <row r="669" spans="3:36" ht="15.75" customHeight="1" x14ac:dyDescent="0.2">
      <c r="C669" s="123"/>
      <c r="D669" s="123"/>
      <c r="E669" s="123"/>
      <c r="F669" s="123"/>
      <c r="G669" s="123"/>
      <c r="H669" s="123"/>
      <c r="AJ669" s="218"/>
    </row>
    <row r="670" spans="3:36" ht="15.75" customHeight="1" x14ac:dyDescent="0.2">
      <c r="C670" s="123"/>
      <c r="D670" s="123"/>
      <c r="E670" s="123"/>
      <c r="F670" s="123"/>
      <c r="G670" s="123"/>
      <c r="H670" s="123"/>
      <c r="AJ670" s="218"/>
    </row>
    <row r="671" spans="3:36" ht="15.75" customHeight="1" x14ac:dyDescent="0.2">
      <c r="C671" s="123"/>
      <c r="D671" s="123"/>
      <c r="E671" s="123"/>
      <c r="F671" s="123"/>
      <c r="G671" s="123"/>
      <c r="H671" s="123"/>
      <c r="AJ671" s="218"/>
    </row>
    <row r="672" spans="3:36" ht="15.75" customHeight="1" x14ac:dyDescent="0.2">
      <c r="C672" s="123"/>
      <c r="D672" s="123"/>
      <c r="E672" s="123"/>
      <c r="F672" s="123"/>
      <c r="G672" s="123"/>
      <c r="H672" s="123"/>
      <c r="AJ672" s="218"/>
    </row>
    <row r="673" spans="3:36" ht="15.75" customHeight="1" x14ac:dyDescent="0.2">
      <c r="C673" s="123"/>
      <c r="D673" s="123"/>
      <c r="E673" s="123"/>
      <c r="F673" s="123"/>
      <c r="G673" s="123"/>
      <c r="H673" s="123"/>
      <c r="AJ673" s="218"/>
    </row>
    <row r="674" spans="3:36" ht="15.75" customHeight="1" x14ac:dyDescent="0.2">
      <c r="C674" s="123"/>
      <c r="D674" s="123"/>
      <c r="E674" s="123"/>
      <c r="F674" s="123"/>
      <c r="G674" s="123"/>
      <c r="H674" s="123"/>
      <c r="AJ674" s="218"/>
    </row>
    <row r="675" spans="3:36" ht="15.75" customHeight="1" x14ac:dyDescent="0.2">
      <c r="C675" s="123"/>
      <c r="D675" s="123"/>
      <c r="E675" s="123"/>
      <c r="F675" s="123"/>
      <c r="G675" s="123"/>
      <c r="H675" s="123"/>
      <c r="AJ675" s="218"/>
    </row>
    <row r="676" spans="3:36" ht="15.75" customHeight="1" x14ac:dyDescent="0.2">
      <c r="C676" s="123"/>
      <c r="D676" s="123"/>
      <c r="E676" s="123"/>
      <c r="F676" s="123"/>
      <c r="G676" s="123"/>
      <c r="H676" s="123"/>
      <c r="AJ676" s="218"/>
    </row>
    <row r="677" spans="3:36" ht="15.75" customHeight="1" x14ac:dyDescent="0.2">
      <c r="C677" s="123"/>
      <c r="D677" s="123"/>
      <c r="E677" s="123"/>
      <c r="F677" s="123"/>
      <c r="G677" s="123"/>
      <c r="H677" s="123"/>
      <c r="AJ677" s="218"/>
    </row>
    <row r="678" spans="3:36" ht="15.75" customHeight="1" x14ac:dyDescent="0.2">
      <c r="C678" s="123"/>
      <c r="D678" s="123"/>
      <c r="E678" s="123"/>
      <c r="F678" s="123"/>
      <c r="G678" s="123"/>
      <c r="H678" s="123"/>
      <c r="AJ678" s="218"/>
    </row>
    <row r="679" spans="3:36" ht="15.75" customHeight="1" x14ac:dyDescent="0.2">
      <c r="C679" s="123"/>
      <c r="D679" s="123"/>
      <c r="E679" s="123"/>
      <c r="F679" s="123"/>
      <c r="G679" s="123"/>
      <c r="H679" s="123"/>
      <c r="AJ679" s="218"/>
    </row>
    <row r="680" spans="3:36" ht="15.75" customHeight="1" x14ac:dyDescent="0.2">
      <c r="C680" s="123"/>
      <c r="D680" s="123"/>
      <c r="E680" s="123"/>
      <c r="F680" s="123"/>
      <c r="G680" s="123"/>
      <c r="H680" s="123"/>
      <c r="AJ680" s="218"/>
    </row>
    <row r="681" spans="3:36" ht="15.75" customHeight="1" x14ac:dyDescent="0.2">
      <c r="C681" s="123"/>
      <c r="D681" s="123"/>
      <c r="E681" s="123"/>
      <c r="F681" s="123"/>
      <c r="G681" s="123"/>
      <c r="H681" s="123"/>
      <c r="AJ681" s="218"/>
    </row>
    <row r="682" spans="3:36" ht="15.75" customHeight="1" x14ac:dyDescent="0.2">
      <c r="C682" s="123"/>
      <c r="D682" s="123"/>
      <c r="E682" s="123"/>
      <c r="F682" s="123"/>
      <c r="G682" s="123"/>
      <c r="H682" s="123"/>
      <c r="AJ682" s="218"/>
    </row>
    <row r="683" spans="3:36" ht="15.75" customHeight="1" x14ac:dyDescent="0.2">
      <c r="C683" s="123"/>
      <c r="D683" s="123"/>
      <c r="E683" s="123"/>
      <c r="F683" s="123"/>
      <c r="G683" s="123"/>
      <c r="H683" s="123"/>
      <c r="AJ683" s="218"/>
    </row>
    <row r="684" spans="3:36" ht="15.75" customHeight="1" x14ac:dyDescent="0.2">
      <c r="C684" s="123"/>
      <c r="D684" s="123"/>
      <c r="E684" s="123"/>
      <c r="F684" s="123"/>
      <c r="G684" s="123"/>
      <c r="H684" s="123"/>
      <c r="AJ684" s="218"/>
    </row>
    <row r="685" spans="3:36" ht="15.75" customHeight="1" x14ac:dyDescent="0.2">
      <c r="C685" s="123"/>
      <c r="D685" s="123"/>
      <c r="E685" s="123"/>
      <c r="F685" s="123"/>
      <c r="G685" s="123"/>
      <c r="H685" s="123"/>
      <c r="AJ685" s="218"/>
    </row>
    <row r="686" spans="3:36" ht="15.75" customHeight="1" x14ac:dyDescent="0.2">
      <c r="C686" s="123"/>
      <c r="D686" s="123"/>
      <c r="E686" s="123"/>
      <c r="F686" s="123"/>
      <c r="G686" s="123"/>
      <c r="H686" s="123"/>
      <c r="AJ686" s="218"/>
    </row>
    <row r="687" spans="3:36" ht="15.75" customHeight="1" x14ac:dyDescent="0.2">
      <c r="C687" s="123"/>
      <c r="D687" s="123"/>
      <c r="E687" s="123"/>
      <c r="F687" s="123"/>
      <c r="G687" s="123"/>
      <c r="H687" s="123"/>
      <c r="AJ687" s="218"/>
    </row>
    <row r="688" spans="3:36" ht="15.75" customHeight="1" x14ac:dyDescent="0.2">
      <c r="C688" s="123"/>
      <c r="D688" s="123"/>
      <c r="E688" s="123"/>
      <c r="F688" s="123"/>
      <c r="G688" s="123"/>
      <c r="H688" s="123"/>
      <c r="AJ688" s="218"/>
    </row>
    <row r="689" spans="3:36" ht="15.75" customHeight="1" x14ac:dyDescent="0.2">
      <c r="C689" s="123"/>
      <c r="D689" s="123"/>
      <c r="E689" s="123"/>
      <c r="F689" s="123"/>
      <c r="G689" s="123"/>
      <c r="H689" s="123"/>
      <c r="AJ689" s="218"/>
    </row>
    <row r="690" spans="3:36" ht="15.75" customHeight="1" x14ac:dyDescent="0.2">
      <c r="C690" s="123"/>
      <c r="D690" s="123"/>
      <c r="E690" s="123"/>
      <c r="F690" s="123"/>
      <c r="G690" s="123"/>
      <c r="H690" s="123"/>
      <c r="AJ690" s="218"/>
    </row>
    <row r="691" spans="3:36" ht="15.75" customHeight="1" x14ac:dyDescent="0.2">
      <c r="C691" s="123"/>
      <c r="D691" s="123"/>
      <c r="E691" s="123"/>
      <c r="F691" s="123"/>
      <c r="G691" s="123"/>
      <c r="H691" s="123"/>
      <c r="AJ691" s="218"/>
    </row>
    <row r="692" spans="3:36" ht="15.75" customHeight="1" x14ac:dyDescent="0.2">
      <c r="C692" s="123"/>
      <c r="D692" s="123"/>
      <c r="E692" s="123"/>
      <c r="F692" s="123"/>
      <c r="G692" s="123"/>
      <c r="H692" s="123"/>
      <c r="AJ692" s="218"/>
    </row>
    <row r="693" spans="3:36" ht="15.75" customHeight="1" x14ac:dyDescent="0.2">
      <c r="C693" s="123"/>
      <c r="D693" s="123"/>
      <c r="E693" s="123"/>
      <c r="F693" s="123"/>
      <c r="G693" s="123"/>
      <c r="H693" s="123"/>
      <c r="AJ693" s="218"/>
    </row>
    <row r="694" spans="3:36" ht="15.75" customHeight="1" x14ac:dyDescent="0.2">
      <c r="C694" s="123"/>
      <c r="D694" s="123"/>
      <c r="E694" s="123"/>
      <c r="F694" s="123"/>
      <c r="G694" s="123"/>
      <c r="H694" s="123"/>
      <c r="AJ694" s="218"/>
    </row>
    <row r="695" spans="3:36" ht="15.75" customHeight="1" x14ac:dyDescent="0.2">
      <c r="C695" s="123"/>
      <c r="D695" s="123"/>
      <c r="E695" s="123"/>
      <c r="F695" s="123"/>
      <c r="G695" s="123"/>
      <c r="H695" s="123"/>
      <c r="AJ695" s="218"/>
    </row>
    <row r="696" spans="3:36" ht="15.75" customHeight="1" x14ac:dyDescent="0.2">
      <c r="C696" s="123"/>
      <c r="D696" s="123"/>
      <c r="E696" s="123"/>
      <c r="F696" s="123"/>
      <c r="G696" s="123"/>
      <c r="H696" s="123"/>
      <c r="AJ696" s="218"/>
    </row>
    <row r="697" spans="3:36" ht="15.75" customHeight="1" x14ac:dyDescent="0.2">
      <c r="C697" s="123"/>
      <c r="D697" s="123"/>
      <c r="E697" s="123"/>
      <c r="F697" s="123"/>
      <c r="G697" s="123"/>
      <c r="H697" s="123"/>
      <c r="AJ697" s="218"/>
    </row>
    <row r="698" spans="3:36" ht="15.75" customHeight="1" x14ac:dyDescent="0.2">
      <c r="C698" s="123"/>
      <c r="D698" s="123"/>
      <c r="E698" s="123"/>
      <c r="F698" s="123"/>
      <c r="G698" s="123"/>
      <c r="H698" s="123"/>
      <c r="AJ698" s="218"/>
    </row>
    <row r="699" spans="3:36" ht="15.75" customHeight="1" x14ac:dyDescent="0.2">
      <c r="C699" s="123"/>
      <c r="D699" s="123"/>
      <c r="E699" s="123"/>
      <c r="F699" s="123"/>
      <c r="G699" s="123"/>
      <c r="H699" s="123"/>
      <c r="AJ699" s="218"/>
    </row>
    <row r="700" spans="3:36" ht="15.75" customHeight="1" x14ac:dyDescent="0.2">
      <c r="C700" s="123"/>
      <c r="D700" s="123"/>
      <c r="E700" s="123"/>
      <c r="F700" s="123"/>
      <c r="G700" s="123"/>
      <c r="H700" s="123"/>
      <c r="AJ700" s="218"/>
    </row>
    <row r="701" spans="3:36" ht="15.75" customHeight="1" x14ac:dyDescent="0.2">
      <c r="C701" s="123"/>
      <c r="D701" s="123"/>
      <c r="E701" s="123"/>
      <c r="F701" s="123"/>
      <c r="G701" s="123"/>
      <c r="H701" s="123"/>
      <c r="AJ701" s="218"/>
    </row>
    <row r="702" spans="3:36" ht="15.75" customHeight="1" x14ac:dyDescent="0.2">
      <c r="C702" s="123"/>
      <c r="D702" s="123"/>
      <c r="E702" s="123"/>
      <c r="F702" s="123"/>
      <c r="G702" s="123"/>
      <c r="H702" s="123"/>
      <c r="AJ702" s="218"/>
    </row>
    <row r="703" spans="3:36" ht="15.75" customHeight="1" x14ac:dyDescent="0.2">
      <c r="C703" s="123"/>
      <c r="D703" s="123"/>
      <c r="E703" s="123"/>
      <c r="F703" s="123"/>
      <c r="G703" s="123"/>
      <c r="H703" s="123"/>
      <c r="AJ703" s="218"/>
    </row>
    <row r="704" spans="3:36" ht="15.75" customHeight="1" x14ac:dyDescent="0.2">
      <c r="C704" s="123"/>
      <c r="D704" s="123"/>
      <c r="E704" s="123"/>
      <c r="F704" s="123"/>
      <c r="G704" s="123"/>
      <c r="H704" s="123"/>
      <c r="AJ704" s="218"/>
    </row>
    <row r="705" spans="3:36" ht="15.75" customHeight="1" x14ac:dyDescent="0.2">
      <c r="C705" s="123"/>
      <c r="D705" s="123"/>
      <c r="E705" s="123"/>
      <c r="F705" s="123"/>
      <c r="G705" s="123"/>
      <c r="H705" s="123"/>
      <c r="AJ705" s="218"/>
    </row>
    <row r="706" spans="3:36" ht="15.75" customHeight="1" x14ac:dyDescent="0.2">
      <c r="C706" s="123"/>
      <c r="D706" s="123"/>
      <c r="E706" s="123"/>
      <c r="F706" s="123"/>
      <c r="G706" s="123"/>
      <c r="H706" s="123"/>
      <c r="AJ706" s="218"/>
    </row>
    <row r="707" spans="3:36" ht="15.75" customHeight="1" x14ac:dyDescent="0.2">
      <c r="C707" s="123"/>
      <c r="D707" s="123"/>
      <c r="E707" s="123"/>
      <c r="F707" s="123"/>
      <c r="G707" s="123"/>
      <c r="H707" s="123"/>
      <c r="AJ707" s="218"/>
    </row>
    <row r="708" spans="3:36" ht="15.75" customHeight="1" x14ac:dyDescent="0.2">
      <c r="C708" s="123"/>
      <c r="D708" s="123"/>
      <c r="E708" s="123"/>
      <c r="F708" s="123"/>
      <c r="G708" s="123"/>
      <c r="H708" s="123"/>
      <c r="AJ708" s="218"/>
    </row>
    <row r="709" spans="3:36" ht="15.75" customHeight="1" x14ac:dyDescent="0.2">
      <c r="C709" s="123"/>
      <c r="D709" s="123"/>
      <c r="E709" s="123"/>
      <c r="F709" s="123"/>
      <c r="G709" s="123"/>
      <c r="H709" s="123"/>
      <c r="AJ709" s="218"/>
    </row>
    <row r="710" spans="3:36" ht="15.75" customHeight="1" x14ac:dyDescent="0.2">
      <c r="C710" s="123"/>
      <c r="D710" s="123"/>
      <c r="E710" s="123"/>
      <c r="F710" s="123"/>
      <c r="G710" s="123"/>
      <c r="H710" s="123"/>
      <c r="AJ710" s="218"/>
    </row>
    <row r="711" spans="3:36" ht="15.75" customHeight="1" x14ac:dyDescent="0.2">
      <c r="C711" s="123"/>
      <c r="D711" s="123"/>
      <c r="E711" s="123"/>
      <c r="F711" s="123"/>
      <c r="G711" s="123"/>
      <c r="H711" s="123"/>
      <c r="AJ711" s="218"/>
    </row>
    <row r="712" spans="3:36" ht="15.75" customHeight="1" x14ac:dyDescent="0.2">
      <c r="C712" s="123"/>
      <c r="D712" s="123"/>
      <c r="E712" s="123"/>
      <c r="F712" s="123"/>
      <c r="G712" s="123"/>
      <c r="H712" s="123"/>
      <c r="AJ712" s="218"/>
    </row>
    <row r="713" spans="3:36" ht="15.75" customHeight="1" x14ac:dyDescent="0.2">
      <c r="C713" s="123"/>
      <c r="D713" s="123"/>
      <c r="E713" s="123"/>
      <c r="F713" s="123"/>
      <c r="G713" s="123"/>
      <c r="H713" s="123"/>
      <c r="AJ713" s="218"/>
    </row>
    <row r="714" spans="3:36" ht="15.75" customHeight="1" x14ac:dyDescent="0.2">
      <c r="C714" s="123"/>
      <c r="D714" s="123"/>
      <c r="E714" s="123"/>
      <c r="F714" s="123"/>
      <c r="G714" s="123"/>
      <c r="H714" s="123"/>
      <c r="AJ714" s="218"/>
    </row>
    <row r="715" spans="3:36" ht="15.75" customHeight="1" x14ac:dyDescent="0.2">
      <c r="C715" s="123"/>
      <c r="D715" s="123"/>
      <c r="E715" s="123"/>
      <c r="F715" s="123"/>
      <c r="G715" s="123"/>
      <c r="H715" s="123"/>
      <c r="AJ715" s="218"/>
    </row>
    <row r="716" spans="3:36" ht="15.75" customHeight="1" x14ac:dyDescent="0.2">
      <c r="C716" s="123"/>
      <c r="D716" s="123"/>
      <c r="E716" s="123"/>
      <c r="F716" s="123"/>
      <c r="G716" s="123"/>
      <c r="H716" s="123"/>
      <c r="AJ716" s="218"/>
    </row>
    <row r="717" spans="3:36" ht="15.75" customHeight="1" x14ac:dyDescent="0.2">
      <c r="C717" s="123"/>
      <c r="D717" s="123"/>
      <c r="E717" s="123"/>
      <c r="F717" s="123"/>
      <c r="G717" s="123"/>
      <c r="H717" s="123"/>
      <c r="AJ717" s="218"/>
    </row>
    <row r="718" spans="3:36" ht="15.75" customHeight="1" x14ac:dyDescent="0.2">
      <c r="C718" s="123"/>
      <c r="D718" s="123"/>
      <c r="E718" s="123"/>
      <c r="F718" s="123"/>
      <c r="G718" s="123"/>
      <c r="H718" s="123"/>
      <c r="AJ718" s="218"/>
    </row>
    <row r="719" spans="3:36" ht="15.75" customHeight="1" x14ac:dyDescent="0.2">
      <c r="C719" s="123"/>
      <c r="D719" s="123"/>
      <c r="E719" s="123"/>
      <c r="F719" s="123"/>
      <c r="G719" s="123"/>
      <c r="H719" s="123"/>
      <c r="AJ719" s="218"/>
    </row>
    <row r="720" spans="3:36" ht="15.75" customHeight="1" x14ac:dyDescent="0.2">
      <c r="C720" s="123"/>
      <c r="D720" s="123"/>
      <c r="E720" s="123"/>
      <c r="F720" s="123"/>
      <c r="G720" s="123"/>
      <c r="H720" s="123"/>
      <c r="AJ720" s="218"/>
    </row>
    <row r="721" spans="3:36" ht="15.75" customHeight="1" x14ac:dyDescent="0.2">
      <c r="C721" s="123"/>
      <c r="D721" s="123"/>
      <c r="E721" s="123"/>
      <c r="F721" s="123"/>
      <c r="G721" s="123"/>
      <c r="H721" s="123"/>
      <c r="AJ721" s="218"/>
    </row>
    <row r="722" spans="3:36" ht="15.75" customHeight="1" x14ac:dyDescent="0.2">
      <c r="C722" s="123"/>
      <c r="D722" s="123"/>
      <c r="E722" s="123"/>
      <c r="F722" s="123"/>
      <c r="G722" s="123"/>
      <c r="H722" s="123"/>
      <c r="AJ722" s="218"/>
    </row>
    <row r="723" spans="3:36" ht="15.75" customHeight="1" x14ac:dyDescent="0.2">
      <c r="C723" s="123"/>
      <c r="D723" s="123"/>
      <c r="E723" s="123"/>
      <c r="F723" s="123"/>
      <c r="G723" s="123"/>
      <c r="H723" s="123"/>
      <c r="AJ723" s="218"/>
    </row>
    <row r="724" spans="3:36" ht="15.75" customHeight="1" x14ac:dyDescent="0.2">
      <c r="C724" s="123"/>
      <c r="D724" s="123"/>
      <c r="E724" s="123"/>
      <c r="F724" s="123"/>
      <c r="G724" s="123"/>
      <c r="H724" s="123"/>
      <c r="AJ724" s="218"/>
    </row>
    <row r="725" spans="3:36" ht="15.75" customHeight="1" x14ac:dyDescent="0.2">
      <c r="C725" s="123"/>
      <c r="D725" s="123"/>
      <c r="E725" s="123"/>
      <c r="F725" s="123"/>
      <c r="G725" s="123"/>
      <c r="H725" s="123"/>
      <c r="AJ725" s="218"/>
    </row>
    <row r="726" spans="3:36" ht="15.75" customHeight="1" x14ac:dyDescent="0.2">
      <c r="C726" s="123"/>
      <c r="D726" s="123"/>
      <c r="E726" s="123"/>
      <c r="F726" s="123"/>
      <c r="G726" s="123"/>
      <c r="H726" s="123"/>
      <c r="AJ726" s="218"/>
    </row>
    <row r="727" spans="3:36" ht="15.75" customHeight="1" x14ac:dyDescent="0.2">
      <c r="C727" s="123"/>
      <c r="D727" s="123"/>
      <c r="E727" s="123"/>
      <c r="F727" s="123"/>
      <c r="G727" s="123"/>
      <c r="H727" s="123"/>
      <c r="AJ727" s="218"/>
    </row>
    <row r="728" spans="3:36" ht="15.75" customHeight="1" x14ac:dyDescent="0.2">
      <c r="C728" s="123"/>
      <c r="D728" s="123"/>
      <c r="E728" s="123"/>
      <c r="F728" s="123"/>
      <c r="G728" s="123"/>
      <c r="H728" s="123"/>
      <c r="AJ728" s="218"/>
    </row>
    <row r="729" spans="3:36" ht="15.75" customHeight="1" x14ac:dyDescent="0.2">
      <c r="C729" s="123"/>
      <c r="D729" s="123"/>
      <c r="E729" s="123"/>
      <c r="F729" s="123"/>
      <c r="G729" s="123"/>
      <c r="H729" s="123"/>
      <c r="AJ729" s="218"/>
    </row>
    <row r="730" spans="3:36" ht="15.75" customHeight="1" x14ac:dyDescent="0.2">
      <c r="C730" s="123"/>
      <c r="D730" s="123"/>
      <c r="E730" s="123"/>
      <c r="F730" s="123"/>
      <c r="G730" s="123"/>
      <c r="H730" s="123"/>
      <c r="AJ730" s="218"/>
    </row>
    <row r="731" spans="3:36" ht="15.75" customHeight="1" x14ac:dyDescent="0.2">
      <c r="C731" s="123"/>
      <c r="D731" s="123"/>
      <c r="E731" s="123"/>
      <c r="F731" s="123"/>
      <c r="G731" s="123"/>
      <c r="H731" s="123"/>
      <c r="AJ731" s="218"/>
    </row>
    <row r="732" spans="3:36" ht="15.75" customHeight="1" x14ac:dyDescent="0.2">
      <c r="C732" s="123"/>
      <c r="D732" s="123"/>
      <c r="E732" s="123"/>
      <c r="F732" s="123"/>
      <c r="G732" s="123"/>
      <c r="H732" s="123"/>
      <c r="AJ732" s="218"/>
    </row>
    <row r="733" spans="3:36" ht="15.75" customHeight="1" x14ac:dyDescent="0.2">
      <c r="C733" s="123"/>
      <c r="D733" s="123"/>
      <c r="E733" s="123"/>
      <c r="F733" s="123"/>
      <c r="G733" s="123"/>
      <c r="H733" s="123"/>
      <c r="AJ733" s="218"/>
    </row>
    <row r="734" spans="3:36" ht="15.75" customHeight="1" x14ac:dyDescent="0.2">
      <c r="C734" s="123"/>
      <c r="D734" s="123"/>
      <c r="E734" s="123"/>
      <c r="F734" s="123"/>
      <c r="G734" s="123"/>
      <c r="H734" s="123"/>
      <c r="AJ734" s="218"/>
    </row>
    <row r="735" spans="3:36" ht="15.75" customHeight="1" x14ac:dyDescent="0.2">
      <c r="C735" s="123"/>
      <c r="D735" s="123"/>
      <c r="E735" s="123"/>
      <c r="F735" s="123"/>
      <c r="G735" s="123"/>
      <c r="H735" s="123"/>
      <c r="AJ735" s="218"/>
    </row>
    <row r="736" spans="3:36" ht="15.75" customHeight="1" x14ac:dyDescent="0.2">
      <c r="C736" s="123"/>
      <c r="D736" s="123"/>
      <c r="E736" s="123"/>
      <c r="F736" s="123"/>
      <c r="G736" s="123"/>
      <c r="H736" s="123"/>
      <c r="AJ736" s="218"/>
    </row>
    <row r="737" spans="3:36" ht="15.75" customHeight="1" x14ac:dyDescent="0.2">
      <c r="C737" s="123"/>
      <c r="D737" s="123"/>
      <c r="E737" s="123"/>
      <c r="F737" s="123"/>
      <c r="G737" s="123"/>
      <c r="H737" s="123"/>
      <c r="AJ737" s="218"/>
    </row>
    <row r="738" spans="3:36" ht="15.75" customHeight="1" x14ac:dyDescent="0.2">
      <c r="C738" s="123"/>
      <c r="D738" s="123"/>
      <c r="E738" s="123"/>
      <c r="F738" s="123"/>
      <c r="G738" s="123"/>
      <c r="H738" s="123"/>
      <c r="AJ738" s="218"/>
    </row>
    <row r="739" spans="3:36" ht="15.75" customHeight="1" x14ac:dyDescent="0.2">
      <c r="C739" s="123"/>
      <c r="D739" s="123"/>
      <c r="E739" s="123"/>
      <c r="F739" s="123"/>
      <c r="G739" s="123"/>
      <c r="H739" s="123"/>
      <c r="AJ739" s="218"/>
    </row>
    <row r="740" spans="3:36" ht="15.75" customHeight="1" x14ac:dyDescent="0.2">
      <c r="C740" s="123"/>
      <c r="D740" s="123"/>
      <c r="E740" s="123"/>
      <c r="F740" s="123"/>
      <c r="G740" s="123"/>
      <c r="H740" s="123"/>
      <c r="AJ740" s="218"/>
    </row>
    <row r="741" spans="3:36" ht="15.75" customHeight="1" x14ac:dyDescent="0.2">
      <c r="C741" s="123"/>
      <c r="D741" s="123"/>
      <c r="E741" s="123"/>
      <c r="F741" s="123"/>
      <c r="G741" s="123"/>
      <c r="H741" s="123"/>
      <c r="AJ741" s="218"/>
    </row>
    <row r="742" spans="3:36" ht="15.75" customHeight="1" x14ac:dyDescent="0.2">
      <c r="C742" s="123"/>
      <c r="D742" s="123"/>
      <c r="E742" s="123"/>
      <c r="F742" s="123"/>
      <c r="G742" s="123"/>
      <c r="H742" s="123"/>
      <c r="AJ742" s="218"/>
    </row>
    <row r="743" spans="3:36" ht="15.75" customHeight="1" x14ac:dyDescent="0.2">
      <c r="C743" s="123"/>
      <c r="D743" s="123"/>
      <c r="E743" s="123"/>
      <c r="F743" s="123"/>
      <c r="G743" s="123"/>
      <c r="H743" s="123"/>
      <c r="AJ743" s="218"/>
    </row>
    <row r="744" spans="3:36" ht="15.75" customHeight="1" x14ac:dyDescent="0.2">
      <c r="C744" s="123"/>
      <c r="D744" s="123"/>
      <c r="E744" s="123"/>
      <c r="F744" s="123"/>
      <c r="G744" s="123"/>
      <c r="H744" s="123"/>
      <c r="AJ744" s="218"/>
    </row>
    <row r="745" spans="3:36" ht="15.75" customHeight="1" x14ac:dyDescent="0.2">
      <c r="C745" s="123"/>
      <c r="D745" s="123"/>
      <c r="E745" s="123"/>
      <c r="F745" s="123"/>
      <c r="G745" s="123"/>
      <c r="H745" s="123"/>
      <c r="AJ745" s="218"/>
    </row>
    <row r="746" spans="3:36" ht="15.75" customHeight="1" x14ac:dyDescent="0.2">
      <c r="C746" s="123"/>
      <c r="D746" s="123"/>
      <c r="E746" s="123"/>
      <c r="F746" s="123"/>
      <c r="G746" s="123"/>
      <c r="H746" s="123"/>
      <c r="AJ746" s="218"/>
    </row>
    <row r="747" spans="3:36" ht="15.75" customHeight="1" x14ac:dyDescent="0.2">
      <c r="C747" s="123"/>
      <c r="D747" s="123"/>
      <c r="E747" s="123"/>
      <c r="F747" s="123"/>
      <c r="G747" s="123"/>
      <c r="H747" s="123"/>
      <c r="AJ747" s="218"/>
    </row>
    <row r="748" spans="3:36" ht="15.75" customHeight="1" x14ac:dyDescent="0.2">
      <c r="C748" s="123"/>
      <c r="D748" s="123"/>
      <c r="E748" s="123"/>
      <c r="F748" s="123"/>
      <c r="G748" s="123"/>
      <c r="H748" s="123"/>
      <c r="AJ748" s="218"/>
    </row>
    <row r="749" spans="3:36" ht="15.75" customHeight="1" x14ac:dyDescent="0.2">
      <c r="C749" s="123"/>
      <c r="D749" s="123"/>
      <c r="E749" s="123"/>
      <c r="F749" s="123"/>
      <c r="G749" s="123"/>
      <c r="H749" s="123"/>
      <c r="AJ749" s="218"/>
    </row>
    <row r="750" spans="3:36" ht="15.75" customHeight="1" x14ac:dyDescent="0.2">
      <c r="C750" s="123"/>
      <c r="D750" s="123"/>
      <c r="E750" s="123"/>
      <c r="F750" s="123"/>
      <c r="G750" s="123"/>
      <c r="H750" s="123"/>
      <c r="AJ750" s="218"/>
    </row>
    <row r="751" spans="3:36" ht="15.75" customHeight="1" x14ac:dyDescent="0.2">
      <c r="C751" s="123"/>
      <c r="D751" s="123"/>
      <c r="E751" s="123"/>
      <c r="F751" s="123"/>
      <c r="G751" s="123"/>
      <c r="H751" s="123"/>
      <c r="AJ751" s="218"/>
    </row>
    <row r="752" spans="3:36" ht="15.75" customHeight="1" x14ac:dyDescent="0.2">
      <c r="C752" s="123"/>
      <c r="D752" s="123"/>
      <c r="E752" s="123"/>
      <c r="F752" s="123"/>
      <c r="G752" s="123"/>
      <c r="H752" s="123"/>
      <c r="AJ752" s="218"/>
    </row>
    <row r="753" spans="3:36" ht="15.75" customHeight="1" x14ac:dyDescent="0.2">
      <c r="C753" s="123"/>
      <c r="D753" s="123"/>
      <c r="E753" s="123"/>
      <c r="F753" s="123"/>
      <c r="G753" s="123"/>
      <c r="H753" s="123"/>
      <c r="AJ753" s="218"/>
    </row>
    <row r="754" spans="3:36" ht="15.75" customHeight="1" x14ac:dyDescent="0.2">
      <c r="C754" s="123"/>
      <c r="D754" s="123"/>
      <c r="E754" s="123"/>
      <c r="F754" s="123"/>
      <c r="G754" s="123"/>
      <c r="H754" s="123"/>
      <c r="AJ754" s="218"/>
    </row>
    <row r="755" spans="3:36" ht="15.75" customHeight="1" x14ac:dyDescent="0.2">
      <c r="C755" s="123"/>
      <c r="D755" s="123"/>
      <c r="E755" s="123"/>
      <c r="F755" s="123"/>
      <c r="G755" s="123"/>
      <c r="H755" s="123"/>
      <c r="AJ755" s="218"/>
    </row>
    <row r="756" spans="3:36" ht="15.75" customHeight="1" x14ac:dyDescent="0.2">
      <c r="C756" s="123"/>
      <c r="D756" s="123"/>
      <c r="E756" s="123"/>
      <c r="F756" s="123"/>
      <c r="G756" s="123"/>
      <c r="H756" s="123"/>
      <c r="AJ756" s="218"/>
    </row>
    <row r="757" spans="3:36" ht="15.75" customHeight="1" x14ac:dyDescent="0.2">
      <c r="C757" s="123"/>
      <c r="D757" s="123"/>
      <c r="E757" s="123"/>
      <c r="F757" s="123"/>
      <c r="G757" s="123"/>
      <c r="H757" s="123"/>
      <c r="AJ757" s="218"/>
    </row>
    <row r="758" spans="3:36" ht="15.75" customHeight="1" x14ac:dyDescent="0.2">
      <c r="C758" s="123"/>
      <c r="D758" s="123"/>
      <c r="E758" s="123"/>
      <c r="F758" s="123"/>
      <c r="G758" s="123"/>
      <c r="H758" s="123"/>
      <c r="AJ758" s="218"/>
    </row>
    <row r="759" spans="3:36" ht="15.75" customHeight="1" x14ac:dyDescent="0.2">
      <c r="C759" s="123"/>
      <c r="D759" s="123"/>
      <c r="E759" s="123"/>
      <c r="F759" s="123"/>
      <c r="G759" s="123"/>
      <c r="H759" s="123"/>
      <c r="AJ759" s="218"/>
    </row>
    <row r="760" spans="3:36" ht="15.75" customHeight="1" x14ac:dyDescent="0.2">
      <c r="C760" s="123"/>
      <c r="D760" s="123"/>
      <c r="E760" s="123"/>
      <c r="F760" s="123"/>
      <c r="G760" s="123"/>
      <c r="H760" s="123"/>
      <c r="AJ760" s="218"/>
    </row>
    <row r="761" spans="3:36" ht="15.75" customHeight="1" x14ac:dyDescent="0.2">
      <c r="C761" s="123"/>
      <c r="D761" s="123"/>
      <c r="E761" s="123"/>
      <c r="F761" s="123"/>
      <c r="G761" s="123"/>
      <c r="H761" s="123"/>
      <c r="AJ761" s="218"/>
    </row>
    <row r="762" spans="3:36" ht="15.75" customHeight="1" x14ac:dyDescent="0.2">
      <c r="C762" s="123"/>
      <c r="D762" s="123"/>
      <c r="E762" s="123"/>
      <c r="F762" s="123"/>
      <c r="G762" s="123"/>
      <c r="H762" s="123"/>
      <c r="AJ762" s="218"/>
    </row>
    <row r="763" spans="3:36" ht="15.75" customHeight="1" x14ac:dyDescent="0.2">
      <c r="C763" s="123"/>
      <c r="D763" s="123"/>
      <c r="E763" s="123"/>
      <c r="F763" s="123"/>
      <c r="G763" s="123"/>
      <c r="H763" s="123"/>
      <c r="AJ763" s="218"/>
    </row>
    <row r="764" spans="3:36" ht="15.75" customHeight="1" x14ac:dyDescent="0.2">
      <c r="C764" s="123"/>
      <c r="D764" s="123"/>
      <c r="E764" s="123"/>
      <c r="F764" s="123"/>
      <c r="G764" s="123"/>
      <c r="H764" s="123"/>
      <c r="AJ764" s="218"/>
    </row>
    <row r="765" spans="3:36" ht="15.75" customHeight="1" x14ac:dyDescent="0.2">
      <c r="C765" s="123"/>
      <c r="D765" s="123"/>
      <c r="E765" s="123"/>
      <c r="F765" s="123"/>
      <c r="G765" s="123"/>
      <c r="H765" s="123"/>
      <c r="AJ765" s="218"/>
    </row>
    <row r="766" spans="3:36" ht="15.75" customHeight="1" x14ac:dyDescent="0.2">
      <c r="C766" s="123"/>
      <c r="D766" s="123"/>
      <c r="E766" s="123"/>
      <c r="F766" s="123"/>
      <c r="G766" s="123"/>
      <c r="H766" s="123"/>
      <c r="AJ766" s="218"/>
    </row>
    <row r="767" spans="3:36" ht="15.75" customHeight="1" x14ac:dyDescent="0.2">
      <c r="C767" s="123"/>
      <c r="D767" s="123"/>
      <c r="E767" s="123"/>
      <c r="F767" s="123"/>
      <c r="G767" s="123"/>
      <c r="H767" s="123"/>
      <c r="AJ767" s="218"/>
    </row>
    <row r="768" spans="3:36" ht="15.75" customHeight="1" x14ac:dyDescent="0.2">
      <c r="C768" s="123"/>
      <c r="D768" s="123"/>
      <c r="E768" s="123"/>
      <c r="F768" s="123"/>
      <c r="G768" s="123"/>
      <c r="H768" s="123"/>
      <c r="AJ768" s="218"/>
    </row>
    <row r="769" spans="3:36" ht="15.75" customHeight="1" x14ac:dyDescent="0.2">
      <c r="C769" s="123"/>
      <c r="D769" s="123"/>
      <c r="E769" s="123"/>
      <c r="F769" s="123"/>
      <c r="G769" s="123"/>
      <c r="H769" s="123"/>
      <c r="AJ769" s="218"/>
    </row>
    <row r="770" spans="3:36" ht="15.75" customHeight="1" x14ac:dyDescent="0.2">
      <c r="C770" s="123"/>
      <c r="D770" s="123"/>
      <c r="E770" s="123"/>
      <c r="F770" s="123"/>
      <c r="G770" s="123"/>
      <c r="H770" s="123"/>
      <c r="AJ770" s="218"/>
    </row>
    <row r="771" spans="3:36" ht="15.75" customHeight="1" x14ac:dyDescent="0.2">
      <c r="C771" s="123"/>
      <c r="D771" s="123"/>
      <c r="E771" s="123"/>
      <c r="F771" s="123"/>
      <c r="G771" s="123"/>
      <c r="H771" s="123"/>
      <c r="AJ771" s="218"/>
    </row>
    <row r="772" spans="3:36" ht="15.75" customHeight="1" x14ac:dyDescent="0.2">
      <c r="C772" s="123"/>
      <c r="D772" s="123"/>
      <c r="E772" s="123"/>
      <c r="F772" s="123"/>
      <c r="G772" s="123"/>
      <c r="H772" s="123"/>
      <c r="AJ772" s="218"/>
    </row>
    <row r="773" spans="3:36" ht="15.75" customHeight="1" x14ac:dyDescent="0.2">
      <c r="C773" s="123"/>
      <c r="D773" s="123"/>
      <c r="E773" s="123"/>
      <c r="F773" s="123"/>
      <c r="G773" s="123"/>
      <c r="H773" s="123"/>
      <c r="AJ773" s="218"/>
    </row>
    <row r="774" spans="3:36" ht="15.75" customHeight="1" x14ac:dyDescent="0.2">
      <c r="C774" s="123"/>
      <c r="D774" s="123"/>
      <c r="E774" s="123"/>
      <c r="F774" s="123"/>
      <c r="G774" s="123"/>
      <c r="H774" s="123"/>
      <c r="AJ774" s="218"/>
    </row>
    <row r="775" spans="3:36" ht="15.75" customHeight="1" x14ac:dyDescent="0.2">
      <c r="C775" s="123"/>
      <c r="D775" s="123"/>
      <c r="E775" s="123"/>
      <c r="F775" s="123"/>
      <c r="G775" s="123"/>
      <c r="H775" s="123"/>
      <c r="AJ775" s="218"/>
    </row>
    <row r="776" spans="3:36" ht="15.75" customHeight="1" x14ac:dyDescent="0.2">
      <c r="C776" s="123"/>
      <c r="D776" s="123"/>
      <c r="E776" s="123"/>
      <c r="F776" s="123"/>
      <c r="G776" s="123"/>
      <c r="H776" s="123"/>
      <c r="AJ776" s="218"/>
    </row>
    <row r="777" spans="3:36" ht="15.75" customHeight="1" x14ac:dyDescent="0.2">
      <c r="C777" s="123"/>
      <c r="D777" s="123"/>
      <c r="E777" s="123"/>
      <c r="F777" s="123"/>
      <c r="G777" s="123"/>
      <c r="H777" s="123"/>
      <c r="AJ777" s="218"/>
    </row>
    <row r="778" spans="3:36" ht="15.75" customHeight="1" x14ac:dyDescent="0.2">
      <c r="C778" s="123"/>
      <c r="D778" s="123"/>
      <c r="E778" s="123"/>
      <c r="F778" s="123"/>
      <c r="G778" s="123"/>
      <c r="H778" s="123"/>
      <c r="AJ778" s="218"/>
    </row>
    <row r="779" spans="3:36" ht="15.75" customHeight="1" x14ac:dyDescent="0.2">
      <c r="C779" s="123"/>
      <c r="D779" s="123"/>
      <c r="E779" s="123"/>
      <c r="F779" s="123"/>
      <c r="G779" s="123"/>
      <c r="H779" s="123"/>
      <c r="AJ779" s="218"/>
    </row>
    <row r="780" spans="3:36" ht="15.75" customHeight="1" x14ac:dyDescent="0.2">
      <c r="C780" s="123"/>
      <c r="D780" s="123"/>
      <c r="E780" s="123"/>
      <c r="F780" s="123"/>
      <c r="G780" s="123"/>
      <c r="H780" s="123"/>
      <c r="AJ780" s="218"/>
    </row>
    <row r="781" spans="3:36" ht="15.75" customHeight="1" x14ac:dyDescent="0.2">
      <c r="C781" s="123"/>
      <c r="D781" s="123"/>
      <c r="E781" s="123"/>
      <c r="F781" s="123"/>
      <c r="G781" s="123"/>
      <c r="H781" s="123"/>
      <c r="AJ781" s="218"/>
    </row>
    <row r="782" spans="3:36" ht="15.75" customHeight="1" x14ac:dyDescent="0.2">
      <c r="C782" s="123"/>
      <c r="D782" s="123"/>
      <c r="E782" s="123"/>
      <c r="F782" s="123"/>
      <c r="G782" s="123"/>
      <c r="H782" s="123"/>
      <c r="AJ782" s="218"/>
    </row>
    <row r="783" spans="3:36" ht="15.75" customHeight="1" x14ac:dyDescent="0.2">
      <c r="C783" s="123"/>
      <c r="D783" s="123"/>
      <c r="E783" s="123"/>
      <c r="F783" s="123"/>
      <c r="G783" s="123"/>
      <c r="H783" s="123"/>
      <c r="AJ783" s="218"/>
    </row>
    <row r="784" spans="3:36" ht="15.75" customHeight="1" x14ac:dyDescent="0.2">
      <c r="C784" s="123"/>
      <c r="D784" s="123"/>
      <c r="E784" s="123"/>
      <c r="F784" s="123"/>
      <c r="G784" s="123"/>
      <c r="H784" s="123"/>
      <c r="AJ784" s="218"/>
    </row>
    <row r="785" spans="3:36" ht="15.75" customHeight="1" x14ac:dyDescent="0.2">
      <c r="C785" s="123"/>
      <c r="D785" s="123"/>
      <c r="E785" s="123"/>
      <c r="F785" s="123"/>
      <c r="G785" s="123"/>
      <c r="H785" s="123"/>
      <c r="AJ785" s="218"/>
    </row>
    <row r="786" spans="3:36" ht="15.75" customHeight="1" x14ac:dyDescent="0.2">
      <c r="C786" s="123"/>
      <c r="D786" s="123"/>
      <c r="E786" s="123"/>
      <c r="F786" s="123"/>
      <c r="G786" s="123"/>
      <c r="H786" s="123"/>
      <c r="AJ786" s="218"/>
    </row>
    <row r="787" spans="3:36" ht="15.75" customHeight="1" x14ac:dyDescent="0.2">
      <c r="C787" s="123"/>
      <c r="D787" s="123"/>
      <c r="E787" s="123"/>
      <c r="F787" s="123"/>
      <c r="G787" s="123"/>
      <c r="H787" s="123"/>
      <c r="AJ787" s="218"/>
    </row>
    <row r="788" spans="3:36" ht="15.75" customHeight="1" x14ac:dyDescent="0.2">
      <c r="C788" s="123"/>
      <c r="D788" s="123"/>
      <c r="E788" s="123"/>
      <c r="F788" s="123"/>
      <c r="G788" s="123"/>
      <c r="H788" s="123"/>
      <c r="AJ788" s="218"/>
    </row>
    <row r="789" spans="3:36" ht="15.75" customHeight="1" x14ac:dyDescent="0.2">
      <c r="C789" s="123"/>
      <c r="D789" s="123"/>
      <c r="E789" s="123"/>
      <c r="F789" s="123"/>
      <c r="G789" s="123"/>
      <c r="H789" s="123"/>
      <c r="AJ789" s="218"/>
    </row>
    <row r="790" spans="3:36" ht="15.75" customHeight="1" x14ac:dyDescent="0.2">
      <c r="C790" s="123"/>
      <c r="D790" s="123"/>
      <c r="E790" s="123"/>
      <c r="F790" s="123"/>
      <c r="G790" s="123"/>
      <c r="H790" s="123"/>
      <c r="AJ790" s="218"/>
    </row>
    <row r="791" spans="3:36" ht="15.75" customHeight="1" x14ac:dyDescent="0.2">
      <c r="C791" s="123"/>
      <c r="D791" s="123"/>
      <c r="E791" s="123"/>
      <c r="F791" s="123"/>
      <c r="G791" s="123"/>
      <c r="H791" s="123"/>
      <c r="AJ791" s="218"/>
    </row>
    <row r="792" spans="3:36" ht="15.75" customHeight="1" x14ac:dyDescent="0.2">
      <c r="C792" s="123"/>
      <c r="D792" s="123"/>
      <c r="E792" s="123"/>
      <c r="F792" s="123"/>
      <c r="G792" s="123"/>
      <c r="H792" s="123"/>
      <c r="AJ792" s="218"/>
    </row>
    <row r="793" spans="3:36" ht="15.75" customHeight="1" x14ac:dyDescent="0.2">
      <c r="C793" s="123"/>
      <c r="D793" s="123"/>
      <c r="E793" s="123"/>
      <c r="F793" s="123"/>
      <c r="G793" s="123"/>
      <c r="H793" s="123"/>
      <c r="AJ793" s="218"/>
    </row>
    <row r="794" spans="3:36" ht="15.75" customHeight="1" x14ac:dyDescent="0.2">
      <c r="C794" s="123"/>
      <c r="D794" s="123"/>
      <c r="E794" s="123"/>
      <c r="F794" s="123"/>
      <c r="G794" s="123"/>
      <c r="H794" s="123"/>
      <c r="AJ794" s="218"/>
    </row>
    <row r="795" spans="3:36" ht="15.75" customHeight="1" x14ac:dyDescent="0.2">
      <c r="C795" s="123"/>
      <c r="D795" s="123"/>
      <c r="E795" s="123"/>
      <c r="F795" s="123"/>
      <c r="G795" s="123"/>
      <c r="H795" s="123"/>
      <c r="AJ795" s="218"/>
    </row>
    <row r="796" spans="3:36" ht="15.75" customHeight="1" x14ac:dyDescent="0.2">
      <c r="C796" s="123"/>
      <c r="D796" s="123"/>
      <c r="E796" s="123"/>
      <c r="F796" s="123"/>
      <c r="G796" s="123"/>
      <c r="H796" s="123"/>
      <c r="AJ796" s="218"/>
    </row>
    <row r="797" spans="3:36" ht="15.75" customHeight="1" x14ac:dyDescent="0.2">
      <c r="C797" s="123"/>
      <c r="D797" s="123"/>
      <c r="E797" s="123"/>
      <c r="F797" s="123"/>
      <c r="G797" s="123"/>
      <c r="H797" s="123"/>
      <c r="AJ797" s="218"/>
    </row>
    <row r="798" spans="3:36" ht="15.75" customHeight="1" x14ac:dyDescent="0.2">
      <c r="C798" s="123"/>
      <c r="D798" s="123"/>
      <c r="E798" s="123"/>
      <c r="F798" s="123"/>
      <c r="G798" s="123"/>
      <c r="H798" s="123"/>
      <c r="AJ798" s="218"/>
    </row>
    <row r="799" spans="3:36" ht="15.75" customHeight="1" x14ac:dyDescent="0.2">
      <c r="C799" s="123"/>
      <c r="D799" s="123"/>
      <c r="E799" s="123"/>
      <c r="F799" s="123"/>
      <c r="G799" s="123"/>
      <c r="H799" s="123"/>
      <c r="AJ799" s="218"/>
    </row>
    <row r="800" spans="3:36" ht="15.75" customHeight="1" x14ac:dyDescent="0.2">
      <c r="C800" s="123"/>
      <c r="D800" s="123"/>
      <c r="E800" s="123"/>
      <c r="F800" s="123"/>
      <c r="G800" s="123"/>
      <c r="H800" s="123"/>
      <c r="AJ800" s="218"/>
    </row>
    <row r="801" spans="3:36" ht="15.75" customHeight="1" x14ac:dyDescent="0.2">
      <c r="C801" s="123"/>
      <c r="D801" s="123"/>
      <c r="E801" s="123"/>
      <c r="F801" s="123"/>
      <c r="G801" s="123"/>
      <c r="H801" s="123"/>
      <c r="AJ801" s="218"/>
    </row>
    <row r="802" spans="3:36" ht="15.75" customHeight="1" x14ac:dyDescent="0.2">
      <c r="C802" s="123"/>
      <c r="D802" s="123"/>
      <c r="E802" s="123"/>
      <c r="F802" s="123"/>
      <c r="G802" s="123"/>
      <c r="H802" s="123"/>
      <c r="AJ802" s="218"/>
    </row>
    <row r="803" spans="3:36" ht="15.75" customHeight="1" x14ac:dyDescent="0.2">
      <c r="C803" s="123"/>
      <c r="D803" s="123"/>
      <c r="E803" s="123"/>
      <c r="F803" s="123"/>
      <c r="G803" s="123"/>
      <c r="H803" s="123"/>
      <c r="AJ803" s="218"/>
    </row>
    <row r="804" spans="3:36" ht="15.75" customHeight="1" x14ac:dyDescent="0.2">
      <c r="C804" s="123"/>
      <c r="D804" s="123"/>
      <c r="E804" s="123"/>
      <c r="F804" s="123"/>
      <c r="G804" s="123"/>
      <c r="H804" s="123"/>
      <c r="AJ804" s="218"/>
    </row>
    <row r="805" spans="3:36" ht="15.75" customHeight="1" x14ac:dyDescent="0.2">
      <c r="C805" s="123"/>
      <c r="D805" s="123"/>
      <c r="E805" s="123"/>
      <c r="F805" s="123"/>
      <c r="G805" s="123"/>
      <c r="H805" s="123"/>
      <c r="AJ805" s="218"/>
    </row>
    <row r="806" spans="3:36" ht="15.75" customHeight="1" x14ac:dyDescent="0.2">
      <c r="C806" s="123"/>
      <c r="D806" s="123"/>
      <c r="E806" s="123"/>
      <c r="F806" s="123"/>
      <c r="G806" s="123"/>
      <c r="H806" s="123"/>
      <c r="AJ806" s="218"/>
    </row>
    <row r="807" spans="3:36" ht="15.75" customHeight="1" x14ac:dyDescent="0.2">
      <c r="C807" s="123"/>
      <c r="D807" s="123"/>
      <c r="E807" s="123"/>
      <c r="F807" s="123"/>
      <c r="G807" s="123"/>
      <c r="H807" s="123"/>
      <c r="AJ807" s="218"/>
    </row>
    <row r="808" spans="3:36" ht="15.75" customHeight="1" x14ac:dyDescent="0.2">
      <c r="C808" s="123"/>
      <c r="D808" s="123"/>
      <c r="E808" s="123"/>
      <c r="F808" s="123"/>
      <c r="G808" s="123"/>
      <c r="H808" s="123"/>
      <c r="AJ808" s="218"/>
    </row>
    <row r="809" spans="3:36" ht="15.75" customHeight="1" x14ac:dyDescent="0.2">
      <c r="C809" s="123"/>
      <c r="D809" s="123"/>
      <c r="E809" s="123"/>
      <c r="F809" s="123"/>
      <c r="G809" s="123"/>
      <c r="H809" s="123"/>
      <c r="AJ809" s="218"/>
    </row>
    <row r="810" spans="3:36" ht="15.75" customHeight="1" x14ac:dyDescent="0.2">
      <c r="C810" s="123"/>
      <c r="D810" s="123"/>
      <c r="E810" s="123"/>
      <c r="F810" s="123"/>
      <c r="G810" s="123"/>
      <c r="H810" s="123"/>
      <c r="AJ810" s="218"/>
    </row>
    <row r="811" spans="3:36" ht="15.75" customHeight="1" x14ac:dyDescent="0.2">
      <c r="C811" s="123"/>
      <c r="D811" s="123"/>
      <c r="E811" s="123"/>
      <c r="F811" s="123"/>
      <c r="G811" s="123"/>
      <c r="H811" s="123"/>
      <c r="AJ811" s="218"/>
    </row>
    <row r="812" spans="3:36" ht="15.75" customHeight="1" x14ac:dyDescent="0.2">
      <c r="C812" s="123"/>
      <c r="D812" s="123"/>
      <c r="E812" s="123"/>
      <c r="F812" s="123"/>
      <c r="G812" s="123"/>
      <c r="H812" s="123"/>
      <c r="AJ812" s="218"/>
    </row>
    <row r="813" spans="3:36" ht="15.75" customHeight="1" x14ac:dyDescent="0.2">
      <c r="C813" s="123"/>
      <c r="D813" s="123"/>
      <c r="E813" s="123"/>
      <c r="F813" s="123"/>
      <c r="G813" s="123"/>
      <c r="H813" s="123"/>
      <c r="AJ813" s="218"/>
    </row>
    <row r="814" spans="3:36" ht="15.75" customHeight="1" x14ac:dyDescent="0.2">
      <c r="C814" s="123"/>
      <c r="D814" s="123"/>
      <c r="E814" s="123"/>
      <c r="F814" s="123"/>
      <c r="G814" s="123"/>
      <c r="H814" s="123"/>
      <c r="AJ814" s="218"/>
    </row>
    <row r="815" spans="3:36" ht="15.75" customHeight="1" x14ac:dyDescent="0.2">
      <c r="C815" s="123"/>
      <c r="D815" s="123"/>
      <c r="E815" s="123"/>
      <c r="F815" s="123"/>
      <c r="G815" s="123"/>
      <c r="H815" s="123"/>
      <c r="AJ815" s="218"/>
    </row>
    <row r="816" spans="3:36" ht="15.75" customHeight="1" x14ac:dyDescent="0.2">
      <c r="C816" s="123"/>
      <c r="D816" s="123"/>
      <c r="E816" s="123"/>
      <c r="F816" s="123"/>
      <c r="G816" s="123"/>
      <c r="H816" s="123"/>
      <c r="AJ816" s="218"/>
    </row>
    <row r="817" spans="3:36" ht="15.75" customHeight="1" x14ac:dyDescent="0.2">
      <c r="C817" s="123"/>
      <c r="D817" s="123"/>
      <c r="E817" s="123"/>
      <c r="F817" s="123"/>
      <c r="G817" s="123"/>
      <c r="H817" s="123"/>
      <c r="AJ817" s="218"/>
    </row>
    <row r="818" spans="3:36" ht="15.75" customHeight="1" x14ac:dyDescent="0.2">
      <c r="C818" s="123"/>
      <c r="D818" s="123"/>
      <c r="E818" s="123"/>
      <c r="F818" s="123"/>
      <c r="G818" s="123"/>
      <c r="H818" s="123"/>
      <c r="AJ818" s="218"/>
    </row>
    <row r="819" spans="3:36" ht="15.75" customHeight="1" x14ac:dyDescent="0.2">
      <c r="C819" s="123"/>
      <c r="D819" s="123"/>
      <c r="E819" s="123"/>
      <c r="F819" s="123"/>
      <c r="G819" s="123"/>
      <c r="H819" s="123"/>
      <c r="AJ819" s="218"/>
    </row>
    <row r="820" spans="3:36" ht="15.75" customHeight="1" x14ac:dyDescent="0.2">
      <c r="C820" s="123"/>
      <c r="D820" s="123"/>
      <c r="E820" s="123"/>
      <c r="F820" s="123"/>
      <c r="G820" s="123"/>
      <c r="H820" s="123"/>
      <c r="AJ820" s="218"/>
    </row>
    <row r="821" spans="3:36" ht="15.75" customHeight="1" x14ac:dyDescent="0.2">
      <c r="C821" s="123"/>
      <c r="D821" s="123"/>
      <c r="E821" s="123"/>
      <c r="F821" s="123"/>
      <c r="G821" s="123"/>
      <c r="H821" s="123"/>
      <c r="AJ821" s="218"/>
    </row>
    <row r="822" spans="3:36" ht="15.75" customHeight="1" x14ac:dyDescent="0.2">
      <c r="C822" s="123"/>
      <c r="D822" s="123"/>
      <c r="E822" s="123"/>
      <c r="F822" s="123"/>
      <c r="G822" s="123"/>
      <c r="H822" s="123"/>
      <c r="AJ822" s="218"/>
    </row>
    <row r="823" spans="3:36" ht="15.75" customHeight="1" x14ac:dyDescent="0.2">
      <c r="C823" s="123"/>
      <c r="D823" s="123"/>
      <c r="E823" s="123"/>
      <c r="F823" s="123"/>
      <c r="G823" s="123"/>
      <c r="H823" s="123"/>
      <c r="AJ823" s="218"/>
    </row>
    <row r="824" spans="3:36" ht="15.75" customHeight="1" x14ac:dyDescent="0.2">
      <c r="C824" s="123"/>
      <c r="D824" s="123"/>
      <c r="E824" s="123"/>
      <c r="F824" s="123"/>
      <c r="G824" s="123"/>
      <c r="H824" s="123"/>
      <c r="AJ824" s="218"/>
    </row>
    <row r="825" spans="3:36" ht="15.75" customHeight="1" x14ac:dyDescent="0.2">
      <c r="C825" s="123"/>
      <c r="D825" s="123"/>
      <c r="E825" s="123"/>
      <c r="F825" s="123"/>
      <c r="G825" s="123"/>
      <c r="H825" s="123"/>
      <c r="AJ825" s="218"/>
    </row>
    <row r="826" spans="3:36" ht="15.75" customHeight="1" x14ac:dyDescent="0.2">
      <c r="C826" s="123"/>
      <c r="D826" s="123"/>
      <c r="E826" s="123"/>
      <c r="F826" s="123"/>
      <c r="G826" s="123"/>
      <c r="H826" s="123"/>
      <c r="AJ826" s="218"/>
    </row>
    <row r="827" spans="3:36" ht="15.75" customHeight="1" x14ac:dyDescent="0.2">
      <c r="C827" s="123"/>
      <c r="D827" s="123"/>
      <c r="E827" s="123"/>
      <c r="F827" s="123"/>
      <c r="G827" s="123"/>
      <c r="H827" s="123"/>
      <c r="AJ827" s="218"/>
    </row>
    <row r="828" spans="3:36" ht="15.75" customHeight="1" x14ac:dyDescent="0.2">
      <c r="C828" s="123"/>
      <c r="D828" s="123"/>
      <c r="E828" s="123"/>
      <c r="F828" s="123"/>
      <c r="G828" s="123"/>
      <c r="H828" s="123"/>
      <c r="AJ828" s="218"/>
    </row>
    <row r="829" spans="3:36" ht="15.75" customHeight="1" x14ac:dyDescent="0.2">
      <c r="C829" s="123"/>
      <c r="D829" s="123"/>
      <c r="E829" s="123"/>
      <c r="F829" s="123"/>
      <c r="G829" s="123"/>
      <c r="H829" s="123"/>
      <c r="AJ829" s="218"/>
    </row>
    <row r="830" spans="3:36" ht="15.75" customHeight="1" x14ac:dyDescent="0.2">
      <c r="C830" s="123"/>
      <c r="D830" s="123"/>
      <c r="E830" s="123"/>
      <c r="F830" s="123"/>
      <c r="G830" s="123"/>
      <c r="H830" s="123"/>
      <c r="AJ830" s="218"/>
    </row>
    <row r="831" spans="3:36" ht="15.75" customHeight="1" x14ac:dyDescent="0.2">
      <c r="C831" s="123"/>
      <c r="D831" s="123"/>
      <c r="E831" s="123"/>
      <c r="F831" s="123"/>
      <c r="G831" s="123"/>
      <c r="H831" s="123"/>
      <c r="AJ831" s="218"/>
    </row>
    <row r="832" spans="3:36" ht="15.75" customHeight="1" x14ac:dyDescent="0.2">
      <c r="C832" s="123"/>
      <c r="D832" s="123"/>
      <c r="E832" s="123"/>
      <c r="F832" s="123"/>
      <c r="G832" s="123"/>
      <c r="H832" s="123"/>
      <c r="AJ832" s="218"/>
    </row>
    <row r="833" spans="3:36" ht="15.75" customHeight="1" x14ac:dyDescent="0.2">
      <c r="C833" s="123"/>
      <c r="D833" s="123"/>
      <c r="E833" s="123"/>
      <c r="F833" s="123"/>
      <c r="G833" s="123"/>
      <c r="H833" s="123"/>
      <c r="AJ833" s="218"/>
    </row>
    <row r="834" spans="3:36" ht="15.75" customHeight="1" x14ac:dyDescent="0.2">
      <c r="C834" s="123"/>
      <c r="D834" s="123"/>
      <c r="E834" s="123"/>
      <c r="F834" s="123"/>
      <c r="G834" s="123"/>
      <c r="H834" s="123"/>
      <c r="AJ834" s="218"/>
    </row>
    <row r="835" spans="3:36" ht="15.75" customHeight="1" x14ac:dyDescent="0.2">
      <c r="C835" s="123"/>
      <c r="D835" s="123"/>
      <c r="E835" s="123"/>
      <c r="F835" s="123"/>
      <c r="G835" s="123"/>
      <c r="H835" s="123"/>
      <c r="AJ835" s="218"/>
    </row>
    <row r="836" spans="3:36" ht="15.75" customHeight="1" x14ac:dyDescent="0.2">
      <c r="C836" s="123"/>
      <c r="D836" s="123"/>
      <c r="E836" s="123"/>
      <c r="F836" s="123"/>
      <c r="G836" s="123"/>
      <c r="H836" s="123"/>
      <c r="AJ836" s="218"/>
    </row>
    <row r="837" spans="3:36" ht="15.75" customHeight="1" x14ac:dyDescent="0.2">
      <c r="C837" s="123"/>
      <c r="D837" s="123"/>
      <c r="E837" s="123"/>
      <c r="F837" s="123"/>
      <c r="G837" s="123"/>
      <c r="H837" s="123"/>
      <c r="AJ837" s="218"/>
    </row>
    <row r="838" spans="3:36" ht="15.75" customHeight="1" x14ac:dyDescent="0.2">
      <c r="C838" s="123"/>
      <c r="D838" s="123"/>
      <c r="E838" s="123"/>
      <c r="F838" s="123"/>
      <c r="G838" s="123"/>
      <c r="H838" s="123"/>
      <c r="AJ838" s="218"/>
    </row>
    <row r="839" spans="3:36" ht="15.75" customHeight="1" x14ac:dyDescent="0.2">
      <c r="C839" s="123"/>
      <c r="D839" s="123"/>
      <c r="E839" s="123"/>
      <c r="F839" s="123"/>
      <c r="G839" s="123"/>
      <c r="H839" s="123"/>
      <c r="AJ839" s="218"/>
    </row>
    <row r="840" spans="3:36" ht="15.75" customHeight="1" x14ac:dyDescent="0.2">
      <c r="C840" s="123"/>
      <c r="D840" s="123"/>
      <c r="E840" s="123"/>
      <c r="F840" s="123"/>
      <c r="G840" s="123"/>
      <c r="H840" s="123"/>
      <c r="AJ840" s="218"/>
    </row>
    <row r="841" spans="3:36" ht="15.75" customHeight="1" x14ac:dyDescent="0.2">
      <c r="C841" s="123"/>
      <c r="D841" s="123"/>
      <c r="E841" s="123"/>
      <c r="F841" s="123"/>
      <c r="G841" s="123"/>
      <c r="H841" s="123"/>
      <c r="AJ841" s="218"/>
    </row>
    <row r="842" spans="3:36" ht="15.75" customHeight="1" x14ac:dyDescent="0.2">
      <c r="C842" s="123"/>
      <c r="D842" s="123"/>
      <c r="E842" s="123"/>
      <c r="F842" s="123"/>
      <c r="G842" s="123"/>
      <c r="H842" s="123"/>
      <c r="AJ842" s="218"/>
    </row>
    <row r="843" spans="3:36" ht="15.75" customHeight="1" x14ac:dyDescent="0.2">
      <c r="C843" s="123"/>
      <c r="D843" s="123"/>
      <c r="E843" s="123"/>
      <c r="F843" s="123"/>
      <c r="G843" s="123"/>
      <c r="H843" s="123"/>
      <c r="AJ843" s="218"/>
    </row>
    <row r="844" spans="3:36" ht="15.75" customHeight="1" x14ac:dyDescent="0.2">
      <c r="C844" s="123"/>
      <c r="D844" s="123"/>
      <c r="E844" s="123"/>
      <c r="F844" s="123"/>
      <c r="G844" s="123"/>
      <c r="H844" s="123"/>
      <c r="AJ844" s="218"/>
    </row>
    <row r="845" spans="3:36" ht="15.75" customHeight="1" x14ac:dyDescent="0.2">
      <c r="C845" s="123"/>
      <c r="D845" s="123"/>
      <c r="E845" s="123"/>
      <c r="F845" s="123"/>
      <c r="G845" s="123"/>
      <c r="H845" s="123"/>
      <c r="AJ845" s="218"/>
    </row>
    <row r="846" spans="3:36" ht="15.75" customHeight="1" x14ac:dyDescent="0.2">
      <c r="C846" s="123"/>
      <c r="D846" s="123"/>
      <c r="E846" s="123"/>
      <c r="F846" s="123"/>
      <c r="G846" s="123"/>
      <c r="H846" s="123"/>
      <c r="AJ846" s="218"/>
    </row>
    <row r="847" spans="3:36" ht="15.75" customHeight="1" x14ac:dyDescent="0.2">
      <c r="C847" s="123"/>
      <c r="D847" s="123"/>
      <c r="E847" s="123"/>
      <c r="F847" s="123"/>
      <c r="G847" s="123"/>
      <c r="H847" s="123"/>
      <c r="AJ847" s="218"/>
    </row>
    <row r="848" spans="3:36" ht="15.75" customHeight="1" x14ac:dyDescent="0.2">
      <c r="C848" s="123"/>
      <c r="D848" s="123"/>
      <c r="E848" s="123"/>
      <c r="F848" s="123"/>
      <c r="G848" s="123"/>
      <c r="H848" s="123"/>
      <c r="AJ848" s="218"/>
    </row>
    <row r="849" spans="3:36" ht="15.75" customHeight="1" x14ac:dyDescent="0.2">
      <c r="C849" s="123"/>
      <c r="D849" s="123"/>
      <c r="E849" s="123"/>
      <c r="F849" s="123"/>
      <c r="G849" s="123"/>
      <c r="H849" s="123"/>
      <c r="AJ849" s="218"/>
    </row>
    <row r="850" spans="3:36" ht="15.75" customHeight="1" x14ac:dyDescent="0.2">
      <c r="C850" s="123"/>
      <c r="D850" s="123"/>
      <c r="E850" s="123"/>
      <c r="F850" s="123"/>
      <c r="G850" s="123"/>
      <c r="H850" s="123"/>
      <c r="AJ850" s="218"/>
    </row>
    <row r="851" spans="3:36" ht="15.75" customHeight="1" x14ac:dyDescent="0.2">
      <c r="C851" s="123"/>
      <c r="D851" s="123"/>
      <c r="E851" s="123"/>
      <c r="F851" s="123"/>
      <c r="G851" s="123"/>
      <c r="H851" s="123"/>
      <c r="AJ851" s="218"/>
    </row>
    <row r="852" spans="3:36" ht="15.75" customHeight="1" x14ac:dyDescent="0.2">
      <c r="C852" s="123"/>
      <c r="D852" s="123"/>
      <c r="E852" s="123"/>
      <c r="F852" s="123"/>
      <c r="G852" s="123"/>
      <c r="H852" s="123"/>
      <c r="AJ852" s="218"/>
    </row>
    <row r="853" spans="3:36" ht="15.75" customHeight="1" x14ac:dyDescent="0.2">
      <c r="C853" s="123"/>
      <c r="D853" s="123"/>
      <c r="E853" s="123"/>
      <c r="F853" s="123"/>
      <c r="G853" s="123"/>
      <c r="H853" s="123"/>
      <c r="AJ853" s="218"/>
    </row>
    <row r="854" spans="3:36" ht="15.75" customHeight="1" x14ac:dyDescent="0.2">
      <c r="C854" s="123"/>
      <c r="D854" s="123"/>
      <c r="E854" s="123"/>
      <c r="F854" s="123"/>
      <c r="G854" s="123"/>
      <c r="H854" s="123"/>
      <c r="AJ854" s="218"/>
    </row>
    <row r="855" spans="3:36" ht="15.75" customHeight="1" x14ac:dyDescent="0.2">
      <c r="C855" s="123"/>
      <c r="D855" s="123"/>
      <c r="E855" s="123"/>
      <c r="F855" s="123"/>
      <c r="G855" s="123"/>
      <c r="H855" s="123"/>
      <c r="AJ855" s="218"/>
    </row>
    <row r="856" spans="3:36" ht="15.75" customHeight="1" x14ac:dyDescent="0.2">
      <c r="C856" s="123"/>
      <c r="D856" s="123"/>
      <c r="E856" s="123"/>
      <c r="F856" s="123"/>
      <c r="G856" s="123"/>
      <c r="H856" s="123"/>
      <c r="AJ856" s="218"/>
    </row>
    <row r="857" spans="3:36" ht="15.75" customHeight="1" x14ac:dyDescent="0.2">
      <c r="C857" s="123"/>
      <c r="D857" s="123"/>
      <c r="E857" s="123"/>
      <c r="F857" s="123"/>
      <c r="G857" s="123"/>
      <c r="H857" s="123"/>
      <c r="AJ857" s="218"/>
    </row>
    <row r="858" spans="3:36" ht="15.75" customHeight="1" x14ac:dyDescent="0.2">
      <c r="C858" s="123"/>
      <c r="D858" s="123"/>
      <c r="E858" s="123"/>
      <c r="F858" s="123"/>
      <c r="G858" s="123"/>
      <c r="H858" s="123"/>
      <c r="AJ858" s="218"/>
    </row>
    <row r="859" spans="3:36" ht="15.75" customHeight="1" x14ac:dyDescent="0.2">
      <c r="C859" s="123"/>
      <c r="D859" s="123"/>
      <c r="E859" s="123"/>
      <c r="F859" s="123"/>
      <c r="G859" s="123"/>
      <c r="H859" s="123"/>
      <c r="AJ859" s="218"/>
    </row>
    <row r="860" spans="3:36" ht="15.75" customHeight="1" x14ac:dyDescent="0.2">
      <c r="C860" s="123"/>
      <c r="D860" s="123"/>
      <c r="E860" s="123"/>
      <c r="F860" s="123"/>
      <c r="G860" s="123"/>
      <c r="H860" s="123"/>
      <c r="AJ860" s="218"/>
    </row>
    <row r="861" spans="3:36" ht="15.75" customHeight="1" x14ac:dyDescent="0.2">
      <c r="C861" s="123"/>
      <c r="D861" s="123"/>
      <c r="E861" s="123"/>
      <c r="F861" s="123"/>
      <c r="G861" s="123"/>
      <c r="H861" s="123"/>
      <c r="AJ861" s="218"/>
    </row>
    <row r="862" spans="3:36" ht="15.75" customHeight="1" x14ac:dyDescent="0.2">
      <c r="C862" s="123"/>
      <c r="D862" s="123"/>
      <c r="E862" s="123"/>
      <c r="F862" s="123"/>
      <c r="G862" s="123"/>
      <c r="H862" s="123"/>
      <c r="AJ862" s="218"/>
    </row>
    <row r="863" spans="3:36" ht="15.75" customHeight="1" x14ac:dyDescent="0.2">
      <c r="C863" s="123"/>
      <c r="D863" s="123"/>
      <c r="E863" s="123"/>
      <c r="F863" s="123"/>
      <c r="G863" s="123"/>
      <c r="H863" s="123"/>
      <c r="AJ863" s="218"/>
    </row>
    <row r="864" spans="3:36" ht="15.75" customHeight="1" x14ac:dyDescent="0.2">
      <c r="C864" s="123"/>
      <c r="D864" s="123"/>
      <c r="E864" s="123"/>
      <c r="F864" s="123"/>
      <c r="G864" s="123"/>
      <c r="H864" s="123"/>
      <c r="AJ864" s="218"/>
    </row>
    <row r="865" spans="3:36" ht="15.75" customHeight="1" x14ac:dyDescent="0.2">
      <c r="C865" s="123"/>
      <c r="D865" s="123"/>
      <c r="E865" s="123"/>
      <c r="F865" s="123"/>
      <c r="G865" s="123"/>
      <c r="H865" s="123"/>
      <c r="AJ865" s="218"/>
    </row>
    <row r="866" spans="3:36" ht="15.75" customHeight="1" x14ac:dyDescent="0.2">
      <c r="C866" s="123"/>
      <c r="D866" s="123"/>
      <c r="E866" s="123"/>
      <c r="F866" s="123"/>
      <c r="G866" s="123"/>
      <c r="H866" s="123"/>
      <c r="AJ866" s="218"/>
    </row>
    <row r="867" spans="3:36" ht="15.75" customHeight="1" x14ac:dyDescent="0.2">
      <c r="C867" s="123"/>
      <c r="D867" s="123"/>
      <c r="E867" s="123"/>
      <c r="F867" s="123"/>
      <c r="G867" s="123"/>
      <c r="H867" s="123"/>
      <c r="AJ867" s="218"/>
    </row>
    <row r="868" spans="3:36" ht="15.75" customHeight="1" x14ac:dyDescent="0.2">
      <c r="C868" s="123"/>
      <c r="D868" s="123"/>
      <c r="E868" s="123"/>
      <c r="F868" s="123"/>
      <c r="G868" s="123"/>
      <c r="H868" s="123"/>
      <c r="AJ868" s="218"/>
    </row>
    <row r="869" spans="3:36" ht="15.75" customHeight="1" x14ac:dyDescent="0.2">
      <c r="C869" s="123"/>
      <c r="D869" s="123"/>
      <c r="E869" s="123"/>
      <c r="F869" s="123"/>
      <c r="G869" s="123"/>
      <c r="H869" s="123"/>
      <c r="AJ869" s="218"/>
    </row>
    <row r="870" spans="3:36" ht="15.75" customHeight="1" x14ac:dyDescent="0.2">
      <c r="C870" s="123"/>
      <c r="D870" s="123"/>
      <c r="E870" s="123"/>
      <c r="F870" s="123"/>
      <c r="G870" s="123"/>
      <c r="H870" s="123"/>
      <c r="AJ870" s="218"/>
    </row>
    <row r="871" spans="3:36" ht="15.75" customHeight="1" x14ac:dyDescent="0.2">
      <c r="C871" s="123"/>
      <c r="D871" s="123"/>
      <c r="E871" s="123"/>
      <c r="F871" s="123"/>
      <c r="G871" s="123"/>
      <c r="H871" s="123"/>
      <c r="AJ871" s="218"/>
    </row>
    <row r="872" spans="3:36" ht="15.75" customHeight="1" x14ac:dyDescent="0.2">
      <c r="C872" s="123"/>
      <c r="D872" s="123"/>
      <c r="E872" s="123"/>
      <c r="F872" s="123"/>
      <c r="G872" s="123"/>
      <c r="H872" s="123"/>
      <c r="AJ872" s="218"/>
    </row>
    <row r="873" spans="3:36" ht="15.75" customHeight="1" x14ac:dyDescent="0.2">
      <c r="C873" s="123"/>
      <c r="D873" s="123"/>
      <c r="E873" s="123"/>
      <c r="F873" s="123"/>
      <c r="G873" s="123"/>
      <c r="H873" s="123"/>
      <c r="AJ873" s="218"/>
    </row>
    <row r="874" spans="3:36" ht="15.75" customHeight="1" x14ac:dyDescent="0.2">
      <c r="C874" s="123"/>
      <c r="D874" s="123"/>
      <c r="E874" s="123"/>
      <c r="F874" s="123"/>
      <c r="G874" s="123"/>
      <c r="H874" s="123"/>
      <c r="AJ874" s="218"/>
    </row>
    <row r="875" spans="3:36" ht="15.75" customHeight="1" x14ac:dyDescent="0.2">
      <c r="C875" s="123"/>
      <c r="D875" s="123"/>
      <c r="E875" s="123"/>
      <c r="F875" s="123"/>
      <c r="G875" s="123"/>
      <c r="H875" s="123"/>
      <c r="AJ875" s="218"/>
    </row>
    <row r="876" spans="3:36" ht="15.75" customHeight="1" x14ac:dyDescent="0.2">
      <c r="C876" s="123"/>
      <c r="D876" s="123"/>
      <c r="E876" s="123"/>
      <c r="F876" s="123"/>
      <c r="G876" s="123"/>
      <c r="H876" s="123"/>
      <c r="AJ876" s="218"/>
    </row>
    <row r="877" spans="3:36" ht="15.75" customHeight="1" x14ac:dyDescent="0.2">
      <c r="C877" s="123"/>
      <c r="D877" s="123"/>
      <c r="E877" s="123"/>
      <c r="F877" s="123"/>
      <c r="G877" s="123"/>
      <c r="H877" s="123"/>
      <c r="AJ877" s="218"/>
    </row>
    <row r="878" spans="3:36" ht="15.75" customHeight="1" x14ac:dyDescent="0.2">
      <c r="C878" s="123"/>
      <c r="D878" s="123"/>
      <c r="E878" s="123"/>
      <c r="F878" s="123"/>
      <c r="G878" s="123"/>
      <c r="H878" s="123"/>
      <c r="AJ878" s="218"/>
    </row>
    <row r="879" spans="3:36" ht="15.75" customHeight="1" x14ac:dyDescent="0.2">
      <c r="C879" s="123"/>
      <c r="D879" s="123"/>
      <c r="E879" s="123"/>
      <c r="F879" s="123"/>
      <c r="G879" s="123"/>
      <c r="H879" s="123"/>
      <c r="AJ879" s="218"/>
    </row>
    <row r="880" spans="3:36" ht="15.75" customHeight="1" x14ac:dyDescent="0.2">
      <c r="C880" s="123"/>
      <c r="D880" s="123"/>
      <c r="E880" s="123"/>
      <c r="F880" s="123"/>
      <c r="G880" s="123"/>
      <c r="H880" s="123"/>
      <c r="AJ880" s="218"/>
    </row>
    <row r="881" spans="3:36" ht="15.75" customHeight="1" x14ac:dyDescent="0.2">
      <c r="C881" s="123"/>
      <c r="D881" s="123"/>
      <c r="E881" s="123"/>
      <c r="F881" s="123"/>
      <c r="G881" s="123"/>
      <c r="H881" s="123"/>
      <c r="AJ881" s="218"/>
    </row>
    <row r="882" spans="3:36" ht="15.75" customHeight="1" x14ac:dyDescent="0.2">
      <c r="C882" s="123"/>
      <c r="D882" s="123"/>
      <c r="E882" s="123"/>
      <c r="F882" s="123"/>
      <c r="G882" s="123"/>
      <c r="H882" s="123"/>
      <c r="AJ882" s="218"/>
    </row>
    <row r="883" spans="3:36" ht="15.75" customHeight="1" x14ac:dyDescent="0.2">
      <c r="C883" s="123"/>
      <c r="D883" s="123"/>
      <c r="E883" s="123"/>
      <c r="F883" s="123"/>
      <c r="G883" s="123"/>
      <c r="H883" s="123"/>
      <c r="AJ883" s="218"/>
    </row>
    <row r="884" spans="3:36" ht="15.75" customHeight="1" x14ac:dyDescent="0.2">
      <c r="C884" s="123"/>
      <c r="D884" s="123"/>
      <c r="E884" s="123"/>
      <c r="F884" s="123"/>
      <c r="G884" s="123"/>
      <c r="H884" s="123"/>
      <c r="AJ884" s="218"/>
    </row>
    <row r="885" spans="3:36" ht="15.75" customHeight="1" x14ac:dyDescent="0.2">
      <c r="C885" s="123"/>
      <c r="D885" s="123"/>
      <c r="E885" s="123"/>
      <c r="F885" s="123"/>
      <c r="G885" s="123"/>
      <c r="H885" s="123"/>
      <c r="AJ885" s="218"/>
    </row>
    <row r="886" spans="3:36" ht="15.75" customHeight="1" x14ac:dyDescent="0.2">
      <c r="C886" s="123"/>
      <c r="D886" s="123"/>
      <c r="E886" s="123"/>
      <c r="F886" s="123"/>
      <c r="G886" s="123"/>
      <c r="H886" s="123"/>
      <c r="AJ886" s="218"/>
    </row>
    <row r="887" spans="3:36" ht="15.75" customHeight="1" x14ac:dyDescent="0.2">
      <c r="C887" s="123"/>
      <c r="D887" s="123"/>
      <c r="E887" s="123"/>
      <c r="F887" s="123"/>
      <c r="G887" s="123"/>
      <c r="H887" s="123"/>
      <c r="AJ887" s="218"/>
    </row>
    <row r="888" spans="3:36" ht="15.75" customHeight="1" x14ac:dyDescent="0.2">
      <c r="C888" s="123"/>
      <c r="D888" s="123"/>
      <c r="E888" s="123"/>
      <c r="F888" s="123"/>
      <c r="G888" s="123"/>
      <c r="H888" s="123"/>
      <c r="AJ888" s="218"/>
    </row>
    <row r="889" spans="3:36" ht="15.75" customHeight="1" x14ac:dyDescent="0.2">
      <c r="C889" s="123"/>
      <c r="D889" s="123"/>
      <c r="E889" s="123"/>
      <c r="F889" s="123"/>
      <c r="G889" s="123"/>
      <c r="H889" s="123"/>
      <c r="AJ889" s="218"/>
    </row>
    <row r="890" spans="3:36" ht="15.75" customHeight="1" x14ac:dyDescent="0.2">
      <c r="C890" s="123"/>
      <c r="D890" s="123"/>
      <c r="E890" s="123"/>
      <c r="F890" s="123"/>
      <c r="G890" s="123"/>
      <c r="H890" s="123"/>
      <c r="AJ890" s="218"/>
    </row>
    <row r="891" spans="3:36" ht="15.75" customHeight="1" x14ac:dyDescent="0.2">
      <c r="C891" s="123"/>
      <c r="D891" s="123"/>
      <c r="E891" s="123"/>
      <c r="F891" s="123"/>
      <c r="G891" s="123"/>
      <c r="H891" s="123"/>
      <c r="AJ891" s="218"/>
    </row>
    <row r="892" spans="3:36" ht="15.75" customHeight="1" x14ac:dyDescent="0.2">
      <c r="C892" s="123"/>
      <c r="D892" s="123"/>
      <c r="E892" s="123"/>
      <c r="F892" s="123"/>
      <c r="G892" s="123"/>
      <c r="H892" s="123"/>
      <c r="AJ892" s="218"/>
    </row>
    <row r="893" spans="3:36" ht="15.75" customHeight="1" x14ac:dyDescent="0.2">
      <c r="C893" s="123"/>
      <c r="D893" s="123"/>
      <c r="E893" s="123"/>
      <c r="F893" s="123"/>
      <c r="G893" s="123"/>
      <c r="H893" s="123"/>
      <c r="AJ893" s="218"/>
    </row>
    <row r="894" spans="3:36" ht="15.75" customHeight="1" x14ac:dyDescent="0.2">
      <c r="C894" s="123"/>
      <c r="D894" s="123"/>
      <c r="E894" s="123"/>
      <c r="F894" s="123"/>
      <c r="G894" s="123"/>
      <c r="H894" s="123"/>
      <c r="AJ894" s="218"/>
    </row>
    <row r="895" spans="3:36" ht="15.75" customHeight="1" x14ac:dyDescent="0.2">
      <c r="C895" s="123"/>
      <c r="D895" s="123"/>
      <c r="E895" s="123"/>
      <c r="F895" s="123"/>
      <c r="G895" s="123"/>
      <c r="H895" s="123"/>
      <c r="AJ895" s="218"/>
    </row>
    <row r="896" spans="3:36" ht="15.75" customHeight="1" x14ac:dyDescent="0.2">
      <c r="C896" s="123"/>
      <c r="D896" s="123"/>
      <c r="E896" s="123"/>
      <c r="F896" s="123"/>
      <c r="G896" s="123"/>
      <c r="H896" s="123"/>
      <c r="AJ896" s="218"/>
    </row>
    <row r="897" spans="3:36" ht="15.75" customHeight="1" x14ac:dyDescent="0.2">
      <c r="C897" s="123"/>
      <c r="D897" s="123"/>
      <c r="E897" s="123"/>
      <c r="F897" s="123"/>
      <c r="G897" s="123"/>
      <c r="H897" s="123"/>
      <c r="AJ897" s="218"/>
    </row>
    <row r="898" spans="3:36" ht="15.75" customHeight="1" x14ac:dyDescent="0.2">
      <c r="C898" s="123"/>
      <c r="D898" s="123"/>
      <c r="E898" s="123"/>
      <c r="F898" s="123"/>
      <c r="G898" s="123"/>
      <c r="H898" s="123"/>
      <c r="AJ898" s="218"/>
    </row>
    <row r="899" spans="3:36" ht="15.75" customHeight="1" x14ac:dyDescent="0.2">
      <c r="C899" s="123"/>
      <c r="D899" s="123"/>
      <c r="E899" s="123"/>
      <c r="F899" s="123"/>
      <c r="G899" s="123"/>
      <c r="H899" s="123"/>
      <c r="AJ899" s="218"/>
    </row>
    <row r="900" spans="3:36" ht="15.75" customHeight="1" x14ac:dyDescent="0.2">
      <c r="C900" s="123"/>
      <c r="D900" s="123"/>
      <c r="E900" s="123"/>
      <c r="F900" s="123"/>
      <c r="G900" s="123"/>
      <c r="H900" s="123"/>
      <c r="AJ900" s="218"/>
    </row>
    <row r="901" spans="3:36" ht="15.75" customHeight="1" x14ac:dyDescent="0.2">
      <c r="C901" s="123"/>
      <c r="D901" s="123"/>
      <c r="E901" s="123"/>
      <c r="F901" s="123"/>
      <c r="G901" s="123"/>
      <c r="H901" s="123"/>
      <c r="AJ901" s="218"/>
    </row>
    <row r="902" spans="3:36" ht="15.75" customHeight="1" x14ac:dyDescent="0.2">
      <c r="C902" s="123"/>
      <c r="D902" s="123"/>
      <c r="E902" s="123"/>
      <c r="F902" s="123"/>
      <c r="G902" s="123"/>
      <c r="H902" s="123"/>
      <c r="AJ902" s="218"/>
    </row>
    <row r="903" spans="3:36" ht="15.75" customHeight="1" x14ac:dyDescent="0.2">
      <c r="C903" s="123"/>
      <c r="D903" s="123"/>
      <c r="E903" s="123"/>
      <c r="F903" s="123"/>
      <c r="G903" s="123"/>
      <c r="H903" s="123"/>
      <c r="AJ903" s="218"/>
    </row>
    <row r="904" spans="3:36" ht="15.75" customHeight="1" x14ac:dyDescent="0.2">
      <c r="C904" s="123"/>
      <c r="D904" s="123"/>
      <c r="E904" s="123"/>
      <c r="F904" s="123"/>
      <c r="G904" s="123"/>
      <c r="H904" s="123"/>
      <c r="AJ904" s="218"/>
    </row>
    <row r="905" spans="3:36" ht="15.75" customHeight="1" x14ac:dyDescent="0.2">
      <c r="C905" s="123"/>
      <c r="D905" s="123"/>
      <c r="E905" s="123"/>
      <c r="F905" s="123"/>
      <c r="G905" s="123"/>
      <c r="H905" s="123"/>
      <c r="AJ905" s="218"/>
    </row>
    <row r="906" spans="3:36" ht="15.75" customHeight="1" x14ac:dyDescent="0.2">
      <c r="C906" s="123"/>
      <c r="D906" s="123"/>
      <c r="E906" s="123"/>
      <c r="F906" s="123"/>
      <c r="G906" s="123"/>
      <c r="H906" s="123"/>
      <c r="AJ906" s="218"/>
    </row>
    <row r="907" spans="3:36" ht="15.75" customHeight="1" x14ac:dyDescent="0.2">
      <c r="C907" s="123"/>
      <c r="D907" s="123"/>
      <c r="E907" s="123"/>
      <c r="F907" s="123"/>
      <c r="G907" s="123"/>
      <c r="H907" s="123"/>
      <c r="AJ907" s="218"/>
    </row>
    <row r="908" spans="3:36" ht="15.75" customHeight="1" x14ac:dyDescent="0.2">
      <c r="C908" s="123"/>
      <c r="D908" s="123"/>
      <c r="E908" s="123"/>
      <c r="F908" s="123"/>
      <c r="G908" s="123"/>
      <c r="H908" s="123"/>
      <c r="AJ908" s="218"/>
    </row>
    <row r="909" spans="3:36" ht="15.75" customHeight="1" x14ac:dyDescent="0.2">
      <c r="C909" s="123"/>
      <c r="D909" s="123"/>
      <c r="E909" s="123"/>
      <c r="F909" s="123"/>
      <c r="G909" s="123"/>
      <c r="H909" s="123"/>
      <c r="AJ909" s="218"/>
    </row>
    <row r="910" spans="3:36" ht="15.75" customHeight="1" x14ac:dyDescent="0.2">
      <c r="C910" s="123"/>
      <c r="D910" s="123"/>
      <c r="E910" s="123"/>
      <c r="F910" s="123"/>
      <c r="G910" s="123"/>
      <c r="H910" s="123"/>
      <c r="AJ910" s="218"/>
    </row>
    <row r="911" spans="3:36" ht="15.75" customHeight="1" x14ac:dyDescent="0.2">
      <c r="C911" s="123"/>
      <c r="D911" s="123"/>
      <c r="E911" s="123"/>
      <c r="F911" s="123"/>
      <c r="G911" s="123"/>
      <c r="H911" s="123"/>
      <c r="AJ911" s="218"/>
    </row>
    <row r="912" spans="3:36" ht="15.75" customHeight="1" x14ac:dyDescent="0.2">
      <c r="C912" s="123"/>
      <c r="D912" s="123"/>
      <c r="E912" s="123"/>
      <c r="F912" s="123"/>
      <c r="G912" s="123"/>
      <c r="H912" s="123"/>
      <c r="AJ912" s="218"/>
    </row>
    <row r="913" spans="3:36" ht="15.75" customHeight="1" x14ac:dyDescent="0.2">
      <c r="C913" s="123"/>
      <c r="D913" s="123"/>
      <c r="E913" s="123"/>
      <c r="F913" s="123"/>
      <c r="G913" s="123"/>
      <c r="H913" s="123"/>
      <c r="AJ913" s="218"/>
    </row>
    <row r="914" spans="3:36" ht="15.75" customHeight="1" x14ac:dyDescent="0.2">
      <c r="C914" s="123"/>
      <c r="D914" s="123"/>
      <c r="E914" s="123"/>
      <c r="F914" s="123"/>
      <c r="G914" s="123"/>
      <c r="H914" s="123"/>
      <c r="AJ914" s="218"/>
    </row>
    <row r="915" spans="3:36" ht="15.75" customHeight="1" x14ac:dyDescent="0.2">
      <c r="C915" s="123"/>
      <c r="D915" s="123"/>
      <c r="E915" s="123"/>
      <c r="F915" s="123"/>
      <c r="G915" s="123"/>
      <c r="H915" s="123"/>
      <c r="AJ915" s="218"/>
    </row>
    <row r="916" spans="3:36" ht="15.75" customHeight="1" x14ac:dyDescent="0.2">
      <c r="C916" s="123"/>
      <c r="D916" s="123"/>
      <c r="E916" s="123"/>
      <c r="F916" s="123"/>
      <c r="G916" s="123"/>
      <c r="H916" s="123"/>
      <c r="AJ916" s="218"/>
    </row>
    <row r="917" spans="3:36" ht="15.75" customHeight="1" x14ac:dyDescent="0.2">
      <c r="C917" s="123"/>
      <c r="D917" s="123"/>
      <c r="E917" s="123"/>
      <c r="F917" s="123"/>
      <c r="G917" s="123"/>
      <c r="H917" s="123"/>
      <c r="AJ917" s="218"/>
    </row>
    <row r="918" spans="3:36" ht="15.75" customHeight="1" x14ac:dyDescent="0.2">
      <c r="C918" s="123"/>
      <c r="D918" s="123"/>
      <c r="E918" s="123"/>
      <c r="F918" s="123"/>
      <c r="G918" s="123"/>
      <c r="H918" s="123"/>
      <c r="AJ918" s="218"/>
    </row>
    <row r="919" spans="3:36" ht="15.75" customHeight="1" x14ac:dyDescent="0.2">
      <c r="C919" s="123"/>
      <c r="D919" s="123"/>
      <c r="E919" s="123"/>
      <c r="F919" s="123"/>
      <c r="G919" s="123"/>
      <c r="H919" s="123"/>
      <c r="AJ919" s="218"/>
    </row>
    <row r="920" spans="3:36" ht="15.75" customHeight="1" x14ac:dyDescent="0.2">
      <c r="C920" s="123"/>
      <c r="D920" s="123"/>
      <c r="E920" s="123"/>
      <c r="F920" s="123"/>
      <c r="G920" s="123"/>
      <c r="H920" s="123"/>
      <c r="AJ920" s="218"/>
    </row>
    <row r="921" spans="3:36" ht="15.75" customHeight="1" x14ac:dyDescent="0.2">
      <c r="C921" s="123"/>
      <c r="D921" s="123"/>
      <c r="E921" s="123"/>
      <c r="F921" s="123"/>
      <c r="G921" s="123"/>
      <c r="H921" s="123"/>
      <c r="AJ921" s="218"/>
    </row>
    <row r="922" spans="3:36" ht="15.75" customHeight="1" x14ac:dyDescent="0.2">
      <c r="C922" s="123"/>
      <c r="D922" s="123"/>
      <c r="E922" s="123"/>
      <c r="F922" s="123"/>
      <c r="G922" s="123"/>
      <c r="H922" s="123"/>
      <c r="AJ922" s="218"/>
    </row>
    <row r="923" spans="3:36" ht="15.75" customHeight="1" x14ac:dyDescent="0.2">
      <c r="C923" s="123"/>
      <c r="D923" s="123"/>
      <c r="E923" s="123"/>
      <c r="F923" s="123"/>
      <c r="G923" s="123"/>
      <c r="H923" s="123"/>
      <c r="AJ923" s="218"/>
    </row>
    <row r="924" spans="3:36" ht="15.75" customHeight="1" x14ac:dyDescent="0.2">
      <c r="C924" s="123"/>
      <c r="D924" s="123"/>
      <c r="E924" s="123"/>
      <c r="F924" s="123"/>
      <c r="G924" s="123"/>
      <c r="H924" s="123"/>
      <c r="AJ924" s="218"/>
    </row>
    <row r="925" spans="3:36" ht="15.75" customHeight="1" x14ac:dyDescent="0.2">
      <c r="C925" s="123"/>
      <c r="D925" s="123"/>
      <c r="E925" s="123"/>
      <c r="F925" s="123"/>
      <c r="G925" s="123"/>
      <c r="H925" s="123"/>
      <c r="AJ925" s="218"/>
    </row>
    <row r="926" spans="3:36" ht="15.75" customHeight="1" x14ac:dyDescent="0.2">
      <c r="C926" s="123"/>
      <c r="D926" s="123"/>
      <c r="E926" s="123"/>
      <c r="F926" s="123"/>
      <c r="G926" s="123"/>
      <c r="H926" s="123"/>
      <c r="AJ926" s="218"/>
    </row>
    <row r="927" spans="3:36" ht="15.75" customHeight="1" x14ac:dyDescent="0.2">
      <c r="C927" s="123"/>
      <c r="D927" s="123"/>
      <c r="E927" s="123"/>
      <c r="F927" s="123"/>
      <c r="G927" s="123"/>
      <c r="H927" s="123"/>
      <c r="AJ927" s="218"/>
    </row>
    <row r="928" spans="3:36" ht="15.75" customHeight="1" x14ac:dyDescent="0.2">
      <c r="C928" s="123"/>
      <c r="D928" s="123"/>
      <c r="E928" s="123"/>
      <c r="F928" s="123"/>
      <c r="G928" s="123"/>
      <c r="H928" s="123"/>
      <c r="AJ928" s="218"/>
    </row>
    <row r="929" spans="3:36" ht="15.75" customHeight="1" x14ac:dyDescent="0.2">
      <c r="C929" s="123"/>
      <c r="D929" s="123"/>
      <c r="E929" s="123"/>
      <c r="F929" s="123"/>
      <c r="G929" s="123"/>
      <c r="H929" s="123"/>
      <c r="AJ929" s="218"/>
    </row>
    <row r="930" spans="3:36" ht="15.75" customHeight="1" x14ac:dyDescent="0.2">
      <c r="C930" s="123"/>
      <c r="D930" s="123"/>
      <c r="E930" s="123"/>
      <c r="F930" s="123"/>
      <c r="G930" s="123"/>
      <c r="H930" s="123"/>
      <c r="AJ930" s="218"/>
    </row>
    <row r="931" spans="3:36" ht="15.75" customHeight="1" x14ac:dyDescent="0.2">
      <c r="C931" s="123"/>
      <c r="D931" s="123"/>
      <c r="E931" s="123"/>
      <c r="F931" s="123"/>
      <c r="G931" s="123"/>
      <c r="H931" s="123"/>
      <c r="AJ931" s="218"/>
    </row>
    <row r="932" spans="3:36" ht="15.75" customHeight="1" x14ac:dyDescent="0.2">
      <c r="C932" s="123"/>
      <c r="D932" s="123"/>
      <c r="E932" s="123"/>
      <c r="F932" s="123"/>
      <c r="G932" s="123"/>
      <c r="H932" s="123"/>
      <c r="AJ932" s="218"/>
    </row>
    <row r="933" spans="3:36" ht="15.75" customHeight="1" x14ac:dyDescent="0.2">
      <c r="C933" s="123"/>
      <c r="D933" s="123"/>
      <c r="E933" s="123"/>
      <c r="F933" s="123"/>
      <c r="G933" s="123"/>
      <c r="H933" s="123"/>
      <c r="AJ933" s="218"/>
    </row>
    <row r="934" spans="3:36" ht="15.75" customHeight="1" x14ac:dyDescent="0.2">
      <c r="C934" s="123"/>
      <c r="D934" s="123"/>
      <c r="E934" s="123"/>
      <c r="F934" s="123"/>
      <c r="G934" s="123"/>
      <c r="H934" s="123"/>
      <c r="AJ934" s="218"/>
    </row>
    <row r="935" spans="3:36" ht="15.75" customHeight="1" x14ac:dyDescent="0.2">
      <c r="C935" s="123"/>
      <c r="D935" s="123"/>
      <c r="E935" s="123"/>
      <c r="F935" s="123"/>
      <c r="G935" s="123"/>
      <c r="H935" s="123"/>
      <c r="AJ935" s="218"/>
    </row>
    <row r="936" spans="3:36" ht="15.75" customHeight="1" x14ac:dyDescent="0.2">
      <c r="C936" s="123"/>
      <c r="D936" s="123"/>
      <c r="E936" s="123"/>
      <c r="F936" s="123"/>
      <c r="G936" s="123"/>
      <c r="H936" s="123"/>
      <c r="AJ936" s="218"/>
    </row>
    <row r="937" spans="3:36" ht="15.75" customHeight="1" x14ac:dyDescent="0.2">
      <c r="C937" s="123"/>
      <c r="D937" s="123"/>
      <c r="E937" s="123"/>
      <c r="F937" s="123"/>
      <c r="G937" s="123"/>
      <c r="H937" s="123"/>
      <c r="AJ937" s="218"/>
    </row>
    <row r="938" spans="3:36" ht="15.75" customHeight="1" x14ac:dyDescent="0.2">
      <c r="C938" s="123"/>
      <c r="D938" s="123"/>
      <c r="E938" s="123"/>
      <c r="F938" s="123"/>
      <c r="G938" s="123"/>
      <c r="H938" s="123"/>
      <c r="AJ938" s="218"/>
    </row>
    <row r="939" spans="3:36" ht="15.75" customHeight="1" x14ac:dyDescent="0.2">
      <c r="C939" s="123"/>
      <c r="D939" s="123"/>
      <c r="E939" s="123"/>
      <c r="F939" s="123"/>
      <c r="G939" s="123"/>
      <c r="H939" s="123"/>
      <c r="AJ939" s="218"/>
    </row>
    <row r="940" spans="3:36" ht="15.75" customHeight="1" x14ac:dyDescent="0.2">
      <c r="C940" s="123"/>
      <c r="D940" s="123"/>
      <c r="E940" s="123"/>
      <c r="F940" s="123"/>
      <c r="G940" s="123"/>
      <c r="H940" s="123"/>
      <c r="AJ940" s="218"/>
    </row>
    <row r="941" spans="3:36" ht="15.75" customHeight="1" x14ac:dyDescent="0.2">
      <c r="C941" s="123"/>
      <c r="D941" s="123"/>
      <c r="E941" s="123"/>
      <c r="F941" s="123"/>
      <c r="G941" s="123"/>
      <c r="H941" s="123"/>
      <c r="AJ941" s="218"/>
    </row>
    <row r="942" spans="3:36" ht="15.75" customHeight="1" x14ac:dyDescent="0.2">
      <c r="C942" s="123"/>
      <c r="D942" s="123"/>
      <c r="E942" s="123"/>
      <c r="F942" s="123"/>
      <c r="G942" s="123"/>
      <c r="H942" s="123"/>
      <c r="AJ942" s="218"/>
    </row>
    <row r="943" spans="3:36" ht="15.75" customHeight="1" x14ac:dyDescent="0.2">
      <c r="C943" s="123"/>
      <c r="D943" s="123"/>
      <c r="E943" s="123"/>
      <c r="F943" s="123"/>
      <c r="G943" s="123"/>
      <c r="H943" s="123"/>
      <c r="AJ943" s="218"/>
    </row>
    <row r="944" spans="3:36" ht="15.75" customHeight="1" x14ac:dyDescent="0.2">
      <c r="C944" s="123"/>
      <c r="D944" s="123"/>
      <c r="E944" s="123"/>
      <c r="F944" s="123"/>
      <c r="G944" s="123"/>
      <c r="H944" s="123"/>
      <c r="AJ944" s="218"/>
    </row>
    <row r="945" spans="3:36" ht="15.75" customHeight="1" x14ac:dyDescent="0.2">
      <c r="C945" s="123"/>
      <c r="D945" s="123"/>
      <c r="E945" s="123"/>
      <c r="F945" s="123"/>
      <c r="G945" s="123"/>
      <c r="H945" s="123"/>
      <c r="AJ945" s="218"/>
    </row>
    <row r="946" spans="3:36" ht="15.75" customHeight="1" x14ac:dyDescent="0.2">
      <c r="C946" s="123"/>
      <c r="D946" s="123"/>
      <c r="E946" s="123"/>
      <c r="F946" s="123"/>
      <c r="G946" s="123"/>
      <c r="H946" s="123"/>
      <c r="AJ946" s="218"/>
    </row>
    <row r="947" spans="3:36" ht="15.75" customHeight="1" x14ac:dyDescent="0.2">
      <c r="C947" s="123"/>
      <c r="D947" s="123"/>
      <c r="E947" s="123"/>
      <c r="F947" s="123"/>
      <c r="G947" s="123"/>
      <c r="H947" s="123"/>
      <c r="AJ947" s="218"/>
    </row>
    <row r="948" spans="3:36" ht="15.75" customHeight="1" x14ac:dyDescent="0.2">
      <c r="C948" s="123"/>
      <c r="D948" s="123"/>
      <c r="E948" s="123"/>
      <c r="F948" s="123"/>
      <c r="G948" s="123"/>
      <c r="H948" s="123"/>
      <c r="AJ948" s="218"/>
    </row>
    <row r="949" spans="3:36" ht="15.75" customHeight="1" x14ac:dyDescent="0.2">
      <c r="C949" s="123"/>
      <c r="D949" s="123"/>
      <c r="E949" s="123"/>
      <c r="F949" s="123"/>
      <c r="G949" s="123"/>
      <c r="H949" s="123"/>
      <c r="AJ949" s="218"/>
    </row>
    <row r="950" spans="3:36" ht="15.75" customHeight="1" x14ac:dyDescent="0.2">
      <c r="C950" s="123"/>
      <c r="D950" s="123"/>
      <c r="E950" s="123"/>
      <c r="F950" s="123"/>
      <c r="G950" s="123"/>
      <c r="H950" s="123"/>
      <c r="AJ950" s="218"/>
    </row>
    <row r="951" spans="3:36" ht="15.75" customHeight="1" x14ac:dyDescent="0.2">
      <c r="C951" s="123"/>
      <c r="D951" s="123"/>
      <c r="E951" s="123"/>
      <c r="F951" s="123"/>
      <c r="G951" s="123"/>
      <c r="H951" s="123"/>
      <c r="AJ951" s="218"/>
    </row>
    <row r="952" spans="3:36" ht="15.75" customHeight="1" x14ac:dyDescent="0.2">
      <c r="C952" s="123"/>
      <c r="D952" s="123"/>
      <c r="E952" s="123"/>
      <c r="F952" s="123"/>
      <c r="G952" s="123"/>
      <c r="H952" s="123"/>
      <c r="AJ952" s="218"/>
    </row>
    <row r="953" spans="3:36" ht="15.75" customHeight="1" x14ac:dyDescent="0.2">
      <c r="C953" s="123"/>
      <c r="D953" s="123"/>
      <c r="E953" s="123"/>
      <c r="F953" s="123"/>
      <c r="G953" s="123"/>
      <c r="H953" s="123"/>
      <c r="AJ953" s="218"/>
    </row>
    <row r="954" spans="3:36" ht="15.75" customHeight="1" x14ac:dyDescent="0.2">
      <c r="C954" s="123"/>
      <c r="D954" s="123"/>
      <c r="E954" s="123"/>
      <c r="F954" s="123"/>
      <c r="G954" s="123"/>
      <c r="H954" s="123"/>
      <c r="AJ954" s="218"/>
    </row>
    <row r="955" spans="3:36" ht="15.75" customHeight="1" x14ac:dyDescent="0.2">
      <c r="C955" s="123"/>
      <c r="D955" s="123"/>
      <c r="E955" s="123"/>
      <c r="F955" s="123"/>
      <c r="G955" s="123"/>
      <c r="H955" s="123"/>
      <c r="AJ955" s="218"/>
    </row>
    <row r="956" spans="3:36" ht="15.75" customHeight="1" x14ac:dyDescent="0.2">
      <c r="C956" s="123"/>
      <c r="D956" s="123"/>
      <c r="E956" s="123"/>
      <c r="F956" s="123"/>
      <c r="G956" s="123"/>
      <c r="H956" s="123"/>
      <c r="AJ956" s="218"/>
    </row>
    <row r="957" spans="3:36" ht="15.75" customHeight="1" x14ac:dyDescent="0.2">
      <c r="C957" s="123"/>
      <c r="D957" s="123"/>
      <c r="E957" s="123"/>
      <c r="F957" s="123"/>
      <c r="G957" s="123"/>
      <c r="H957" s="123"/>
      <c r="AJ957" s="218"/>
    </row>
    <row r="958" spans="3:36" ht="15.75" customHeight="1" x14ac:dyDescent="0.2">
      <c r="C958" s="123"/>
      <c r="D958" s="123"/>
      <c r="E958" s="123"/>
      <c r="F958" s="123"/>
      <c r="G958" s="123"/>
      <c r="H958" s="123"/>
      <c r="AJ958" s="218"/>
    </row>
    <row r="959" spans="3:36" ht="15.75" customHeight="1" x14ac:dyDescent="0.2">
      <c r="C959" s="123"/>
      <c r="D959" s="123"/>
      <c r="E959" s="123"/>
      <c r="F959" s="123"/>
      <c r="G959" s="123"/>
      <c r="H959" s="123"/>
      <c r="AJ959" s="218"/>
    </row>
    <row r="960" spans="3:36" ht="15.75" customHeight="1" x14ac:dyDescent="0.2">
      <c r="C960" s="123"/>
      <c r="D960" s="123"/>
      <c r="E960" s="123"/>
      <c r="F960" s="123"/>
      <c r="G960" s="123"/>
      <c r="H960" s="123"/>
      <c r="AJ960" s="218"/>
    </row>
    <row r="961" spans="3:36" ht="15.75" customHeight="1" x14ac:dyDescent="0.2">
      <c r="C961" s="123"/>
      <c r="D961" s="123"/>
      <c r="E961" s="123"/>
      <c r="F961" s="123"/>
      <c r="G961" s="123"/>
      <c r="H961" s="123"/>
      <c r="AJ961" s="218"/>
    </row>
    <row r="962" spans="3:36" ht="15.75" customHeight="1" x14ac:dyDescent="0.2">
      <c r="C962" s="123"/>
      <c r="D962" s="123"/>
      <c r="E962" s="123"/>
      <c r="F962" s="123"/>
      <c r="G962" s="123"/>
      <c r="H962" s="123"/>
      <c r="AJ962" s="218"/>
    </row>
    <row r="963" spans="3:36" ht="15.75" customHeight="1" x14ac:dyDescent="0.2">
      <c r="C963" s="123"/>
      <c r="D963" s="123"/>
      <c r="E963" s="123"/>
      <c r="F963" s="123"/>
      <c r="G963" s="123"/>
      <c r="H963" s="123"/>
      <c r="AJ963" s="218"/>
    </row>
    <row r="964" spans="3:36" ht="15.75" customHeight="1" x14ac:dyDescent="0.2">
      <c r="C964" s="123"/>
      <c r="D964" s="123"/>
      <c r="E964" s="123"/>
      <c r="F964" s="123"/>
      <c r="G964" s="123"/>
      <c r="H964" s="123"/>
      <c r="AJ964" s="218"/>
    </row>
    <row r="965" spans="3:36" ht="15.75" customHeight="1" x14ac:dyDescent="0.2">
      <c r="C965" s="123"/>
      <c r="D965" s="123"/>
      <c r="E965" s="123"/>
      <c r="F965" s="123"/>
      <c r="G965" s="123"/>
      <c r="H965" s="123"/>
      <c r="AJ965" s="218"/>
    </row>
    <row r="966" spans="3:36" ht="15.75" customHeight="1" x14ac:dyDescent="0.2">
      <c r="C966" s="123"/>
      <c r="D966" s="123"/>
      <c r="E966" s="123"/>
      <c r="F966" s="123"/>
      <c r="G966" s="123"/>
      <c r="H966" s="123"/>
      <c r="AJ966" s="218"/>
    </row>
    <row r="967" spans="3:36" ht="15.75" customHeight="1" x14ac:dyDescent="0.2">
      <c r="C967" s="123"/>
      <c r="D967" s="123"/>
      <c r="E967" s="123"/>
      <c r="F967" s="123"/>
      <c r="G967" s="123"/>
      <c r="H967" s="123"/>
      <c r="AJ967" s="218"/>
    </row>
    <row r="968" spans="3:36" ht="15.75" customHeight="1" x14ac:dyDescent="0.2">
      <c r="C968" s="123"/>
      <c r="D968" s="123"/>
      <c r="E968" s="123"/>
      <c r="F968" s="123"/>
      <c r="G968" s="123"/>
      <c r="H968" s="123"/>
      <c r="AJ968" s="218"/>
    </row>
    <row r="969" spans="3:36" ht="15.75" customHeight="1" x14ac:dyDescent="0.2">
      <c r="C969" s="123"/>
      <c r="D969" s="123"/>
      <c r="E969" s="123"/>
      <c r="F969" s="123"/>
      <c r="G969" s="123"/>
      <c r="H969" s="123"/>
      <c r="AJ969" s="218"/>
    </row>
    <row r="970" spans="3:36" ht="15.75" customHeight="1" x14ac:dyDescent="0.2">
      <c r="C970" s="123"/>
      <c r="D970" s="123"/>
      <c r="E970" s="123"/>
      <c r="F970" s="123"/>
      <c r="G970" s="123"/>
      <c r="H970" s="123"/>
      <c r="AJ970" s="218"/>
    </row>
    <row r="971" spans="3:36" ht="15.75" customHeight="1" x14ac:dyDescent="0.2">
      <c r="C971" s="123"/>
      <c r="D971" s="123"/>
      <c r="E971" s="123"/>
      <c r="F971" s="123"/>
      <c r="G971" s="123"/>
      <c r="H971" s="123"/>
      <c r="AJ971" s="218"/>
    </row>
    <row r="972" spans="3:36" ht="15.75" customHeight="1" x14ac:dyDescent="0.2">
      <c r="C972" s="123"/>
      <c r="D972" s="123"/>
      <c r="E972" s="123"/>
      <c r="F972" s="123"/>
      <c r="G972" s="123"/>
      <c r="H972" s="123"/>
      <c r="AJ972" s="218"/>
    </row>
    <row r="973" spans="3:36" ht="15.75" customHeight="1" x14ac:dyDescent="0.2">
      <c r="C973" s="123"/>
      <c r="D973" s="123"/>
      <c r="E973" s="123"/>
      <c r="F973" s="123"/>
      <c r="G973" s="123"/>
      <c r="H973" s="123"/>
      <c r="AJ973" s="218"/>
    </row>
    <row r="974" spans="3:36" ht="15.75" customHeight="1" x14ac:dyDescent="0.2">
      <c r="C974" s="123"/>
      <c r="D974" s="123"/>
      <c r="E974" s="123"/>
      <c r="F974" s="123"/>
      <c r="G974" s="123"/>
      <c r="H974" s="123"/>
      <c r="AJ974" s="218"/>
    </row>
    <row r="975" spans="3:36" ht="15.75" customHeight="1" x14ac:dyDescent="0.2">
      <c r="C975" s="123"/>
      <c r="D975" s="123"/>
      <c r="E975" s="123"/>
      <c r="F975" s="123"/>
      <c r="G975" s="123"/>
      <c r="H975" s="123"/>
      <c r="AJ975" s="218"/>
    </row>
    <row r="976" spans="3:36" ht="15.75" customHeight="1" x14ac:dyDescent="0.2">
      <c r="C976" s="123"/>
      <c r="D976" s="123"/>
      <c r="E976" s="123"/>
      <c r="F976" s="123"/>
      <c r="G976" s="123"/>
      <c r="H976" s="123"/>
      <c r="AJ976" s="218"/>
    </row>
    <row r="977" spans="3:36" ht="15.75" customHeight="1" x14ac:dyDescent="0.2">
      <c r="C977" s="123"/>
      <c r="D977" s="123"/>
      <c r="E977" s="123"/>
      <c r="F977" s="123"/>
      <c r="G977" s="123"/>
      <c r="H977" s="123"/>
      <c r="AJ977" s="218"/>
    </row>
    <row r="978" spans="3:36" ht="15.75" customHeight="1" x14ac:dyDescent="0.2">
      <c r="C978" s="123"/>
      <c r="D978" s="123"/>
      <c r="E978" s="123"/>
      <c r="F978" s="123"/>
      <c r="G978" s="123"/>
      <c r="H978" s="123"/>
      <c r="AJ978" s="218"/>
    </row>
    <row r="979" spans="3:36" ht="15.75" customHeight="1" x14ac:dyDescent="0.2">
      <c r="C979" s="123"/>
      <c r="D979" s="123"/>
      <c r="E979" s="123"/>
      <c r="F979" s="123"/>
      <c r="G979" s="123"/>
      <c r="H979" s="123"/>
      <c r="AJ979" s="218"/>
    </row>
    <row r="980" spans="3:36" ht="15.75" customHeight="1" x14ac:dyDescent="0.2">
      <c r="C980" s="123"/>
      <c r="D980" s="123"/>
      <c r="E980" s="123"/>
      <c r="F980" s="123"/>
      <c r="G980" s="123"/>
      <c r="H980" s="123"/>
      <c r="AJ980" s="218"/>
    </row>
    <row r="981" spans="3:36" ht="15.75" customHeight="1" x14ac:dyDescent="0.2">
      <c r="C981" s="123"/>
      <c r="D981" s="123"/>
      <c r="E981" s="123"/>
      <c r="F981" s="123"/>
      <c r="G981" s="123"/>
      <c r="H981" s="123"/>
      <c r="AJ981" s="218"/>
    </row>
    <row r="982" spans="3:36" ht="15.75" customHeight="1" x14ac:dyDescent="0.2">
      <c r="C982" s="123"/>
      <c r="D982" s="123"/>
      <c r="E982" s="123"/>
      <c r="F982" s="123"/>
      <c r="G982" s="123"/>
      <c r="H982" s="123"/>
      <c r="AJ982" s="218"/>
    </row>
    <row r="983" spans="3:36" ht="15.75" customHeight="1" x14ac:dyDescent="0.2">
      <c r="C983" s="123"/>
      <c r="D983" s="123"/>
      <c r="E983" s="123"/>
      <c r="F983" s="123"/>
      <c r="G983" s="123"/>
      <c r="H983" s="123"/>
      <c r="AJ983" s="218"/>
    </row>
    <row r="984" spans="3:36" ht="15.75" customHeight="1" x14ac:dyDescent="0.2">
      <c r="C984" s="123"/>
      <c r="D984" s="123"/>
      <c r="E984" s="123"/>
      <c r="F984" s="123"/>
      <c r="G984" s="123"/>
      <c r="H984" s="123"/>
      <c r="AJ984" s="218"/>
    </row>
    <row r="985" spans="3:36" ht="15.75" customHeight="1" x14ac:dyDescent="0.2">
      <c r="C985" s="123"/>
      <c r="D985" s="123"/>
      <c r="E985" s="123"/>
      <c r="F985" s="123"/>
      <c r="G985" s="123"/>
      <c r="H985" s="123"/>
      <c r="AJ985" s="218"/>
    </row>
    <row r="986" spans="3:36" ht="15.75" customHeight="1" x14ac:dyDescent="0.2">
      <c r="C986" s="123"/>
      <c r="D986" s="123"/>
      <c r="E986" s="123"/>
      <c r="F986" s="123"/>
      <c r="G986" s="123"/>
      <c r="H986" s="123"/>
      <c r="AJ986" s="218"/>
    </row>
    <row r="987" spans="3:36" ht="15.75" customHeight="1" x14ac:dyDescent="0.2">
      <c r="C987" s="123"/>
      <c r="D987" s="123"/>
      <c r="E987" s="123"/>
      <c r="F987" s="123"/>
      <c r="G987" s="123"/>
      <c r="H987" s="123"/>
      <c r="AJ987" s="218"/>
    </row>
    <row r="988" spans="3:36" ht="15.75" customHeight="1" x14ac:dyDescent="0.2">
      <c r="C988" s="123"/>
      <c r="D988" s="123"/>
      <c r="E988" s="123"/>
      <c r="F988" s="123"/>
      <c r="G988" s="123"/>
      <c r="H988" s="123"/>
      <c r="AJ988" s="218"/>
    </row>
    <row r="989" spans="3:36" ht="15.75" customHeight="1" x14ac:dyDescent="0.2">
      <c r="C989" s="123"/>
      <c r="D989" s="123"/>
      <c r="E989" s="123"/>
      <c r="F989" s="123"/>
      <c r="G989" s="123"/>
      <c r="H989" s="123"/>
      <c r="AJ989" s="218"/>
    </row>
    <row r="990" spans="3:36" ht="15.75" customHeight="1" x14ac:dyDescent="0.2">
      <c r="C990" s="123"/>
      <c r="D990" s="123"/>
      <c r="E990" s="123"/>
      <c r="F990" s="123"/>
      <c r="G990" s="123"/>
      <c r="H990" s="123"/>
      <c r="AJ990" s="218"/>
    </row>
    <row r="991" spans="3:36" ht="15.75" customHeight="1" x14ac:dyDescent="0.2">
      <c r="C991" s="123"/>
      <c r="D991" s="123"/>
      <c r="E991" s="123"/>
      <c r="F991" s="123"/>
      <c r="G991" s="123"/>
      <c r="H991" s="123"/>
      <c r="AJ991" s="218"/>
    </row>
    <row r="992" spans="3:36" ht="15.75" customHeight="1" x14ac:dyDescent="0.2">
      <c r="C992" s="123"/>
      <c r="D992" s="123"/>
      <c r="E992" s="123"/>
      <c r="F992" s="123"/>
      <c r="G992" s="123"/>
      <c r="H992" s="123"/>
      <c r="AJ992" s="218"/>
    </row>
    <row r="993" spans="3:36" ht="15.75" customHeight="1" x14ac:dyDescent="0.2">
      <c r="C993" s="123"/>
      <c r="D993" s="123"/>
      <c r="E993" s="123"/>
      <c r="F993" s="123"/>
      <c r="G993" s="123"/>
      <c r="H993" s="123"/>
      <c r="AJ993" s="218"/>
    </row>
    <row r="994" spans="3:36" ht="15.75" customHeight="1" x14ac:dyDescent="0.2">
      <c r="C994" s="123"/>
      <c r="D994" s="123"/>
      <c r="E994" s="123"/>
      <c r="F994" s="123"/>
      <c r="G994" s="123"/>
      <c r="H994" s="123"/>
      <c r="AJ994" s="218"/>
    </row>
    <row r="995" spans="3:36" ht="15.75" customHeight="1" x14ac:dyDescent="0.2">
      <c r="C995" s="123"/>
      <c r="D995" s="123"/>
      <c r="E995" s="123"/>
      <c r="F995" s="123"/>
      <c r="G995" s="123"/>
      <c r="H995" s="123"/>
      <c r="AJ995" s="218"/>
    </row>
    <row r="996" spans="3:36" ht="15.75" customHeight="1" x14ac:dyDescent="0.2">
      <c r="C996" s="123"/>
      <c r="D996" s="123"/>
      <c r="E996" s="123"/>
      <c r="F996" s="123"/>
      <c r="G996" s="123"/>
      <c r="H996" s="123"/>
      <c r="AJ996" s="218"/>
    </row>
    <row r="997" spans="3:36" ht="15.75" customHeight="1" x14ac:dyDescent="0.2">
      <c r="C997" s="123"/>
      <c r="D997" s="123"/>
      <c r="E997" s="123"/>
      <c r="F997" s="123"/>
      <c r="G997" s="123"/>
      <c r="H997" s="123"/>
      <c r="AJ997" s="218"/>
    </row>
    <row r="998" spans="3:36" ht="15.75" customHeight="1" x14ac:dyDescent="0.2">
      <c r="C998" s="123"/>
      <c r="D998" s="123"/>
      <c r="E998" s="123"/>
      <c r="F998" s="123"/>
      <c r="G998" s="123"/>
      <c r="H998" s="123"/>
      <c r="AJ998" s="218"/>
    </row>
    <row r="999" spans="3:36" ht="15.75" customHeight="1" x14ac:dyDescent="0.2">
      <c r="C999" s="123"/>
      <c r="D999" s="123"/>
      <c r="E999" s="123"/>
      <c r="F999" s="123"/>
      <c r="G999" s="123"/>
      <c r="H999" s="123"/>
      <c r="AJ999" s="218"/>
    </row>
    <row r="1000" spans="3:36" ht="15.75" customHeight="1" x14ac:dyDescent="0.2">
      <c r="C1000" s="123"/>
      <c r="D1000" s="123"/>
      <c r="E1000" s="123"/>
      <c r="F1000" s="123"/>
      <c r="G1000" s="123"/>
      <c r="H1000" s="123"/>
      <c r="AJ1000" s="218"/>
    </row>
    <row r="1001" spans="3:36" ht="15.75" customHeight="1" x14ac:dyDescent="0.2">
      <c r="C1001" s="123"/>
      <c r="D1001" s="123"/>
      <c r="E1001" s="123"/>
      <c r="F1001" s="123"/>
      <c r="G1001" s="123"/>
      <c r="H1001" s="123"/>
      <c r="AJ1001" s="218"/>
    </row>
    <row r="1002" spans="3:36" ht="15.75" customHeight="1" x14ac:dyDescent="0.2">
      <c r="C1002" s="123"/>
      <c r="D1002" s="123"/>
      <c r="E1002" s="123"/>
      <c r="F1002" s="123"/>
      <c r="G1002" s="123"/>
      <c r="H1002" s="123"/>
      <c r="AJ1002" s="218"/>
    </row>
    <row r="1003" spans="3:36" ht="15.75" customHeight="1" x14ac:dyDescent="0.2">
      <c r="C1003" s="123"/>
      <c r="D1003" s="123"/>
      <c r="E1003" s="123"/>
      <c r="F1003" s="123"/>
      <c r="G1003" s="123"/>
      <c r="H1003" s="123"/>
      <c r="AJ1003" s="218"/>
    </row>
    <row r="1004" spans="3:36" ht="15.75" customHeight="1" x14ac:dyDescent="0.2">
      <c r="C1004" s="123"/>
      <c r="D1004" s="123"/>
      <c r="E1004" s="123"/>
      <c r="F1004" s="123"/>
      <c r="G1004" s="123"/>
      <c r="H1004" s="123"/>
      <c r="AJ1004" s="218"/>
    </row>
    <row r="1005" spans="3:36" ht="15.75" customHeight="1" x14ac:dyDescent="0.2">
      <c r="C1005" s="123"/>
      <c r="D1005" s="123"/>
      <c r="E1005" s="123"/>
      <c r="F1005" s="123"/>
      <c r="G1005" s="123"/>
      <c r="H1005" s="123"/>
      <c r="AJ1005" s="218"/>
    </row>
    <row r="1006" spans="3:36" ht="15.75" customHeight="1" x14ac:dyDescent="0.2">
      <c r="C1006" s="123"/>
      <c r="D1006" s="123"/>
      <c r="E1006" s="123"/>
      <c r="F1006" s="123"/>
      <c r="G1006" s="123"/>
      <c r="H1006" s="123"/>
      <c r="AJ1006" s="218"/>
    </row>
    <row r="1007" spans="3:36" ht="15.75" customHeight="1" x14ac:dyDescent="0.2">
      <c r="C1007" s="123"/>
      <c r="D1007" s="123"/>
      <c r="E1007" s="123"/>
      <c r="F1007" s="123"/>
      <c r="G1007" s="123"/>
      <c r="H1007" s="123"/>
      <c r="AJ1007" s="218"/>
    </row>
    <row r="1008" spans="3:36" ht="15.75" customHeight="1" x14ac:dyDescent="0.2">
      <c r="C1008" s="123"/>
      <c r="D1008" s="123"/>
      <c r="E1008" s="123"/>
      <c r="F1008" s="123"/>
      <c r="G1008" s="123"/>
      <c r="H1008" s="123"/>
      <c r="AJ1008" s="218"/>
    </row>
    <row r="1009" spans="3:36" ht="15.75" customHeight="1" x14ac:dyDescent="0.2">
      <c r="C1009" s="123"/>
      <c r="D1009" s="123"/>
      <c r="E1009" s="123"/>
      <c r="F1009" s="123"/>
      <c r="G1009" s="123"/>
      <c r="H1009" s="123"/>
      <c r="AJ1009" s="218"/>
    </row>
    <row r="1010" spans="3:36" ht="15.75" customHeight="1" x14ac:dyDescent="0.2">
      <c r="C1010" s="123"/>
      <c r="D1010" s="123"/>
      <c r="E1010" s="123"/>
      <c r="F1010" s="123"/>
      <c r="G1010" s="123"/>
      <c r="H1010" s="123"/>
      <c r="AJ1010" s="218"/>
    </row>
    <row r="1011" spans="3:36" ht="15.75" customHeight="1" x14ac:dyDescent="0.2">
      <c r="C1011" s="123"/>
      <c r="D1011" s="123"/>
      <c r="E1011" s="123"/>
      <c r="F1011" s="123"/>
      <c r="G1011" s="123"/>
      <c r="H1011" s="123"/>
      <c r="AJ1011" s="218"/>
    </row>
    <row r="1012" spans="3:36" ht="15.75" customHeight="1" x14ac:dyDescent="0.2">
      <c r="C1012" s="123"/>
      <c r="D1012" s="123"/>
      <c r="E1012" s="123"/>
      <c r="F1012" s="123"/>
      <c r="G1012" s="123"/>
      <c r="H1012" s="123"/>
      <c r="AJ1012" s="218"/>
    </row>
    <row r="1013" spans="3:36" ht="15.75" customHeight="1" x14ac:dyDescent="0.2">
      <c r="C1013" s="123"/>
      <c r="D1013" s="123"/>
      <c r="E1013" s="123"/>
      <c r="F1013" s="123"/>
      <c r="G1013" s="123"/>
      <c r="H1013" s="123"/>
      <c r="AJ1013" s="218"/>
    </row>
    <row r="1014" spans="3:36" ht="15.75" customHeight="1" x14ac:dyDescent="0.2">
      <c r="C1014" s="123"/>
      <c r="D1014" s="123"/>
      <c r="E1014" s="123"/>
      <c r="F1014" s="123"/>
      <c r="G1014" s="123"/>
      <c r="H1014" s="123"/>
      <c r="AJ1014" s="218"/>
    </row>
    <row r="1015" spans="3:36" ht="15.75" customHeight="1" x14ac:dyDescent="0.2">
      <c r="C1015" s="123"/>
      <c r="D1015" s="123"/>
      <c r="E1015" s="123"/>
      <c r="F1015" s="123"/>
      <c r="G1015" s="123"/>
      <c r="H1015" s="123"/>
      <c r="AJ1015" s="218"/>
    </row>
    <row r="1016" spans="3:36" ht="15.75" customHeight="1" x14ac:dyDescent="0.2">
      <c r="C1016" s="123"/>
      <c r="D1016" s="123"/>
      <c r="E1016" s="123"/>
      <c r="F1016" s="123"/>
      <c r="G1016" s="123"/>
      <c r="H1016" s="123"/>
      <c r="AJ1016" s="218"/>
    </row>
    <row r="1017" spans="3:36" ht="15.75" customHeight="1" x14ac:dyDescent="0.2">
      <c r="C1017" s="123"/>
      <c r="D1017" s="123"/>
      <c r="E1017" s="123"/>
      <c r="F1017" s="123"/>
      <c r="G1017" s="123"/>
      <c r="H1017" s="123"/>
      <c r="AJ1017" s="218"/>
    </row>
    <row r="1018" spans="3:36" ht="15.75" customHeight="1" x14ac:dyDescent="0.2">
      <c r="C1018" s="123"/>
      <c r="D1018" s="123"/>
      <c r="E1018" s="123"/>
      <c r="F1018" s="123"/>
      <c r="G1018" s="123"/>
      <c r="H1018" s="123"/>
      <c r="AJ1018" s="218"/>
    </row>
    <row r="1019" spans="3:36" ht="15.75" customHeight="1" x14ac:dyDescent="0.2">
      <c r="C1019" s="123"/>
      <c r="D1019" s="123"/>
      <c r="E1019" s="123"/>
      <c r="F1019" s="123"/>
      <c r="G1019" s="123"/>
      <c r="H1019" s="123"/>
      <c r="AJ1019" s="218"/>
    </row>
    <row r="1020" spans="3:36" ht="15.75" customHeight="1" x14ac:dyDescent="0.2">
      <c r="C1020" s="123"/>
      <c r="D1020" s="123"/>
      <c r="E1020" s="123"/>
      <c r="F1020" s="123"/>
      <c r="G1020" s="123"/>
      <c r="H1020" s="123"/>
      <c r="AJ1020" s="218"/>
    </row>
    <row r="1021" spans="3:36" ht="15.75" customHeight="1" x14ac:dyDescent="0.2">
      <c r="C1021" s="123"/>
      <c r="D1021" s="123"/>
      <c r="E1021" s="123"/>
      <c r="F1021" s="123"/>
      <c r="G1021" s="123"/>
      <c r="H1021" s="123"/>
      <c r="AJ1021" s="218"/>
    </row>
    <row r="1022" spans="3:36" ht="15.75" customHeight="1" x14ac:dyDescent="0.2">
      <c r="C1022" s="123"/>
      <c r="D1022" s="123"/>
      <c r="E1022" s="123"/>
      <c r="F1022" s="123"/>
      <c r="G1022" s="123"/>
      <c r="H1022" s="123"/>
      <c r="AJ1022" s="218"/>
    </row>
    <row r="1023" spans="3:36" ht="15.75" customHeight="1" x14ac:dyDescent="0.2">
      <c r="C1023" s="123"/>
      <c r="D1023" s="123"/>
      <c r="E1023" s="123"/>
      <c r="F1023" s="123"/>
      <c r="G1023" s="123"/>
      <c r="H1023" s="123"/>
      <c r="AJ1023" s="218"/>
    </row>
    <row r="1024" spans="3:36" ht="15.75" customHeight="1" x14ac:dyDescent="0.2">
      <c r="C1024" s="123"/>
      <c r="D1024" s="123"/>
      <c r="E1024" s="123"/>
      <c r="F1024" s="123"/>
      <c r="G1024" s="123"/>
      <c r="H1024" s="123"/>
      <c r="AJ1024" s="218"/>
    </row>
    <row r="1025" spans="3:36" ht="15.75" customHeight="1" x14ac:dyDescent="0.2">
      <c r="C1025" s="123"/>
      <c r="D1025" s="123"/>
      <c r="E1025" s="123"/>
      <c r="F1025" s="123"/>
      <c r="G1025" s="123"/>
      <c r="H1025" s="123"/>
      <c r="AJ1025" s="218"/>
    </row>
    <row r="1026" spans="3:36" ht="15.75" customHeight="1" x14ac:dyDescent="0.2">
      <c r="C1026" s="123"/>
      <c r="D1026" s="123"/>
      <c r="E1026" s="123"/>
      <c r="F1026" s="123"/>
      <c r="G1026" s="123"/>
      <c r="H1026" s="123"/>
      <c r="AJ1026" s="218"/>
    </row>
    <row r="1027" spans="3:36" ht="15.75" customHeight="1" x14ac:dyDescent="0.2">
      <c r="C1027" s="123"/>
      <c r="D1027" s="123"/>
      <c r="E1027" s="123"/>
      <c r="F1027" s="123"/>
      <c r="G1027" s="123"/>
      <c r="H1027" s="123"/>
      <c r="AJ1027" s="218"/>
    </row>
    <row r="1028" spans="3:36" ht="15.75" customHeight="1" x14ac:dyDescent="0.2">
      <c r="C1028" s="123"/>
      <c r="D1028" s="123"/>
      <c r="E1028" s="123"/>
      <c r="F1028" s="123"/>
      <c r="G1028" s="123"/>
      <c r="H1028" s="123"/>
      <c r="AJ1028" s="218"/>
    </row>
    <row r="1029" spans="3:36" ht="15.75" customHeight="1" x14ac:dyDescent="0.2">
      <c r="C1029" s="123"/>
      <c r="D1029" s="123"/>
      <c r="E1029" s="123"/>
      <c r="F1029" s="123"/>
      <c r="G1029" s="123"/>
      <c r="H1029" s="123"/>
      <c r="AJ1029" s="218"/>
    </row>
    <row r="1030" spans="3:36" ht="15.75" customHeight="1" x14ac:dyDescent="0.2">
      <c r="C1030" s="123"/>
      <c r="D1030" s="123"/>
      <c r="E1030" s="123"/>
      <c r="F1030" s="123"/>
      <c r="G1030" s="123"/>
      <c r="H1030" s="123"/>
      <c r="AJ1030" s="218"/>
    </row>
    <row r="1031" spans="3:36" ht="15.75" customHeight="1" x14ac:dyDescent="0.2">
      <c r="C1031" s="123"/>
      <c r="D1031" s="123"/>
      <c r="E1031" s="123"/>
      <c r="F1031" s="123"/>
      <c r="G1031" s="123"/>
      <c r="H1031" s="123"/>
      <c r="AJ1031" s="218"/>
    </row>
    <row r="1032" spans="3:36" ht="15.75" customHeight="1" x14ac:dyDescent="0.2">
      <c r="C1032" s="123"/>
      <c r="D1032" s="123"/>
      <c r="E1032" s="123"/>
      <c r="F1032" s="123"/>
      <c r="G1032" s="123"/>
      <c r="H1032" s="123"/>
      <c r="AJ1032" s="218"/>
    </row>
    <row r="1033" spans="3:36" ht="15.75" customHeight="1" x14ac:dyDescent="0.2">
      <c r="C1033" s="123"/>
      <c r="D1033" s="123"/>
      <c r="E1033" s="123"/>
      <c r="F1033" s="123"/>
      <c r="G1033" s="123"/>
      <c r="H1033" s="123"/>
      <c r="AJ1033" s="218"/>
    </row>
    <row r="1034" spans="3:36" ht="15.75" customHeight="1" x14ac:dyDescent="0.2">
      <c r="C1034" s="123"/>
      <c r="D1034" s="123"/>
      <c r="E1034" s="123"/>
      <c r="F1034" s="123"/>
      <c r="G1034" s="123"/>
      <c r="H1034" s="123"/>
      <c r="AJ1034" s="218"/>
    </row>
    <row r="1035" spans="3:36" ht="15.75" customHeight="1" x14ac:dyDescent="0.2">
      <c r="C1035" s="123"/>
      <c r="D1035" s="123"/>
      <c r="E1035" s="123"/>
      <c r="F1035" s="123"/>
      <c r="G1035" s="123"/>
      <c r="H1035" s="123"/>
      <c r="AJ1035" s="218"/>
    </row>
  </sheetData>
  <mergeCells count="57">
    <mergeCell ref="K117:AG117"/>
    <mergeCell ref="K118:AG118"/>
    <mergeCell ref="A124:C124"/>
    <mergeCell ref="A125:C125"/>
    <mergeCell ref="AJ74:AJ77"/>
    <mergeCell ref="G82:G84"/>
    <mergeCell ref="H82:H84"/>
    <mergeCell ref="K115:AG115"/>
    <mergeCell ref="K116:AG116"/>
    <mergeCell ref="AJ44:AJ45"/>
    <mergeCell ref="AJ62:AJ63"/>
    <mergeCell ref="AJ68:AJ73"/>
    <mergeCell ref="F8:F9"/>
    <mergeCell ref="G8:G9"/>
    <mergeCell ref="F12:F26"/>
    <mergeCell ref="G12:G26"/>
    <mergeCell ref="H12:H26"/>
    <mergeCell ref="H29:H42"/>
    <mergeCell ref="H44:H45"/>
    <mergeCell ref="F46:F60"/>
    <mergeCell ref="G46:G60"/>
    <mergeCell ref="H46:H60"/>
    <mergeCell ref="F62:F63"/>
    <mergeCell ref="I8:AI8"/>
    <mergeCell ref="AJ12:AJ26"/>
    <mergeCell ref="A1:AI1"/>
    <mergeCell ref="A3:AI3"/>
    <mergeCell ref="A4:AI4"/>
    <mergeCell ref="A8:A9"/>
    <mergeCell ref="B8:B9"/>
    <mergeCell ref="C8:C9"/>
    <mergeCell ref="E8:E9"/>
    <mergeCell ref="D12:D26"/>
    <mergeCell ref="G68:G73"/>
    <mergeCell ref="H68:H73"/>
    <mergeCell ref="D74:D77"/>
    <mergeCell ref="D80:D84"/>
    <mergeCell ref="H8:H9"/>
    <mergeCell ref="F29:F42"/>
    <mergeCell ref="G29:G42"/>
    <mergeCell ref="F44:F45"/>
    <mergeCell ref="G44:G45"/>
    <mergeCell ref="D29:D42"/>
    <mergeCell ref="D44:D45"/>
    <mergeCell ref="D46:D60"/>
    <mergeCell ref="G74:G77"/>
    <mergeCell ref="H74:H77"/>
    <mergeCell ref="D116:F116"/>
    <mergeCell ref="D117:F117"/>
    <mergeCell ref="D62:D63"/>
    <mergeCell ref="D68:D73"/>
    <mergeCell ref="F68:F73"/>
    <mergeCell ref="F74:F77"/>
    <mergeCell ref="F80:F84"/>
    <mergeCell ref="D114:F114"/>
    <mergeCell ref="D115:F115"/>
    <mergeCell ref="I115:J115"/>
  </mergeCells>
  <pageMargins left="0.7" right="0.7" top="0.75" bottom="0.75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1st Quarter</vt:lpstr>
      <vt:lpstr>PPMP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40951</cp:lastModifiedBy>
  <dcterms:created xsi:type="dcterms:W3CDTF">2024-01-03T07:55:13Z</dcterms:created>
  <dcterms:modified xsi:type="dcterms:W3CDTF">2024-05-03T06:51:47Z</dcterms:modified>
</cp:coreProperties>
</file>