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th Quarter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4">
      <text>
        <t xml:space="preserve">======
ID#AAAALw1HShk
upmnih    (2021-04-08 04:25:07)
Prepared by: Project Staff/ Research Associate</t>
      </text>
    </comment>
    <comment authorId="0" ref="C64">
      <text>
        <t xml:space="preserve">======
ID#AAAALw1HSho
upmnih    (2021-04-08 04:25:07)
Submitted by: Project Leader</t>
      </text>
    </comment>
  </commentList>
</comments>
</file>

<file path=xl/sharedStrings.xml><?xml version="1.0" encoding="utf-8"?>
<sst xmlns="http://schemas.openxmlformats.org/spreadsheetml/2006/main" count="161" uniqueCount="107">
  <si>
    <t xml:space="preserve">  PROJECT PROCUREMENT MANAGEMENT PLAN (PPMP) 2024</t>
  </si>
  <si>
    <t>For 4th Quarter of CY 2024</t>
  </si>
  <si>
    <t>END-USER/UNIT: RDD-CDABUS</t>
  </si>
  <si>
    <t>Charged to: "Sustainable Material Solution from Post-Industrial Textile Wastes”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</si>
  <si>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</si>
  <si>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</si>
  <si>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</si>
  <si>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</si>
  <si>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</si>
  <si>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</si>
  <si>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</si>
  <si>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</si>
  <si>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</si>
  <si>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</si>
  <si>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November</t>
  </si>
  <si>
    <t>December</t>
  </si>
  <si>
    <t>January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</si>
  <si>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</si>
  <si>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</si>
  <si>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</si>
  <si>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</si>
  <si>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</si>
  <si>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</si>
  <si>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</si>
  <si>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</si>
  <si>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</si>
  <si>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</si>
  <si>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</si>
  <si>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Cash Advance - Representation Expenses</t>
  </si>
  <si>
    <t>4th Quarter Monthly Meeting</t>
  </si>
  <si>
    <t>10 pax</t>
  </si>
  <si>
    <t xml:space="preserve"> Cash Advance</t>
  </si>
  <si>
    <t>Assorted Groceries for 4th Quarter Monthly Meeting</t>
  </si>
  <si>
    <t>1 lot</t>
  </si>
  <si>
    <t>Cash Advance</t>
  </si>
  <si>
    <t>Cash Advance - Representation Expenses ( Closing of Audit )</t>
  </si>
  <si>
    <t>Extension Cord</t>
  </si>
  <si>
    <t>2 pc</t>
  </si>
  <si>
    <t>Various Office Supplies - Cash Advance</t>
  </si>
  <si>
    <t>pc</t>
  </si>
  <si>
    <t xml:space="preserve">One (1) lot Representation Expense for Closing
Ceremony of DOST-PTRI ISO Internal Audit
</t>
  </si>
  <si>
    <t>450 and 250 Capacitor</t>
  </si>
  <si>
    <t>Fire Extinguisher</t>
  </si>
  <si>
    <t>2 unit</t>
  </si>
  <si>
    <t>50211990 00</t>
  </si>
  <si>
    <t>Testing - Other Professional Services</t>
  </si>
  <si>
    <t>Fabric Composition, method (AATCC 20A)</t>
  </si>
  <si>
    <t>30 samples</t>
  </si>
  <si>
    <t>Agency-to-Agency/Negotiated Procurement-Small Value Procuremen</t>
  </si>
  <si>
    <t>15 working days</t>
  </si>
  <si>
    <t>Abrasion Resistance (Equipment manual)</t>
  </si>
  <si>
    <t>24 samples</t>
  </si>
  <si>
    <t xml:space="preserve">Evenness (ASTM D1425/D1425M) </t>
  </si>
  <si>
    <t>Hairiness (ASTM D5647)</t>
  </si>
  <si>
    <t xml:space="preserve">Yarn Number, single (ASTM D1059) </t>
  </si>
  <si>
    <t>Breaking Strength and Elongation, single strand, yarn
(ASTM D2256/D2256M)</t>
  </si>
  <si>
    <t xml:space="preserve">Twist, single (ASTM D1423) </t>
  </si>
  <si>
    <t>Worksheets Copy</t>
  </si>
  <si>
    <t>Yarn Spinning</t>
  </si>
  <si>
    <t>200 kg</t>
  </si>
  <si>
    <t>7working days</t>
  </si>
  <si>
    <t>Abrasion Resistance (ASTM D3884)</t>
  </si>
  <si>
    <t>3 sample</t>
  </si>
  <si>
    <t>7 working days</t>
  </si>
  <si>
    <t>Breaking Force/Strength (ASTM D35035)</t>
  </si>
  <si>
    <t>Thread Count (ASTM D3775)</t>
  </si>
  <si>
    <t>Pilling Resistance (ASTM D3512M)</t>
  </si>
  <si>
    <t>Fabric Weight (ASTM D3776/D3776M)</t>
  </si>
  <si>
    <t>Differential Scanning Calorimetry</t>
  </si>
  <si>
    <t>4 sample</t>
  </si>
  <si>
    <t>Thermogravimetric Analysis</t>
  </si>
  <si>
    <t>Professional Weaving (Powerloom) Services</t>
  </si>
  <si>
    <t>100 meter</t>
  </si>
  <si>
    <t>15 calendar days</t>
  </si>
  <si>
    <t>50604050 14</t>
  </si>
  <si>
    <t>Technical &amp; Scientific Equipment - Capital Outlay</t>
  </si>
  <si>
    <t>One (1) lot LABORATORY DRAWING FRAME</t>
  </si>
  <si>
    <t>Public Bidding</t>
  </si>
  <si>
    <t>60-90 working days</t>
  </si>
  <si>
    <t>Indirect Cost - FAD</t>
  </si>
  <si>
    <t>Bond Paper - A4</t>
  </si>
  <si>
    <t>12 reams</t>
  </si>
  <si>
    <t>Shopping</t>
  </si>
  <si>
    <t>Other Professional Services</t>
  </si>
  <si>
    <t>Professional Fee for the Video Editing Services</t>
  </si>
  <si>
    <t>per schedule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</si>
  <si>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</si>
  <si>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</si>
  <si>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</si>
  <si>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</si>
  <si>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</si>
  <si>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</si>
  <si>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</si>
  <si>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</si>
  <si>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</si>
  <si>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</si>
  <si>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</si>
  <si>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ZAILLA F. PAYAG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</si>
  <si>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</si>
  <si>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</si>
  <si>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</si>
  <si>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</si>
  <si>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</si>
  <si>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</si>
  <si>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</si>
  <si>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April 15, 2024</t>
  </si>
  <si>
    <t>Date: 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</si>
</sst>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3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sz val="12.0"/>
      <color rgb="FF0A0A0A"/>
      <name val="Helvetica Neue"/>
    </font>
    <font>
      <color theme="1"/>
      <name val="Arial"/>
      <scheme val="minor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FEFEFE"/>
        <bgColor rgb="FFFEFEFE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28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0" fillId="0" fontId="9" numFmtId="0" xfId="0" applyFont="1"/>
    <xf borderId="7" fillId="0" fontId="8" numFmtId="0" xfId="0" applyBorder="1" applyFont="1"/>
    <xf borderId="8" fillId="0" fontId="8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12" fillId="2" fontId="10" numFmtId="0" xfId="0" applyAlignment="1" applyBorder="1" applyFill="1" applyFont="1">
      <alignment horizontal="center" shrinkToFit="0" vertical="center" wrapText="1"/>
    </xf>
    <xf borderId="13" fillId="3" fontId="10" numFmtId="0" xfId="0" applyAlignment="1" applyBorder="1" applyFill="1" applyFont="1">
      <alignment horizontal="left" readingOrder="0" vertical="center"/>
    </xf>
    <xf borderId="14" fillId="3" fontId="2" numFmtId="0" xfId="0" applyBorder="1" applyFont="1"/>
    <xf borderId="14" fillId="3" fontId="2" numFmtId="4" xfId="0" applyAlignment="1" applyBorder="1" applyFont="1" applyNumberFormat="1">
      <alignment horizontal="right"/>
    </xf>
    <xf borderId="15" fillId="3" fontId="9" numFmtId="0" xfId="0" applyBorder="1" applyFont="1"/>
    <xf borderId="15" fillId="3" fontId="2" numFmtId="0" xfId="0" applyBorder="1" applyFont="1"/>
    <xf borderId="13" fillId="2" fontId="2" numFmtId="0" xfId="0" applyAlignment="1" applyBorder="1" applyFont="1">
      <alignment horizontal="left" readingOrder="0" vertical="center"/>
    </xf>
    <xf borderId="14" fillId="2" fontId="2" numFmtId="0" xfId="0" applyAlignment="1" applyBorder="1" applyFont="1">
      <alignment horizontal="center" readingOrder="0"/>
    </xf>
    <xf borderId="16" fillId="2" fontId="2" numFmtId="4" xfId="0" applyAlignment="1" applyBorder="1" applyFont="1" applyNumberFormat="1">
      <alignment horizontal="right" readingOrder="0"/>
    </xf>
    <xf borderId="14" fillId="2" fontId="2" numFmtId="0" xfId="0" applyAlignment="1" applyBorder="1" applyFont="1">
      <alignment horizontal="center"/>
    </xf>
    <xf borderId="14" fillId="2" fontId="2" numFmtId="0" xfId="0" applyBorder="1" applyFont="1"/>
    <xf borderId="15" fillId="2" fontId="9" numFmtId="0" xfId="0" applyBorder="1" applyFont="1"/>
    <xf borderId="15" fillId="2" fontId="2" numFmtId="0" xfId="0" applyBorder="1" applyFont="1"/>
    <xf borderId="12" fillId="2" fontId="2" numFmtId="0" xfId="0" applyAlignment="1" applyBorder="1" applyFont="1">
      <alignment horizontal="center" shrinkToFit="0" vertical="center" wrapText="1"/>
    </xf>
    <xf borderId="13" fillId="2" fontId="2" numFmtId="0" xfId="0" applyAlignment="1" applyBorder="1" applyFont="1">
      <alignment horizontal="left" readingOrder="0" vertical="center"/>
    </xf>
    <xf borderId="16" fillId="2" fontId="2" numFmtId="3" xfId="0" applyAlignment="1" applyBorder="1" applyFont="1" applyNumberFormat="1">
      <alignment horizontal="right" readingOrder="0"/>
    </xf>
    <xf borderId="14" fillId="2" fontId="2" numFmtId="0" xfId="0" applyAlignment="1" applyBorder="1" applyFont="1">
      <alignment readingOrder="0"/>
    </xf>
    <xf borderId="17" fillId="2" fontId="2" numFmtId="4" xfId="0" applyAlignment="1" applyBorder="1" applyFont="1" applyNumberFormat="1">
      <alignment horizontal="right" readingOrder="0"/>
    </xf>
    <xf borderId="14" fillId="2" fontId="2" numFmtId="0" xfId="0" applyAlignment="1" applyBorder="1" applyFont="1">
      <alignment horizontal="right" readingOrder="0"/>
    </xf>
    <xf borderId="18" fillId="0" fontId="10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left" readingOrder="0" vertical="center"/>
    </xf>
    <xf borderId="16" fillId="0" fontId="2" numFmtId="0" xfId="0" applyAlignment="1" applyBorder="1" applyFont="1">
      <alignment horizontal="center" readingOrder="0" shrinkToFit="0" vertical="center" wrapText="1"/>
    </xf>
    <xf borderId="16" fillId="0" fontId="2" numFmtId="4" xfId="0" applyAlignment="1" applyBorder="1" applyFont="1" applyNumberFormat="1">
      <alignment horizontal="right" readingOrder="0" shrinkToFit="0" vertical="center" wrapText="1"/>
    </xf>
    <xf borderId="16" fillId="0" fontId="2" numFmtId="164" xfId="0" applyAlignment="1" applyBorder="1" applyFont="1" applyNumberFormat="1">
      <alignment horizontal="right" readingOrder="0" shrinkToFit="0" vertical="center" wrapText="1"/>
    </xf>
    <xf borderId="14" fillId="0" fontId="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/>
    </xf>
    <xf borderId="14" fillId="0" fontId="2" numFmtId="0" xfId="0" applyBorder="1" applyFont="1"/>
    <xf borderId="19" fillId="0" fontId="2" numFmtId="0" xfId="0" applyAlignment="1" applyBorder="1" applyFont="1">
      <alignment horizontal="left" readingOrder="0" shrinkToFit="0" vertical="center" wrapText="1"/>
    </xf>
    <xf borderId="13" fillId="3" fontId="10" numFmtId="0" xfId="0" applyAlignment="1" applyBorder="1" applyFont="1">
      <alignment horizontal="left" vertical="center"/>
    </xf>
    <xf borderId="17" fillId="3" fontId="2" numFmtId="0" xfId="0" applyAlignment="1" applyBorder="1" applyFont="1">
      <alignment horizontal="center" shrinkToFit="0" vertical="center" wrapText="1"/>
    </xf>
    <xf borderId="17" fillId="3" fontId="2" numFmtId="4" xfId="0" applyAlignment="1" applyBorder="1" applyFont="1" applyNumberFormat="1">
      <alignment horizontal="center" shrinkToFit="0" vertical="center" wrapText="1"/>
    </xf>
    <xf borderId="17" fillId="3" fontId="2" numFmtId="164" xfId="0" applyAlignment="1" applyBorder="1" applyFont="1" applyNumberFormat="1">
      <alignment horizontal="center" shrinkToFit="0" vertical="center" wrapText="1"/>
    </xf>
    <xf borderId="14" fillId="3" fontId="2" numFmtId="0" xfId="0" applyAlignment="1" applyBorder="1" applyFont="1">
      <alignment horizontal="center"/>
    </xf>
    <xf borderId="19" fillId="0" fontId="2" numFmtId="0" xfId="0" applyAlignment="1" applyBorder="1" applyFont="1">
      <alignment horizontal="left" vertical="center"/>
    </xf>
    <xf borderId="14" fillId="0" fontId="2" numFmtId="0" xfId="0" applyAlignment="1" applyBorder="1" applyFont="1">
      <alignment horizontal="center" readingOrder="0" shrinkToFit="0" vertical="center" wrapText="1"/>
    </xf>
    <xf borderId="16" fillId="0" fontId="2" numFmtId="4" xfId="0" applyAlignment="1" applyBorder="1" applyFont="1" applyNumberFormat="1">
      <alignment horizontal="center" readingOrder="0" shrinkToFit="0" vertical="center" wrapText="1"/>
    </xf>
    <xf borderId="16" fillId="0" fontId="2" numFmtId="164" xfId="0" applyAlignment="1" applyBorder="1" applyFont="1" applyNumberFormat="1">
      <alignment horizontal="center" readingOrder="0" shrinkToFit="0" vertical="center" wrapText="1"/>
    </xf>
    <xf borderId="14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readingOrder="0" shrinkToFit="0" vertical="bottom" wrapText="1"/>
    </xf>
    <xf borderId="14" fillId="4" fontId="11" numFmtId="0" xfId="0" applyAlignment="1" applyBorder="1" applyFill="1" applyFont="1">
      <alignment horizontal="center" readingOrder="0"/>
    </xf>
    <xf borderId="14" fillId="0" fontId="2" numFmtId="4" xfId="0" applyAlignment="1" applyBorder="1" applyFont="1" applyNumberFormat="1">
      <alignment horizontal="center" readingOrder="0" vertical="bottom"/>
    </xf>
    <xf borderId="16" fillId="0" fontId="2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readingOrder="0" vertical="bottom"/>
    </xf>
    <xf borderId="14" fillId="0" fontId="2" numFmtId="4" xfId="0" applyAlignment="1" applyBorder="1" applyFont="1" applyNumberFormat="1">
      <alignment horizontal="center" readingOrder="0" vertical="top"/>
    </xf>
    <xf borderId="20" fillId="4" fontId="11" numFmtId="0" xfId="0" applyAlignment="1" applyBorder="1" applyFont="1">
      <alignment horizontal="center" readingOrder="0"/>
    </xf>
    <xf borderId="14" fillId="0" fontId="2" numFmtId="0" xfId="0" applyAlignment="1" applyBorder="1" applyFont="1">
      <alignment shrinkToFit="0" vertical="bottom" wrapText="1"/>
    </xf>
    <xf borderId="0" fillId="4" fontId="11" numFmtId="0" xfId="0" applyAlignment="1" applyFont="1">
      <alignment horizontal="center" readingOrder="0"/>
    </xf>
    <xf borderId="14" fillId="0" fontId="2" numFmtId="4" xfId="0" applyAlignment="1" applyBorder="1" applyFont="1" applyNumberFormat="1">
      <alignment horizontal="center" vertical="bottom"/>
    </xf>
    <xf borderId="14" fillId="0" fontId="2" numFmtId="0" xfId="0" applyAlignment="1" applyBorder="1" applyFont="1">
      <alignment vertical="bottom"/>
    </xf>
    <xf borderId="14" fillId="0" fontId="2" numFmtId="0" xfId="0" applyAlignment="1" applyBorder="1" applyFont="1">
      <alignment shrinkToFit="0" vertical="bottom" wrapText="1"/>
    </xf>
    <xf borderId="14" fillId="0" fontId="2" numFmtId="0" xfId="0" applyAlignment="1" applyBorder="1" applyFont="1">
      <alignment horizontal="center" readingOrder="0" shrinkToFit="0" wrapText="1"/>
    </xf>
    <xf borderId="0" fillId="5" fontId="12" numFmtId="0" xfId="0" applyAlignment="1" applyFill="1" applyFont="1">
      <alignment vertical="bottom"/>
    </xf>
    <xf borderId="0" fillId="0" fontId="12" numFmtId="0" xfId="0" applyAlignment="1" applyFont="1">
      <alignment vertical="bottom"/>
    </xf>
    <xf borderId="14" fillId="0" fontId="2" numFmtId="0" xfId="0" applyAlignment="1" applyBorder="1" applyFont="1">
      <alignment horizontal="left" readingOrder="0" vertical="center"/>
    </xf>
    <xf borderId="14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center" shrinkToFit="0" vertical="center" wrapText="1"/>
    </xf>
    <xf borderId="16" fillId="0" fontId="2" numFmtId="4" xfId="0" applyAlignment="1" applyBorder="1" applyFont="1" applyNumberFormat="1">
      <alignment horizontal="center" shrinkToFit="0" vertical="center" wrapText="1"/>
    </xf>
    <xf borderId="16" fillId="0" fontId="2" numFmtId="164" xfId="0" applyAlignment="1" applyBorder="1" applyFont="1" applyNumberFormat="1">
      <alignment horizontal="center" shrinkToFit="0" vertical="center" wrapText="1"/>
    </xf>
    <xf borderId="19" fillId="3" fontId="10" numFmtId="0" xfId="0" applyAlignment="1" applyBorder="1" applyFont="1">
      <alignment horizontal="left" vertical="center"/>
    </xf>
    <xf borderId="19" fillId="6" fontId="2" numFmtId="0" xfId="0" applyAlignment="1" applyBorder="1" applyFill="1" applyFont="1">
      <alignment horizontal="left" readingOrder="0" vertical="center"/>
    </xf>
    <xf borderId="16" fillId="6" fontId="2" numFmtId="0" xfId="0" applyAlignment="1" applyBorder="1" applyFont="1">
      <alignment horizontal="center" shrinkToFit="0" vertical="center" wrapText="1"/>
    </xf>
    <xf borderId="16" fillId="6" fontId="2" numFmtId="4" xfId="0" applyAlignment="1" applyBorder="1" applyFont="1" applyNumberFormat="1">
      <alignment horizontal="center" shrinkToFit="0" vertical="center" wrapText="1"/>
    </xf>
    <xf borderId="16" fillId="6" fontId="2" numFmtId="164" xfId="0" applyAlignment="1" applyBorder="1" applyFont="1" applyNumberFormat="1">
      <alignment horizontal="center" shrinkToFit="0" vertical="center" wrapText="1"/>
    </xf>
    <xf borderId="14" fillId="6" fontId="2" numFmtId="0" xfId="0" applyAlignment="1" applyBorder="1" applyFont="1">
      <alignment horizontal="center"/>
    </xf>
    <xf borderId="14" fillId="6" fontId="2" numFmtId="0" xfId="0" applyBorder="1" applyFont="1"/>
    <xf borderId="0" fillId="6" fontId="9" numFmtId="0" xfId="0" applyFont="1"/>
    <xf borderId="0" fillId="6" fontId="13" numFmtId="0" xfId="0" applyFont="1"/>
    <xf borderId="16" fillId="0" fontId="2" numFmtId="4" xfId="0" applyAlignment="1" applyBorder="1" applyFont="1" applyNumberFormat="1">
      <alignment horizontal="right" shrinkToFit="0" vertical="center" wrapText="1"/>
    </xf>
    <xf borderId="21" fillId="0" fontId="10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4" fillId="0" fontId="2" numFmtId="4" xfId="0" applyAlignment="1" applyBorder="1" applyFont="1" applyNumberFormat="1">
      <alignment horizontal="right" shrinkToFit="0" vertical="center" wrapText="1"/>
    </xf>
    <xf borderId="14" fillId="0" fontId="2" numFmtId="164" xfId="0" applyAlignment="1" applyBorder="1" applyFont="1" applyNumberFormat="1">
      <alignment horizontal="center" shrinkToFit="0" vertical="center" wrapText="1"/>
    </xf>
    <xf borderId="13" fillId="7" fontId="10" numFmtId="0" xfId="0" applyAlignment="1" applyBorder="1" applyFill="1" applyFont="1">
      <alignment horizontal="left" readingOrder="0" vertical="center"/>
    </xf>
    <xf borderId="14" fillId="7" fontId="2" numFmtId="0" xfId="0" applyBorder="1" applyFont="1"/>
    <xf borderId="14" fillId="7" fontId="2" numFmtId="4" xfId="0" applyAlignment="1" applyBorder="1" applyFont="1" applyNumberFormat="1">
      <alignment horizontal="right"/>
    </xf>
    <xf borderId="19" fillId="0" fontId="2" numFmtId="0" xfId="0" applyAlignment="1" applyBorder="1" applyFont="1">
      <alignment horizontal="center" vertical="center"/>
    </xf>
    <xf borderId="13" fillId="7" fontId="10" numFmtId="0" xfId="0" applyAlignment="1" applyBorder="1" applyFont="1">
      <alignment horizontal="left" vertical="center"/>
    </xf>
    <xf borderId="22" fillId="0" fontId="6" numFmtId="0" xfId="0" applyAlignment="1" applyBorder="1" applyFont="1">
      <alignment horizontal="left" shrinkToFit="0" vertical="center" wrapText="1"/>
    </xf>
    <xf borderId="23" fillId="0" fontId="8" numFmtId="0" xfId="0" applyBorder="1" applyFont="1"/>
    <xf borderId="24" fillId="0" fontId="8" numFmtId="0" xfId="0" applyBorder="1" applyFont="1"/>
    <xf borderId="0" fillId="0" fontId="6" numFmtId="0" xfId="0" applyAlignment="1" applyFont="1">
      <alignment vertical="center"/>
    </xf>
    <xf borderId="0" fillId="0" fontId="14" numFmtId="0" xfId="0" applyAlignment="1" applyFont="1">
      <alignment vertical="center"/>
    </xf>
    <xf borderId="25" fillId="0" fontId="2" numFmtId="164" xfId="0" applyAlignment="1" applyBorder="1" applyFont="1" applyNumberFormat="1">
      <alignment readingOrder="0"/>
    </xf>
    <xf borderId="0" fillId="0" fontId="15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19" fillId="0" fontId="6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26" fillId="0" fontId="1" numFmtId="164" xfId="0" applyAlignment="1" applyBorder="1" applyFont="1" applyNumberFormat="1">
      <alignment horizontal="center"/>
    </xf>
    <xf borderId="20" fillId="0" fontId="8" numFmtId="0" xfId="0" applyBorder="1" applyFont="1"/>
    <xf borderId="27" fillId="0" fontId="8" numFmtId="0" xfId="0" applyBorder="1" applyFont="1"/>
    <xf borderId="0" fillId="0" fontId="9" numFmtId="0" xfId="0" applyAlignment="1" applyFont="1">
      <alignment horizontal="left"/>
    </xf>
    <xf borderId="14" fillId="0" fontId="6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22" fillId="0" fontId="1" numFmtId="164" xfId="0" applyAlignment="1" applyBorder="1" applyFont="1" applyNumberFormat="1">
      <alignment horizontal="center"/>
    </xf>
    <xf borderId="0" fillId="0" fontId="14" numFmtId="0" xfId="0" applyFont="1"/>
    <xf borderId="0" fillId="0" fontId="14" numFmtId="164" xfId="0" applyAlignment="1" applyFont="1" applyNumberFormat="1">
      <alignment horizont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7" numFmtId="4" xfId="0" applyAlignment="1" applyFont="1" applyNumberFormat="1">
      <alignment horizontal="right" shrinkToFit="0" vertical="center" wrapText="1"/>
    </xf>
    <xf borderId="0" fillId="0" fontId="14" numFmtId="4" xfId="0" applyAlignment="1" applyFont="1" applyNumberFormat="1">
      <alignment horizontal="right"/>
    </xf>
    <xf borderId="0" fillId="0" fontId="7" numFmtId="0" xfId="0" applyAlignment="1" applyFont="1">
      <alignment shrinkToFit="0" wrapText="1"/>
    </xf>
    <xf borderId="0" fillId="0" fontId="18" numFmtId="0" xfId="0" applyAlignment="1" applyFont="1">
      <alignment horizontal="left" vertical="center"/>
    </xf>
    <xf borderId="0" fillId="0" fontId="7" numFmtId="0" xfId="0" applyAlignment="1" applyFont="1">
      <alignment horizontal="left" shrinkToFit="0" wrapText="1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4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19" numFmtId="4" xfId="0" applyAlignment="1" applyFont="1" applyNumberFormat="1">
      <alignment horizontal="right"/>
    </xf>
    <xf borderId="0" fillId="0" fontId="20" numFmtId="0" xfId="0" applyAlignment="1" applyFont="1">
      <alignment horizontal="left" shrinkToFit="0" vertical="center" wrapText="1"/>
    </xf>
    <xf borderId="0" fillId="0" fontId="21" numFmtId="0" xfId="0" applyFont="1"/>
    <xf borderId="0" fillId="0" fontId="20" numFmtId="0" xfId="0" applyAlignment="1" applyFont="1">
      <alignment shrinkToFit="0" wrapText="1"/>
    </xf>
    <xf borderId="0" fillId="0" fontId="22" numFmtId="0" xfId="0" applyFont="1"/>
    <xf borderId="0" fillId="0" fontId="20" numFmtId="0" xfId="0" applyAlignment="1" applyFont="1">
      <alignment horizontal="left" shrinkToFit="0" wrapText="1"/>
    </xf>
    <xf borderId="0" fillId="0" fontId="22" numFmtId="164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57.5"/>
    <col customWidth="1" min="3" max="3" width="11.63"/>
    <col customWidth="1" min="4" max="4" width="13.75"/>
    <col customWidth="1" min="5" max="5" width="13.5"/>
    <col customWidth="1" min="6" max="6" width="31.0"/>
    <col customWidth="1" min="7" max="7" width="19.5"/>
    <col customWidth="1" min="8" max="8" width="9.25"/>
    <col customWidth="1" min="9" max="9" width="10.25"/>
    <col customWidth="1" min="10" max="10" width="9.75"/>
    <col customWidth="1" min="11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/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8"/>
      <c r="B5" s="6"/>
      <c r="C5" s="2"/>
      <c r="D5" s="9"/>
      <c r="E5" s="10"/>
      <c r="F5" s="11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3</v>
      </c>
      <c r="B6" s="6"/>
      <c r="C6" s="2"/>
      <c r="D6" s="9"/>
      <c r="E6" s="10"/>
      <c r="F6" s="11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8" t="s">
        <v>4</v>
      </c>
      <c r="B7" s="6"/>
      <c r="C7" s="2"/>
      <c r="D7" s="9"/>
      <c r="E7" s="10"/>
      <c r="F7" s="11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2" t="s">
        <v>5</v>
      </c>
      <c r="B8" s="13" t="s">
        <v>6</v>
      </c>
      <c r="C8" s="14" t="s">
        <v>7</v>
      </c>
      <c r="D8" s="15" t="s">
        <v>8</v>
      </c>
      <c r="E8" s="16" t="s">
        <v>9</v>
      </c>
      <c r="F8" s="17" t="s">
        <v>10</v>
      </c>
      <c r="G8" s="13" t="s">
        <v>11</v>
      </c>
      <c r="H8" s="18" t="s">
        <v>12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20"/>
      <c r="W8" s="21"/>
      <c r="X8" s="21"/>
    </row>
    <row r="9">
      <c r="A9" s="22"/>
      <c r="B9" s="23"/>
      <c r="C9" s="24" t="s">
        <v>13</v>
      </c>
      <c r="D9" s="23"/>
      <c r="E9" s="23"/>
      <c r="F9" s="23"/>
      <c r="G9" s="23"/>
      <c r="H9" s="25" t="s">
        <v>14</v>
      </c>
      <c r="I9" s="25" t="s">
        <v>15</v>
      </c>
      <c r="J9" s="25" t="s">
        <v>16</v>
      </c>
      <c r="K9" s="26" t="s">
        <v>17</v>
      </c>
      <c r="L9" s="26" t="s">
        <v>18</v>
      </c>
      <c r="M9" s="26" t="s">
        <v>19</v>
      </c>
      <c r="N9" s="26" t="s">
        <v>20</v>
      </c>
      <c r="O9" s="26" t="s">
        <v>21</v>
      </c>
      <c r="P9" s="26" t="s">
        <v>22</v>
      </c>
      <c r="Q9" s="26" t="s">
        <v>23</v>
      </c>
      <c r="R9" s="26" t="s">
        <v>24</v>
      </c>
      <c r="S9" s="26" t="s">
        <v>25</v>
      </c>
      <c r="T9" s="26" t="s">
        <v>26</v>
      </c>
      <c r="U9" s="27" t="str">
        <f>$V$9</f>
        <v>REMARKS</v>
      </c>
      <c r="V9" s="27" t="s">
        <v>27</v>
      </c>
      <c r="W9" s="28"/>
      <c r="X9" s="21"/>
    </row>
    <row r="10" ht="15.75" customHeight="1">
      <c r="A10" s="29"/>
      <c r="B10" s="30" t="s">
        <v>28</v>
      </c>
      <c r="C10" s="31"/>
      <c r="D10" s="32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3"/>
      <c r="X10" s="33"/>
      <c r="Y10" s="34"/>
      <c r="Z10" s="34"/>
    </row>
    <row r="11" ht="15.0" customHeight="1">
      <c r="A11" s="29"/>
      <c r="B11" s="35" t="s">
        <v>29</v>
      </c>
      <c r="C11" s="36" t="s">
        <v>30</v>
      </c>
      <c r="D11" s="37">
        <v>100.0</v>
      </c>
      <c r="E11" s="37">
        <v>1000.0</v>
      </c>
      <c r="F11" s="36" t="s">
        <v>31</v>
      </c>
      <c r="G11" s="38"/>
      <c r="H11" s="36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40"/>
      <c r="X11" s="40"/>
      <c r="Y11" s="41"/>
      <c r="Z11" s="41"/>
    </row>
    <row r="12" ht="15.0" customHeight="1">
      <c r="A12" s="42"/>
      <c r="B12" s="43" t="s">
        <v>32</v>
      </c>
      <c r="C12" s="36" t="s">
        <v>33</v>
      </c>
      <c r="D12" s="37">
        <v>1000.0</v>
      </c>
      <c r="E12" s="44">
        <v>1000.0</v>
      </c>
      <c r="F12" s="36" t="s">
        <v>34</v>
      </c>
      <c r="G12" s="38"/>
      <c r="H12" s="45"/>
      <c r="I12" s="36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40"/>
      <c r="X12" s="40"/>
      <c r="Y12" s="41"/>
      <c r="Z12" s="41"/>
    </row>
    <row r="13" ht="15.0" customHeight="1">
      <c r="A13" s="42"/>
      <c r="B13" s="43" t="s">
        <v>35</v>
      </c>
      <c r="C13" s="36" t="s">
        <v>33</v>
      </c>
      <c r="D13" s="37">
        <v>8250.0</v>
      </c>
      <c r="E13" s="44">
        <v>8250.0</v>
      </c>
      <c r="F13" s="36" t="s">
        <v>34</v>
      </c>
      <c r="G13" s="38"/>
      <c r="H13" s="45"/>
      <c r="I13" s="36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40"/>
      <c r="X13" s="40"/>
      <c r="Y13" s="41"/>
      <c r="Z13" s="41"/>
    </row>
    <row r="14" ht="15.0" customHeight="1">
      <c r="A14" s="29"/>
      <c r="B14" s="43" t="s">
        <v>36</v>
      </c>
      <c r="C14" s="36" t="s">
        <v>37</v>
      </c>
      <c r="D14" s="46">
        <v>1000.0</v>
      </c>
      <c r="E14" s="47">
        <v>1000.0</v>
      </c>
      <c r="F14" s="36" t="s">
        <v>34</v>
      </c>
      <c r="G14" s="38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40"/>
      <c r="X14" s="40"/>
      <c r="Y14" s="41"/>
      <c r="Z14" s="41"/>
    </row>
    <row r="15" ht="15.75" customHeight="1">
      <c r="A15" s="48"/>
      <c r="B15" s="49" t="s">
        <v>38</v>
      </c>
      <c r="C15" s="50" t="s">
        <v>39</v>
      </c>
      <c r="D15" s="51">
        <v>1000.0</v>
      </c>
      <c r="E15" s="52">
        <v>1000.0</v>
      </c>
      <c r="F15" s="53" t="s">
        <v>34</v>
      </c>
      <c r="G15" s="54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21"/>
      <c r="X15" s="21"/>
    </row>
    <row r="16" ht="30.0" customHeight="1">
      <c r="A16" s="48"/>
      <c r="B16" s="56" t="s">
        <v>40</v>
      </c>
      <c r="C16" s="50" t="s">
        <v>33</v>
      </c>
      <c r="D16" s="51">
        <v>4500.0</v>
      </c>
      <c r="E16" s="52">
        <v>4500.0</v>
      </c>
      <c r="F16" s="53" t="s">
        <v>34</v>
      </c>
      <c r="G16" s="54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21"/>
      <c r="X16" s="21"/>
    </row>
    <row r="17" ht="15.75" customHeight="1">
      <c r="A17" s="48"/>
      <c r="B17" s="49" t="s">
        <v>41</v>
      </c>
      <c r="C17" s="50" t="s">
        <v>39</v>
      </c>
      <c r="D17" s="51">
        <v>1000.0</v>
      </c>
      <c r="E17" s="52">
        <v>1000.0</v>
      </c>
      <c r="F17" s="53" t="s">
        <v>34</v>
      </c>
      <c r="G17" s="54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21"/>
      <c r="X17" s="21"/>
    </row>
    <row r="18" ht="15.75" customHeight="1">
      <c r="A18" s="48"/>
      <c r="B18" s="49" t="s">
        <v>42</v>
      </c>
      <c r="C18" s="50" t="s">
        <v>43</v>
      </c>
      <c r="D18" s="51">
        <v>2000.0</v>
      </c>
      <c r="E18" s="52">
        <v>4000.0</v>
      </c>
      <c r="F18" s="53" t="s">
        <v>34</v>
      </c>
      <c r="G18" s="54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21"/>
      <c r="X18" s="21"/>
    </row>
    <row r="19" ht="15.75" customHeight="1">
      <c r="A19" s="29" t="s">
        <v>44</v>
      </c>
      <c r="B19" s="57" t="s">
        <v>45</v>
      </c>
      <c r="C19" s="58"/>
      <c r="D19" s="59"/>
      <c r="E19" s="60"/>
      <c r="F19" s="61"/>
      <c r="G19" s="6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3"/>
      <c r="X19" s="33"/>
      <c r="Y19" s="34"/>
      <c r="Z19" s="34"/>
    </row>
    <row r="20" ht="29.25" customHeight="1">
      <c r="A20" s="48"/>
      <c r="B20" s="62" t="s">
        <v>46</v>
      </c>
      <c r="C20" s="63" t="s">
        <v>47</v>
      </c>
      <c r="D20" s="64">
        <v>2000.0</v>
      </c>
      <c r="E20" s="65">
        <v>60000.0</v>
      </c>
      <c r="F20" s="63" t="s">
        <v>48</v>
      </c>
      <c r="G20" s="66" t="s">
        <v>49</v>
      </c>
      <c r="H20" s="66">
        <v>6.0</v>
      </c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21"/>
      <c r="X20" s="21"/>
    </row>
    <row r="21" ht="15.75" customHeight="1">
      <c r="A21" s="48"/>
      <c r="B21" s="67" t="s">
        <v>50</v>
      </c>
      <c r="C21" s="68" t="s">
        <v>51</v>
      </c>
      <c r="D21" s="69">
        <v>775.0</v>
      </c>
      <c r="E21" s="65">
        <v>18600.0</v>
      </c>
      <c r="F21" s="63" t="s">
        <v>48</v>
      </c>
      <c r="G21" s="66" t="s">
        <v>49</v>
      </c>
      <c r="H21" s="70">
        <v>10.0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21"/>
      <c r="X21" s="21"/>
    </row>
    <row r="22" ht="15.75" customHeight="1">
      <c r="A22" s="48"/>
      <c r="B22" s="67" t="s">
        <v>52</v>
      </c>
      <c r="C22" s="68" t="s">
        <v>51</v>
      </c>
      <c r="D22" s="69">
        <v>1095.0</v>
      </c>
      <c r="E22" s="65">
        <v>26280.0</v>
      </c>
      <c r="F22" s="63" t="s">
        <v>48</v>
      </c>
      <c r="G22" s="66" t="s">
        <v>49</v>
      </c>
      <c r="H22" s="70">
        <v>10.0</v>
      </c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21"/>
      <c r="X22" s="21"/>
    </row>
    <row r="23" ht="15.75" customHeight="1">
      <c r="A23" s="48"/>
      <c r="B23" s="67" t="s">
        <v>53</v>
      </c>
      <c r="C23" s="68" t="s">
        <v>51</v>
      </c>
      <c r="D23" s="69">
        <v>1095.0</v>
      </c>
      <c r="E23" s="65">
        <v>26280.0</v>
      </c>
      <c r="F23" s="63" t="s">
        <v>48</v>
      </c>
      <c r="G23" s="66" t="s">
        <v>49</v>
      </c>
      <c r="H23" s="70">
        <v>10.0</v>
      </c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21"/>
      <c r="X23" s="21"/>
    </row>
    <row r="24" ht="15.75" customHeight="1">
      <c r="A24" s="48"/>
      <c r="B24" s="67" t="s">
        <v>54</v>
      </c>
      <c r="C24" s="68" t="s">
        <v>51</v>
      </c>
      <c r="D24" s="69">
        <v>580.0</v>
      </c>
      <c r="E24" s="65">
        <v>13920.0</v>
      </c>
      <c r="F24" s="63" t="s">
        <v>48</v>
      </c>
      <c r="G24" s="66" t="s">
        <v>49</v>
      </c>
      <c r="H24" s="70">
        <v>10.0</v>
      </c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21"/>
      <c r="X24" s="21"/>
    </row>
    <row r="25" ht="15.75" customHeight="1">
      <c r="A25" s="48"/>
      <c r="B25" s="67" t="s">
        <v>55</v>
      </c>
      <c r="C25" s="68" t="s">
        <v>51</v>
      </c>
      <c r="D25" s="69">
        <v>645.0</v>
      </c>
      <c r="E25" s="65">
        <v>15480.0</v>
      </c>
      <c r="F25" s="63" t="s">
        <v>48</v>
      </c>
      <c r="G25" s="66" t="s">
        <v>49</v>
      </c>
      <c r="H25" s="70">
        <v>10.0</v>
      </c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21"/>
      <c r="X25" s="21"/>
    </row>
    <row r="26" ht="15.75" customHeight="1">
      <c r="A26" s="48"/>
      <c r="B26" s="67" t="s">
        <v>56</v>
      </c>
      <c r="C26" s="68" t="s">
        <v>51</v>
      </c>
      <c r="D26" s="69">
        <v>630.0</v>
      </c>
      <c r="E26" s="65">
        <v>15120.0</v>
      </c>
      <c r="F26" s="63" t="s">
        <v>48</v>
      </c>
      <c r="G26" s="66" t="s">
        <v>49</v>
      </c>
      <c r="H26" s="70">
        <v>10.0</v>
      </c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21"/>
      <c r="X26" s="21"/>
    </row>
    <row r="27" ht="15.75" customHeight="1">
      <c r="A27" s="48"/>
      <c r="B27" s="71" t="s">
        <v>57</v>
      </c>
      <c r="C27" s="68" t="s">
        <v>51</v>
      </c>
      <c r="D27" s="72">
        <v>420.0</v>
      </c>
      <c r="E27" s="65">
        <v>10080.0</v>
      </c>
      <c r="F27" s="63" t="s">
        <v>48</v>
      </c>
      <c r="G27" s="66" t="s">
        <v>49</v>
      </c>
      <c r="H27" s="70">
        <v>10.0</v>
      </c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21"/>
      <c r="X27" s="21"/>
    </row>
    <row r="28" ht="15.75" customHeight="1">
      <c r="A28" s="48"/>
      <c r="B28" s="49" t="s">
        <v>58</v>
      </c>
      <c r="C28" s="63" t="s">
        <v>59</v>
      </c>
      <c r="D28" s="64">
        <v>120.0</v>
      </c>
      <c r="E28" s="65">
        <v>24000.0</v>
      </c>
      <c r="F28" s="63" t="s">
        <v>48</v>
      </c>
      <c r="G28" s="73" t="s">
        <v>60</v>
      </c>
      <c r="H28" s="53">
        <v>100.0</v>
      </c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21"/>
      <c r="X28" s="21"/>
    </row>
    <row r="29" ht="15.75" customHeight="1">
      <c r="A29" s="48"/>
      <c r="B29" s="74" t="s">
        <v>61</v>
      </c>
      <c r="C29" s="75" t="s">
        <v>62</v>
      </c>
      <c r="D29" s="76">
        <v>810.0</v>
      </c>
      <c r="E29" s="65">
        <v>2430.0</v>
      </c>
      <c r="F29" s="63" t="s">
        <v>48</v>
      </c>
      <c r="G29" s="68" t="s">
        <v>63</v>
      </c>
      <c r="H29" s="53">
        <v>3.0</v>
      </c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21"/>
      <c r="X29" s="21"/>
    </row>
    <row r="30" ht="15.75" customHeight="1">
      <c r="A30" s="48"/>
      <c r="B30" s="74" t="s">
        <v>64</v>
      </c>
      <c r="C30" s="50" t="s">
        <v>62</v>
      </c>
      <c r="D30" s="76">
        <v>735.0</v>
      </c>
      <c r="E30" s="65">
        <v>2205.0</v>
      </c>
      <c r="F30" s="63" t="s">
        <v>48</v>
      </c>
      <c r="G30" s="68" t="s">
        <v>63</v>
      </c>
      <c r="H30" s="53">
        <v>3.0</v>
      </c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21"/>
      <c r="X30" s="21"/>
    </row>
    <row r="31" ht="15.75" customHeight="1">
      <c r="A31" s="48"/>
      <c r="B31" s="74" t="s">
        <v>65</v>
      </c>
      <c r="C31" s="50" t="s">
        <v>62</v>
      </c>
      <c r="D31" s="76">
        <v>225.0</v>
      </c>
      <c r="E31" s="65">
        <v>675.0</v>
      </c>
      <c r="F31" s="63" t="s">
        <v>48</v>
      </c>
      <c r="G31" s="68" t="s">
        <v>63</v>
      </c>
      <c r="H31" s="53">
        <v>3.0</v>
      </c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21"/>
      <c r="X31" s="21"/>
    </row>
    <row r="32" ht="15.75" customHeight="1">
      <c r="A32" s="48"/>
      <c r="B32" s="77" t="s">
        <v>66</v>
      </c>
      <c r="C32" s="50" t="s">
        <v>62</v>
      </c>
      <c r="D32" s="76">
        <v>645.0</v>
      </c>
      <c r="E32" s="65">
        <v>1935.0</v>
      </c>
      <c r="F32" s="63" t="s">
        <v>48</v>
      </c>
      <c r="G32" s="68" t="s">
        <v>63</v>
      </c>
      <c r="H32" s="53">
        <v>3.0</v>
      </c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21"/>
      <c r="X32" s="21"/>
    </row>
    <row r="33" ht="15.75" customHeight="1">
      <c r="A33" s="48"/>
      <c r="B33" s="78" t="s">
        <v>67</v>
      </c>
      <c r="C33" s="50" t="s">
        <v>62</v>
      </c>
      <c r="D33" s="76">
        <v>250.0</v>
      </c>
      <c r="E33" s="65">
        <v>750.0</v>
      </c>
      <c r="F33" s="79" t="s">
        <v>48</v>
      </c>
      <c r="G33" s="53" t="s">
        <v>63</v>
      </c>
      <c r="H33" s="53">
        <v>3.0</v>
      </c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21"/>
      <c r="X33" s="21"/>
    </row>
    <row r="34" ht="15.0" customHeight="1">
      <c r="A34" s="48"/>
      <c r="B34" s="80" t="s">
        <v>68</v>
      </c>
      <c r="C34" s="50" t="s">
        <v>69</v>
      </c>
      <c r="D34" s="64">
        <v>3000.0</v>
      </c>
      <c r="E34" s="65">
        <v>12000.0</v>
      </c>
      <c r="F34" s="79" t="s">
        <v>48</v>
      </c>
      <c r="G34" s="53" t="s">
        <v>63</v>
      </c>
      <c r="H34" s="53">
        <v>4.0</v>
      </c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21"/>
      <c r="X34" s="21"/>
    </row>
    <row r="35" ht="15.0" customHeight="1">
      <c r="A35" s="48"/>
      <c r="B35" s="81" t="s">
        <v>70</v>
      </c>
      <c r="C35" s="50" t="s">
        <v>69</v>
      </c>
      <c r="D35" s="64">
        <v>3500.0</v>
      </c>
      <c r="E35" s="65">
        <v>14000.0</v>
      </c>
      <c r="F35" s="79" t="s">
        <v>48</v>
      </c>
      <c r="G35" s="53" t="s">
        <v>63</v>
      </c>
      <c r="H35" s="53">
        <v>4.0</v>
      </c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21"/>
      <c r="X35" s="21"/>
    </row>
    <row r="36" ht="15.0" customHeight="1">
      <c r="A36" s="48"/>
      <c r="B36" s="82" t="s">
        <v>71</v>
      </c>
      <c r="C36" s="50" t="s">
        <v>72</v>
      </c>
      <c r="D36" s="64">
        <v>100.0</v>
      </c>
      <c r="E36" s="65">
        <v>10000.0</v>
      </c>
      <c r="F36" s="79" t="s">
        <v>48</v>
      </c>
      <c r="G36" s="53" t="s">
        <v>73</v>
      </c>
      <c r="H36" s="53">
        <v>15.0</v>
      </c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21"/>
      <c r="X36" s="21"/>
    </row>
    <row r="37" ht="15.0" customHeight="1">
      <c r="A37" s="48"/>
      <c r="B37" s="83"/>
      <c r="C37" s="84"/>
      <c r="D37" s="85"/>
      <c r="E37" s="86"/>
      <c r="F37" s="54"/>
      <c r="G37" s="54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21"/>
      <c r="X37" s="21"/>
    </row>
    <row r="38" ht="18.75" customHeight="1">
      <c r="A38" s="29" t="s">
        <v>74</v>
      </c>
      <c r="B38" s="87" t="s">
        <v>75</v>
      </c>
      <c r="C38" s="58"/>
      <c r="D38" s="59"/>
      <c r="E38" s="60"/>
      <c r="F38" s="61"/>
      <c r="G38" s="6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3"/>
      <c r="X38" s="33"/>
      <c r="Y38" s="34"/>
      <c r="Z38" s="34"/>
    </row>
    <row r="39" ht="15.75" customHeight="1">
      <c r="A39" s="48"/>
      <c r="B39" s="62" t="s">
        <v>76</v>
      </c>
      <c r="C39" s="84" t="s">
        <v>33</v>
      </c>
      <c r="D39" s="85">
        <v>1600000.0</v>
      </c>
      <c r="E39" s="65">
        <v>1600000.0</v>
      </c>
      <c r="F39" s="54" t="s">
        <v>77</v>
      </c>
      <c r="G39" s="54" t="s">
        <v>78</v>
      </c>
      <c r="H39" s="54">
        <v>1.0</v>
      </c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21"/>
      <c r="X39" s="21"/>
    </row>
    <row r="40" ht="15.0" customHeight="1">
      <c r="A40" s="48"/>
      <c r="B40" s="62"/>
      <c r="C40" s="84"/>
      <c r="D40" s="85"/>
      <c r="E40" s="86"/>
      <c r="F40" s="54"/>
      <c r="G40" s="54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21"/>
      <c r="X40" s="21"/>
    </row>
    <row r="41" ht="15.75" customHeight="1">
      <c r="A41" s="48"/>
      <c r="B41" s="62"/>
      <c r="C41" s="84"/>
      <c r="D41" s="85"/>
      <c r="E41" s="86"/>
      <c r="F41" s="54"/>
      <c r="G41" s="54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21"/>
      <c r="X41" s="21"/>
    </row>
    <row r="42" ht="15.75" customHeight="1">
      <c r="A42" s="48"/>
      <c r="B42" s="88" t="s">
        <v>79</v>
      </c>
      <c r="C42" s="89"/>
      <c r="D42" s="90"/>
      <c r="E42" s="91"/>
      <c r="F42" s="92"/>
      <c r="G42" s="92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4"/>
      <c r="X42" s="94"/>
      <c r="Y42" s="95"/>
      <c r="Z42" s="95"/>
    </row>
    <row r="43" ht="15.75" customHeight="1">
      <c r="A43" s="48"/>
      <c r="B43" s="49" t="s">
        <v>80</v>
      </c>
      <c r="C43" s="50" t="s">
        <v>81</v>
      </c>
      <c r="D43" s="64">
        <v>240.0</v>
      </c>
      <c r="E43" s="65">
        <v>2880.0</v>
      </c>
      <c r="F43" s="53" t="s">
        <v>82</v>
      </c>
      <c r="G43" s="53" t="s">
        <v>63</v>
      </c>
      <c r="H43" s="53">
        <v>12.0</v>
      </c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21"/>
      <c r="X43" s="21"/>
    </row>
    <row r="44" ht="15.75" customHeight="1">
      <c r="A44" s="48"/>
      <c r="B44" s="62"/>
      <c r="C44" s="84"/>
      <c r="D44" s="96"/>
      <c r="E44" s="86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21"/>
      <c r="X44" s="21"/>
    </row>
    <row r="45" ht="15.75" customHeight="1">
      <c r="A45" s="97"/>
      <c r="B45" s="83"/>
      <c r="C45" s="98"/>
      <c r="D45" s="99"/>
      <c r="E45" s="100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21"/>
      <c r="X45" s="21"/>
    </row>
    <row r="46" ht="15.75" customHeight="1">
      <c r="A46" s="48"/>
      <c r="B46" s="101" t="s">
        <v>83</v>
      </c>
      <c r="C46" s="102"/>
      <c r="D46" s="103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21"/>
      <c r="X46" s="21"/>
    </row>
    <row r="47" ht="15.75" customHeight="1">
      <c r="A47" s="48"/>
      <c r="B47" s="49" t="s">
        <v>84</v>
      </c>
      <c r="C47" s="50" t="s">
        <v>33</v>
      </c>
      <c r="D47" s="64">
        <v>49999.0</v>
      </c>
      <c r="E47" s="65">
        <v>49999.0</v>
      </c>
      <c r="F47" s="54"/>
      <c r="G47" s="53" t="s">
        <v>85</v>
      </c>
      <c r="H47" s="53">
        <v>1.0</v>
      </c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21"/>
      <c r="X47" s="21"/>
    </row>
    <row r="48" ht="15.75" customHeight="1">
      <c r="A48" s="48"/>
      <c r="B48" s="104"/>
      <c r="C48" s="84"/>
      <c r="D48" s="85"/>
      <c r="E48" s="86"/>
      <c r="F48" s="54"/>
      <c r="G48" s="54"/>
      <c r="H48" s="54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21"/>
      <c r="X48" s="21"/>
    </row>
    <row r="49" ht="15.75" customHeight="1">
      <c r="A49" s="48"/>
      <c r="B49" s="62"/>
      <c r="C49" s="84"/>
      <c r="D49" s="96"/>
      <c r="E49" s="86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21"/>
      <c r="X49" s="21"/>
    </row>
    <row r="50" ht="15.75" customHeight="1">
      <c r="A50" s="48"/>
      <c r="B50" s="62"/>
      <c r="C50" s="84"/>
      <c r="D50" s="96"/>
      <c r="E50" s="86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21"/>
      <c r="X50" s="21"/>
    </row>
    <row r="51" ht="15.75" customHeight="1">
      <c r="A51" s="48"/>
      <c r="B51" s="105" t="s">
        <v>86</v>
      </c>
      <c r="C51" s="102"/>
      <c r="D51" s="103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21"/>
      <c r="X51" s="21"/>
    </row>
    <row r="52" ht="15.75" customHeight="1">
      <c r="A52" s="48"/>
      <c r="B52" s="62"/>
      <c r="C52" s="84"/>
      <c r="D52" s="96"/>
      <c r="E52" s="86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21"/>
      <c r="X52" s="21"/>
    </row>
    <row r="53" ht="15.75" customHeight="1">
      <c r="A53" s="48"/>
      <c r="B53" s="62"/>
      <c r="C53" s="84"/>
      <c r="D53" s="96"/>
      <c r="E53" s="86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21"/>
      <c r="X53" s="21"/>
    </row>
    <row r="54" ht="15.75" customHeight="1">
      <c r="A54" s="48"/>
      <c r="B54" s="62"/>
      <c r="C54" s="84"/>
      <c r="D54" s="96"/>
      <c r="E54" s="86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21"/>
      <c r="X54" s="21"/>
    </row>
    <row r="55" ht="15.75" customHeight="1">
      <c r="A55" s="97"/>
      <c r="B55" s="106" t="s">
        <v>87</v>
      </c>
      <c r="C55" s="107"/>
      <c r="D55" s="107"/>
      <c r="E55" s="107"/>
      <c r="F55" s="107"/>
      <c r="G55" s="107"/>
      <c r="H55" s="107"/>
      <c r="I55" s="108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21"/>
      <c r="X55" s="21"/>
    </row>
    <row r="56" ht="15.75" customHeight="1">
      <c r="A56" s="109"/>
      <c r="B56" s="110"/>
      <c r="C56" s="2"/>
      <c r="D56" s="9"/>
      <c r="E56" s="111">
        <v>1849505.0</v>
      </c>
      <c r="F56" s="11"/>
      <c r="G56" s="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112" t="s">
        <v>88</v>
      </c>
      <c r="B57" s="6"/>
      <c r="C57" s="113"/>
      <c r="F57" s="11"/>
      <c r="G57" s="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hidden="1" customHeight="1">
      <c r="A58" s="114" t="s">
        <v>89</v>
      </c>
      <c r="B58" s="115"/>
      <c r="C58" s="116">
        <f>PRODUCT(C57,0.1)</f>
        <v>0.1</v>
      </c>
      <c r="D58" s="117"/>
      <c r="E58" s="118"/>
      <c r="F58" s="11"/>
      <c r="G58" s="11"/>
      <c r="H58" s="119"/>
      <c r="J58" s="119"/>
      <c r="U58" s="119"/>
      <c r="V58" s="2"/>
      <c r="W58" s="2"/>
      <c r="X58" s="2"/>
    </row>
    <row r="59" ht="15.75" hidden="1" customHeight="1">
      <c r="A59" s="120" t="s">
        <v>90</v>
      </c>
      <c r="B59" s="121"/>
      <c r="C59" s="122">
        <f>PRODUCT(C57,0.1)</f>
        <v>0.1</v>
      </c>
      <c r="D59" s="107"/>
      <c r="E59" s="108"/>
      <c r="F59" s="11"/>
      <c r="G59" s="11"/>
      <c r="H59" s="123"/>
      <c r="I59" s="123"/>
      <c r="J59" s="124"/>
      <c r="U59" s="124"/>
      <c r="V59" s="2"/>
      <c r="W59" s="2"/>
      <c r="X59" s="2"/>
    </row>
    <row r="60" ht="15.75" hidden="1" customHeight="1">
      <c r="A60" s="120" t="s">
        <v>91</v>
      </c>
      <c r="B60" s="121"/>
      <c r="C60" s="122">
        <f>SUM(C57:E59)</f>
        <v>0.2</v>
      </c>
      <c r="D60" s="107"/>
      <c r="E60" s="108"/>
      <c r="F60" s="11"/>
      <c r="G60" s="11"/>
      <c r="H60" s="123"/>
      <c r="I60" s="123"/>
      <c r="J60" s="124"/>
      <c r="U60" s="124"/>
      <c r="V60" s="2"/>
      <c r="W60" s="2"/>
      <c r="X60" s="2"/>
    </row>
    <row r="61" ht="15.75" customHeight="1">
      <c r="A61" s="125"/>
      <c r="B61" s="6"/>
      <c r="C61" s="2"/>
      <c r="D61" s="9"/>
      <c r="E61" s="10"/>
      <c r="F61" s="11"/>
      <c r="G61" s="11"/>
      <c r="H61" s="123"/>
      <c r="I61" s="123"/>
      <c r="J61" s="124"/>
      <c r="U61" s="124"/>
      <c r="V61" s="2"/>
      <c r="W61" s="2"/>
      <c r="X61" s="2"/>
    </row>
    <row r="62" ht="15.75" customHeight="1">
      <c r="A62" s="126" t="s">
        <v>92</v>
      </c>
      <c r="B62" s="6"/>
      <c r="C62" s="2"/>
      <c r="D62" s="9"/>
      <c r="E62" s="10"/>
      <c r="F62" s="11"/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127"/>
      <c r="B63" s="6"/>
      <c r="C63" s="2"/>
      <c r="D63" s="9"/>
      <c r="E63" s="10"/>
      <c r="F63" s="11"/>
      <c r="G63" s="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128" t="s">
        <v>93</v>
      </c>
      <c r="B64" s="110"/>
      <c r="C64" s="129" t="s">
        <v>94</v>
      </c>
      <c r="F64" s="123"/>
      <c r="G64" s="123"/>
      <c r="H64" s="2"/>
      <c r="I64" s="129" t="s">
        <v>95</v>
      </c>
      <c r="O64" s="2"/>
      <c r="P64" s="2"/>
      <c r="Q64" s="129" t="s">
        <v>96</v>
      </c>
      <c r="U64" s="2"/>
      <c r="V64" s="2"/>
      <c r="X64" s="123"/>
    </row>
    <row r="65" ht="15.75" customHeight="1">
      <c r="A65" s="128"/>
      <c r="B65" s="110"/>
      <c r="C65" s="129"/>
      <c r="D65" s="130"/>
      <c r="E65" s="129"/>
      <c r="F65" s="123"/>
      <c r="G65" s="123"/>
      <c r="H65" s="2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3"/>
      <c r="X65" s="123"/>
    </row>
    <row r="66" ht="15.75" customHeight="1">
      <c r="A66" s="110"/>
      <c r="B66" s="110"/>
      <c r="C66" s="123"/>
      <c r="D66" s="131"/>
      <c r="E66" s="132"/>
      <c r="F66" s="123"/>
      <c r="G66" s="123"/>
      <c r="H66" s="2"/>
      <c r="I66" s="123"/>
      <c r="J66" s="132"/>
      <c r="K66" s="132"/>
      <c r="L66" s="132"/>
      <c r="M66" s="132"/>
      <c r="N66" s="132"/>
      <c r="O66" s="132"/>
      <c r="P66" s="132"/>
      <c r="Q66" s="123"/>
      <c r="R66" s="132"/>
      <c r="S66" s="123"/>
      <c r="T66" s="123"/>
      <c r="U66" s="123"/>
      <c r="V66" s="123"/>
      <c r="W66" s="123"/>
      <c r="X66" s="123"/>
    </row>
    <row r="67" ht="15.75" customHeight="1">
      <c r="A67" s="133" t="s">
        <v>97</v>
      </c>
      <c r="C67" s="134" t="s">
        <v>98</v>
      </c>
      <c r="G67" s="2"/>
      <c r="H67" s="2"/>
      <c r="I67" s="134" t="s">
        <v>99</v>
      </c>
      <c r="O67" s="2"/>
      <c r="P67" s="2"/>
      <c r="Q67" s="134" t="s">
        <v>100</v>
      </c>
      <c r="U67" s="2"/>
      <c r="V67" s="2"/>
    </row>
    <row r="68" ht="15.0" customHeight="1">
      <c r="A68" s="135" t="s">
        <v>101</v>
      </c>
      <c r="C68" s="136" t="s">
        <v>102</v>
      </c>
      <c r="G68" s="137"/>
      <c r="H68" s="2"/>
      <c r="I68" s="138" t="s">
        <v>103</v>
      </c>
      <c r="O68" s="2"/>
      <c r="P68" s="2"/>
      <c r="Q68" s="136" t="s">
        <v>104</v>
      </c>
      <c r="U68" s="2"/>
      <c r="V68" s="2"/>
      <c r="W68" s="123"/>
      <c r="X68" s="123"/>
    </row>
    <row r="69" ht="15.75" customHeight="1">
      <c r="A69" s="2"/>
      <c r="B69" s="2"/>
      <c r="C69" s="2"/>
      <c r="D69" s="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139" t="s">
        <v>105</v>
      </c>
      <c r="B70" s="2"/>
      <c r="C70" s="2" t="s">
        <v>106</v>
      </c>
      <c r="D70" s="9"/>
      <c r="E70" s="2"/>
      <c r="F70" s="2"/>
      <c r="G70" s="2"/>
      <c r="H70" s="2"/>
      <c r="I70" s="2" t="s">
        <v>106</v>
      </c>
      <c r="J70" s="2"/>
      <c r="K70" s="2"/>
      <c r="L70" s="2"/>
      <c r="M70" s="2"/>
      <c r="N70" s="2"/>
      <c r="O70" s="2"/>
      <c r="P70" s="2"/>
      <c r="Q70" s="2" t="s">
        <v>106</v>
      </c>
      <c r="R70" s="2"/>
      <c r="S70" s="2"/>
      <c r="T70" s="2"/>
      <c r="U70" s="2"/>
      <c r="V70" s="2"/>
      <c r="W70" s="2"/>
      <c r="X70" s="2"/>
    </row>
    <row r="71" ht="15.75" customHeight="1">
      <c r="D71" s="140"/>
      <c r="H71" s="141"/>
    </row>
    <row r="72" ht="15.75" customHeight="1">
      <c r="D72" s="140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</row>
    <row r="73" ht="15.75" customHeight="1">
      <c r="D73" s="140"/>
      <c r="H73" s="142"/>
      <c r="I73" s="143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</row>
    <row r="74" ht="15.75" customHeight="1">
      <c r="D74" s="140"/>
      <c r="H74" s="145"/>
    </row>
    <row r="75" ht="15.75" customHeight="1">
      <c r="D75" s="140"/>
      <c r="H75" s="146"/>
    </row>
    <row r="76" ht="15.75" customHeight="1">
      <c r="D76" s="140"/>
    </row>
    <row r="77" ht="15.75" customHeight="1">
      <c r="D77" s="140"/>
    </row>
    <row r="78" ht="15.75" customHeight="1">
      <c r="D78" s="140"/>
    </row>
    <row r="79" ht="15.75" customHeight="1">
      <c r="D79" s="140"/>
    </row>
    <row r="80" ht="15.75" customHeight="1">
      <c r="D80" s="140"/>
    </row>
    <row r="81" ht="15.75" customHeight="1">
      <c r="D81" s="140"/>
    </row>
    <row r="82" ht="15.75" customHeight="1">
      <c r="D82" s="140"/>
    </row>
    <row r="83" ht="15.75" customHeight="1">
      <c r="D83" s="140"/>
    </row>
    <row r="84" ht="15.75" customHeight="1">
      <c r="D84" s="140"/>
    </row>
    <row r="85" ht="15.75" customHeight="1">
      <c r="D85" s="140"/>
    </row>
    <row r="86" ht="15.75" customHeight="1">
      <c r="D86" s="140"/>
    </row>
    <row r="87" ht="15.75" customHeight="1">
      <c r="D87" s="140"/>
    </row>
    <row r="88" ht="15.75" customHeight="1">
      <c r="D88" s="140"/>
    </row>
    <row r="89" ht="15.75" customHeight="1">
      <c r="D89" s="140"/>
    </row>
    <row r="90" ht="15.75" customHeight="1">
      <c r="D90" s="140"/>
    </row>
    <row r="91" ht="15.75" customHeight="1">
      <c r="D91" s="140"/>
    </row>
    <row r="92" ht="15.75" customHeight="1">
      <c r="D92" s="140"/>
    </row>
    <row r="93" ht="15.75" customHeight="1">
      <c r="D93" s="140"/>
    </row>
    <row r="94" ht="15.75" customHeight="1">
      <c r="D94" s="140"/>
    </row>
    <row r="95" ht="15.75" customHeight="1">
      <c r="D95" s="140"/>
    </row>
    <row r="96" ht="15.75" customHeight="1">
      <c r="D96" s="140"/>
    </row>
    <row r="97" ht="15.75" customHeight="1">
      <c r="D97" s="140"/>
    </row>
    <row r="98" ht="15.75" customHeight="1">
      <c r="D98" s="140"/>
    </row>
    <row r="99" ht="15.75" customHeight="1">
      <c r="D99" s="140"/>
    </row>
    <row r="100" ht="15.75" customHeight="1">
      <c r="D100" s="140"/>
    </row>
    <row r="101" ht="15.75" customHeight="1">
      <c r="D101" s="140"/>
    </row>
    <row r="102" ht="15.75" customHeight="1">
      <c r="D102" s="140"/>
    </row>
    <row r="103" ht="15.75" customHeight="1">
      <c r="D103" s="140"/>
    </row>
    <row r="104" ht="15.75" customHeight="1">
      <c r="D104" s="140"/>
    </row>
    <row r="105" ht="15.75" customHeight="1">
      <c r="D105" s="140"/>
    </row>
    <row r="106" ht="15.75" customHeight="1">
      <c r="D106" s="140"/>
    </row>
    <row r="107" ht="15.75" customHeight="1">
      <c r="D107" s="140"/>
    </row>
    <row r="108" ht="15.75" customHeight="1">
      <c r="D108" s="140"/>
    </row>
    <row r="109" ht="15.75" customHeight="1">
      <c r="D109" s="140"/>
    </row>
    <row r="110" ht="15.75" customHeight="1">
      <c r="D110" s="140"/>
    </row>
    <row r="111" ht="15.75" customHeight="1">
      <c r="D111" s="140"/>
    </row>
    <row r="112" ht="15.75" customHeight="1">
      <c r="D112" s="140"/>
    </row>
    <row r="113" ht="15.75" customHeight="1">
      <c r="D113" s="140"/>
    </row>
    <row r="114" ht="15.75" customHeight="1">
      <c r="D114" s="140"/>
    </row>
    <row r="115" ht="15.75" customHeight="1">
      <c r="D115" s="140"/>
    </row>
    <row r="116" ht="15.75" customHeight="1">
      <c r="D116" s="140"/>
    </row>
    <row r="117" ht="15.75" customHeight="1">
      <c r="D117" s="140"/>
    </row>
    <row r="118" ht="15.75" customHeight="1">
      <c r="D118" s="140"/>
    </row>
    <row r="119" ht="15.75" customHeight="1">
      <c r="D119" s="140"/>
    </row>
    <row r="120" ht="15.75" customHeight="1">
      <c r="D120" s="140"/>
    </row>
    <row r="121" ht="15.75" customHeight="1">
      <c r="D121" s="140"/>
    </row>
    <row r="122" ht="15.75" customHeight="1">
      <c r="D122" s="140"/>
    </row>
    <row r="123" ht="15.75" customHeight="1">
      <c r="D123" s="140"/>
    </row>
    <row r="124" ht="15.75" customHeight="1">
      <c r="D124" s="140"/>
    </row>
    <row r="125" ht="15.75" customHeight="1">
      <c r="D125" s="140"/>
    </row>
    <row r="126" ht="15.75" customHeight="1">
      <c r="D126" s="140"/>
    </row>
    <row r="127" ht="15.75" customHeight="1">
      <c r="D127" s="140"/>
    </row>
    <row r="128" ht="15.75" customHeight="1">
      <c r="D128" s="140"/>
    </row>
    <row r="129" ht="15.75" customHeight="1">
      <c r="D129" s="140"/>
    </row>
    <row r="130" ht="15.75" customHeight="1">
      <c r="D130" s="140"/>
    </row>
    <row r="131" ht="15.75" customHeight="1">
      <c r="D131" s="140"/>
    </row>
    <row r="132" ht="15.75" customHeight="1">
      <c r="D132" s="140"/>
    </row>
    <row r="133" ht="15.75" customHeight="1">
      <c r="D133" s="140"/>
    </row>
    <row r="134" ht="15.75" customHeight="1">
      <c r="D134" s="140"/>
    </row>
    <row r="135" ht="15.75" customHeight="1">
      <c r="D135" s="140"/>
    </row>
    <row r="136" ht="15.75" customHeight="1">
      <c r="D136" s="140"/>
    </row>
    <row r="137" ht="15.75" customHeight="1">
      <c r="D137" s="140"/>
    </row>
    <row r="138" ht="15.75" customHeight="1">
      <c r="D138" s="140"/>
    </row>
    <row r="139" ht="15.75" customHeight="1">
      <c r="D139" s="140"/>
    </row>
    <row r="140" ht="15.75" customHeight="1">
      <c r="D140" s="140"/>
    </row>
    <row r="141" ht="15.75" customHeight="1">
      <c r="D141" s="140"/>
    </row>
    <row r="142" ht="15.75" customHeight="1">
      <c r="D142" s="140"/>
    </row>
    <row r="143" ht="15.75" customHeight="1">
      <c r="D143" s="140"/>
    </row>
    <row r="144" ht="15.75" customHeight="1">
      <c r="D144" s="140"/>
    </row>
    <row r="145" ht="15.75" customHeight="1">
      <c r="D145" s="140"/>
    </row>
    <row r="146" ht="15.75" customHeight="1">
      <c r="D146" s="140"/>
    </row>
    <row r="147" ht="15.75" customHeight="1">
      <c r="D147" s="140"/>
    </row>
    <row r="148" ht="15.75" customHeight="1">
      <c r="D148" s="140"/>
    </row>
    <row r="149" ht="15.75" customHeight="1">
      <c r="D149" s="140"/>
    </row>
    <row r="150" ht="15.75" customHeight="1">
      <c r="D150" s="140"/>
    </row>
    <row r="151" ht="15.75" customHeight="1">
      <c r="D151" s="140"/>
    </row>
    <row r="152" ht="15.75" customHeight="1">
      <c r="D152" s="140"/>
    </row>
    <row r="153" ht="15.75" customHeight="1">
      <c r="D153" s="140"/>
    </row>
    <row r="154" ht="15.75" customHeight="1">
      <c r="D154" s="140"/>
    </row>
    <row r="155" ht="15.75" customHeight="1">
      <c r="D155" s="140"/>
    </row>
    <row r="156" ht="15.75" customHeight="1">
      <c r="D156" s="140"/>
    </row>
    <row r="157" ht="15.75" customHeight="1">
      <c r="D157" s="140"/>
    </row>
    <row r="158" ht="15.75" customHeight="1">
      <c r="D158" s="140"/>
    </row>
    <row r="159" ht="15.75" customHeight="1">
      <c r="D159" s="140"/>
    </row>
    <row r="160" ht="15.75" customHeight="1">
      <c r="D160" s="140"/>
    </row>
    <row r="161" ht="15.75" customHeight="1">
      <c r="D161" s="140"/>
    </row>
    <row r="162" ht="15.75" customHeight="1">
      <c r="D162" s="140"/>
    </row>
    <row r="163" ht="15.75" customHeight="1">
      <c r="D163" s="140"/>
    </row>
    <row r="164" ht="15.75" customHeight="1">
      <c r="D164" s="140"/>
    </row>
    <row r="165" ht="15.75" customHeight="1">
      <c r="D165" s="140"/>
    </row>
    <row r="166" ht="15.75" customHeight="1">
      <c r="D166" s="140"/>
    </row>
    <row r="167" ht="15.75" customHeight="1">
      <c r="D167" s="140"/>
    </row>
    <row r="168" ht="15.75" customHeight="1">
      <c r="D168" s="140"/>
    </row>
    <row r="169" ht="15.75" customHeight="1">
      <c r="D169" s="140"/>
    </row>
    <row r="170" ht="15.75" customHeight="1">
      <c r="D170" s="140"/>
    </row>
    <row r="171" ht="15.75" customHeight="1">
      <c r="D171" s="140"/>
    </row>
    <row r="172" ht="15.75" customHeight="1">
      <c r="D172" s="140"/>
    </row>
    <row r="173" ht="15.75" customHeight="1">
      <c r="D173" s="140"/>
    </row>
    <row r="174" ht="15.75" customHeight="1">
      <c r="D174" s="140"/>
    </row>
    <row r="175" ht="15.75" customHeight="1">
      <c r="D175" s="140"/>
    </row>
    <row r="176" ht="15.75" customHeight="1">
      <c r="D176" s="140"/>
    </row>
    <row r="177" ht="15.75" customHeight="1">
      <c r="D177" s="140"/>
    </row>
    <row r="178" ht="15.75" customHeight="1">
      <c r="D178" s="140"/>
    </row>
    <row r="179" ht="15.75" customHeight="1">
      <c r="D179" s="140"/>
    </row>
    <row r="180" ht="15.75" customHeight="1">
      <c r="D180" s="140"/>
    </row>
    <row r="181" ht="15.75" customHeight="1">
      <c r="D181" s="140"/>
    </row>
    <row r="182" ht="15.75" customHeight="1">
      <c r="D182" s="140"/>
    </row>
    <row r="183" ht="15.75" customHeight="1">
      <c r="D183" s="140"/>
    </row>
    <row r="184" ht="15.75" customHeight="1">
      <c r="D184" s="140"/>
    </row>
    <row r="185" ht="15.75" customHeight="1">
      <c r="D185" s="140"/>
    </row>
    <row r="186" ht="15.75" customHeight="1">
      <c r="D186" s="140"/>
    </row>
    <row r="187" ht="15.75" customHeight="1">
      <c r="D187" s="140"/>
    </row>
    <row r="188" ht="15.75" customHeight="1">
      <c r="D188" s="140"/>
    </row>
    <row r="189" ht="15.75" customHeight="1">
      <c r="D189" s="140"/>
    </row>
    <row r="190" ht="15.75" customHeight="1">
      <c r="D190" s="140"/>
    </row>
    <row r="191" ht="15.75" customHeight="1">
      <c r="D191" s="140"/>
    </row>
    <row r="192" ht="15.75" customHeight="1">
      <c r="D192" s="140"/>
    </row>
    <row r="193" ht="15.75" customHeight="1">
      <c r="D193" s="140"/>
    </row>
    <row r="194" ht="15.75" customHeight="1">
      <c r="D194" s="140"/>
    </row>
    <row r="195" ht="15.75" customHeight="1">
      <c r="D195" s="140"/>
    </row>
    <row r="196" ht="15.75" customHeight="1">
      <c r="D196" s="140"/>
    </row>
    <row r="197" ht="15.75" customHeight="1">
      <c r="D197" s="140"/>
    </row>
    <row r="198" ht="15.75" customHeight="1">
      <c r="D198" s="140"/>
    </row>
    <row r="199" ht="15.75" customHeight="1">
      <c r="D199" s="140"/>
    </row>
    <row r="200" ht="15.75" customHeight="1">
      <c r="D200" s="140"/>
    </row>
    <row r="201" ht="15.75" customHeight="1">
      <c r="D201" s="140"/>
    </row>
    <row r="202" ht="15.75" customHeight="1">
      <c r="D202" s="140"/>
    </row>
    <row r="203" ht="15.75" customHeight="1">
      <c r="D203" s="140"/>
    </row>
    <row r="204" ht="15.75" customHeight="1">
      <c r="D204" s="140"/>
    </row>
    <row r="205" ht="15.75" customHeight="1">
      <c r="D205" s="140"/>
    </row>
    <row r="206" ht="15.75" customHeight="1">
      <c r="D206" s="140"/>
    </row>
    <row r="207" ht="15.75" customHeight="1">
      <c r="D207" s="140"/>
    </row>
    <row r="208" ht="15.75" customHeight="1">
      <c r="D208" s="140"/>
    </row>
    <row r="209" ht="15.75" customHeight="1">
      <c r="D209" s="140"/>
    </row>
    <row r="210" ht="15.75" customHeight="1">
      <c r="D210" s="140"/>
    </row>
    <row r="211" ht="15.75" customHeight="1">
      <c r="D211" s="140"/>
    </row>
    <row r="212" ht="15.75" customHeight="1">
      <c r="D212" s="140"/>
    </row>
    <row r="213" ht="15.75" customHeight="1">
      <c r="D213" s="140"/>
    </row>
    <row r="214" ht="15.75" customHeight="1">
      <c r="D214" s="140"/>
    </row>
    <row r="215" ht="15.75" customHeight="1">
      <c r="D215" s="140"/>
    </row>
    <row r="216" ht="15.75" customHeight="1">
      <c r="D216" s="140"/>
    </row>
    <row r="217" ht="15.75" customHeight="1">
      <c r="D217" s="140"/>
    </row>
    <row r="218" ht="15.75" customHeight="1">
      <c r="D218" s="140"/>
    </row>
    <row r="219" ht="15.75" customHeight="1">
      <c r="D219" s="140"/>
    </row>
    <row r="220" ht="15.75" customHeight="1">
      <c r="D220" s="140"/>
    </row>
    <row r="221" ht="15.75" customHeight="1">
      <c r="D221" s="140"/>
    </row>
    <row r="222" ht="15.75" customHeight="1">
      <c r="D222" s="140"/>
    </row>
    <row r="223" ht="15.75" customHeight="1">
      <c r="D223" s="140"/>
    </row>
    <row r="224" ht="15.75" customHeight="1">
      <c r="D224" s="140"/>
    </row>
    <row r="225" ht="15.75" customHeight="1">
      <c r="D225" s="140"/>
    </row>
    <row r="226" ht="15.75" customHeight="1">
      <c r="D226" s="140"/>
    </row>
    <row r="227" ht="15.75" customHeight="1">
      <c r="D227" s="140"/>
    </row>
    <row r="228" ht="15.75" customHeight="1">
      <c r="D228" s="140"/>
    </row>
    <row r="229" ht="15.75" customHeight="1">
      <c r="D229" s="140"/>
    </row>
    <row r="230" ht="15.75" customHeight="1">
      <c r="D230" s="140"/>
    </row>
    <row r="231" ht="15.75" customHeight="1">
      <c r="D231" s="140"/>
    </row>
    <row r="232" ht="15.75" customHeight="1">
      <c r="D232" s="140"/>
    </row>
    <row r="233" ht="15.75" customHeight="1">
      <c r="D233" s="140"/>
    </row>
    <row r="234" ht="15.75" customHeight="1">
      <c r="D234" s="140"/>
    </row>
    <row r="235" ht="15.75" customHeight="1">
      <c r="D235" s="140"/>
    </row>
    <row r="236" ht="15.75" customHeight="1">
      <c r="D236" s="140"/>
    </row>
    <row r="237" ht="15.75" customHeight="1">
      <c r="D237" s="140"/>
    </row>
    <row r="238" ht="15.75" customHeight="1">
      <c r="D238" s="140"/>
    </row>
    <row r="239" ht="15.75" customHeight="1">
      <c r="D239" s="140"/>
    </row>
    <row r="240" ht="15.75" customHeight="1">
      <c r="D240" s="140"/>
    </row>
    <row r="241" ht="15.75" customHeight="1">
      <c r="D241" s="140"/>
    </row>
    <row r="242" ht="15.75" customHeight="1">
      <c r="D242" s="140"/>
    </row>
    <row r="243" ht="15.75" customHeight="1">
      <c r="D243" s="140"/>
    </row>
    <row r="244" ht="15.75" customHeight="1">
      <c r="D244" s="140"/>
    </row>
    <row r="245" ht="15.75" customHeight="1">
      <c r="D245" s="140"/>
    </row>
    <row r="246" ht="15.75" customHeight="1">
      <c r="D246" s="140"/>
    </row>
    <row r="247" ht="15.75" customHeight="1">
      <c r="D247" s="140"/>
    </row>
    <row r="248" ht="15.75" customHeight="1">
      <c r="D248" s="140"/>
    </row>
    <row r="249" ht="15.75" customHeight="1">
      <c r="D249" s="140"/>
    </row>
    <row r="250" ht="15.75" customHeight="1">
      <c r="D250" s="140"/>
    </row>
    <row r="251" ht="15.75" customHeight="1">
      <c r="D251" s="140"/>
    </row>
    <row r="252" ht="15.75" customHeight="1">
      <c r="D252" s="140"/>
    </row>
    <row r="253" ht="15.75" customHeight="1">
      <c r="D253" s="140"/>
    </row>
    <row r="254" ht="15.75" customHeight="1">
      <c r="D254" s="140"/>
    </row>
    <row r="255" ht="15.75" customHeight="1">
      <c r="D255" s="140"/>
    </row>
    <row r="256" ht="15.75" customHeight="1">
      <c r="D256" s="140"/>
    </row>
    <row r="257" ht="15.75" customHeight="1">
      <c r="D257" s="140"/>
    </row>
    <row r="258" ht="15.75" customHeight="1">
      <c r="D258" s="140"/>
    </row>
    <row r="259" ht="15.75" customHeight="1">
      <c r="D259" s="140"/>
    </row>
    <row r="260" ht="15.75" customHeight="1">
      <c r="D260" s="140"/>
    </row>
    <row r="261" ht="15.75" customHeight="1">
      <c r="D261" s="140"/>
    </row>
    <row r="262" ht="15.75" customHeight="1">
      <c r="D262" s="140"/>
    </row>
    <row r="263" ht="15.75" customHeight="1">
      <c r="D263" s="140"/>
    </row>
    <row r="264" ht="15.75" customHeight="1">
      <c r="D264" s="140"/>
    </row>
    <row r="265" ht="15.75" customHeight="1">
      <c r="D265" s="140"/>
    </row>
    <row r="266" ht="15.75" customHeight="1">
      <c r="D266" s="140"/>
    </row>
    <row r="267" ht="15.75" customHeight="1">
      <c r="D267" s="140"/>
    </row>
    <row r="268" ht="15.75" customHeight="1">
      <c r="D268" s="140"/>
    </row>
    <row r="269" ht="15.75" customHeight="1">
      <c r="D269" s="140"/>
    </row>
    <row r="270" ht="15.75" customHeight="1">
      <c r="D270" s="140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60:E60"/>
    <mergeCell ref="C64:E64"/>
    <mergeCell ref="A67:B67"/>
    <mergeCell ref="C67:F67"/>
    <mergeCell ref="A68:B68"/>
    <mergeCell ref="C68:F68"/>
    <mergeCell ref="F8:F9"/>
    <mergeCell ref="G8:G9"/>
    <mergeCell ref="B55:I55"/>
    <mergeCell ref="C57:E57"/>
    <mergeCell ref="C58:E58"/>
    <mergeCell ref="H58:I58"/>
    <mergeCell ref="C59:E59"/>
    <mergeCell ref="I67:N67"/>
    <mergeCell ref="Q67:T67"/>
    <mergeCell ref="V67:X67"/>
    <mergeCell ref="I68:N68"/>
    <mergeCell ref="Q68:T68"/>
    <mergeCell ref="H71:T71"/>
    <mergeCell ref="H74:T74"/>
    <mergeCell ref="H75:T75"/>
    <mergeCell ref="J58:T58"/>
    <mergeCell ref="J59:T59"/>
    <mergeCell ref="J60:T60"/>
    <mergeCell ref="J61:T61"/>
    <mergeCell ref="I64:N64"/>
    <mergeCell ref="Q64:T64"/>
    <mergeCell ref="V64:W64"/>
  </mergeCells>
  <printOptions/>
  <pageMargins bottom="0.75" footer="0.0" header="0.0" left="0.7" right="0.7" top="0.75"/>
  <pageSetup fitToHeight="0" paperSize="9" orientation="landscape"/>
  <drawing r:id="rId2"/>
  <legacyDrawing r:id="rId3"/>
</worksheet>
</file>