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-Silktures" sheetId="1" r:id="rId4"/>
    <sheet state="visible" name="Q2 - Silktures" sheetId="2" r:id="rId5"/>
    <sheet state="visible" name="Q3 - Silktures" sheetId="3" r:id="rId6"/>
  </sheets>
  <definedNames/>
  <calcPr/>
  <extLst>
    <ext uri="GoogleSheetsCustomDataVersion2">
      <go:sheetsCustomData xmlns:go="http://customooxmlschemas.google.com/" r:id="rId7" roundtripDataChecksum="INZYrmUE7TXgXMPkdEPWpiSd0QZcgyzVm8WP4pmFsJ8="/>
    </ext>
  </extLst>
</workbook>
</file>

<file path=xl/sharedStrings.xml><?xml version="1.0" encoding="utf-8"?>
<sst xmlns="http://schemas.openxmlformats.org/spreadsheetml/2006/main" count="1028" uniqueCount="441">
  <si>
    <t xml:space="preserve">  PROJECT PROCUREMENT MANAGEMENT PLAN (PPMP) 2024</t>
  </si>
  <si>
    <t>For 1st Quarter of CY 2024</t>
  </si>
  <si>
    <t>END-USER/UNIT: RDD-NFUS</t>
  </si>
  <si>
    <t>Charged to: Biofunctional and Sustainable Silk-Based Sutures (BioSilktures)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</si>
  <si>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</si>
  <si>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</si>
  <si>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</si>
  <si>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</si>
  <si>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</si>
  <si>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</si>
  <si>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</si>
  <si>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</si>
  <si>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</si>
  <si>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</si>
  <si>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</si>
  <si>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</si>
  <si>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</si>
  <si>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</si>
  <si>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</si>
  <si>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</si>
  <si>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</si>
  <si>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</si>
  <si>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</si>
  <si>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</si>
  <si>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</si>
  <si>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</si>
  <si>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</si>
  <si>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</si>
  <si>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</si>
  <si>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</si>
  <si>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</si>
  <si>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</si>
  <si>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</si>
  <si>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</si>
  <si>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</si>
  <si>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</si>
  <si>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</si>
  <si>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</si>
  <si>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</si>
  <si>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</si>
  <si>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</si>
  <si>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</si>
  <si>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</si>
  <si>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</si>
  <si>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</si>
  <si>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</si>
  <si>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</si>
  <si>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</si>
  <si>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</si>
  <si>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</si>
  <si>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</si>
  <si>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</si>
  <si>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</si>
  <si>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</si>
  <si>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</si>
  <si>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</si>
  <si>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</si>
  <si>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</si>
  <si>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</si>
  <si>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</si>
  <si>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</si>
  <si>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</si>
  <si>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</si>
  <si>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</si>
  <si>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</si>
  <si>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</si>
  <si>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</si>
  <si>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</si>
  <si>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</si>
  <si>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</si>
  <si>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</si>
  <si>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</si>
  <si>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</si>
  <si>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</si>
  <si>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</si>
  <si>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</si>
  <si>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</si>
  <si>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50213050 02</t>
  </si>
  <si>
    <t>Repair and Maintenance – Office Equipment</t>
  </si>
  <si>
    <t>Repair of FTIR</t>
  </si>
  <si>
    <t>1 lot</t>
  </si>
  <si>
    <t>Negotiated Procurement-Small Value Procurement</t>
  </si>
  <si>
    <t>Repair of Split Type Wall Mounted Inverter Airconditioner</t>
  </si>
  <si>
    <t>4 lot</t>
  </si>
  <si>
    <t>Preventive Maintenance of Split Type Wall Mounted Inverter Airconditioner</t>
  </si>
  <si>
    <t>2 unit</t>
  </si>
  <si>
    <t>Negotiated ProcurementSmall Value Procurement</t>
  </si>
  <si>
    <t>50203010 02</t>
  </si>
  <si>
    <t>Office Supplies Expenses</t>
  </si>
  <si>
    <t>100 pieces Kraft expanding envelope with elastic band, legal size</t>
  </si>
  <si>
    <t>Shopping</t>
  </si>
  <si>
    <t>10 pieces Metal file organizer rack, 3-layer</t>
  </si>
  <si>
    <t>10 pieces Stand file organizer box, blue</t>
  </si>
  <si>
    <t>OS-122</t>
  </si>
  <si>
    <t>100 pieces Sign Pen, blue, liquid/gel ink, 0.5mm tip</t>
  </si>
  <si>
    <t>OS-182</t>
  </si>
  <si>
    <t>25 reams Paper, Multi-purpose, A4 size, 70gsm</t>
  </si>
  <si>
    <t>OS-183</t>
  </si>
  <si>
    <t>25 reams Paper, Multi-purpose, Legal size, 70gsm</t>
  </si>
  <si>
    <t>OS-074</t>
  </si>
  <si>
    <t>25 reams Paper, Pink, A4 size, 70gsm</t>
  </si>
  <si>
    <t>10 books Record Book, 300 pages, size: 214mm x 278mm (min)</t>
  </si>
  <si>
    <t>100 pieces 4 trolley 6-drawers Multi-purpose Storage Organizer Trolley</t>
  </si>
  <si>
    <t>10 pieces  Standard Scissors</t>
  </si>
  <si>
    <t>OS-217</t>
  </si>
  <si>
    <t>5 pieces  Tailor Scissors</t>
  </si>
  <si>
    <t>5 pieces Sewing Scissors</t>
  </si>
  <si>
    <t>20 pieces Glue stick</t>
  </si>
  <si>
    <t>4 pieces Presentation Clicker</t>
  </si>
  <si>
    <t>6 boxes Wireless HDMI Transmitter and Reciever</t>
  </si>
  <si>
    <t>20 pieces Ink Toner 001 Black</t>
  </si>
  <si>
    <t>20 pieces Ink Toner 001 Magenta</t>
  </si>
  <si>
    <t>20 pieces Ink Toner 001 Cyan</t>
  </si>
  <si>
    <t>20 pieces Ink Toner 001 Yellow</t>
  </si>
  <si>
    <t>50203080 00</t>
  </si>
  <si>
    <t>Medical, Dental  Laboratory Supplies Expenses</t>
  </si>
  <si>
    <t>MDL-080</t>
  </si>
  <si>
    <t>2 bottles Absolute Ethanol, CAS No. 64-17-5, AR Grade,  ≥98.5%, 2.5L</t>
  </si>
  <si>
    <t>1 bottle Aluminum Oxide Pellets, 3mm, CAS No. 1344-28-1, 95%, 250g</t>
  </si>
  <si>
    <t>1 bottle Barium Chloride Dihydrate,10361-37-2, ≥99%, 1kg</t>
  </si>
  <si>
    <t>1 bottle Barium Sulfate, CAS No. 7727-43-7, ≥99%, 1kg</t>
  </si>
  <si>
    <t>1 bottle Chitosan,  CAS No.9012-76-4, ≥75% deacetylation, 250g</t>
  </si>
  <si>
    <t>5 bottles Curcumin, CAS No. 458-37-7, ≥ 95%, 10g</t>
  </si>
  <si>
    <t>1 bottle Cyrene, CAS No. 53716-82-8, AR Grade,  ≥ 98.5%, 100mL</t>
  </si>
  <si>
    <t>1 bottle Dimethylformamide, CAS No. 68-12-2, AR Grade, ≥99.8%, 2.5L</t>
  </si>
  <si>
    <t>1 bottle Dimethylsulfoxide, CAS No. 67-68-5, AR Grade, ≥99.9%, 2.5L</t>
  </si>
  <si>
    <t>1 bottle Ethyl Acetate, CAS No.141-78-6, AR Grade, ≥99.8%, 2.5L</t>
  </si>
  <si>
    <t>1 bottle Europium (III) Oxide, CAS No.1308-96-9, ≥ 99.5%, 25g</t>
  </si>
  <si>
    <t>1 bottle Fluorescein Sodium Salt,518-47-8, ≥95%, 50g</t>
  </si>
  <si>
    <t>1 bottle Hexane, CAS No. 110-54-3, AR Grade,  ≥98.5%, 4L</t>
  </si>
  <si>
    <t>1 bottle I-Carrageenan, CAS No. 9062-07-1, Commercial Grade, 100g</t>
  </si>
  <si>
    <t>2 bottles Lithium Carbonate, CAS No. 554-13-2, ≥99.99%,50g</t>
  </si>
  <si>
    <t>1 bottle PDDA, CAS No. 26062-79-3, Mw 200,000-350,000, 1kg</t>
  </si>
  <si>
    <t>2 bottles Poly (4-stryneresulfonic acid), 100g</t>
  </si>
  <si>
    <t>4 bottles Quinine Sulfate, CAS No.207671-44-1, ≥99%, 25g</t>
  </si>
  <si>
    <t>4 bottles Silicon Dioxide, CAS No. 60676-86-0, ≥ 99.9%,25g</t>
  </si>
  <si>
    <t>1 bottle Terbium (III, IV) Oxide, CAS No. 12037-01-3, 99.9% trace metals basis, 10g</t>
  </si>
  <si>
    <t>2 bottles Urea, CAS No.57-13-6, ACS Grade, ≥95%, 500g</t>
  </si>
  <si>
    <t>1 bottle Zinc Chloride, CAS No. 7646-85-7, ≥97%, 1kg</t>
  </si>
  <si>
    <t>1 bottle λ-Carrageenan, CAS No. 9064-57-7, ≥90%, 25g, 50g</t>
  </si>
  <si>
    <t>MDL-178</t>
  </si>
  <si>
    <t>2 bottles Glacial Acetic Acid, CAS No. 64-19-7, AR Grade,  ≥99.8%, 2.5L</t>
  </si>
  <si>
    <t>10 carbouys  Sodium Hydroxide, 48% Purity, Technical Grade, 30kg</t>
  </si>
  <si>
    <t>1 bottle Sodium Lauryl Sulfate, CAS No. 151-21-3, ≥95%, 500g</t>
  </si>
  <si>
    <t>1 bottle Sodium Phosphate Dibasic, CAS No. 7558-79-4, 1kg</t>
  </si>
  <si>
    <t>1 bottle Sodium Selenite, CAS No. 10102-18-8,  100 g</t>
  </si>
  <si>
    <t>1 bottle Sodium Sulfate, CAS No. 7757-82-6, ≥99%, 1 kg</t>
  </si>
  <si>
    <t>MDL-228</t>
  </si>
  <si>
    <t>20 bottles Glacial Acetic Acid, Technical Grade, 1 Liter</t>
  </si>
  <si>
    <t>Agate Mortar and Pestle</t>
  </si>
  <si>
    <t xml:space="preserve">1 unit </t>
  </si>
  <si>
    <t>50203990 00</t>
  </si>
  <si>
    <t>Other Supplies Expenses</t>
  </si>
  <si>
    <t>Banana Fibers</t>
  </si>
  <si>
    <t>17.25 kg</t>
  </si>
  <si>
    <t>Negotiated Procurement/Shopping</t>
  </si>
  <si>
    <t>Ginned Cotton Fibers</t>
  </si>
  <si>
    <t>300 kg</t>
  </si>
  <si>
    <t>13 pieces Safety hard hat, adjustable chin strap and forehead cotton lining, white</t>
  </si>
  <si>
    <t>13 pieces Mesh safety reflective vest</t>
  </si>
  <si>
    <t>13 pieces Whistle, plastic</t>
  </si>
  <si>
    <t>13 pieces Flashlight, 100 lumens, rechargeable LIT battery</t>
  </si>
  <si>
    <t xml:space="preserve">10 pieces Universal Adaptor Plug </t>
  </si>
  <si>
    <t xml:space="preserve">5 pieces Universal Outlet Extension Cord Power Cable 10 Gang </t>
  </si>
  <si>
    <t>5 pieces Universal Extension Wheel Cord Power , 10 or 15 meters</t>
  </si>
  <si>
    <t>1 set Flash Speed Light</t>
  </si>
  <si>
    <t>1 set Camera Battery</t>
  </si>
  <si>
    <t>2 units Lavatory Faucet</t>
  </si>
  <si>
    <t>2 units Wash Basin Connection Pipe</t>
  </si>
  <si>
    <t>50203010 01</t>
  </si>
  <si>
    <t>Supplies and Materials Expenses ( Indirect Cost) (FAD-BTS)</t>
  </si>
  <si>
    <t>10 boxes Stapler, standard type</t>
  </si>
  <si>
    <t>10 boxes Staple wire No.35</t>
  </si>
  <si>
    <t>5 boxes Sign pen - blue</t>
  </si>
  <si>
    <t>30 boxes Fastener, metal</t>
  </si>
  <si>
    <t>6 boxes Rubber Band</t>
  </si>
  <si>
    <t>10 Jars GLUE, All Purpose</t>
  </si>
  <si>
    <t>7 pieces Scissors</t>
  </si>
  <si>
    <t>7 pieces Mouse Pad (Black)</t>
  </si>
  <si>
    <t>3 packs Pink Paper A4</t>
  </si>
  <si>
    <t>2 pieces Self Inking Stamp (PAID)</t>
  </si>
  <si>
    <t>2 pieces Self Inking Stamp (8 Digit Numbers)</t>
  </si>
  <si>
    <t>2 pieces Self Inking Stamp (Date Stamp 12 years)</t>
  </si>
  <si>
    <t>100 pieces Eraser, Plastic/Rubber</t>
  </si>
  <si>
    <t>2 packs Electronic Calculator_Desktop</t>
  </si>
  <si>
    <t>20 boxes Interfolded Paper Towels, 2 ply, 100 pulls,per box</t>
  </si>
  <si>
    <t>10 packsTissue Paper, 3 ply, 24 rolls per pack</t>
  </si>
  <si>
    <t>10 pieces RULER, plastic, 450mm</t>
  </si>
  <si>
    <t>50211990 00</t>
  </si>
  <si>
    <t>Other Professional Services</t>
  </si>
  <si>
    <t>Weaving Services</t>
  </si>
  <si>
    <t>Negotiated Procurement-Small Value Procurement/Cash Advance</t>
  </si>
  <si>
    <t>Cultural Performance (PHWC)</t>
  </si>
  <si>
    <t>50299020 00</t>
  </si>
  <si>
    <t>Printing and Publication Expenses</t>
  </si>
  <si>
    <t>Journal Article</t>
  </si>
  <si>
    <t>1 unit</t>
  </si>
  <si>
    <t>50205020 01</t>
  </si>
  <si>
    <t>Telephone Expenses – Mobile</t>
  </si>
  <si>
    <t xml:space="preserve">Mobile Load Card </t>
  </si>
  <si>
    <t>26 pc</t>
  </si>
  <si>
    <t>50299040 00</t>
  </si>
  <si>
    <t>Transportation and Delivery Expense</t>
  </si>
  <si>
    <t>Bus Rental for Weavers and Digitalization Staff (PHWC)</t>
  </si>
  <si>
    <t>Trucking Services (PHWC)</t>
  </si>
  <si>
    <t>Subscription Expenses</t>
  </si>
  <si>
    <t>Creative Cloud Apps Annual Subscription</t>
  </si>
  <si>
    <t>1 license</t>
  </si>
  <si>
    <t>Petty Cash Fund / Direct Retail</t>
  </si>
  <si>
    <t>50604050 14</t>
  </si>
  <si>
    <t>Technical &amp; Scientific Equipment - Equipment Outlay</t>
  </si>
  <si>
    <t>Medical Braiding Machine</t>
  </si>
  <si>
    <t>Public Bidding</t>
  </si>
  <si>
    <t>PC Computer with accessories</t>
  </si>
  <si>
    <t>3 lots</t>
  </si>
  <si>
    <t>Microscope with imaging software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</si>
  <si>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</si>
  <si>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</si>
  <si>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</si>
  <si>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</si>
  <si>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</si>
  <si>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</si>
  <si>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</si>
  <si>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</si>
  <si>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</si>
  <si>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JULIUS L. LEAÑO JR., Ph.D.</t>
  </si>
  <si>
    <t>MARILOU G. AGUSTIN</t>
  </si>
  <si>
    <t>MERLITA R. ODI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</si>
  <si>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</si>
  <si>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</si>
  <si>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</si>
  <si>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</si>
  <si>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</si>
  <si>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</si>
  <si>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</si>
  <si>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Jul</t>
  </si>
  <si>
    <t>50 pieces Kraft expanding envelope with elastic band, legal size</t>
  </si>
  <si>
    <t>Small Value Procurement</t>
  </si>
  <si>
    <t>15-30 working days</t>
  </si>
  <si>
    <t>5 pieces Metal file organizer rack, 3-layer</t>
  </si>
  <si>
    <t>5 pieces Stand file organizer box, blue</t>
  </si>
  <si>
    <t>50 pieces Sign Pen, blue, liquid/gel ink, 0.5mm tip</t>
  </si>
  <si>
    <t>15 reams Paper, Multi-purpose, A4 size, 70gsm</t>
  </si>
  <si>
    <t>15 reams Paper, Multi-purpose, Legal size, 70gsm</t>
  </si>
  <si>
    <t>15 reams Paper, Pink, A4 size, 70gsm</t>
  </si>
  <si>
    <t>8 books Record Book, 300 pages, size: 214mm x 278mm (min)</t>
  </si>
  <si>
    <t>4 trolley 6-drawers Multi-purpose Storage Organizer Trolley</t>
  </si>
  <si>
    <t>8 pieces  Standard Scissors</t>
  </si>
  <si>
    <t>8 pieces Glue stick</t>
  </si>
  <si>
    <t>Paper Clips, Material: Steel, color: Silver 50mm 100pcs/box</t>
  </si>
  <si>
    <t>25 boxes</t>
  </si>
  <si>
    <t>8 pcs Notebook, steno, ≥60 leaves</t>
  </si>
  <si>
    <t>8 pieces</t>
  </si>
  <si>
    <t>Page flags/Marker, assorted colors Size: 1.2 x 4.5 cm, 100 flags/pack</t>
  </si>
  <si>
    <t>10 packs</t>
  </si>
  <si>
    <t>3 Office Partition</t>
  </si>
  <si>
    <t>3 Office Mesh Chair</t>
  </si>
  <si>
    <r>
      <rPr>
        <rFont val="Arial"/>
        <color theme="1"/>
        <sz val="9.0"/>
      </rPr>
      <t>Hot Plate with Magnetic Stirring</t>
    </r>
    <r>
      <rPr>
        <rFont val="Arial"/>
        <color theme="1"/>
        <sz val="9.0"/>
      </rPr>
      <t xml:space="preserve">
Specifications:
280 mm x 280 mm or equivalent or better
200 - 1500 C temperature range, 1 increment or equivalent or better
100 - 1500 rpm speed or equivalent or better
Ceramic Plate</t>
    </r>
  </si>
  <si>
    <t>2 units</t>
  </si>
  <si>
    <t>30-45 working days</t>
  </si>
  <si>
    <r>
      <rPr>
        <rFont val="Arial"/>
        <color theme="1"/>
        <sz val="9.0"/>
      </rPr>
      <t>Tabletop Desiccator</t>
    </r>
    <r>
      <rPr>
        <rFont val="Arial"/>
        <color theme="1"/>
        <sz val="9.0"/>
      </rPr>
      <t>, 210mm diameter or equivalent or better</t>
    </r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</si>
  <si>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</si>
  <si>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t>25mL Silver, dispersion nanoparticles, 40nm particle size (TEM), 0.02 mg/ml in aqueous buffer, contains sodium citrate as stabilizer, Sigma-Aldrich CAT# 730807</t>
  </si>
  <si>
    <t>500g Silver Nitrate AR, TPC India 33088</t>
  </si>
  <si>
    <t>1g Silk Fibroin average mol wt. 100 kDa (water soluble) Sigma Aldrich CAT#925802</t>
  </si>
  <si>
    <t>2 boxes Filter nPaper #4, 125mm, Whatman, box of 100's</t>
  </si>
  <si>
    <t>500g Lithium Bromide (LiBr)</t>
  </si>
  <si>
    <t>1 bottle</t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</si>
  <si>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</si>
  <si>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t>5 bottles</t>
  </si>
  <si>
    <t>60-90 working days</t>
  </si>
  <si>
    <t>8 pairs Heat Resistant and Slide Resistant Gloves</t>
  </si>
  <si>
    <t>8 pairs</t>
  </si>
  <si>
    <t>8 pieces Rectangular High-Density Polyethylene (HDPE) with handle Laboratory Basket</t>
  </si>
  <si>
    <t>10 boxes Nitrile Gloves (Medium)</t>
  </si>
  <si>
    <t>10 boxes Nitrile Gloves (Large)</t>
  </si>
  <si>
    <t>6 pieces Labgown (Medium)</t>
  </si>
  <si>
    <t>6  pieces Labgown (Large)</t>
  </si>
  <si>
    <t>20 pieces Beakers, borosilicate glass, 2L</t>
  </si>
  <si>
    <t>15 pieces Beakers, borosilicate glass, 1L</t>
  </si>
  <si>
    <t>15 pieces Beakers, borosilicate glass, 500 mL</t>
  </si>
  <si>
    <t>10 pieces Graduated cylinder, borosilicate glass, 1L</t>
  </si>
  <si>
    <t>10 pieces  Graduated cylinder, borosilicate glass, 500 mL</t>
  </si>
  <si>
    <t>10 pieces Graduated cylinder, borosilicate glass, 100 mL</t>
  </si>
  <si>
    <t>24 pieces Gooch Glass Filter</t>
  </si>
  <si>
    <t>Nunc EasYFlask, Filtered 55-mL cell culture flask, surface area = 175 cm2, 30 cases</t>
  </si>
  <si>
    <t>Nunc™ Cell-Culture Treated Multidishes, 24-well multidishes, 150 pcs</t>
  </si>
  <si>
    <t>Dulbecco's Modified Eagle's Medium (DMEM), 10 x 500 mL</t>
  </si>
  <si>
    <t>Gibco™ 10% fetal bovine serum</t>
  </si>
  <si>
    <t>Gibco™, Phosphate Buffer Solution (PBS) without Ca2+ or Mg2+, 10 x 500 mL</t>
  </si>
  <si>
    <t>Trypsin-EDTA (0.25%), phenol red, 20 x 100mL</t>
  </si>
  <si>
    <t>Trypsin Neutralizing Solution, 100mL</t>
  </si>
  <si>
    <t>Sterile conical tubes</t>
  </si>
  <si>
    <t>Nunc™ MicroWell™ 96-Well Microplates, 160 cases</t>
  </si>
  <si>
    <t>Resazurin, 1g</t>
  </si>
  <si>
    <t>0.22µm Membrane Syringe Filters, 1 box</t>
  </si>
  <si>
    <t>Terumo, 20mL Luer Lock Syringe, 50pcs</t>
  </si>
  <si>
    <t>Pyrex, Beaker, 1000mL</t>
  </si>
  <si>
    <t>Pyrex, Beaker, 500 mL</t>
  </si>
  <si>
    <t>Petri dish, Sterile, Disposable, With Cover,25 pcs</t>
  </si>
  <si>
    <t>BioPette™ A P3960-2A (0.1-2 µL)</t>
  </si>
  <si>
    <t>BioPette™ A P3960-10A (0.5-10 µL)</t>
  </si>
  <si>
    <t>BioPette™ A P3960-20A (2-20 µL)</t>
  </si>
  <si>
    <t>BioPette™ A P3960-100A (10-100 µL)</t>
  </si>
  <si>
    <t>BioPette™ A P3960-200A (20-200 µL)</t>
  </si>
  <si>
    <t>BioPette™ A P3960-1000A (100-1000 µL)</t>
  </si>
  <si>
    <t>2 µL filtered pipette tips</t>
  </si>
  <si>
    <t>10 uL filtered pipette tips</t>
  </si>
  <si>
    <t>20 µL filtered pipette tips</t>
  </si>
  <si>
    <t>200 µL filtered pipette tips</t>
  </si>
  <si>
    <t>1000 µL filtered pipette tips</t>
  </si>
  <si>
    <t>Multichannel pipettor 200 uL</t>
  </si>
  <si>
    <t>Multichannel pipette reservoir, 50 mL, disposable reagent reservoir, nonsterile</t>
  </si>
  <si>
    <t>1L PYREX Reagent Bottle Media Bottle Glass</t>
  </si>
  <si>
    <t>5 pieces</t>
  </si>
  <si>
    <t>500mL PYREX Reagent Bottle Media Bottle Glass</t>
  </si>
  <si>
    <t>250mL PYREX Reagent Bottle Media Bottle Glass</t>
  </si>
  <si>
    <t>Lysol No Rinse, 4x1 gal</t>
  </si>
  <si>
    <t>70% Isopropanol, 1 carboy</t>
  </si>
  <si>
    <t>Household bleach, 1 gal</t>
  </si>
  <si>
    <t>Paper towels, 30 packs</t>
  </si>
  <si>
    <t>Hairnet, 100 pcs</t>
  </si>
  <si>
    <t>Mask, 50 pcs</t>
  </si>
  <si>
    <t>Gloves, 100 pcs</t>
  </si>
  <si>
    <t>Laboratory Gown with cuff, Free size</t>
  </si>
  <si>
    <t>Laboratory Shoes, Free size</t>
  </si>
  <si>
    <t>Shoe covers, 100 pcs</t>
  </si>
  <si>
    <t>Yellow plastic bags, 10 pcs, Medium</t>
  </si>
  <si>
    <t>Yellow plastic bags, 10 pcs, XXL</t>
  </si>
  <si>
    <t>Black bags, 10 pcs, XXL</t>
  </si>
  <si>
    <t>Trash bin, yellow, 80L</t>
  </si>
  <si>
    <t>Trash bin, yellow, 100L</t>
  </si>
  <si>
    <t>Red biohazard plastic bag, 10 pcs</t>
  </si>
  <si>
    <t>Dust Remover, Sticky Floor Mat</t>
  </si>
  <si>
    <t>Floor Mop</t>
  </si>
  <si>
    <t>Refrigerator, Two-door, 1 lot</t>
  </si>
  <si>
    <t>Window-type Aircon, 1.5 Horse power</t>
  </si>
  <si>
    <t>Airpurifier, 2 units</t>
  </si>
  <si>
    <t>4 pieces Wired Headphones with Microphone
Specifications
Input Impedance: 32ohm
Sensitivity (Headphone): 94dBV/Pa +/-3dB or equivalent or better
Frequency Response (Headset): 20Hz to 20kHz or equivalent or better
USB Port (Type A port or Adapter)
Color: Black</t>
  </si>
  <si>
    <t>3 pieces External and Portable Hard Drive for Windows
Specifications:
Storage: 1TB or equivalent or better
Color: Silver/Black</t>
  </si>
  <si>
    <t>4 pieces Flashdrive
Storage: 64GB or equivalent or better
Color: Black</t>
  </si>
  <si>
    <t>16 pieces Safety hard hat, adjustable chin strap and forehead cotton lining, white</t>
  </si>
  <si>
    <t>16 pieces Mesh safety reflective vest</t>
  </si>
  <si>
    <t>16 pieces Whistle, plastic</t>
  </si>
  <si>
    <t>16 pieces Flashlight, 100 lumens, rechargeable LIT battery</t>
  </si>
  <si>
    <t>10 pieces Universal Outlet Extension Cord Power Cable with individual switches 6 gang</t>
  </si>
  <si>
    <t>First Aid Box with Medical Supplies</t>
  </si>
  <si>
    <t>2 sets</t>
  </si>
  <si>
    <t>Fire Extinguisher</t>
  </si>
  <si>
    <r>
      <rPr>
        <rFont val="Arial"/>
        <b/>
        <color theme="1"/>
        <sz val="9.0"/>
      </rPr>
      <t>All-in-one Printer Specifications:</t>
    </r>
    <r>
      <rPr>
        <rFont val="Arial"/>
        <color theme="1"/>
        <sz val="9.0"/>
      </rPr>
      <t xml:space="preserve">
- Print Resolution: Black: up to 1200 x 600 rendered dpi
 - Print Resolution: Color: up to 4800 x 1200 optimized dpi color
- USB, Wireless, Wi-Fi
- Copy Speed, Black: 480 pages
- Copy Speed, Color: 150 pages
- Scan Resolution: up to 1200 dpi
- Scan Size Maximum: 216 x 297 mm
- Monthly Usage Volume: up to 1000 pages</t>
    </r>
  </si>
  <si>
    <t xml:space="preserve">20 pieces Customized Certificate Holder </t>
  </si>
  <si>
    <t>10 boxes Mask</t>
  </si>
  <si>
    <t>Paper Towels, interfolded, 2 ply 30 packs/box</t>
  </si>
  <si>
    <t>10 packs Ziplock (Small)</t>
  </si>
  <si>
    <t>10 packs Ziplock (Medium)</t>
  </si>
  <si>
    <t>10 packs Ziplock (Large)</t>
  </si>
  <si>
    <t>10 packs Ziplock (Extra Large)</t>
  </si>
  <si>
    <t>18 bottles Isopropyl Alcohol with moisturizer, 70%,500ml</t>
  </si>
  <si>
    <t>18 bottles</t>
  </si>
  <si>
    <t>3 cans Disinfectant spray, 500 ml</t>
  </si>
  <si>
    <t>3 cans</t>
  </si>
  <si>
    <t>Long table (for aides)</t>
  </si>
  <si>
    <t>15 pieces Ink Toner 001 Black</t>
  </si>
  <si>
    <t>15 pieces Ink Toner 001 Magenta</t>
  </si>
  <si>
    <t>15 pieces Ink Toner 001 Cyan</t>
  </si>
  <si>
    <t>15 pieces Ink Toner 001 Yellow</t>
  </si>
  <si>
    <t>Customized Corporate Polo Shirt with Logo Embroidery
-  Material: Honeycomb
- Color: Purple/Violet
- Logo Embroidery: BIOMEDTEX Logo, DOST Logo and PTRI Logo
- Sizes(S - ?, M - ?, L - ?, XL - ?, XXL - ?)</t>
  </si>
  <si>
    <t>32 pieces</t>
  </si>
  <si>
    <t>Customized Reversible Corporate Jacket with Detachable Hood
Material: Brush twill, Microfiber
- with Handloom woven bamboo fabric on lapped zipper
- Color: Beige and Dark Navy Blue
- Logo Embroidery: BIOMEDTEX Program Logo, DOST Logo, PTRI Logo
- Size: M - ? ; L - ? ; XL - ? ; XXL - ?</t>
  </si>
  <si>
    <t>26 pieces</t>
  </si>
  <si>
    <t>For 3rd Quarter of CY 2024</t>
  </si>
  <si>
    <t>Aug</t>
  </si>
  <si>
    <t>50 pieces</t>
  </si>
  <si>
    <t>10 boxes Sign Pen, blue, liquid/gel ink, 0.5mm tip</t>
  </si>
  <si>
    <t>10 boxes</t>
  </si>
  <si>
    <t>Paper, Multi-purpose, A4 size, 70gsm</t>
  </si>
  <si>
    <t>2 boxes</t>
  </si>
  <si>
    <t>Paper, Multi-purpose, Legal size, 70gsm</t>
  </si>
  <si>
    <t>15 reams</t>
  </si>
  <si>
    <t>4 units</t>
  </si>
  <si>
    <t>Office Partition</t>
  </si>
  <si>
    <t>8 lots</t>
  </si>
  <si>
    <t>Office Mesh Chair</t>
  </si>
  <si>
    <r>
      <rPr>
        <rFont val="Arial"/>
        <color theme="1"/>
        <sz val="9.0"/>
      </rPr>
      <t>Hot Plate with Magnetic Stirring</t>
    </r>
    <r>
      <rPr>
        <rFont val="Arial"/>
        <color theme="1"/>
        <sz val="9.0"/>
      </rPr>
      <t xml:space="preserve">
Specifications:
280 mm x 280 mm or equivalent or better
200 - 1500 C temperature range, 1 increment or equivalent or better
100 - 1500 rpm speed or equivalent or better
Ceramic Plate</t>
    </r>
  </si>
  <si>
    <r>
      <rPr>
        <rFont val="Arial"/>
        <color theme="1"/>
        <sz val="9.0"/>
      </rPr>
      <t>Tabletop Desiccator</t>
    </r>
    <r>
      <rPr>
        <rFont val="Arial"/>
        <color theme="1"/>
        <sz val="9.0"/>
      </rPr>
      <t>, 210mm diameter or equivalent or better</t>
    </r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</si>
  <si>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</si>
  <si>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t>5 packs</t>
  </si>
  <si>
    <t>Milli-Q Water</t>
  </si>
  <si>
    <t>1g Standard Silk Fibroin</t>
  </si>
  <si>
    <t>Standard PLA</t>
  </si>
  <si>
    <t>Sodium Bicarbonate (NaHCO3)</t>
  </si>
  <si>
    <t>Formic Acid CAS No. 64-18-6</t>
  </si>
  <si>
    <t>Dichloromethane (DCM)</t>
  </si>
  <si>
    <t>Ethanol</t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</si>
  <si>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</si>
  <si>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t>10 pieces Magnetic Stirrer (Spin Bar) 8mm x 28mm</t>
  </si>
  <si>
    <t>10 pieces</t>
  </si>
  <si>
    <t>10 pieces Magnetic Stirrer (Spin Bar) 9mm x 35mm</t>
  </si>
  <si>
    <t>6 pieces</t>
  </si>
  <si>
    <t>20 pieces</t>
  </si>
  <si>
    <t>15 pieces</t>
  </si>
  <si>
    <t>24 pieces</t>
  </si>
  <si>
    <t>Standard Silver Nanoparticles (AgNPs)</t>
  </si>
  <si>
    <t>Whatman #4</t>
  </si>
  <si>
    <t>Silver Nitrate (AgNO3) CAS: 7761-88-8</t>
  </si>
  <si>
    <t>pH 7 Tris Buffer</t>
  </si>
  <si>
    <t>Polyglycolic Acid (PGA)</t>
  </si>
  <si>
    <t>6 lots</t>
  </si>
  <si>
    <t>2 lots</t>
  </si>
  <si>
    <t>2 lot</t>
  </si>
  <si>
    <t>20 bottles</t>
  </si>
  <si>
    <t>200 pcs</t>
  </si>
  <si>
    <t>4 bottles</t>
  </si>
  <si>
    <t>4 boxes</t>
  </si>
  <si>
    <t>5 pcs</t>
  </si>
  <si>
    <t>5 lots</t>
  </si>
  <si>
    <t>1 piece</t>
  </si>
  <si>
    <t>2 piece</t>
  </si>
  <si>
    <t>10 carboys</t>
  </si>
  <si>
    <t>10 lots</t>
  </si>
  <si>
    <t>15 packs</t>
  </si>
  <si>
    <t>12 lots</t>
  </si>
  <si>
    <t>5 pieces Universal Outlet Extension Cord Power Cable with individual switches 6 gang</t>
  </si>
  <si>
    <t>7 sets</t>
  </si>
  <si>
    <r>
      <rPr>
        <rFont val="Arial"/>
        <b/>
        <color theme="1"/>
        <sz val="9.0"/>
      </rPr>
      <t>All-in-one Printer Specifications:</t>
    </r>
    <r>
      <rPr>
        <rFont val="Arial"/>
        <color theme="1"/>
        <sz val="9.0"/>
      </rPr>
      <t xml:space="preserve">
- Print Resolution: Black: up to 1200 x 600 rendered dpi
 - Print Resolution: Color: up to 4800 x 1200 optimized dpi color
- USB, Wireless, Wi-Fi
- Copy Speed, Black: 480 pages
- Copy Speed, Color: 150 pages
- Scan Resolution: up to 1200 dpi
- Scan Size Maximum: 216 x 297 mm
- Monthly Usage Volume: up to 1000 pages</t>
    </r>
  </si>
  <si>
    <t>8 Steel mobile pedestal cabinet</t>
  </si>
  <si>
    <t>White or Acrylic Dry Erase Board (60cm×90cm)</t>
  </si>
  <si>
    <t>White Board Marker</t>
  </si>
  <si>
    <t>Cash Advance</t>
  </si>
  <si>
    <t>FESEM Imaging</t>
  </si>
  <si>
    <t>25 samples</t>
  </si>
  <si>
    <t>Agency to Agency</t>
  </si>
  <si>
    <t>Thermogravimetric Analysis</t>
  </si>
  <si>
    <t>Differential Scanning Calorimetry</t>
  </si>
  <si>
    <t>Breaking Strength and Elongation</t>
  </si>
  <si>
    <t>6 samples</t>
  </si>
  <si>
    <t>Agency-to-Agency/Negotiated Procurement-Small Value Procurement</t>
  </si>
  <si>
    <t>per schedule</t>
  </si>
  <si>
    <t>Tensile Strength</t>
  </si>
  <si>
    <t>Authentication Fee Jose Vera Memorial Herbarium of Institute of Biology at University of the Philippines - Diliman</t>
  </si>
  <si>
    <t>3 samples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</si>
</sst>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[$₱]#,##0.00"/>
    <numFmt numFmtId="166" formatCode="#,##0.00;(#,##0.00)"/>
  </numFmts>
  <fonts count="22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</font>
    <font>
      <sz val="9.0"/>
      <color rgb="FF000000"/>
      <name val="Arial"/>
    </font>
    <font>
      <color theme="1"/>
      <name val="Arial"/>
      <scheme val="minor"/>
    </font>
    <font>
      <sz val="9.0"/>
      <color rgb="FF1F1F1F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sz val="9.0"/>
      <color rgb="FFFF0000"/>
      <name val="Arial"/>
    </font>
    <font>
      <sz val="11.0"/>
      <color rgb="FFFF0000"/>
      <name val="Arial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6" fillId="0" fontId="7" numFmtId="0" xfId="0" applyBorder="1" applyFont="1"/>
    <xf borderId="7" fillId="0" fontId="7" numFmtId="0" xfId="0" applyBorder="1" applyFont="1"/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10" fillId="0" fontId="8" numFmtId="0" xfId="0" applyAlignment="1" applyBorder="1" applyFont="1">
      <alignment vertical="center"/>
    </xf>
    <xf quotePrefix="1" borderId="11" fillId="0" fontId="6" numFmtId="0" xfId="0" applyAlignment="1" applyBorder="1" applyFont="1">
      <alignment horizontal="center" shrinkToFit="0" vertical="center" wrapText="1"/>
    </xf>
    <xf quotePrefix="1" borderId="11" fillId="0" fontId="6" numFmtId="4" xfId="0" applyAlignment="1" applyBorder="1" applyFont="1" applyNumberFormat="1">
      <alignment horizontal="center" shrinkToFit="0" vertical="center" wrapText="1"/>
    </xf>
    <xf quotePrefix="1" borderId="11" fillId="0" fontId="6" numFmtId="164" xfId="0" applyAlignment="1" applyBorder="1" applyFont="1" applyNumberFormat="1">
      <alignment horizontal="center" shrinkToFit="0" vertical="center" wrapText="1"/>
    </xf>
    <xf quotePrefix="1" borderId="12" fillId="0" fontId="6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0" fillId="0" fontId="8" numFmtId="0" xfId="0" applyFont="1"/>
    <xf borderId="11" fillId="2" fontId="6" numFmtId="0" xfId="0" applyAlignment="1" applyBorder="1" applyFill="1" applyFont="1">
      <alignment horizontal="center" shrinkToFit="0" vertical="center" wrapText="1"/>
    </xf>
    <xf borderId="11" fillId="2" fontId="6" numFmtId="0" xfId="0" applyAlignment="1" applyBorder="1" applyFont="1">
      <alignment horizontal="left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1" fillId="2" fontId="8" numFmtId="4" xfId="0" applyAlignment="1" applyBorder="1" applyFont="1" applyNumberFormat="1">
      <alignment horizontal="right" shrinkToFit="0" vertical="center" wrapText="1"/>
    </xf>
    <xf borderId="11" fillId="2" fontId="8" numFmtId="164" xfId="0" applyAlignment="1" applyBorder="1" applyFont="1" applyNumberForma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shrinkToFit="0" vertical="center" wrapText="1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11" fillId="3" fontId="8" numFmtId="4" xfId="0" applyAlignment="1" applyBorder="1" applyFont="1" applyNumberFormat="1">
      <alignment horizontal="right" shrinkToFit="0" vertical="center" wrapText="1"/>
    </xf>
    <xf borderId="11" fillId="3" fontId="8" numFmtId="164" xfId="0" applyAlignment="1" applyBorder="1" applyFont="1" applyNumberForma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0" fillId="3" fontId="8" numFmtId="0" xfId="0" applyBorder="1" applyFont="1"/>
    <xf borderId="0" fillId="3" fontId="8" numFmtId="0" xfId="0" applyFont="1"/>
    <xf borderId="0" fillId="3" fontId="2" numFmtId="0" xfId="0" applyFont="1"/>
    <xf borderId="13" fillId="3" fontId="8" numFmtId="0" xfId="0" applyBorder="1" applyFont="1"/>
    <xf borderId="14" fillId="3" fontId="8" numFmtId="0" xfId="0" applyBorder="1" applyFont="1"/>
    <xf borderId="14" fillId="3" fontId="2" numFmtId="0" xfId="0" applyBorder="1" applyFont="1"/>
    <xf borderId="11" fillId="2" fontId="6" numFmtId="4" xfId="0" applyAlignment="1" applyBorder="1" applyFont="1" applyNumberFormat="1">
      <alignment horizontal="right" shrinkToFit="0" vertical="center" wrapText="1"/>
    </xf>
    <xf borderId="11" fillId="2" fontId="6" numFmtId="164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horizontal="center" vertical="center"/>
    </xf>
    <xf borderId="11" fillId="0" fontId="8" numFmtId="4" xfId="0" applyAlignment="1" applyBorder="1" applyFont="1" applyNumberFormat="1">
      <alignment horizontal="right" vertical="center"/>
    </xf>
    <xf borderId="15" fillId="0" fontId="8" numFmtId="4" xfId="0" applyAlignment="1" applyBorder="1" applyFont="1" applyNumberFormat="1">
      <alignment horizontal="right" vertical="center"/>
    </xf>
    <xf borderId="15" fillId="4" fontId="8" numFmtId="0" xfId="0" applyAlignment="1" applyBorder="1" applyFill="1" applyFont="1">
      <alignment horizontal="center" shrinkToFit="0" vertical="center" wrapText="1"/>
    </xf>
    <xf borderId="11" fillId="0" fontId="8" numFmtId="4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6" fillId="0" fontId="7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left" shrinkToFit="0" vertical="center" wrapText="1"/>
    </xf>
    <xf borderId="17" fillId="0" fontId="7" numFmtId="0" xfId="0" applyBorder="1" applyFont="1"/>
    <xf borderId="11" fillId="0" fontId="8" numFmtId="0" xfId="0" applyAlignment="1" applyBorder="1" applyFont="1">
      <alignment horizontal="left" vertical="center"/>
    </xf>
    <xf borderId="15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11" fillId="2" fontId="6" numFmtId="0" xfId="0" applyAlignment="1" applyBorder="1" applyFont="1">
      <alignment horizontal="left" vertical="center"/>
    </xf>
    <xf borderId="11" fillId="2" fontId="8" numFmtId="0" xfId="0" applyAlignment="1" applyBorder="1" applyFont="1">
      <alignment vertical="center"/>
    </xf>
    <xf borderId="11" fillId="2" fontId="8" numFmtId="4" xfId="0" applyAlignment="1" applyBorder="1" applyFont="1" applyNumberFormat="1">
      <alignment horizontal="right" vertical="center"/>
    </xf>
    <xf borderId="11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shrinkToFit="0" vertical="center" wrapText="1"/>
    </xf>
    <xf borderId="15" fillId="3" fontId="8" numFmtId="0" xfId="0" applyAlignment="1" applyBorder="1" applyFont="1">
      <alignment horizontal="center" vertical="center"/>
    </xf>
    <xf borderId="11" fillId="3" fontId="8" numFmtId="4" xfId="0" applyAlignment="1" applyBorder="1" applyFont="1" applyNumberFormat="1">
      <alignment horizontal="right" vertical="center"/>
    </xf>
    <xf borderId="15" fillId="3" fontId="8" numFmtId="4" xfId="0" applyAlignment="1" applyBorder="1" applyFont="1" applyNumberFormat="1">
      <alignment horizontal="right" vertical="center"/>
    </xf>
    <xf borderId="15" fillId="3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vertical="center"/>
    </xf>
    <xf borderId="11" fillId="3" fontId="8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vertical="center"/>
    </xf>
    <xf borderId="0" fillId="3" fontId="11" numFmtId="0" xfId="0" applyFont="1"/>
    <xf borderId="15" fillId="3" fontId="8" numFmtId="164" xfId="0" applyAlignment="1" applyBorder="1" applyFont="1" applyNumberFormat="1">
      <alignment horizontal="center" shrinkToFit="0" vertical="center" wrapText="1"/>
    </xf>
    <xf borderId="11" fillId="3" fontId="12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left" vertical="center"/>
    </xf>
    <xf borderId="11" fillId="0" fontId="8" numFmtId="4" xfId="0" applyAlignment="1" applyBorder="1" applyFont="1" applyNumberFormat="1">
      <alignment horizontal="right" shrinkToFit="0" vertical="center" wrapText="1"/>
    </xf>
    <xf borderId="15" fillId="0" fontId="8" numFmtId="164" xfId="0" applyAlignment="1" applyBorder="1" applyFont="1" applyNumberFormat="1">
      <alignment horizontal="center" shrinkToFit="0" vertical="center" wrapText="1"/>
    </xf>
    <xf borderId="11" fillId="5" fontId="8" numFmtId="49" xfId="0" applyAlignment="1" applyBorder="1" applyFill="1" applyFont="1" applyNumberFormat="1">
      <alignment shrinkToFit="0" vertical="center" wrapText="1"/>
    </xf>
    <xf borderId="11" fillId="2" fontId="6" numFmtId="0" xfId="0" applyAlignment="1" applyBorder="1" applyFont="1">
      <alignment horizontal="center" shrinkToFit="0" wrapText="1"/>
    </xf>
    <xf borderId="18" fillId="2" fontId="2" numFmtId="0" xfId="0" applyBorder="1" applyFont="1"/>
    <xf borderId="18" fillId="2" fontId="6" numFmtId="0" xfId="0" applyAlignment="1" applyBorder="1" applyFont="1">
      <alignment readingOrder="0"/>
    </xf>
    <xf borderId="18" fillId="2" fontId="2" numFmtId="4" xfId="0" applyBorder="1" applyFont="1" applyNumberFormat="1"/>
    <xf borderId="18" fillId="2" fontId="2" numFmtId="164" xfId="0" applyBorder="1" applyFont="1" applyNumberFormat="1"/>
    <xf borderId="19" fillId="2" fontId="2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1" fillId="5" fontId="2" numFmtId="0" xfId="0" applyBorder="1" applyFont="1"/>
    <xf borderId="18" fillId="5" fontId="6" numFmtId="0" xfId="0" applyBorder="1" applyFont="1"/>
    <xf borderId="18" fillId="0" fontId="8" numFmtId="0" xfId="0" applyBorder="1" applyFont="1"/>
    <xf borderId="18" fillId="5" fontId="8" numFmtId="4" xfId="0" applyAlignment="1" applyBorder="1" applyFont="1" applyNumberFormat="1">
      <alignment horizontal="right" shrinkToFit="0" wrapText="1"/>
    </xf>
    <xf borderId="18" fillId="5" fontId="2" numFmtId="0" xfId="0" applyBorder="1" applyFont="1"/>
    <xf borderId="19" fillId="5" fontId="2" numFmtId="0" xfId="0" applyBorder="1" applyFont="1"/>
    <xf borderId="0" fillId="0" fontId="8" numFmtId="0" xfId="0" applyAlignment="1" applyFont="1">
      <alignment horizontal="right" vertical="bottom"/>
    </xf>
    <xf borderId="17" fillId="5" fontId="2" numFmtId="0" xfId="0" applyBorder="1" applyFont="1"/>
    <xf borderId="20" fillId="5" fontId="6" numFmtId="0" xfId="0" applyBorder="1" applyFont="1"/>
    <xf borderId="20" fillId="0" fontId="8" numFmtId="0" xfId="0" applyBorder="1" applyFont="1"/>
    <xf borderId="20" fillId="5" fontId="8" numFmtId="4" xfId="0" applyAlignment="1" applyBorder="1" applyFont="1" applyNumberFormat="1">
      <alignment horizontal="right" shrinkToFit="0" wrapText="1"/>
    </xf>
    <xf borderId="20" fillId="5" fontId="2" numFmtId="0" xfId="0" applyBorder="1" applyFont="1"/>
    <xf borderId="21" fillId="5" fontId="2" numFmtId="0" xfId="0" applyBorder="1" applyFont="1"/>
    <xf borderId="10" fillId="2" fontId="8" numFmtId="0" xfId="0" applyBorder="1" applyFont="1"/>
    <xf borderId="0" fillId="2" fontId="8" numFmtId="0" xfId="0" applyFont="1"/>
    <xf borderId="0" fillId="2" fontId="11" numFmtId="0" xfId="0" applyFont="1"/>
    <xf borderId="11" fillId="3" fontId="6" numFmtId="0" xfId="0" applyAlignment="1" applyBorder="1" applyFont="1">
      <alignment horizontal="left" vertical="center"/>
    </xf>
    <xf borderId="11" fillId="4" fontId="8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left" vertical="center"/>
    </xf>
    <xf borderId="11" fillId="0" fontId="8" numFmtId="164" xfId="0" applyAlignment="1" applyBorder="1" applyFont="1" applyNumberFormat="1">
      <alignment horizontal="center" shrinkToFit="0" vertical="center" wrapText="1"/>
    </xf>
    <xf borderId="11" fillId="0" fontId="8" numFmtId="0" xfId="0" applyAlignment="1" applyBorder="1" applyFont="1">
      <alignment horizontal="left" readingOrder="0" vertical="center"/>
    </xf>
    <xf borderId="11" fillId="0" fontId="8" numFmtId="4" xfId="0" applyAlignment="1" applyBorder="1" applyFont="1" applyNumberFormat="1">
      <alignment horizontal="right" readingOrder="0" shrinkToFit="0" vertical="center" wrapText="1"/>
    </xf>
    <xf borderId="11" fillId="0" fontId="8" numFmtId="164" xfId="0" applyAlignment="1" applyBorder="1" applyFont="1" applyNumberFormat="1">
      <alignment horizontal="center" readingOrder="0" shrinkToFit="0" vertical="center" wrapText="1"/>
    </xf>
    <xf borderId="11" fillId="4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shrinkToFit="0" vertical="center" wrapText="1"/>
    </xf>
    <xf borderId="22" fillId="0" fontId="10" numFmtId="0" xfId="0" applyAlignment="1" applyBorder="1" applyFont="1">
      <alignment readingOrder="0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4" xfId="0" applyAlignment="1" applyBorder="1" applyFont="1" applyNumberFormat="1">
      <alignment horizontal="right" readingOrder="0" shrinkToFit="0" vertical="center" wrapText="1"/>
    </xf>
    <xf borderId="22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left" shrinkToFit="0" vertical="center" wrapText="1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24" fillId="0" fontId="1" numFmtId="165" xfId="0" applyAlignment="1" applyBorder="1" applyFont="1" applyNumberFormat="1">
      <alignment horizontal="right"/>
    </xf>
    <xf borderId="24" fillId="0" fontId="7" numFmtId="0" xfId="0" applyBorder="1" applyFont="1"/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5" fillId="0" fontId="1" numFmtId="164" xfId="0" applyAlignment="1" applyBorder="1" applyFont="1" applyNumberFormat="1">
      <alignment horizontal="center"/>
    </xf>
    <xf borderId="26" fillId="0" fontId="7" numFmtId="0" xfId="0" applyBorder="1" applyFont="1"/>
    <xf borderId="20" fillId="0" fontId="7" numFmtId="0" xfId="0" applyBorder="1" applyFont="1"/>
    <xf borderId="0" fillId="0" fontId="8" numFmtId="0" xfId="0" applyAlignment="1" applyFont="1">
      <alignment horizontal="left"/>
    </xf>
    <xf borderId="11" fillId="0" fontId="6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1" numFmtId="164" xfId="0" applyAlignment="1" applyBorder="1" applyFont="1" applyNumberFormat="1">
      <alignment horizontal="center"/>
    </xf>
    <xf borderId="27" fillId="0" fontId="7" numFmtId="0" xfId="0" applyBorder="1" applyFont="1"/>
    <xf borderId="18" fillId="0" fontId="7" numFmtId="0" xfId="0" applyBorder="1" applyFont="1"/>
    <xf borderId="0" fillId="0" fontId="13" numFmtId="0" xfId="0" applyFont="1"/>
    <xf borderId="0" fillId="0" fontId="13" numFmtId="164" xfId="0" applyAlignment="1" applyFont="1" applyNumberFormat="1">
      <alignment horizont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shrinkToFit="0" vertical="bottom" wrapText="0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vertical="bottom" wrapText="0"/>
    </xf>
    <xf borderId="0" fillId="0" fontId="11" numFmtId="0" xfId="0" applyAlignment="1" applyFont="1">
      <alignment vertical="center"/>
    </xf>
    <xf borderId="0" fillId="0" fontId="18" numFmtId="4" xfId="0" applyAlignment="1" applyFont="1" applyNumberFormat="1">
      <alignment horizontal="righ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10" fillId="0" fontId="2" numFmtId="0" xfId="0" applyAlignment="1" applyBorder="1" applyFont="1">
      <alignment vertical="bottom"/>
    </xf>
    <xf borderId="11" fillId="2" fontId="6" numFmtId="0" xfId="0" applyAlignment="1" applyBorder="1" applyFont="1">
      <alignment shrinkToFit="0" vertical="bottom" wrapText="1"/>
    </xf>
    <xf borderId="18" fillId="2" fontId="2" numFmtId="0" xfId="0" applyAlignment="1" applyBorder="1" applyFont="1">
      <alignment vertical="bottom"/>
    </xf>
    <xf borderId="18" fillId="2" fontId="2" numFmtId="4" xfId="0" applyAlignment="1" applyBorder="1" applyFont="1" applyNumberFormat="1">
      <alignment vertical="bottom"/>
    </xf>
    <xf borderId="18" fillId="2" fontId="2" numFmtId="164" xfId="0" applyAlignment="1" applyBorder="1" applyFont="1" applyNumberFormat="1">
      <alignment vertical="bottom"/>
    </xf>
    <xf borderId="28" fillId="2" fontId="6" numFmtId="0" xfId="0" applyAlignment="1" applyBorder="1" applyFont="1">
      <alignment horizontal="center" shrinkToFit="0" vertical="center" wrapText="1"/>
    </xf>
    <xf borderId="0" fillId="0" fontId="2" numFmtId="4" xfId="0" applyAlignment="1" applyFont="1" applyNumberFormat="1">
      <alignment horizontal="right" vertical="bottom"/>
    </xf>
    <xf borderId="0" fillId="0" fontId="8" numFmtId="3" xfId="0" applyAlignment="1" applyFont="1" applyNumberFormat="1">
      <alignment readingOrder="0"/>
    </xf>
    <xf borderId="20" fillId="0" fontId="8" numFmtId="0" xfId="0" applyAlignment="1" applyBorder="1" applyFont="1">
      <alignment horizontal="center" shrinkToFit="0" wrapText="1"/>
    </xf>
    <xf borderId="18" fillId="0" fontId="8" numFmtId="0" xfId="0" applyAlignment="1" applyBorder="1" applyFont="1">
      <alignment shrinkToFit="0" vertical="bottom" wrapText="1"/>
    </xf>
    <xf borderId="29" fillId="0" fontId="8" numFmtId="0" xfId="0" applyAlignment="1" applyBorder="1" applyFont="1">
      <alignment horizontal="center" shrinkToFit="0" vertical="bottom" wrapText="1"/>
    </xf>
    <xf borderId="18" fillId="0" fontId="8" numFmtId="4" xfId="0" applyAlignment="1" applyBorder="1" applyFont="1" applyNumberFormat="1">
      <alignment horizontal="right" vertical="bottom"/>
    </xf>
    <xf borderId="18" fillId="0" fontId="8" numFmtId="164" xfId="0" applyAlignment="1" applyBorder="1" applyFont="1" applyNumberFormat="1">
      <alignment horizontal="right" shrinkToFit="0" vertical="bottom" wrapText="1"/>
    </xf>
    <xf borderId="18" fillId="0" fontId="8" numFmtId="0" xfId="0" applyAlignment="1" applyBorder="1" applyFont="1">
      <alignment horizontal="center" shrinkToFit="0" vertical="bottom" wrapText="1"/>
    </xf>
    <xf borderId="18" fillId="5" fontId="8" numFmtId="4" xfId="0" applyAlignment="1" applyBorder="1" applyFont="1" applyNumberFormat="1">
      <alignment horizontal="center" shrinkToFit="0" vertical="bottom" wrapText="1"/>
    </xf>
    <xf borderId="18" fillId="0" fontId="2" numFmtId="4" xfId="0" applyAlignment="1" applyBorder="1" applyFont="1" applyNumberFormat="1">
      <alignment vertical="bottom"/>
    </xf>
    <xf borderId="18" fillId="0" fontId="8" numFmtId="0" xfId="0" applyAlignment="1" applyBorder="1" applyFont="1">
      <alignment horizontal="center" vertical="bottom"/>
    </xf>
    <xf borderId="20" fillId="0" fontId="2" numFmtId="0" xfId="0" applyAlignment="1" applyBorder="1" applyFont="1">
      <alignment vertical="bottom"/>
    </xf>
    <xf borderId="28" fillId="0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shrinkToFit="0" vertical="bottom" wrapText="1"/>
    </xf>
    <xf borderId="8" fillId="0" fontId="7" numFmtId="0" xfId="0" applyBorder="1" applyFont="1"/>
    <xf borderId="20" fillId="0" fontId="8" numFmtId="4" xfId="0" applyAlignment="1" applyBorder="1" applyFont="1" applyNumberFormat="1">
      <alignment horizontal="right" vertical="bottom"/>
    </xf>
    <xf borderId="20" fillId="0" fontId="8" numFmtId="164" xfId="0" applyAlignment="1" applyBorder="1" applyFont="1" applyNumberFormat="1">
      <alignment horizontal="right" shrinkToFit="0" vertical="bottom" wrapText="1"/>
    </xf>
    <xf borderId="20" fillId="0" fontId="8" numFmtId="0" xfId="0" applyAlignment="1" applyBorder="1" applyFont="1">
      <alignment horizontal="center" shrinkToFit="0" vertical="bottom" wrapText="1"/>
    </xf>
    <xf borderId="20" fillId="5" fontId="2" numFmtId="4" xfId="0" applyAlignment="1" applyBorder="1" applyFont="1" applyNumberFormat="1">
      <alignment vertical="bottom"/>
    </xf>
    <xf borderId="20" fillId="0" fontId="2" numFmtId="4" xfId="0" applyAlignment="1" applyBorder="1" applyFont="1" applyNumberFormat="1">
      <alignment vertical="bottom"/>
    </xf>
    <xf borderId="20" fillId="0" fontId="8" numFmtId="0" xfId="0" applyAlignment="1" applyBorder="1" applyFont="1">
      <alignment horizontal="center" vertical="bottom"/>
    </xf>
    <xf borderId="30" fillId="0" fontId="2" numFmtId="0" xfId="0" applyBorder="1" applyFont="1"/>
    <xf borderId="20" fillId="0" fontId="8" numFmtId="49" xfId="0" applyAlignment="1" applyBorder="1" applyFont="1" applyNumberFormat="1">
      <alignment readingOrder="0" shrinkToFit="0" vertical="center" wrapText="1"/>
    </xf>
    <xf borderId="20" fillId="0" fontId="8" numFmtId="0" xfId="0" applyAlignment="1" applyBorder="1" applyFont="1">
      <alignment horizontal="center" readingOrder="0" vertical="center"/>
    </xf>
    <xf borderId="20" fillId="0" fontId="8" numFmtId="4" xfId="0" applyAlignment="1" applyBorder="1" applyFont="1" applyNumberFormat="1">
      <alignment horizontal="right" readingOrder="0" vertical="center"/>
    </xf>
    <xf borderId="20" fillId="0" fontId="2" numFmtId="0" xfId="0" applyBorder="1" applyFont="1"/>
    <xf borderId="20" fillId="0" fontId="8" numFmtId="0" xfId="0" applyAlignment="1" applyBorder="1" applyFont="1">
      <alignment horizontal="center" readingOrder="0" shrinkToFit="0" vertical="center" wrapText="1"/>
    </xf>
    <xf borderId="20" fillId="0" fontId="8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vertical="bottom"/>
    </xf>
    <xf borderId="31" fillId="0" fontId="2" numFmtId="0" xfId="0" applyBorder="1" applyFont="1"/>
    <xf borderId="17" fillId="0" fontId="8" numFmtId="49" xfId="0" applyAlignment="1" applyBorder="1" applyFont="1" applyNumberFormat="1">
      <alignment readingOrder="0" vertical="bottom"/>
    </xf>
    <xf borderId="20" fillId="0" fontId="8" numFmtId="0" xfId="0" applyAlignment="1" applyBorder="1" applyFont="1">
      <alignment horizontal="center" readingOrder="0" shrinkToFit="0" vertical="bottom" wrapText="1"/>
    </xf>
    <xf borderId="20" fillId="0" fontId="8" numFmtId="4" xfId="0" applyAlignment="1" applyBorder="1" applyFont="1" applyNumberFormat="1">
      <alignment horizontal="center" readingOrder="0" vertical="bottom"/>
    </xf>
    <xf borderId="18" fillId="0" fontId="2" numFmtId="0" xfId="0" applyAlignment="1" applyBorder="1" applyFont="1">
      <alignment vertical="bottom"/>
    </xf>
    <xf borderId="18" fillId="0" fontId="8" numFmtId="49" xfId="0" applyAlignment="1" applyBorder="1" applyFont="1" applyNumberFormat="1">
      <alignment readingOrder="0" shrinkToFit="0" wrapText="1"/>
    </xf>
    <xf borderId="20" fillId="0" fontId="8" numFmtId="3" xfId="0" applyAlignment="1" applyBorder="1" applyFont="1" applyNumberFormat="1">
      <alignment horizontal="center" readingOrder="0" shrinkToFit="0" vertical="bottom" wrapText="1"/>
    </xf>
    <xf borderId="18" fillId="0" fontId="8" numFmtId="4" xfId="0" applyAlignment="1" applyBorder="1" applyFont="1" applyNumberFormat="1">
      <alignment horizontal="right" readingOrder="0" shrinkToFit="0" wrapText="1"/>
    </xf>
    <xf borderId="20" fillId="0" fontId="2" numFmtId="4" xfId="0" applyBorder="1" applyFont="1" applyNumberFormat="1"/>
    <xf borderId="18" fillId="0" fontId="8" numFmtId="0" xfId="0" applyAlignment="1" applyBorder="1" applyFont="1">
      <alignment horizontal="center" readingOrder="0"/>
    </xf>
    <xf borderId="18" fillId="0" fontId="2" numFmtId="0" xfId="0" applyBorder="1" applyFont="1"/>
    <xf borderId="19" fillId="0" fontId="2" numFmtId="0" xfId="0" applyAlignment="1" applyBorder="1" applyFont="1">
      <alignment vertical="bottom"/>
    </xf>
    <xf borderId="17" fillId="0" fontId="8" numFmtId="49" xfId="0" applyAlignment="1" applyBorder="1" applyFont="1" applyNumberFormat="1">
      <alignment readingOrder="0" shrinkToFit="0" vertical="bottom" wrapText="1"/>
    </xf>
    <xf borderId="8" fillId="0" fontId="8" numFmtId="3" xfId="0" applyAlignment="1" applyBorder="1" applyFont="1" applyNumberFormat="1">
      <alignment horizontal="center" readingOrder="0" shrinkToFit="0" vertical="bottom" wrapText="1"/>
    </xf>
    <xf borderId="20" fillId="0" fontId="8" numFmtId="164" xfId="0" applyAlignment="1" applyBorder="1" applyFont="1" applyNumberFormat="1">
      <alignment horizontal="right" readingOrder="0" shrinkToFit="0" vertical="bottom" wrapText="1"/>
    </xf>
    <xf borderId="20" fillId="0" fontId="8" numFmtId="164" xfId="0" applyAlignment="1" applyBorder="1" applyFont="1" applyNumberFormat="1">
      <alignment horizontal="right" vertical="bottom"/>
    </xf>
    <xf borderId="11" fillId="2" fontId="8" numFmtId="0" xfId="0" applyAlignment="1" applyBorder="1" applyFont="1">
      <alignment horizontal="right" vertical="center"/>
    </xf>
    <xf borderId="28" fillId="2" fontId="8" numFmtId="0" xfId="0" applyAlignment="1" applyBorder="1" applyFont="1">
      <alignment horizontal="center" vertical="center"/>
    </xf>
    <xf borderId="0" fillId="0" fontId="2" numFmtId="166" xfId="0" applyAlignment="1" applyFont="1" applyNumberFormat="1">
      <alignment horizontal="right" vertical="bottom"/>
    </xf>
    <xf borderId="0" fillId="0" fontId="8" numFmtId="4" xfId="0" applyAlignment="1" applyFont="1" applyNumberFormat="1">
      <alignment readingOrder="0"/>
    </xf>
    <xf borderId="11" fillId="0" fontId="2" numFmtId="0" xfId="0" applyBorder="1" applyFont="1"/>
    <xf borderId="18" fillId="0" fontId="10" numFmtId="0" xfId="0" applyAlignment="1" applyBorder="1" applyFont="1">
      <alignment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8" fillId="0" fontId="8" numFmtId="166" xfId="0" applyAlignment="1" applyBorder="1" applyFont="1" applyNumberFormat="1">
      <alignment horizontal="right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vertical="center"/>
    </xf>
    <xf borderId="19" fillId="0" fontId="2" numFmtId="0" xfId="0" applyBorder="1" applyFont="1"/>
    <xf borderId="0" fillId="0" fontId="2" numFmtId="0" xfId="0" applyFont="1"/>
    <xf borderId="18" fillId="0" fontId="8" numFmtId="166" xfId="0" applyAlignment="1" applyBorder="1" applyFont="1" applyNumberFormat="1">
      <alignment horizontal="right" readingOrder="0" shrinkToFit="0" vertical="center" wrapText="1"/>
    </xf>
    <xf borderId="18" fillId="0" fontId="8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readingOrder="0" vertical="center"/>
    </xf>
    <xf borderId="29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18" fillId="0" fontId="10" numFmtId="0" xfId="0" applyAlignment="1" applyBorder="1" applyFont="1">
      <alignment readingOrder="0" shrinkToFit="0" vertical="center" wrapText="1"/>
    </xf>
    <xf borderId="18" fillId="0" fontId="2" numFmtId="0" xfId="0" applyAlignment="1" applyBorder="1" applyFont="1">
      <alignment horizontal="center" readingOrder="0" vertical="center"/>
    </xf>
    <xf borderId="17" fillId="0" fontId="2" numFmtId="0" xfId="0" applyBorder="1" applyFont="1"/>
    <xf borderId="20" fillId="0" fontId="10" numFmtId="0" xfId="0" applyAlignment="1" applyBorder="1" applyFont="1">
      <alignment shrinkToFit="0" vertical="center" wrapText="1"/>
    </xf>
    <xf borderId="20" fillId="0" fontId="8" numFmtId="166" xfId="0" applyAlignment="1" applyBorder="1" applyFont="1" applyNumberFormat="1">
      <alignment horizontal="right" shrinkToFit="0" vertical="center" wrapText="1"/>
    </xf>
    <xf borderId="20" fillId="0" fontId="8" numFmtId="166" xfId="0" applyAlignment="1" applyBorder="1" applyFont="1" applyNumberFormat="1">
      <alignment horizontal="right" readingOrder="0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8" fillId="0" fontId="8" numFmtId="0" xfId="0" applyAlignment="1" applyBorder="1" applyFont="1">
      <alignment readingOrder="0" shrinkToFit="0" vertical="center" wrapText="1"/>
    </xf>
    <xf borderId="18" fillId="0" fontId="8" numFmtId="166" xfId="0" applyAlignment="1" applyBorder="1" applyFont="1" applyNumberFormat="1">
      <alignment horizontal="right" vertical="center"/>
    </xf>
    <xf borderId="20" fillId="0" fontId="8" numFmtId="0" xfId="0" applyAlignment="1" applyBorder="1" applyFont="1">
      <alignment readingOrder="0" shrinkToFit="0" vertical="center" wrapText="1"/>
    </xf>
    <xf borderId="20" fillId="0" fontId="8" numFmtId="166" xfId="0" applyAlignment="1" applyBorder="1" applyFont="1" applyNumberFormat="1">
      <alignment horizontal="right" readingOrder="0" vertical="center"/>
    </xf>
    <xf borderId="18" fillId="0" fontId="8" numFmtId="49" xfId="0" applyAlignment="1" applyBorder="1" applyFont="1" applyNumberFormat="1">
      <alignment shrinkToFit="0" vertical="center" wrapText="1"/>
    </xf>
    <xf borderId="8" fillId="0" fontId="8" numFmtId="0" xfId="0" applyAlignment="1" applyBorder="1" applyFont="1">
      <alignment horizontal="center" readingOrder="0" vertical="center"/>
    </xf>
    <xf borderId="18" fillId="0" fontId="8" numFmtId="4" xfId="0" applyAlignment="1" applyBorder="1" applyFont="1" applyNumberFormat="1">
      <alignment horizontal="right" shrinkToFit="0" vertical="center" wrapText="1"/>
    </xf>
    <xf borderId="29" fillId="0" fontId="8" numFmtId="164" xfId="0" applyAlignment="1" applyBorder="1" applyFont="1" applyNumberFormat="1">
      <alignment horizontal="right" shrinkToFit="0" vertical="center" wrapText="1"/>
    </xf>
    <xf borderId="29" fillId="0" fontId="8" numFmtId="0" xfId="0" applyAlignment="1" applyBorder="1" applyFont="1">
      <alignment horizontal="center" vertical="center"/>
    </xf>
    <xf borderId="20" fillId="0" fontId="8" numFmtId="49" xfId="0" applyAlignment="1" applyBorder="1" applyFont="1" applyNumberFormat="1">
      <alignment shrinkToFit="0" vertical="center" wrapText="1"/>
    </xf>
    <xf borderId="20" fillId="0" fontId="8" numFmtId="4" xfId="0" applyAlignment="1" applyBorder="1" applyFont="1" applyNumberFormat="1">
      <alignment horizontal="right" shrinkToFit="0" vertical="center" wrapText="1"/>
    </xf>
    <xf borderId="20" fillId="0" fontId="8" numFmtId="4" xfId="0" applyAlignment="1" applyBorder="1" applyFont="1" applyNumberFormat="1">
      <alignment horizontal="right" vertical="center"/>
    </xf>
    <xf borderId="20" fillId="0" fontId="8" numFmtId="0" xfId="0" applyAlignment="1" applyBorder="1" applyFont="1">
      <alignment shrinkToFit="0" vertical="center" wrapText="1"/>
    </xf>
    <xf borderId="20" fillId="0" fontId="8" numFmtId="164" xfId="0" applyAlignment="1" applyBorder="1" applyFont="1" applyNumberFormat="1">
      <alignment horizontal="right" shrinkToFit="0" vertical="center" wrapText="1"/>
    </xf>
    <xf borderId="11" fillId="0" fontId="10" numFmtId="0" xfId="0" applyAlignment="1" applyBorder="1" applyFont="1">
      <alignment shrinkToFit="0" vertical="center" wrapText="1"/>
    </xf>
    <xf borderId="11" fillId="0" fontId="10" numFmtId="0" xfId="0" applyAlignment="1" applyBorder="1" applyFont="1">
      <alignment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1" fillId="0" fontId="8" numFmtId="4" xfId="0" applyAlignment="1" applyBorder="1" applyFont="1" applyNumberFormat="1">
      <alignment horizontal="right" readingOrder="0" vertical="center"/>
    </xf>
    <xf borderId="15" fillId="0" fontId="8" numFmtId="164" xfId="0" applyAlignment="1" applyBorder="1" applyFont="1" applyNumberFormat="1">
      <alignment horizontal="right" readingOrder="0" shrinkToFit="0" vertical="center" wrapText="1"/>
    </xf>
    <xf borderId="11" fillId="0" fontId="8" numFmtId="164" xfId="0" applyAlignment="1" applyBorder="1" applyFont="1" applyNumberFormat="1">
      <alignment horizontal="right" readingOrder="0" shrinkToFit="0" vertical="center" wrapText="1"/>
    </xf>
    <xf borderId="11" fillId="0" fontId="8" numFmtId="0" xfId="0" applyAlignment="1" applyBorder="1" applyFont="1">
      <alignment horizontal="left" readingOrder="0" shrinkToFit="0" vertical="center" wrapText="1"/>
    </xf>
    <xf borderId="20" fillId="0" fontId="8" numFmtId="4" xfId="0" applyAlignment="1" applyBorder="1" applyFont="1" applyNumberFormat="1">
      <alignment horizontal="right" readingOrder="0" shrinkToFit="0" vertical="bottom" wrapText="1"/>
    </xf>
    <xf borderId="20" fillId="0" fontId="8" numFmtId="164" xfId="0" applyAlignment="1" applyBorder="1" applyFont="1" applyNumberFormat="1">
      <alignment horizontal="center" readingOrder="0" shrinkToFit="0" vertical="bottom" wrapText="1"/>
    </xf>
    <xf borderId="11" fillId="2" fontId="8" numFmtId="164" xfId="0" applyAlignment="1" applyBorder="1" applyFont="1" applyNumberFormat="1">
      <alignment horizontal="right" shrinkToFit="0" vertical="center" wrapText="1"/>
    </xf>
    <xf borderId="0" fillId="0" fontId="2" numFmtId="164" xfId="0" applyAlignment="1" applyFont="1" applyNumberFormat="1">
      <alignment horizontal="right" vertical="bottom"/>
    </xf>
    <xf borderId="8" fillId="0" fontId="2" numFmtId="0" xfId="0" applyBorder="1" applyFont="1"/>
    <xf borderId="20" fillId="0" fontId="2" numFmtId="49" xfId="0" applyBorder="1" applyFont="1" applyNumberFormat="1"/>
    <xf borderId="20" fillId="0" fontId="10" numFmtId="49" xfId="0" applyAlignment="1" applyBorder="1" applyFont="1" applyNumberFormat="1">
      <alignment readingOrder="0" shrinkToFit="0" vertical="center" wrapText="1"/>
    </xf>
    <xf borderId="11" fillId="0" fontId="8" numFmtId="0" xfId="0" applyAlignment="1" applyBorder="1" applyFont="1">
      <alignment readingOrder="0" vertical="center"/>
    </xf>
    <xf borderId="11" fillId="0" fontId="8" numFmtId="0" xfId="0" applyAlignment="1" applyBorder="1" applyFont="1">
      <alignment readingOrder="0" shrinkToFit="0" vertical="center" wrapText="1"/>
    </xf>
    <xf borderId="11" fillId="0" fontId="8" numFmtId="49" xfId="0" applyAlignment="1" applyBorder="1" applyFont="1" applyNumberFormat="1">
      <alignment shrinkToFit="0" vertical="center" wrapText="1"/>
    </xf>
    <xf borderId="11" fillId="0" fontId="8" numFmtId="49" xfId="0" applyAlignment="1" applyBorder="1" applyFont="1" applyNumberFormat="1">
      <alignment readingOrder="0" shrinkToFit="0" vertical="center" wrapText="1"/>
    </xf>
    <xf borderId="18" fillId="0" fontId="8" numFmtId="0" xfId="0" applyAlignment="1" applyBorder="1" applyFont="1">
      <alignment vertical="center"/>
    </xf>
    <xf borderId="18" fillId="0" fontId="8" numFmtId="164" xfId="0" applyAlignment="1" applyBorder="1" applyFont="1" applyNumberFormat="1">
      <alignment horizontal="right" shrinkToFit="0" vertical="center" wrapText="1"/>
    </xf>
    <xf borderId="18" fillId="0" fontId="8" numFmtId="0" xfId="0" applyAlignment="1" applyBorder="1" applyFont="1">
      <alignment shrinkToFit="0" vertical="center" wrapText="1"/>
    </xf>
    <xf borderId="18" fillId="0" fontId="8" numFmtId="4" xfId="0" applyAlignment="1" applyBorder="1" applyFont="1" applyNumberFormat="1">
      <alignment horizontal="right" readingOrder="0" vertical="center"/>
    </xf>
    <xf borderId="18" fillId="0" fontId="8" numFmtId="4" xfId="0" applyAlignment="1" applyBorder="1" applyFont="1" applyNumberFormat="1">
      <alignment horizontal="right" vertical="center"/>
    </xf>
    <xf borderId="20" fillId="0" fontId="8" numFmtId="49" xfId="0" applyAlignment="1" applyBorder="1" applyFont="1" applyNumberFormat="1">
      <alignment readingOrder="0" vertical="center"/>
    </xf>
    <xf borderId="20" fillId="0" fontId="8" numFmtId="4" xfId="0" applyAlignment="1" applyBorder="1" applyFont="1" applyNumberFormat="1">
      <alignment horizontal="right" readingOrder="0" shrinkToFit="0" vertical="center" wrapText="1"/>
    </xf>
    <xf borderId="18" fillId="0" fontId="8" numFmtId="49" xfId="0" applyAlignment="1" applyBorder="1" applyFont="1" applyNumberFormat="1">
      <alignment horizontal="center" shrinkToFit="0" wrapText="1"/>
    </xf>
    <xf borderId="18" fillId="0" fontId="8" numFmtId="3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bottom"/>
    </xf>
    <xf borderId="18" fillId="0" fontId="2" numFmtId="49" xfId="0" applyBorder="1" applyFont="1" applyNumberFormat="1"/>
    <xf borderId="29" fillId="0" fontId="8" numFmtId="3" xfId="0" applyAlignment="1" applyBorder="1" applyFont="1" applyNumberFormat="1">
      <alignment horizontal="center" shrinkToFit="0" vertical="center" wrapText="1"/>
    </xf>
    <xf borderId="20" fillId="0" fontId="8" numFmtId="49" xfId="0" applyAlignment="1" applyBorder="1" applyFont="1" applyNumberFormat="1">
      <alignment horizontal="center" shrinkToFit="0" wrapText="1"/>
    </xf>
    <xf borderId="20" fillId="0" fontId="8" numFmtId="164" xfId="0" applyAlignment="1" applyBorder="1" applyFont="1" applyNumberFormat="1">
      <alignment horizontal="right" readingOrder="0" shrinkToFit="0" vertical="center" wrapText="1"/>
    </xf>
    <xf borderId="18" fillId="0" fontId="8" numFmtId="3" xfId="0" applyAlignment="1" applyBorder="1" applyFont="1" applyNumberFormat="1">
      <alignment horizontal="center" readingOrder="0" vertical="center"/>
    </xf>
    <xf borderId="18" fillId="0" fontId="8" numFmtId="4" xfId="0" applyAlignment="1" applyBorder="1" applyFont="1" applyNumberFormat="1">
      <alignment horizontal="right" shrinkToFit="0" wrapText="1"/>
    </xf>
    <xf borderId="20" fillId="0" fontId="8" numFmtId="49" xfId="0" applyAlignment="1" applyBorder="1" applyFont="1" applyNumberFormat="1">
      <alignment readingOrder="0" shrinkToFit="0" wrapText="1"/>
    </xf>
    <xf borderId="20" fillId="0" fontId="8" numFmtId="4" xfId="0" applyAlignment="1" applyBorder="1" applyFont="1" applyNumberFormat="1">
      <alignment horizontal="right" shrinkToFit="0" wrapText="1"/>
    </xf>
    <xf borderId="20" fillId="0" fontId="8" numFmtId="0" xfId="0" applyAlignment="1" applyBorder="1" applyFont="1">
      <alignment horizontal="center" readingOrder="0"/>
    </xf>
    <xf borderId="20" fillId="0" fontId="8" numFmtId="3" xfId="0" applyAlignment="1" applyBorder="1" applyFont="1" applyNumberFormat="1">
      <alignment horizontal="center" readingOrder="0" vertical="center"/>
    </xf>
    <xf borderId="17" fillId="0" fontId="2" numFmtId="0" xfId="0" applyAlignment="1" applyBorder="1" applyFont="1">
      <alignment vertical="bottom"/>
    </xf>
    <xf borderId="20" fillId="0" fontId="8" numFmtId="49" xfId="0" applyAlignment="1" applyBorder="1" applyFont="1" applyNumberFormat="1">
      <alignment readingOrder="0" vertical="bottom"/>
    </xf>
    <xf borderId="18" fillId="0" fontId="8" numFmtId="164" xfId="0" applyAlignment="1" applyBorder="1" applyFont="1" applyNumberFormat="1">
      <alignment horizontal="right" readingOrder="0" shrinkToFit="0" vertical="bottom" wrapText="1"/>
    </xf>
    <xf borderId="18" fillId="0" fontId="8" numFmtId="3" xfId="0" applyAlignment="1" applyBorder="1" applyFont="1" applyNumberFormat="1">
      <alignment horizontal="center" readingOrder="0" shrinkToFit="0" vertical="center" wrapText="1"/>
    </xf>
    <xf borderId="18" fillId="0" fontId="8" numFmtId="4" xfId="0" applyAlignment="1" applyBorder="1" applyFont="1" applyNumberFormat="1">
      <alignment horizontal="right" readingOrder="0" shrinkToFit="0" vertical="center" wrapText="1"/>
    </xf>
    <xf borderId="10" fillId="0" fontId="8" numFmtId="164" xfId="0" applyAlignment="1" applyBorder="1" applyFont="1" applyNumberFormat="1">
      <alignment horizontal="right" vertical="bottom"/>
    </xf>
    <xf borderId="24" fillId="0" fontId="1" numFmtId="165" xfId="0" applyAlignment="1" applyBorder="1" applyFont="1" applyNumberFormat="1">
      <alignment horizontal="right" vertical="bottom"/>
    </xf>
    <xf borderId="25" fillId="0" fontId="1" numFmtId="164" xfId="0" applyAlignment="1" applyBorder="1" applyFont="1" applyNumberForma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1" fillId="0" fontId="8" numFmtId="164" xfId="0" applyAlignment="1" applyBorder="1" applyFont="1" applyNumberFormat="1">
      <alignment horizontal="righ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4" fillId="0" fontId="2" numFmtId="0" xfId="0" applyBorder="1" applyFont="1"/>
    <xf borderId="17" fillId="0" fontId="8" numFmtId="0" xfId="0" applyAlignment="1" applyBorder="1" applyFont="1">
      <alignment shrinkToFit="0" vertical="bottom" wrapText="1"/>
    </xf>
    <xf borderId="20" fillId="0" fontId="8" numFmtId="0" xfId="0" applyAlignment="1" applyBorder="1" applyFont="1">
      <alignment horizontal="center" shrinkToFit="0" vertical="bottom" wrapText="1"/>
    </xf>
    <xf borderId="8" fillId="0" fontId="8" numFmtId="4" xfId="0" applyAlignment="1" applyBorder="1" applyFont="1" applyNumberFormat="1">
      <alignment horizontal="right" vertical="bottom"/>
    </xf>
    <xf borderId="8" fillId="0" fontId="8" numFmtId="0" xfId="0" applyAlignment="1" applyBorder="1" applyFont="1">
      <alignment horizontal="center" shrinkToFit="0" vertical="bottom" wrapText="1"/>
    </xf>
    <xf borderId="17" fillId="0" fontId="8" numFmtId="0" xfId="0" applyAlignment="1" applyBorder="1" applyFont="1">
      <alignment readingOrder="0" shrinkToFit="0" vertical="bottom" wrapText="1"/>
    </xf>
    <xf borderId="20" fillId="0" fontId="8" numFmtId="4" xfId="0" applyAlignment="1" applyBorder="1" applyFont="1" applyNumberFormat="1">
      <alignment horizontal="right" readingOrder="0" vertical="bottom"/>
    </xf>
    <xf borderId="20" fillId="0" fontId="8" numFmtId="0" xfId="0" applyAlignment="1" applyBorder="1" applyFont="1">
      <alignment horizontal="center" readingOrder="0" vertical="bottom"/>
    </xf>
    <xf borderId="17" fillId="0" fontId="8" numFmtId="49" xfId="0" applyAlignment="1" applyBorder="1" applyFont="1" applyNumberFormat="1">
      <alignment shrinkToFit="0" vertical="bottom" wrapText="1"/>
    </xf>
    <xf borderId="20" fillId="0" fontId="8" numFmtId="3" xfId="0" applyAlignment="1" applyBorder="1" applyFont="1" applyNumberFormat="1">
      <alignment horizontal="center" shrinkToFit="0" vertical="bottom" wrapText="1"/>
    </xf>
    <xf borderId="20" fillId="0" fontId="8" numFmtId="4" xfId="0" applyAlignment="1" applyBorder="1" applyFont="1" applyNumberFormat="1">
      <alignment horizontal="center" vertical="bottom"/>
    </xf>
    <xf borderId="18" fillId="0" fontId="8" numFmtId="49" xfId="0" applyAlignment="1" applyBorder="1" applyFont="1" applyNumberFormat="1">
      <alignment horizontal="center" vertical="bottom"/>
    </xf>
    <xf borderId="17" fillId="0" fontId="8" numFmtId="49" xfId="0" applyAlignment="1" applyBorder="1" applyFont="1" applyNumberFormat="1">
      <alignment vertical="bottom"/>
    </xf>
    <xf borderId="20" fillId="0" fontId="19" numFmtId="0" xfId="0" applyAlignment="1" applyBorder="1" applyFont="1">
      <alignment readingOrder="0" shrinkToFit="0" vertical="center" wrapText="1"/>
    </xf>
    <xf borderId="20" fillId="0" fontId="8" numFmtId="166" xfId="0" applyAlignment="1" applyBorder="1" applyFont="1" applyNumberFormat="1">
      <alignment horizontal="right" vertical="center"/>
    </xf>
    <xf borderId="18" fillId="0" fontId="8" numFmtId="166" xfId="0" applyAlignment="1" applyBorder="1" applyFont="1" applyNumberFormat="1">
      <alignment horizontal="right" readingOrder="0" vertical="center"/>
    </xf>
    <xf borderId="8" fillId="0" fontId="8" numFmtId="166" xfId="0" applyAlignment="1" applyBorder="1" applyFont="1" applyNumberFormat="1">
      <alignment horizontal="right" readingOrder="0" vertical="center"/>
    </xf>
    <xf borderId="8" fillId="0" fontId="8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readingOrder="0" shrinkToFit="0" vertical="center" wrapText="1"/>
    </xf>
    <xf borderId="17" fillId="0" fontId="8" numFmtId="164" xfId="0" applyAlignment="1" applyBorder="1" applyFont="1" applyNumberFormat="1">
      <alignment horizontal="right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bottom"/>
    </xf>
    <xf borderId="18" fillId="0" fontId="2" numFmtId="49" xfId="0" applyAlignment="1" applyBorder="1" applyFont="1" applyNumberFormat="1">
      <alignment vertical="bottom"/>
    </xf>
    <xf borderId="18" fillId="0" fontId="8" numFmtId="49" xfId="0" applyAlignment="1" applyBorder="1" applyFont="1" applyNumberFormat="1">
      <alignment readingOrder="0" vertical="bottom"/>
    </xf>
    <xf borderId="18" fillId="0" fontId="8" numFmtId="3" xfId="0" applyAlignment="1" applyBorder="1" applyFont="1" applyNumberFormat="1">
      <alignment horizontal="center" readingOrder="0" shrinkToFit="0" vertical="bottom" wrapText="1"/>
    </xf>
    <xf borderId="18" fillId="0" fontId="8" numFmtId="4" xfId="0" applyAlignment="1" applyBorder="1" applyFont="1" applyNumberFormat="1">
      <alignment horizontal="center" readingOrder="0" vertical="bottom"/>
    </xf>
    <xf borderId="20" fillId="0" fontId="8" numFmtId="4" xfId="0" applyAlignment="1" applyBorder="1" applyFont="1" applyNumberFormat="1">
      <alignment horizontal="right" shrinkToFit="0" vertical="bottom" wrapText="1"/>
    </xf>
    <xf borderId="31" fillId="0" fontId="20" numFmtId="0" xfId="0" applyBorder="1" applyFont="1"/>
    <xf borderId="18" fillId="0" fontId="20" numFmtId="0" xfId="0" applyBorder="1" applyFont="1"/>
    <xf borderId="18" fillId="0" fontId="19" numFmtId="49" xfId="0" applyAlignment="1" applyBorder="1" applyFont="1" applyNumberFormat="1">
      <alignment shrinkToFit="0" vertical="center" wrapText="1"/>
    </xf>
    <xf borderId="18" fillId="0" fontId="19" numFmtId="3" xfId="0" applyAlignment="1" applyBorder="1" applyFont="1" applyNumberFormat="1">
      <alignment horizontal="center" vertical="center"/>
    </xf>
    <xf borderId="18" fillId="0" fontId="19" numFmtId="4" xfId="0" applyAlignment="1" applyBorder="1" applyFont="1" applyNumberFormat="1">
      <alignment horizontal="right" vertical="center"/>
    </xf>
    <xf borderId="18" fillId="0" fontId="19" numFmtId="0" xfId="0" applyAlignment="1" applyBorder="1" applyFont="1">
      <alignment horizontal="center" vertical="center"/>
    </xf>
    <xf borderId="18" fillId="0" fontId="20" numFmtId="0" xfId="0" applyAlignment="1" applyBorder="1" applyFont="1">
      <alignment vertical="bottom"/>
    </xf>
    <xf borderId="18" fillId="0" fontId="20" numFmtId="0" xfId="0" applyAlignment="1" applyBorder="1" applyFont="1">
      <alignment horizontal="center" vertical="center"/>
    </xf>
    <xf borderId="29" fillId="0" fontId="20" numFmtId="0" xfId="0" applyAlignment="1" applyBorder="1" applyFont="1">
      <alignment vertical="bottom"/>
    </xf>
    <xf borderId="19" fillId="0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Font="1"/>
    <xf borderId="30" fillId="0" fontId="20" numFmtId="0" xfId="0" applyBorder="1" applyFont="1"/>
    <xf borderId="20" fillId="0" fontId="20" numFmtId="0" xfId="0" applyBorder="1" applyFont="1"/>
    <xf borderId="20" fillId="0" fontId="19" numFmtId="49" xfId="0" applyAlignment="1" applyBorder="1" applyFont="1" applyNumberFormat="1">
      <alignment shrinkToFit="0" vertical="center" wrapText="1"/>
    </xf>
    <xf borderId="20" fillId="0" fontId="19" numFmtId="3" xfId="0" applyAlignment="1" applyBorder="1" applyFont="1" applyNumberFormat="1">
      <alignment horizontal="center" vertical="center"/>
    </xf>
    <xf borderId="20" fillId="0" fontId="19" numFmtId="4" xfId="0" applyAlignment="1" applyBorder="1" applyFont="1" applyNumberFormat="1">
      <alignment horizontal="right" vertical="center"/>
    </xf>
    <xf borderId="20" fillId="0" fontId="19" numFmtId="0" xfId="0" applyAlignment="1" applyBorder="1" applyFont="1">
      <alignment horizontal="center" vertical="center"/>
    </xf>
    <xf borderId="20" fillId="0" fontId="20" numFmtId="0" xfId="0" applyAlignment="1" applyBorder="1" applyFont="1">
      <alignment vertical="bottom"/>
    </xf>
    <xf borderId="20" fillId="0" fontId="20" numFmtId="0" xfId="0" applyAlignment="1" applyBorder="1" applyFont="1">
      <alignment horizontal="center" vertical="center"/>
    </xf>
    <xf borderId="8" fillId="0" fontId="20" numFmtId="0" xfId="0" applyAlignment="1" applyBorder="1" applyFont="1">
      <alignment vertical="bottom"/>
    </xf>
    <xf borderId="21" fillId="0" fontId="20" numFmtId="0" xfId="0" applyAlignment="1" applyBorder="1" applyFont="1">
      <alignment vertical="bottom"/>
    </xf>
    <xf borderId="31" fillId="0" fontId="20" numFmtId="0" xfId="0" applyAlignment="1" applyBorder="1" applyFont="1">
      <alignment vertical="bottom"/>
    </xf>
    <xf borderId="18" fillId="0" fontId="20" numFmtId="49" xfId="0" applyAlignment="1" applyBorder="1" applyFont="1" applyNumberFormat="1">
      <alignment vertical="bottom"/>
    </xf>
    <xf borderId="18" fillId="0" fontId="19" numFmtId="49" xfId="0" applyAlignment="1" applyBorder="1" applyFont="1" applyNumberFormat="1">
      <alignment vertical="bottom"/>
    </xf>
    <xf borderId="18" fillId="0" fontId="19" numFmtId="0" xfId="0" applyAlignment="1" applyBorder="1" applyFont="1">
      <alignment horizontal="center" shrinkToFit="0" vertical="bottom" wrapText="1"/>
    </xf>
    <xf borderId="18" fillId="0" fontId="19" numFmtId="4" xfId="0" applyAlignment="1" applyBorder="1" applyFont="1" applyNumberFormat="1">
      <alignment horizontal="right" shrinkToFit="0" vertical="bottom" wrapText="1"/>
    </xf>
    <xf borderId="18" fillId="0" fontId="19" numFmtId="164" xfId="0" applyAlignment="1" applyBorder="1" applyFont="1" applyNumberFormat="1">
      <alignment horizontal="center" shrinkToFit="0" vertical="bottom" wrapText="1"/>
    </xf>
    <xf borderId="18" fillId="0" fontId="19" numFmtId="0" xfId="0" applyAlignment="1" applyBorder="1" applyFont="1">
      <alignment horizontal="center" vertical="bottom"/>
    </xf>
    <xf borderId="0" fillId="0" fontId="20" numFmtId="0" xfId="0" applyAlignment="1" applyFont="1">
      <alignment vertical="bottom"/>
    </xf>
    <xf borderId="30" fillId="0" fontId="20" numFmtId="0" xfId="0" applyAlignment="1" applyBorder="1" applyFont="1">
      <alignment vertical="bottom"/>
    </xf>
    <xf borderId="20" fillId="0" fontId="20" numFmtId="49" xfId="0" applyAlignment="1" applyBorder="1" applyFont="1" applyNumberFormat="1">
      <alignment vertical="bottom"/>
    </xf>
    <xf borderId="20" fillId="0" fontId="19" numFmtId="49" xfId="0" applyAlignment="1" applyBorder="1" applyFont="1" applyNumberFormat="1">
      <alignment vertical="bottom"/>
    </xf>
    <xf borderId="20" fillId="0" fontId="19" numFmtId="0" xfId="0" applyAlignment="1" applyBorder="1" applyFont="1">
      <alignment horizontal="center" shrinkToFit="0" vertical="bottom" wrapText="1"/>
    </xf>
    <xf borderId="20" fillId="0" fontId="19" numFmtId="4" xfId="0" applyAlignment="1" applyBorder="1" applyFont="1" applyNumberFormat="1">
      <alignment horizontal="right" shrinkToFit="0" vertical="bottom" wrapText="1"/>
    </xf>
    <xf borderId="20" fillId="0" fontId="19" numFmtId="164" xfId="0" applyAlignment="1" applyBorder="1" applyFont="1" applyNumberFormat="1">
      <alignment horizontal="center" shrinkToFit="0" vertical="bottom" wrapText="1"/>
    </xf>
    <xf borderId="20" fillId="0" fontId="19" numFmtId="0" xfId="0" applyAlignment="1" applyBorder="1" applyFont="1">
      <alignment horizontal="center" vertical="bottom"/>
    </xf>
    <xf borderId="20" fillId="0" fontId="8" numFmtId="164" xfId="0" applyAlignment="1" applyBorder="1" applyFont="1" applyNumberFormat="1">
      <alignment horizontal="center" shrinkToFit="0" vertical="bottom" wrapText="1"/>
    </xf>
    <xf borderId="20" fillId="0" fontId="8" numFmtId="0" xfId="0" applyAlignment="1" applyBorder="1" applyFont="1">
      <alignment horizontal="center" vertical="bottom"/>
    </xf>
    <xf borderId="10" fillId="0" fontId="2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3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28" t="s">
        <v>15</v>
      </c>
      <c r="J9" s="28" t="s">
        <v>16</v>
      </c>
      <c r="K9" s="28" t="s">
        <v>17</v>
      </c>
      <c r="L9" s="29" t="s">
        <v>18</v>
      </c>
      <c r="M9" s="29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30" t="s">
        <v>41</v>
      </c>
      <c r="AJ9" s="31"/>
      <c r="AK9" s="23"/>
      <c r="AL9" s="24"/>
      <c r="AM9" s="24"/>
    </row>
    <row r="10">
      <c r="A10" s="32" t="s">
        <v>42</v>
      </c>
      <c r="B10" s="32" t="s">
        <v>43</v>
      </c>
      <c r="C10" s="32" t="s">
        <v>44</v>
      </c>
      <c r="D10" s="32" t="s">
        <v>45</v>
      </c>
      <c r="E10" s="33" t="s">
        <v>46</v>
      </c>
      <c r="F10" s="34" t="s">
        <v>47</v>
      </c>
      <c r="G10" s="32" t="s">
        <v>48</v>
      </c>
      <c r="H10" s="32" t="s">
        <v>49</v>
      </c>
      <c r="I10" s="32" t="s">
        <v>50</v>
      </c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5" t="s">
        <v>76</v>
      </c>
      <c r="AJ10" s="36"/>
      <c r="AK10" s="37"/>
    </row>
    <row r="11">
      <c r="A11" s="38" t="s">
        <v>77</v>
      </c>
      <c r="B11" s="39"/>
      <c r="C11" s="39" t="s">
        <v>78</v>
      </c>
      <c r="D11" s="40"/>
      <c r="E11" s="41"/>
      <c r="F11" s="42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38"/>
      <c r="AI11" s="43"/>
      <c r="AJ11" s="36"/>
      <c r="AK11" s="37"/>
    </row>
    <row r="12">
      <c r="A12" s="44"/>
      <c r="B12" s="45"/>
      <c r="C12" s="45" t="s">
        <v>79</v>
      </c>
      <c r="D12" s="46" t="s">
        <v>80</v>
      </c>
      <c r="E12" s="47">
        <v>25000.0</v>
      </c>
      <c r="F12" s="48">
        <v>25000.0</v>
      </c>
      <c r="G12" s="46" t="s">
        <v>81</v>
      </c>
      <c r="H12" s="46"/>
      <c r="I12" s="46"/>
      <c r="J12" s="46"/>
      <c r="K12" s="46">
        <v>1.0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4"/>
      <c r="AI12" s="49"/>
      <c r="AJ12" s="50"/>
      <c r="AK12" s="51"/>
      <c r="AL12" s="52"/>
      <c r="AM12" s="52"/>
    </row>
    <row r="13">
      <c r="A13" s="44"/>
      <c r="B13" s="45"/>
      <c r="C13" s="45" t="s">
        <v>82</v>
      </c>
      <c r="D13" s="46" t="s">
        <v>83</v>
      </c>
      <c r="E13" s="47">
        <v>8000.0</v>
      </c>
      <c r="F13" s="48">
        <v>32000.0</v>
      </c>
      <c r="G13" s="46" t="s">
        <v>81</v>
      </c>
      <c r="H13" s="46"/>
      <c r="I13" s="46">
        <v>2.0</v>
      </c>
      <c r="J13" s="46"/>
      <c r="K13" s="46">
        <v>2.0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4"/>
      <c r="AI13" s="49"/>
      <c r="AJ13" s="53"/>
      <c r="AK13" s="54"/>
      <c r="AL13" s="55"/>
      <c r="AM13" s="55"/>
    </row>
    <row r="14">
      <c r="A14" s="44"/>
      <c r="B14" s="45"/>
      <c r="C14" s="45" t="s">
        <v>84</v>
      </c>
      <c r="D14" s="46" t="s">
        <v>85</v>
      </c>
      <c r="E14" s="47">
        <v>8000.0</v>
      </c>
      <c r="F14" s="48">
        <v>16000.0</v>
      </c>
      <c r="G14" s="46" t="s">
        <v>86</v>
      </c>
      <c r="H14" s="46"/>
      <c r="I14" s="46">
        <v>1.0</v>
      </c>
      <c r="J14" s="46"/>
      <c r="K14" s="46">
        <v>1.0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4"/>
      <c r="AI14" s="49"/>
      <c r="AJ14" s="53"/>
      <c r="AK14" s="54"/>
      <c r="AL14" s="55"/>
      <c r="AM14" s="55"/>
    </row>
    <row r="15">
      <c r="A15" s="38" t="s">
        <v>87</v>
      </c>
      <c r="B15" s="39"/>
      <c r="C15" s="39" t="s">
        <v>88</v>
      </c>
      <c r="D15" s="38"/>
      <c r="E15" s="56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43"/>
      <c r="AJ15" s="36"/>
      <c r="AK15" s="37"/>
    </row>
    <row r="16">
      <c r="A16" s="58"/>
      <c r="B16" s="59"/>
      <c r="C16" s="59" t="s">
        <v>89</v>
      </c>
      <c r="D16" s="60" t="s">
        <v>80</v>
      </c>
      <c r="E16" s="61">
        <v>80.0</v>
      </c>
      <c r="F16" s="62">
        <v>79000.0</v>
      </c>
      <c r="G16" s="63" t="s">
        <v>90</v>
      </c>
      <c r="H16" s="61"/>
      <c r="I16" s="64"/>
      <c r="J16" s="65">
        <v>100.0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6"/>
      <c r="AJ16" s="36"/>
      <c r="AK16" s="37"/>
    </row>
    <row r="17">
      <c r="A17" s="58"/>
      <c r="B17" s="59"/>
      <c r="C17" s="59" t="s">
        <v>91</v>
      </c>
      <c r="D17" s="67"/>
      <c r="E17" s="61">
        <v>850.0</v>
      </c>
      <c r="F17" s="67"/>
      <c r="G17" s="67"/>
      <c r="H17" s="61"/>
      <c r="I17" s="64"/>
      <c r="J17" s="65">
        <v>10.0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6"/>
      <c r="AJ17" s="36"/>
      <c r="AK17" s="37"/>
    </row>
    <row r="18">
      <c r="A18" s="58"/>
      <c r="B18" s="68"/>
      <c r="C18" s="59" t="s">
        <v>92</v>
      </c>
      <c r="D18" s="67"/>
      <c r="E18" s="61">
        <v>450.0</v>
      </c>
      <c r="F18" s="67"/>
      <c r="G18" s="67"/>
      <c r="H18" s="61"/>
      <c r="I18" s="64"/>
      <c r="J18" s="65">
        <v>10.0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6"/>
      <c r="AJ18" s="36"/>
      <c r="AK18" s="37"/>
    </row>
    <row r="19">
      <c r="A19" s="58"/>
      <c r="B19" s="68" t="s">
        <v>93</v>
      </c>
      <c r="C19" s="59" t="s">
        <v>94</v>
      </c>
      <c r="D19" s="67"/>
      <c r="E19" s="61">
        <v>80.0</v>
      </c>
      <c r="F19" s="67"/>
      <c r="G19" s="67"/>
      <c r="H19" s="61"/>
      <c r="I19" s="64"/>
      <c r="J19" s="65">
        <v>100.0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6"/>
      <c r="AJ19" s="36"/>
      <c r="AK19" s="37"/>
    </row>
    <row r="20">
      <c r="A20" s="58"/>
      <c r="B20" s="68" t="s">
        <v>95</v>
      </c>
      <c r="C20" s="59" t="s">
        <v>96</v>
      </c>
      <c r="D20" s="67"/>
      <c r="E20" s="61">
        <v>300.0</v>
      </c>
      <c r="F20" s="67"/>
      <c r="G20" s="67"/>
      <c r="H20" s="61"/>
      <c r="I20" s="64"/>
      <c r="J20" s="65">
        <v>25.0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6"/>
      <c r="AJ20" s="36"/>
      <c r="AK20" s="37"/>
    </row>
    <row r="21">
      <c r="A21" s="58"/>
      <c r="B21" s="68" t="s">
        <v>97</v>
      </c>
      <c r="C21" s="59" t="s">
        <v>98</v>
      </c>
      <c r="D21" s="67"/>
      <c r="E21" s="61">
        <v>350.0</v>
      </c>
      <c r="F21" s="67"/>
      <c r="G21" s="67"/>
      <c r="H21" s="61"/>
      <c r="I21" s="64"/>
      <c r="J21" s="65">
        <v>25.0</v>
      </c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6"/>
      <c r="AJ21" s="36"/>
      <c r="AK21" s="37"/>
    </row>
    <row r="22">
      <c r="A22" s="58"/>
      <c r="B22" s="68" t="s">
        <v>99</v>
      </c>
      <c r="C22" s="59" t="s">
        <v>100</v>
      </c>
      <c r="D22" s="67"/>
      <c r="E22" s="61">
        <v>500.0</v>
      </c>
      <c r="F22" s="67"/>
      <c r="G22" s="67"/>
      <c r="H22" s="61"/>
      <c r="I22" s="64"/>
      <c r="J22" s="65">
        <v>5.0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6"/>
      <c r="AJ22" s="36"/>
      <c r="AK22" s="37"/>
    </row>
    <row r="23" ht="15.75" customHeight="1">
      <c r="A23" s="58"/>
      <c r="B23" s="68"/>
      <c r="C23" s="59" t="s">
        <v>101</v>
      </c>
      <c r="D23" s="67"/>
      <c r="E23" s="61">
        <v>350.0</v>
      </c>
      <c r="F23" s="67"/>
      <c r="G23" s="67"/>
      <c r="H23" s="61"/>
      <c r="I23" s="64"/>
      <c r="J23" s="65">
        <v>10.0</v>
      </c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6"/>
      <c r="AJ23" s="36"/>
      <c r="AK23" s="37"/>
    </row>
    <row r="24" ht="15.75" customHeight="1">
      <c r="A24" s="58"/>
      <c r="B24" s="68"/>
      <c r="C24" s="69" t="s">
        <v>102</v>
      </c>
      <c r="D24" s="67"/>
      <c r="E24" s="61">
        <v>6000.0</v>
      </c>
      <c r="F24" s="67"/>
      <c r="G24" s="67"/>
      <c r="H24" s="61"/>
      <c r="I24" s="64"/>
      <c r="J24" s="65">
        <v>4.0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6"/>
      <c r="AJ24" s="36"/>
      <c r="AK24" s="37"/>
    </row>
    <row r="25" ht="15.75" customHeight="1">
      <c r="A25" s="58"/>
      <c r="B25" s="68"/>
      <c r="C25" s="69" t="s">
        <v>103</v>
      </c>
      <c r="D25" s="67"/>
      <c r="E25" s="61">
        <v>50.0</v>
      </c>
      <c r="F25" s="67"/>
      <c r="G25" s="67"/>
      <c r="H25" s="61"/>
      <c r="I25" s="64"/>
      <c r="J25" s="65">
        <v>10.0</v>
      </c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6"/>
      <c r="AJ25" s="36"/>
      <c r="AK25" s="37"/>
    </row>
    <row r="26" ht="15.75" customHeight="1">
      <c r="A26" s="58"/>
      <c r="B26" s="68" t="s">
        <v>104</v>
      </c>
      <c r="C26" s="69" t="s">
        <v>105</v>
      </c>
      <c r="D26" s="67"/>
      <c r="E26" s="61">
        <v>150.0</v>
      </c>
      <c r="F26" s="67"/>
      <c r="G26" s="67"/>
      <c r="H26" s="61"/>
      <c r="I26" s="64"/>
      <c r="J26" s="65">
        <v>5.0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6"/>
      <c r="AJ26" s="36"/>
      <c r="AK26" s="37"/>
    </row>
    <row r="27" ht="15.75" customHeight="1">
      <c r="A27" s="58"/>
      <c r="B27" s="68"/>
      <c r="C27" s="69" t="s">
        <v>106</v>
      </c>
      <c r="D27" s="67"/>
      <c r="E27" s="61">
        <v>180.0</v>
      </c>
      <c r="F27" s="67"/>
      <c r="G27" s="67"/>
      <c r="H27" s="61"/>
      <c r="I27" s="64"/>
      <c r="J27" s="65">
        <v>5.0</v>
      </c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6"/>
      <c r="AJ27" s="36"/>
      <c r="AK27" s="37"/>
    </row>
    <row r="28" ht="15.75" customHeight="1">
      <c r="A28" s="58"/>
      <c r="B28" s="68"/>
      <c r="C28" s="69" t="s">
        <v>107</v>
      </c>
      <c r="D28" s="70"/>
      <c r="E28" s="61">
        <v>80.0</v>
      </c>
      <c r="F28" s="70"/>
      <c r="G28" s="70"/>
      <c r="H28" s="61"/>
      <c r="I28" s="64"/>
      <c r="J28" s="65">
        <v>20.0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6"/>
      <c r="AJ28" s="36"/>
      <c r="AK28" s="37"/>
    </row>
    <row r="29" ht="15.75" customHeight="1">
      <c r="A29" s="58"/>
      <c r="B29" s="65"/>
      <c r="C29" s="71" t="s">
        <v>108</v>
      </c>
      <c r="D29" s="72" t="s">
        <v>80</v>
      </c>
      <c r="E29" s="61">
        <v>9000.0</v>
      </c>
      <c r="F29" s="62">
        <v>111000.0</v>
      </c>
      <c r="G29" s="63" t="s">
        <v>90</v>
      </c>
      <c r="H29" s="61"/>
      <c r="I29" s="64"/>
      <c r="J29" s="65"/>
      <c r="K29" s="65">
        <v>4.0</v>
      </c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6"/>
      <c r="AJ29" s="36"/>
      <c r="AK29" s="37"/>
    </row>
    <row r="30" ht="15.75" customHeight="1">
      <c r="A30" s="58"/>
      <c r="B30" s="68"/>
      <c r="C30" s="59" t="s">
        <v>109</v>
      </c>
      <c r="D30" s="67"/>
      <c r="E30" s="61">
        <v>2500.0</v>
      </c>
      <c r="F30" s="67"/>
      <c r="G30" s="67"/>
      <c r="H30" s="61"/>
      <c r="I30" s="64"/>
      <c r="J30" s="65"/>
      <c r="K30" s="65">
        <v>6.0</v>
      </c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6"/>
      <c r="AJ30" s="36"/>
      <c r="AK30" s="37"/>
    </row>
    <row r="31" ht="15.75" customHeight="1">
      <c r="A31" s="58"/>
      <c r="B31" s="65"/>
      <c r="C31" s="73" t="s">
        <v>110</v>
      </c>
      <c r="D31" s="67"/>
      <c r="E31" s="61">
        <v>750.0</v>
      </c>
      <c r="F31" s="67"/>
      <c r="G31" s="67"/>
      <c r="H31" s="61"/>
      <c r="I31" s="64"/>
      <c r="J31" s="65"/>
      <c r="K31" s="65">
        <v>20.0</v>
      </c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6"/>
      <c r="AJ31" s="36"/>
      <c r="AK31" s="37"/>
    </row>
    <row r="32" ht="15.75" customHeight="1">
      <c r="A32" s="58"/>
      <c r="B32" s="73"/>
      <c r="C32" s="73" t="s">
        <v>111</v>
      </c>
      <c r="D32" s="67"/>
      <c r="E32" s="61">
        <v>750.0</v>
      </c>
      <c r="F32" s="67"/>
      <c r="G32" s="67"/>
      <c r="H32" s="61"/>
      <c r="I32" s="64"/>
      <c r="J32" s="65"/>
      <c r="K32" s="65">
        <v>20.0</v>
      </c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6"/>
      <c r="AJ32" s="36"/>
      <c r="AK32" s="37"/>
    </row>
    <row r="33" ht="15.75" customHeight="1">
      <c r="A33" s="58"/>
      <c r="B33" s="73"/>
      <c r="C33" s="73" t="s">
        <v>112</v>
      </c>
      <c r="D33" s="67"/>
      <c r="E33" s="61">
        <v>750.0</v>
      </c>
      <c r="F33" s="67"/>
      <c r="G33" s="67"/>
      <c r="H33" s="61"/>
      <c r="I33" s="64"/>
      <c r="J33" s="65"/>
      <c r="K33" s="65">
        <v>20.0</v>
      </c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6"/>
      <c r="AJ33" s="36"/>
      <c r="AK33" s="37"/>
    </row>
    <row r="34" ht="15.75" customHeight="1">
      <c r="A34" s="58"/>
      <c r="B34" s="73"/>
      <c r="C34" s="73" t="s">
        <v>113</v>
      </c>
      <c r="D34" s="70"/>
      <c r="E34" s="61">
        <v>750.0</v>
      </c>
      <c r="F34" s="70"/>
      <c r="G34" s="70"/>
      <c r="H34" s="61"/>
      <c r="I34" s="64"/>
      <c r="J34" s="65"/>
      <c r="K34" s="65">
        <v>20.0</v>
      </c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6"/>
      <c r="AJ34" s="36"/>
      <c r="AK34" s="37"/>
    </row>
    <row r="35" ht="15.75" customHeight="1">
      <c r="A35" s="38" t="s">
        <v>114</v>
      </c>
      <c r="B35" s="74"/>
      <c r="C35" s="74" t="s">
        <v>115</v>
      </c>
      <c r="D35" s="75"/>
      <c r="E35" s="76"/>
      <c r="F35" s="75"/>
      <c r="G35" s="75"/>
      <c r="H35" s="75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8"/>
      <c r="AJ35" s="36"/>
      <c r="AK35" s="37"/>
    </row>
    <row r="36" ht="27.75" customHeight="1">
      <c r="A36" s="44"/>
      <c r="B36" s="79" t="s">
        <v>116</v>
      </c>
      <c r="C36" s="80" t="s">
        <v>117</v>
      </c>
      <c r="D36" s="81" t="s">
        <v>80</v>
      </c>
      <c r="E36" s="82">
        <v>3750.0</v>
      </c>
      <c r="F36" s="83">
        <v>145600.0</v>
      </c>
      <c r="G36" s="84" t="s">
        <v>81</v>
      </c>
      <c r="H36" s="85"/>
      <c r="I36" s="86"/>
      <c r="J36" s="86">
        <v>2.0</v>
      </c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7"/>
      <c r="AJ36" s="50"/>
      <c r="AK36" s="51"/>
      <c r="AL36" s="88"/>
      <c r="AM36" s="88"/>
    </row>
    <row r="37" ht="27.75" customHeight="1">
      <c r="A37" s="44"/>
      <c r="B37" s="80"/>
      <c r="C37" s="80" t="s">
        <v>118</v>
      </c>
      <c r="D37" s="67"/>
      <c r="E37" s="82">
        <v>11900.0</v>
      </c>
      <c r="F37" s="67"/>
      <c r="G37" s="67"/>
      <c r="H37" s="85"/>
      <c r="I37" s="86"/>
      <c r="J37" s="86">
        <v>1.0</v>
      </c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7"/>
      <c r="AJ37" s="50"/>
      <c r="AK37" s="51"/>
      <c r="AL37" s="88"/>
      <c r="AM37" s="88"/>
    </row>
    <row r="38" ht="27.75" customHeight="1">
      <c r="A38" s="44"/>
      <c r="B38" s="80"/>
      <c r="C38" s="80" t="s">
        <v>119</v>
      </c>
      <c r="D38" s="67"/>
      <c r="E38" s="82">
        <v>8500.0</v>
      </c>
      <c r="F38" s="67"/>
      <c r="G38" s="67"/>
      <c r="H38" s="85"/>
      <c r="I38" s="86"/>
      <c r="J38" s="86">
        <v>1.0</v>
      </c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7"/>
      <c r="AJ38" s="50"/>
      <c r="AK38" s="51"/>
      <c r="AL38" s="88"/>
      <c r="AM38" s="88"/>
    </row>
    <row r="39" ht="27.75" customHeight="1">
      <c r="A39" s="44"/>
      <c r="B39" s="80"/>
      <c r="C39" s="80" t="s">
        <v>120</v>
      </c>
      <c r="D39" s="67"/>
      <c r="E39" s="82">
        <v>20000.0</v>
      </c>
      <c r="F39" s="67"/>
      <c r="G39" s="67"/>
      <c r="H39" s="85"/>
      <c r="I39" s="86"/>
      <c r="J39" s="86">
        <v>1.0</v>
      </c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7"/>
      <c r="AJ39" s="50"/>
      <c r="AK39" s="51"/>
      <c r="AL39" s="88"/>
      <c r="AM39" s="88"/>
    </row>
    <row r="40" ht="27.75" customHeight="1">
      <c r="A40" s="44"/>
      <c r="B40" s="80"/>
      <c r="C40" s="80" t="s">
        <v>121</v>
      </c>
      <c r="D40" s="67"/>
      <c r="E40" s="82">
        <v>40000.0</v>
      </c>
      <c r="F40" s="67"/>
      <c r="G40" s="67"/>
      <c r="H40" s="85"/>
      <c r="I40" s="86"/>
      <c r="J40" s="86">
        <v>1.0</v>
      </c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7"/>
      <c r="AJ40" s="50"/>
      <c r="AK40" s="51"/>
      <c r="AL40" s="88"/>
      <c r="AM40" s="88"/>
    </row>
    <row r="41" ht="25.5" customHeight="1">
      <c r="A41" s="44"/>
      <c r="B41" s="80"/>
      <c r="C41" s="80" t="s">
        <v>122</v>
      </c>
      <c r="D41" s="67"/>
      <c r="E41" s="82">
        <v>4740.0</v>
      </c>
      <c r="F41" s="67"/>
      <c r="G41" s="67"/>
      <c r="H41" s="85"/>
      <c r="I41" s="86"/>
      <c r="J41" s="86">
        <v>5.0</v>
      </c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7"/>
      <c r="AJ41" s="50"/>
      <c r="AK41" s="51"/>
      <c r="AL41" s="88"/>
      <c r="AM41" s="88"/>
    </row>
    <row r="42" ht="27.75" customHeight="1">
      <c r="A42" s="44"/>
      <c r="B42" s="80"/>
      <c r="C42" s="80" t="s">
        <v>123</v>
      </c>
      <c r="D42" s="67"/>
      <c r="E42" s="82">
        <v>14000.0</v>
      </c>
      <c r="F42" s="67"/>
      <c r="G42" s="67"/>
      <c r="H42" s="85"/>
      <c r="I42" s="86"/>
      <c r="J42" s="86">
        <v>1.0</v>
      </c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7"/>
      <c r="AJ42" s="50"/>
      <c r="AK42" s="51"/>
      <c r="AL42" s="88"/>
      <c r="AM42" s="88"/>
    </row>
    <row r="43" ht="27.75" customHeight="1">
      <c r="A43" s="44"/>
      <c r="B43" s="80"/>
      <c r="C43" s="80" t="s">
        <v>124</v>
      </c>
      <c r="D43" s="67"/>
      <c r="E43" s="82">
        <v>10000.0</v>
      </c>
      <c r="F43" s="67"/>
      <c r="G43" s="67"/>
      <c r="H43" s="85"/>
      <c r="I43" s="86"/>
      <c r="J43" s="86">
        <v>1.0</v>
      </c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7"/>
      <c r="AJ43" s="50"/>
      <c r="AK43" s="51"/>
      <c r="AL43" s="88"/>
      <c r="AM43" s="88"/>
    </row>
    <row r="44" ht="27.75" customHeight="1">
      <c r="A44" s="44"/>
      <c r="B44" s="80"/>
      <c r="C44" s="80" t="s">
        <v>125</v>
      </c>
      <c r="D44" s="70"/>
      <c r="E44" s="82">
        <v>10000.0</v>
      </c>
      <c r="F44" s="70"/>
      <c r="G44" s="70"/>
      <c r="H44" s="85"/>
      <c r="I44" s="86"/>
      <c r="J44" s="86">
        <v>1.0</v>
      </c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7"/>
      <c r="AJ44" s="50"/>
      <c r="AK44" s="51"/>
      <c r="AL44" s="88"/>
      <c r="AM44" s="88"/>
    </row>
    <row r="45" ht="27.75" customHeight="1">
      <c r="A45" s="44"/>
      <c r="B45" s="45"/>
      <c r="C45" s="45" t="s">
        <v>126</v>
      </c>
      <c r="D45" s="84" t="s">
        <v>80</v>
      </c>
      <c r="E45" s="82">
        <v>10000.0</v>
      </c>
      <c r="F45" s="89">
        <v>139425.0</v>
      </c>
      <c r="G45" s="84" t="s">
        <v>81</v>
      </c>
      <c r="H45" s="85"/>
      <c r="I45" s="86"/>
      <c r="J45" s="86">
        <v>1.0</v>
      </c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7"/>
      <c r="AJ45" s="50"/>
      <c r="AK45" s="51"/>
      <c r="AL45" s="88"/>
      <c r="AM45" s="88"/>
    </row>
    <row r="46" ht="27.75" customHeight="1">
      <c r="A46" s="44"/>
      <c r="B46" s="80"/>
      <c r="C46" s="80" t="s">
        <v>127</v>
      </c>
      <c r="D46" s="67"/>
      <c r="E46" s="82">
        <v>43200.0</v>
      </c>
      <c r="F46" s="67"/>
      <c r="G46" s="67"/>
      <c r="H46" s="85"/>
      <c r="I46" s="86"/>
      <c r="J46" s="86">
        <v>1.0</v>
      </c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7"/>
      <c r="AJ46" s="50"/>
      <c r="AK46" s="51"/>
      <c r="AL46" s="88"/>
      <c r="AM46" s="88"/>
    </row>
    <row r="47" ht="27.75" customHeight="1">
      <c r="A47" s="44"/>
      <c r="B47" s="80"/>
      <c r="C47" s="80" t="s">
        <v>128</v>
      </c>
      <c r="D47" s="67"/>
      <c r="E47" s="82">
        <v>10000.0</v>
      </c>
      <c r="F47" s="67"/>
      <c r="G47" s="67"/>
      <c r="H47" s="85"/>
      <c r="I47" s="86"/>
      <c r="J47" s="86">
        <v>1.0</v>
      </c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7"/>
      <c r="AJ47" s="50"/>
      <c r="AK47" s="51"/>
      <c r="AL47" s="88"/>
      <c r="AM47" s="88"/>
    </row>
    <row r="48" ht="27.75" customHeight="1">
      <c r="A48" s="44"/>
      <c r="B48" s="80"/>
      <c r="C48" s="80" t="s">
        <v>129</v>
      </c>
      <c r="D48" s="67"/>
      <c r="E48" s="82">
        <v>5325.0</v>
      </c>
      <c r="F48" s="67"/>
      <c r="G48" s="67"/>
      <c r="H48" s="85"/>
      <c r="I48" s="86"/>
      <c r="J48" s="86">
        <v>1.0</v>
      </c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7"/>
      <c r="AJ48" s="50"/>
      <c r="AK48" s="51"/>
      <c r="AL48" s="88"/>
      <c r="AM48" s="88"/>
    </row>
    <row r="49" ht="27.75" customHeight="1">
      <c r="A49" s="44"/>
      <c r="B49" s="90"/>
      <c r="C49" s="90" t="s">
        <v>130</v>
      </c>
      <c r="D49" s="67"/>
      <c r="E49" s="82">
        <v>6000.0</v>
      </c>
      <c r="F49" s="67"/>
      <c r="G49" s="67"/>
      <c r="H49" s="85"/>
      <c r="I49" s="86"/>
      <c r="J49" s="86">
        <v>1.0</v>
      </c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7"/>
      <c r="AJ49" s="50"/>
      <c r="AK49" s="51"/>
      <c r="AL49" s="88"/>
      <c r="AM49" s="88"/>
    </row>
    <row r="50" ht="27.75" customHeight="1">
      <c r="A50" s="44"/>
      <c r="B50" s="80"/>
      <c r="C50" s="80" t="s">
        <v>131</v>
      </c>
      <c r="D50" s="67"/>
      <c r="E50" s="82">
        <v>23000.0</v>
      </c>
      <c r="F50" s="67"/>
      <c r="G50" s="67"/>
      <c r="H50" s="85"/>
      <c r="I50" s="86"/>
      <c r="J50" s="86">
        <v>2.0</v>
      </c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7"/>
      <c r="AJ50" s="50"/>
      <c r="AK50" s="51"/>
      <c r="AL50" s="88"/>
      <c r="AM50" s="88"/>
    </row>
    <row r="51" ht="27.75" customHeight="1">
      <c r="A51" s="44"/>
      <c r="B51" s="80"/>
      <c r="C51" s="80" t="s">
        <v>132</v>
      </c>
      <c r="D51" s="67"/>
      <c r="E51" s="82">
        <v>4500.0</v>
      </c>
      <c r="F51" s="67"/>
      <c r="G51" s="67"/>
      <c r="H51" s="85"/>
      <c r="I51" s="86"/>
      <c r="J51" s="86">
        <v>1.0</v>
      </c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7"/>
      <c r="AJ51" s="50"/>
      <c r="AK51" s="51"/>
      <c r="AL51" s="88"/>
      <c r="AM51" s="88"/>
    </row>
    <row r="52" ht="29.25" customHeight="1">
      <c r="A52" s="44"/>
      <c r="B52" s="80"/>
      <c r="C52" s="80" t="s">
        <v>133</v>
      </c>
      <c r="D52" s="70"/>
      <c r="E52" s="82">
        <v>7200.0</v>
      </c>
      <c r="F52" s="70"/>
      <c r="G52" s="70"/>
      <c r="H52" s="85"/>
      <c r="I52" s="86"/>
      <c r="J52" s="86">
        <v>2.0</v>
      </c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7"/>
      <c r="AJ52" s="50"/>
      <c r="AK52" s="51"/>
      <c r="AL52" s="88"/>
      <c r="AM52" s="88"/>
    </row>
    <row r="53" ht="27.75" customHeight="1">
      <c r="A53" s="44"/>
      <c r="B53" s="45"/>
      <c r="C53" s="45" t="s">
        <v>134</v>
      </c>
      <c r="D53" s="84" t="s">
        <v>80</v>
      </c>
      <c r="E53" s="82">
        <v>9000.0</v>
      </c>
      <c r="F53" s="89">
        <v>164180.0</v>
      </c>
      <c r="G53" s="84" t="s">
        <v>81</v>
      </c>
      <c r="H53" s="85"/>
      <c r="I53" s="86"/>
      <c r="J53" s="86">
        <v>4.0</v>
      </c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7"/>
      <c r="AJ53" s="50"/>
      <c r="AK53" s="51"/>
      <c r="AL53" s="88"/>
      <c r="AM53" s="88"/>
    </row>
    <row r="54" ht="27.75" customHeight="1">
      <c r="A54" s="44"/>
      <c r="B54" s="80"/>
      <c r="C54" s="80" t="s">
        <v>135</v>
      </c>
      <c r="D54" s="67"/>
      <c r="E54" s="82">
        <v>7800.0</v>
      </c>
      <c r="F54" s="67"/>
      <c r="G54" s="67"/>
      <c r="H54" s="85"/>
      <c r="I54" s="86"/>
      <c r="J54" s="86">
        <v>4.0</v>
      </c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7"/>
      <c r="AJ54" s="50"/>
      <c r="AK54" s="51"/>
      <c r="AL54" s="88"/>
      <c r="AM54" s="88"/>
    </row>
    <row r="55" ht="27.75" customHeight="1">
      <c r="A55" s="44"/>
      <c r="B55" s="80"/>
      <c r="C55" s="80" t="s">
        <v>136</v>
      </c>
      <c r="D55" s="67"/>
      <c r="E55" s="82">
        <v>45480.0</v>
      </c>
      <c r="F55" s="67"/>
      <c r="G55" s="67"/>
      <c r="H55" s="85"/>
      <c r="I55" s="86"/>
      <c r="J55" s="86">
        <v>1.0</v>
      </c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7"/>
      <c r="AJ55" s="50"/>
      <c r="AK55" s="51"/>
      <c r="AL55" s="88"/>
      <c r="AM55" s="88"/>
    </row>
    <row r="56" ht="27.75" customHeight="1">
      <c r="A56" s="44"/>
      <c r="B56" s="80"/>
      <c r="C56" s="80" t="s">
        <v>137</v>
      </c>
      <c r="D56" s="67"/>
      <c r="E56" s="82">
        <v>4000.0</v>
      </c>
      <c r="F56" s="67"/>
      <c r="G56" s="67"/>
      <c r="H56" s="85"/>
      <c r="I56" s="86"/>
      <c r="J56" s="86">
        <v>2.0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7"/>
      <c r="AJ56" s="50"/>
      <c r="AK56" s="51"/>
      <c r="AL56" s="88"/>
      <c r="AM56" s="88"/>
    </row>
    <row r="57" ht="27.75" customHeight="1">
      <c r="A57" s="44"/>
      <c r="B57" s="80"/>
      <c r="C57" s="80" t="s">
        <v>138</v>
      </c>
      <c r="D57" s="67"/>
      <c r="E57" s="82">
        <v>16500.0</v>
      </c>
      <c r="F57" s="67"/>
      <c r="G57" s="67"/>
      <c r="H57" s="85"/>
      <c r="I57" s="86"/>
      <c r="J57" s="86">
        <v>1.0</v>
      </c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7"/>
      <c r="AJ57" s="50"/>
      <c r="AK57" s="51"/>
      <c r="AL57" s="88"/>
      <c r="AM57" s="88"/>
    </row>
    <row r="58" ht="27.75" customHeight="1">
      <c r="A58" s="44"/>
      <c r="B58" s="80"/>
      <c r="C58" s="80" t="s">
        <v>139</v>
      </c>
      <c r="D58" s="70"/>
      <c r="E58" s="82">
        <v>27000.0</v>
      </c>
      <c r="F58" s="70"/>
      <c r="G58" s="70"/>
      <c r="H58" s="85"/>
      <c r="I58" s="86"/>
      <c r="J58" s="86">
        <v>1.0</v>
      </c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7"/>
      <c r="AJ58" s="50"/>
      <c r="AK58" s="51"/>
      <c r="AL58" s="88"/>
      <c r="AM58" s="88"/>
    </row>
    <row r="59" ht="27.75" customHeight="1">
      <c r="A59" s="44"/>
      <c r="B59" s="79" t="s">
        <v>140</v>
      </c>
      <c r="C59" s="80" t="s">
        <v>141</v>
      </c>
      <c r="D59" s="84" t="s">
        <v>80</v>
      </c>
      <c r="E59" s="82">
        <v>3750.0</v>
      </c>
      <c r="F59" s="89">
        <v>96200.0</v>
      </c>
      <c r="G59" s="84" t="s">
        <v>81</v>
      </c>
      <c r="H59" s="85"/>
      <c r="I59" s="86"/>
      <c r="J59" s="86">
        <v>2.0</v>
      </c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7"/>
      <c r="AJ59" s="50"/>
      <c r="AK59" s="51"/>
      <c r="AL59" s="88"/>
      <c r="AM59" s="88"/>
    </row>
    <row r="60" ht="27.75" customHeight="1">
      <c r="A60" s="44"/>
      <c r="B60" s="80"/>
      <c r="C60" s="80" t="s">
        <v>142</v>
      </c>
      <c r="D60" s="67"/>
      <c r="E60" s="82">
        <v>2500.0</v>
      </c>
      <c r="F60" s="67"/>
      <c r="G60" s="67"/>
      <c r="H60" s="85"/>
      <c r="I60" s="86"/>
      <c r="J60" s="86">
        <v>10.0</v>
      </c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7"/>
      <c r="AJ60" s="50"/>
      <c r="AK60" s="51"/>
      <c r="AL60" s="88"/>
      <c r="AM60" s="88"/>
    </row>
    <row r="61" ht="27.75" customHeight="1">
      <c r="A61" s="44"/>
      <c r="B61" s="79"/>
      <c r="C61" s="80" t="s">
        <v>143</v>
      </c>
      <c r="D61" s="67"/>
      <c r="E61" s="82">
        <v>7200.0</v>
      </c>
      <c r="F61" s="67"/>
      <c r="G61" s="67"/>
      <c r="H61" s="85"/>
      <c r="I61" s="86"/>
      <c r="J61" s="86">
        <v>1.0</v>
      </c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7"/>
      <c r="AJ61" s="50"/>
      <c r="AK61" s="51"/>
      <c r="AL61" s="88"/>
      <c r="AM61" s="88"/>
    </row>
    <row r="62" ht="27.75" customHeight="1">
      <c r="A62" s="44"/>
      <c r="B62" s="79"/>
      <c r="C62" s="80" t="s">
        <v>144</v>
      </c>
      <c r="D62" s="67"/>
      <c r="E62" s="82">
        <v>21000.0</v>
      </c>
      <c r="F62" s="67"/>
      <c r="G62" s="67"/>
      <c r="H62" s="85"/>
      <c r="I62" s="86"/>
      <c r="J62" s="86">
        <v>1.0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7"/>
      <c r="AJ62" s="50"/>
      <c r="AK62" s="51"/>
      <c r="AL62" s="88"/>
      <c r="AM62" s="88"/>
    </row>
    <row r="63" ht="27.75" customHeight="1">
      <c r="A63" s="44"/>
      <c r="B63" s="79"/>
      <c r="C63" s="80" t="s">
        <v>145</v>
      </c>
      <c r="D63" s="67"/>
      <c r="E63" s="82">
        <v>20000.0</v>
      </c>
      <c r="F63" s="67"/>
      <c r="G63" s="67"/>
      <c r="H63" s="85"/>
      <c r="I63" s="86"/>
      <c r="J63" s="86">
        <v>1.0</v>
      </c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7"/>
      <c r="AJ63" s="50"/>
      <c r="AK63" s="51"/>
      <c r="AL63" s="88"/>
      <c r="AM63" s="88"/>
    </row>
    <row r="64" ht="27.75" customHeight="1">
      <c r="A64" s="44"/>
      <c r="B64" s="80"/>
      <c r="C64" s="80" t="s">
        <v>146</v>
      </c>
      <c r="D64" s="67"/>
      <c r="E64" s="82">
        <v>9500.0</v>
      </c>
      <c r="F64" s="67"/>
      <c r="G64" s="67"/>
      <c r="H64" s="85"/>
      <c r="I64" s="86"/>
      <c r="J64" s="86">
        <v>1.0</v>
      </c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7"/>
      <c r="AJ64" s="50"/>
      <c r="AK64" s="51"/>
      <c r="AL64" s="88"/>
      <c r="AM64" s="88"/>
    </row>
    <row r="65" ht="27.75" customHeight="1">
      <c r="A65" s="44"/>
      <c r="B65" s="79" t="s">
        <v>147</v>
      </c>
      <c r="C65" s="80" t="s">
        <v>148</v>
      </c>
      <c r="D65" s="70"/>
      <c r="E65" s="82">
        <v>300.0</v>
      </c>
      <c r="F65" s="70"/>
      <c r="G65" s="70"/>
      <c r="H65" s="85"/>
      <c r="I65" s="86"/>
      <c r="J65" s="86">
        <v>20.0</v>
      </c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7"/>
      <c r="AJ65" s="50"/>
      <c r="AK65" s="51"/>
      <c r="AL65" s="88"/>
      <c r="AM65" s="88"/>
    </row>
    <row r="66" ht="27.75" customHeight="1">
      <c r="A66" s="44"/>
      <c r="B66" s="80"/>
      <c r="C66" s="80" t="s">
        <v>149</v>
      </c>
      <c r="D66" s="46" t="s">
        <v>150</v>
      </c>
      <c r="E66" s="82">
        <v>49000.0</v>
      </c>
      <c r="F66" s="48">
        <v>49000.0</v>
      </c>
      <c r="G66" s="46" t="s">
        <v>90</v>
      </c>
      <c r="H66" s="85"/>
      <c r="I66" s="86"/>
      <c r="J66" s="86">
        <v>1.0</v>
      </c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7"/>
      <c r="AJ66" s="50"/>
      <c r="AK66" s="51"/>
      <c r="AL66" s="88"/>
      <c r="AM66" s="88"/>
    </row>
    <row r="67" ht="15.75" customHeight="1">
      <c r="A67" s="38" t="s">
        <v>151</v>
      </c>
      <c r="B67" s="74"/>
      <c r="C67" s="74" t="s">
        <v>152</v>
      </c>
      <c r="D67" s="40"/>
      <c r="E67" s="41"/>
      <c r="F67" s="42"/>
      <c r="G67" s="75"/>
      <c r="H67" s="75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8"/>
      <c r="AJ67" s="36"/>
      <c r="AK67" s="37"/>
    </row>
    <row r="68" ht="27.0" customHeight="1">
      <c r="A68" s="44"/>
      <c r="B68" s="91"/>
      <c r="C68" s="91" t="s">
        <v>153</v>
      </c>
      <c r="D68" s="46" t="s">
        <v>154</v>
      </c>
      <c r="E68" s="47">
        <v>400.0</v>
      </c>
      <c r="F68" s="48">
        <v>6900.0</v>
      </c>
      <c r="G68" s="46" t="s">
        <v>155</v>
      </c>
      <c r="H68" s="85"/>
      <c r="I68" s="86"/>
      <c r="J68" s="86">
        <v>17.25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7"/>
      <c r="AJ68" s="50"/>
      <c r="AK68" s="51"/>
      <c r="AL68" s="88"/>
      <c r="AM68" s="88"/>
    </row>
    <row r="69" ht="25.5" customHeight="1">
      <c r="A69" s="44"/>
      <c r="B69" s="91"/>
      <c r="C69" s="91" t="s">
        <v>156</v>
      </c>
      <c r="D69" s="46" t="s">
        <v>157</v>
      </c>
      <c r="E69" s="47">
        <v>300.0</v>
      </c>
      <c r="F69" s="48">
        <f>300*300</f>
        <v>90000</v>
      </c>
      <c r="G69" s="46" t="s">
        <v>81</v>
      </c>
      <c r="H69" s="85"/>
      <c r="I69" s="86"/>
      <c r="J69" s="86"/>
      <c r="K69" s="86">
        <v>300.0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7"/>
      <c r="AJ69" s="50"/>
      <c r="AK69" s="51"/>
      <c r="AL69" s="88"/>
      <c r="AM69" s="88"/>
    </row>
    <row r="70" ht="29.25" customHeight="1">
      <c r="A70" s="58"/>
      <c r="B70" s="69"/>
      <c r="C70" s="69" t="s">
        <v>158</v>
      </c>
      <c r="D70" s="72" t="s">
        <v>80</v>
      </c>
      <c r="E70" s="92">
        <v>1500.0</v>
      </c>
      <c r="F70" s="93">
        <v>40300.0</v>
      </c>
      <c r="G70" s="63" t="s">
        <v>90</v>
      </c>
      <c r="H70" s="73"/>
      <c r="I70" s="65"/>
      <c r="J70" s="65">
        <v>13.0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6"/>
      <c r="AJ70" s="36"/>
      <c r="AK70" s="37"/>
    </row>
    <row r="71" ht="15.75" customHeight="1">
      <c r="A71" s="58"/>
      <c r="B71" s="73"/>
      <c r="C71" s="73" t="s">
        <v>159</v>
      </c>
      <c r="D71" s="67"/>
      <c r="E71" s="92">
        <v>800.0</v>
      </c>
      <c r="F71" s="67"/>
      <c r="G71" s="67"/>
      <c r="H71" s="73"/>
      <c r="I71" s="65"/>
      <c r="J71" s="65">
        <v>13.0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6"/>
      <c r="AJ71" s="36"/>
      <c r="AK71" s="37"/>
    </row>
    <row r="72" ht="15.75" customHeight="1">
      <c r="A72" s="58"/>
      <c r="B72" s="73"/>
      <c r="C72" s="73" t="s">
        <v>160</v>
      </c>
      <c r="D72" s="67"/>
      <c r="E72" s="92">
        <v>300.0</v>
      </c>
      <c r="F72" s="67"/>
      <c r="G72" s="67"/>
      <c r="H72" s="73"/>
      <c r="I72" s="65"/>
      <c r="J72" s="65">
        <v>13.0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6"/>
      <c r="AJ72" s="36"/>
      <c r="AK72" s="37"/>
    </row>
    <row r="73" ht="27.75" customHeight="1">
      <c r="A73" s="58"/>
      <c r="B73" s="59"/>
      <c r="C73" s="59" t="s">
        <v>161</v>
      </c>
      <c r="D73" s="67"/>
      <c r="E73" s="92">
        <v>500.0</v>
      </c>
      <c r="F73" s="70"/>
      <c r="G73" s="70"/>
      <c r="H73" s="73"/>
      <c r="I73" s="65"/>
      <c r="J73" s="65">
        <v>13.0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6"/>
      <c r="AJ73" s="36"/>
      <c r="AK73" s="37"/>
    </row>
    <row r="74" ht="15.75" customHeight="1">
      <c r="A74" s="58"/>
      <c r="B74" s="94"/>
      <c r="C74" s="94" t="s">
        <v>162</v>
      </c>
      <c r="D74" s="72" t="s">
        <v>80</v>
      </c>
      <c r="E74" s="92">
        <v>1000.0</v>
      </c>
      <c r="F74" s="93">
        <v>40000.0</v>
      </c>
      <c r="G74" s="63" t="s">
        <v>90</v>
      </c>
      <c r="H74" s="73"/>
      <c r="I74" s="65"/>
      <c r="J74" s="65"/>
      <c r="K74" s="65">
        <v>10.0</v>
      </c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6"/>
      <c r="AJ74" s="36"/>
      <c r="AK74" s="37"/>
    </row>
    <row r="75" ht="26.25" customHeight="1">
      <c r="A75" s="58"/>
      <c r="B75" s="94"/>
      <c r="C75" s="94" t="s">
        <v>163</v>
      </c>
      <c r="D75" s="67"/>
      <c r="E75" s="92">
        <v>3000.0</v>
      </c>
      <c r="F75" s="67"/>
      <c r="G75" s="67"/>
      <c r="H75" s="73"/>
      <c r="I75" s="65"/>
      <c r="J75" s="65"/>
      <c r="K75" s="65">
        <v>5.0</v>
      </c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6"/>
      <c r="AJ75" s="36"/>
      <c r="AK75" s="37"/>
    </row>
    <row r="76" ht="26.25" customHeight="1">
      <c r="A76" s="58"/>
      <c r="B76" s="94"/>
      <c r="C76" s="94" t="s">
        <v>164</v>
      </c>
      <c r="D76" s="70"/>
      <c r="E76" s="92">
        <v>3000.0</v>
      </c>
      <c r="F76" s="70"/>
      <c r="G76" s="70"/>
      <c r="H76" s="73"/>
      <c r="I76" s="65"/>
      <c r="J76" s="65"/>
      <c r="K76" s="65">
        <v>5.0</v>
      </c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6"/>
      <c r="AJ76" s="36"/>
      <c r="AK76" s="37"/>
    </row>
    <row r="77" ht="15.75" customHeight="1">
      <c r="A77" s="58"/>
      <c r="B77" s="71"/>
      <c r="C77" s="71" t="s">
        <v>165</v>
      </c>
      <c r="D77" s="72" t="s">
        <v>80</v>
      </c>
      <c r="E77" s="92">
        <v>8000.0</v>
      </c>
      <c r="F77" s="93">
        <v>11000.0</v>
      </c>
      <c r="G77" s="63" t="s">
        <v>90</v>
      </c>
      <c r="H77" s="73"/>
      <c r="I77" s="65"/>
      <c r="J77" s="65"/>
      <c r="K77" s="65">
        <v>1.0</v>
      </c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6"/>
      <c r="AJ77" s="36"/>
      <c r="AK77" s="37"/>
    </row>
    <row r="78" ht="15.75" customHeight="1">
      <c r="A78" s="58"/>
      <c r="B78" s="71"/>
      <c r="C78" s="71" t="s">
        <v>166</v>
      </c>
      <c r="D78" s="70"/>
      <c r="E78" s="92">
        <v>3000.0</v>
      </c>
      <c r="F78" s="70"/>
      <c r="G78" s="70"/>
      <c r="H78" s="73"/>
      <c r="I78" s="65"/>
      <c r="J78" s="65"/>
      <c r="K78" s="65">
        <v>1.0</v>
      </c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6"/>
      <c r="AJ78" s="36"/>
      <c r="AK78" s="37"/>
    </row>
    <row r="79">
      <c r="A79" s="44"/>
      <c r="B79" s="45"/>
      <c r="C79" s="45" t="s">
        <v>167</v>
      </c>
      <c r="D79" s="84" t="s">
        <v>80</v>
      </c>
      <c r="E79" s="47">
        <v>7000.0</v>
      </c>
      <c r="F79" s="89">
        <v>18000.0</v>
      </c>
      <c r="G79" s="46" t="s">
        <v>90</v>
      </c>
      <c r="H79" s="46"/>
      <c r="I79" s="46"/>
      <c r="J79" s="46">
        <v>2.0</v>
      </c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4"/>
      <c r="AI79" s="49"/>
      <c r="AJ79" s="50"/>
      <c r="AK79" s="51"/>
      <c r="AL79" s="52"/>
      <c r="AM79" s="52"/>
    </row>
    <row r="80">
      <c r="A80" s="44"/>
      <c r="B80" s="45"/>
      <c r="C80" s="45" t="s">
        <v>168</v>
      </c>
      <c r="D80" s="70"/>
      <c r="E80" s="47">
        <v>2000.0</v>
      </c>
      <c r="F80" s="70"/>
      <c r="G80" s="46" t="s">
        <v>90</v>
      </c>
      <c r="H80" s="46"/>
      <c r="I80" s="46"/>
      <c r="J80" s="46">
        <v>2.0</v>
      </c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4"/>
      <c r="AI80" s="49"/>
      <c r="AJ80" s="50"/>
      <c r="AK80" s="51"/>
      <c r="AL80" s="52"/>
      <c r="AM80" s="52"/>
    </row>
    <row r="81" ht="15.75" customHeight="1">
      <c r="A81" s="95" t="s">
        <v>169</v>
      </c>
      <c r="B81" s="96"/>
      <c r="C81" s="97" t="s">
        <v>170</v>
      </c>
      <c r="D81" s="96"/>
      <c r="E81" s="98"/>
      <c r="F81" s="99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100"/>
      <c r="AJ81" s="101"/>
      <c r="AK81" s="101"/>
      <c r="AL81" s="102"/>
      <c r="AM81" s="102"/>
    </row>
    <row r="82" ht="15.75" customHeight="1">
      <c r="A82" s="103"/>
      <c r="B82" s="104"/>
      <c r="C82" s="105" t="s">
        <v>171</v>
      </c>
      <c r="D82" s="72" t="s">
        <v>80</v>
      </c>
      <c r="E82" s="106">
        <v>150.0</v>
      </c>
      <c r="F82" s="93">
        <v>21390.0</v>
      </c>
      <c r="G82" s="63" t="s">
        <v>90</v>
      </c>
      <c r="H82" s="107"/>
      <c r="I82" s="107"/>
      <c r="J82" s="65">
        <v>10.0</v>
      </c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8"/>
      <c r="AJ82" s="109"/>
      <c r="AK82" s="101"/>
      <c r="AL82" s="102"/>
      <c r="AM82" s="102"/>
    </row>
    <row r="83" ht="15.75" customHeight="1">
      <c r="A83" s="110"/>
      <c r="B83" s="111"/>
      <c r="C83" s="112" t="s">
        <v>172</v>
      </c>
      <c r="D83" s="67"/>
      <c r="E83" s="113">
        <v>150.0</v>
      </c>
      <c r="F83" s="67"/>
      <c r="G83" s="67"/>
      <c r="H83" s="114"/>
      <c r="I83" s="114"/>
      <c r="J83" s="65">
        <v>10.0</v>
      </c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5"/>
      <c r="AJ83" s="109"/>
      <c r="AK83" s="101"/>
      <c r="AL83" s="102"/>
      <c r="AM83" s="102"/>
    </row>
    <row r="84" ht="15.75" customHeight="1">
      <c r="A84" s="110"/>
      <c r="B84" s="111"/>
      <c r="C84" s="112" t="s">
        <v>173</v>
      </c>
      <c r="D84" s="67"/>
      <c r="E84" s="113">
        <v>300.0</v>
      </c>
      <c r="F84" s="67"/>
      <c r="G84" s="67"/>
      <c r="H84" s="114"/>
      <c r="I84" s="114"/>
      <c r="J84" s="65">
        <v>5.0</v>
      </c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5"/>
      <c r="AJ84" s="109"/>
      <c r="AK84" s="101"/>
      <c r="AL84" s="102"/>
      <c r="AM84" s="102"/>
    </row>
    <row r="85" ht="15.75" customHeight="1">
      <c r="A85" s="110"/>
      <c r="B85" s="111"/>
      <c r="C85" s="112" t="s">
        <v>174</v>
      </c>
      <c r="D85" s="67"/>
      <c r="E85" s="113">
        <v>100.0</v>
      </c>
      <c r="F85" s="67"/>
      <c r="G85" s="67"/>
      <c r="H85" s="114"/>
      <c r="I85" s="114"/>
      <c r="J85" s="65">
        <v>30.0</v>
      </c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5"/>
      <c r="AJ85" s="109"/>
      <c r="AK85" s="101"/>
      <c r="AL85" s="102"/>
      <c r="AM85" s="102"/>
    </row>
    <row r="86" ht="15.75" customHeight="1">
      <c r="A86" s="110"/>
      <c r="B86" s="111"/>
      <c r="C86" s="112" t="s">
        <v>175</v>
      </c>
      <c r="D86" s="67"/>
      <c r="E86" s="113">
        <v>150.0</v>
      </c>
      <c r="F86" s="67"/>
      <c r="G86" s="67"/>
      <c r="H86" s="114"/>
      <c r="I86" s="114"/>
      <c r="J86" s="65">
        <v>6.0</v>
      </c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5"/>
      <c r="AJ86" s="109"/>
      <c r="AK86" s="101"/>
      <c r="AL86" s="102"/>
      <c r="AM86" s="102"/>
    </row>
    <row r="87" ht="15.75" customHeight="1">
      <c r="A87" s="110"/>
      <c r="B87" s="111"/>
      <c r="C87" s="112" t="s">
        <v>176</v>
      </c>
      <c r="D87" s="67"/>
      <c r="E87" s="113">
        <v>70.0</v>
      </c>
      <c r="F87" s="67"/>
      <c r="G87" s="67"/>
      <c r="H87" s="114"/>
      <c r="I87" s="114"/>
      <c r="J87" s="65">
        <v>10.0</v>
      </c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5"/>
      <c r="AJ87" s="109"/>
      <c r="AK87" s="101"/>
      <c r="AL87" s="102"/>
      <c r="AM87" s="102"/>
    </row>
    <row r="88" ht="15.75" customHeight="1">
      <c r="A88" s="110"/>
      <c r="B88" s="111"/>
      <c r="C88" s="112" t="s">
        <v>177</v>
      </c>
      <c r="D88" s="67"/>
      <c r="E88" s="113">
        <v>70.0</v>
      </c>
      <c r="F88" s="67"/>
      <c r="G88" s="67"/>
      <c r="H88" s="114"/>
      <c r="I88" s="114"/>
      <c r="J88" s="65">
        <v>7.0</v>
      </c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5"/>
      <c r="AJ88" s="109"/>
      <c r="AK88" s="101"/>
      <c r="AL88" s="102"/>
      <c r="AM88" s="102"/>
    </row>
    <row r="89" ht="15.75" customHeight="1">
      <c r="A89" s="110"/>
      <c r="B89" s="111"/>
      <c r="C89" s="112" t="s">
        <v>178</v>
      </c>
      <c r="D89" s="67"/>
      <c r="E89" s="113">
        <v>200.0</v>
      </c>
      <c r="F89" s="67"/>
      <c r="G89" s="67"/>
      <c r="H89" s="114"/>
      <c r="I89" s="114"/>
      <c r="J89" s="65">
        <v>7.0</v>
      </c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5"/>
      <c r="AJ89" s="109"/>
      <c r="AK89" s="101"/>
      <c r="AL89" s="102"/>
      <c r="AM89" s="102"/>
    </row>
    <row r="90" ht="15.75" customHeight="1">
      <c r="A90" s="110"/>
      <c r="B90" s="111"/>
      <c r="C90" s="112" t="s">
        <v>179</v>
      </c>
      <c r="D90" s="67"/>
      <c r="E90" s="113">
        <v>300.0</v>
      </c>
      <c r="F90" s="67"/>
      <c r="G90" s="67"/>
      <c r="H90" s="114"/>
      <c r="I90" s="114"/>
      <c r="J90" s="65">
        <v>3.0</v>
      </c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5"/>
      <c r="AJ90" s="109"/>
      <c r="AK90" s="101"/>
      <c r="AL90" s="102"/>
      <c r="AM90" s="102"/>
    </row>
    <row r="91" ht="15.75" customHeight="1">
      <c r="A91" s="110"/>
      <c r="B91" s="111"/>
      <c r="C91" s="112" t="s">
        <v>180</v>
      </c>
      <c r="D91" s="67"/>
      <c r="E91" s="113">
        <v>500.0</v>
      </c>
      <c r="F91" s="67"/>
      <c r="G91" s="67"/>
      <c r="H91" s="114"/>
      <c r="I91" s="114"/>
      <c r="J91" s="65">
        <v>2.0</v>
      </c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5"/>
      <c r="AJ91" s="109"/>
      <c r="AK91" s="101"/>
      <c r="AL91" s="102"/>
      <c r="AM91" s="102"/>
    </row>
    <row r="92" ht="15.75" customHeight="1">
      <c r="A92" s="110"/>
      <c r="B92" s="111"/>
      <c r="C92" s="112" t="s">
        <v>181</v>
      </c>
      <c r="D92" s="67"/>
      <c r="E92" s="113">
        <v>500.0</v>
      </c>
      <c r="F92" s="67"/>
      <c r="G92" s="67"/>
      <c r="H92" s="114"/>
      <c r="I92" s="114"/>
      <c r="J92" s="65">
        <v>2.0</v>
      </c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5"/>
      <c r="AJ92" s="109"/>
      <c r="AK92" s="101"/>
      <c r="AL92" s="102"/>
      <c r="AM92" s="102"/>
    </row>
    <row r="93" ht="15.75" customHeight="1">
      <c r="A93" s="110"/>
      <c r="B93" s="111"/>
      <c r="C93" s="112" t="s">
        <v>182</v>
      </c>
      <c r="D93" s="67"/>
      <c r="E93" s="113">
        <v>500.0</v>
      </c>
      <c r="F93" s="67"/>
      <c r="G93" s="67"/>
      <c r="H93" s="114"/>
      <c r="I93" s="114"/>
      <c r="J93" s="65">
        <v>2.0</v>
      </c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5"/>
      <c r="AJ93" s="109"/>
      <c r="AK93" s="101"/>
      <c r="AL93" s="102"/>
      <c r="AM93" s="102"/>
    </row>
    <row r="94" ht="15.75" customHeight="1">
      <c r="A94" s="110"/>
      <c r="B94" s="111"/>
      <c r="C94" s="112" t="s">
        <v>183</v>
      </c>
      <c r="D94" s="67"/>
      <c r="E94" s="113">
        <v>10.0</v>
      </c>
      <c r="F94" s="67"/>
      <c r="G94" s="67"/>
      <c r="H94" s="114"/>
      <c r="I94" s="114"/>
      <c r="J94" s="65">
        <v>100.0</v>
      </c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5"/>
      <c r="AJ94" s="109"/>
      <c r="AK94" s="101"/>
      <c r="AL94" s="102"/>
      <c r="AM94" s="102"/>
    </row>
    <row r="95" ht="15.75" customHeight="1">
      <c r="A95" s="110"/>
      <c r="B95" s="111"/>
      <c r="C95" s="112" t="s">
        <v>184</v>
      </c>
      <c r="D95" s="67"/>
      <c r="E95" s="113">
        <v>250.0</v>
      </c>
      <c r="F95" s="67"/>
      <c r="G95" s="67"/>
      <c r="H95" s="114"/>
      <c r="I95" s="114"/>
      <c r="J95" s="65">
        <v>2.0</v>
      </c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5"/>
      <c r="AJ95" s="109"/>
      <c r="AK95" s="101"/>
      <c r="AL95" s="102"/>
      <c r="AM95" s="102"/>
    </row>
    <row r="96" ht="15.75" customHeight="1">
      <c r="A96" s="110"/>
      <c r="B96" s="111"/>
      <c r="C96" s="112" t="s">
        <v>185</v>
      </c>
      <c r="D96" s="67"/>
      <c r="E96" s="113">
        <v>40.0</v>
      </c>
      <c r="F96" s="67"/>
      <c r="G96" s="67"/>
      <c r="H96" s="114"/>
      <c r="I96" s="114"/>
      <c r="J96" s="65">
        <v>20.0</v>
      </c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5"/>
      <c r="AJ96" s="109"/>
      <c r="AK96" s="101"/>
      <c r="AL96" s="102"/>
      <c r="AM96" s="102"/>
    </row>
    <row r="97" ht="15.75" customHeight="1">
      <c r="A97" s="110"/>
      <c r="B97" s="111"/>
      <c r="C97" s="112" t="s">
        <v>186</v>
      </c>
      <c r="D97" s="67"/>
      <c r="E97" s="113">
        <v>400.0</v>
      </c>
      <c r="F97" s="67"/>
      <c r="G97" s="67"/>
      <c r="H97" s="114"/>
      <c r="I97" s="114"/>
      <c r="J97" s="65">
        <v>10.0</v>
      </c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5"/>
      <c r="AJ97" s="109"/>
      <c r="AK97" s="101"/>
      <c r="AL97" s="102"/>
      <c r="AM97" s="102"/>
    </row>
    <row r="98" ht="15.75" customHeight="1">
      <c r="A98" s="110"/>
      <c r="B98" s="111"/>
      <c r="C98" s="112" t="s">
        <v>187</v>
      </c>
      <c r="D98" s="70"/>
      <c r="E98" s="113">
        <v>20.0</v>
      </c>
      <c r="F98" s="70"/>
      <c r="G98" s="70"/>
      <c r="H98" s="114"/>
      <c r="I98" s="114"/>
      <c r="J98" s="65">
        <v>10.0</v>
      </c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5"/>
      <c r="AJ98" s="109"/>
      <c r="AK98" s="101"/>
      <c r="AL98" s="102"/>
      <c r="AM98" s="102"/>
    </row>
    <row r="99" ht="15.75" customHeight="1">
      <c r="A99" s="38" t="s">
        <v>188</v>
      </c>
      <c r="B99" s="74"/>
      <c r="C99" s="74" t="s">
        <v>189</v>
      </c>
      <c r="D99" s="40"/>
      <c r="E99" s="41"/>
      <c r="F99" s="42"/>
      <c r="G99" s="75"/>
      <c r="H99" s="75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8"/>
      <c r="AJ99" s="116"/>
      <c r="AK99" s="117"/>
      <c r="AL99" s="118"/>
      <c r="AM99" s="118"/>
    </row>
    <row r="100" ht="38.25" customHeight="1">
      <c r="A100" s="44"/>
      <c r="B100" s="91"/>
      <c r="C100" s="91" t="s">
        <v>190</v>
      </c>
      <c r="D100" s="46" t="s">
        <v>80</v>
      </c>
      <c r="E100" s="47">
        <v>2500.0</v>
      </c>
      <c r="F100" s="48">
        <f>2500*1</f>
        <v>2500</v>
      </c>
      <c r="G100" s="46" t="s">
        <v>191</v>
      </c>
      <c r="H100" s="85"/>
      <c r="I100" s="86">
        <v>1.0</v>
      </c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7"/>
      <c r="AJ100" s="50"/>
      <c r="AK100" s="51"/>
      <c r="AL100" s="88"/>
      <c r="AM100" s="88"/>
    </row>
    <row r="101">
      <c r="A101" s="44"/>
      <c r="B101" s="119"/>
      <c r="C101" s="91" t="s">
        <v>192</v>
      </c>
      <c r="D101" s="46" t="s">
        <v>80</v>
      </c>
      <c r="E101" s="47">
        <v>40000.0</v>
      </c>
      <c r="F101" s="48">
        <v>40000.0</v>
      </c>
      <c r="G101" s="46" t="s">
        <v>191</v>
      </c>
      <c r="H101" s="85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7"/>
      <c r="AJ101" s="50"/>
      <c r="AK101" s="51"/>
      <c r="AL101" s="88"/>
      <c r="AM101" s="88"/>
    </row>
    <row r="102" ht="15.75" customHeight="1">
      <c r="A102" s="38" t="s">
        <v>193</v>
      </c>
      <c r="B102" s="74"/>
      <c r="C102" s="74" t="s">
        <v>194</v>
      </c>
      <c r="D102" s="40"/>
      <c r="E102" s="41"/>
      <c r="F102" s="42"/>
      <c r="G102" s="75"/>
      <c r="H102" s="75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8"/>
      <c r="AJ102" s="36"/>
      <c r="AK102" s="37"/>
    </row>
    <row r="103" ht="38.25" customHeight="1">
      <c r="A103" s="58"/>
      <c r="B103" s="69"/>
      <c r="C103" s="69" t="s">
        <v>195</v>
      </c>
      <c r="D103" s="68" t="s">
        <v>196</v>
      </c>
      <c r="E103" s="92">
        <v>41443.4</v>
      </c>
      <c r="F103" s="92">
        <v>41443.4</v>
      </c>
      <c r="G103" s="120" t="s">
        <v>155</v>
      </c>
      <c r="H103" s="69"/>
      <c r="I103" s="68">
        <v>1.0</v>
      </c>
      <c r="J103" s="68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6"/>
      <c r="AJ103" s="36"/>
      <c r="AK103" s="37"/>
    </row>
    <row r="104" ht="15.75" customHeight="1">
      <c r="A104" s="38" t="s">
        <v>197</v>
      </c>
      <c r="B104" s="74"/>
      <c r="C104" s="74" t="s">
        <v>198</v>
      </c>
      <c r="D104" s="40"/>
      <c r="E104" s="41"/>
      <c r="F104" s="42"/>
      <c r="G104" s="75"/>
      <c r="H104" s="75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8"/>
      <c r="AJ104" s="36"/>
      <c r="AK104" s="37"/>
    </row>
    <row r="105" ht="15.75" customHeight="1">
      <c r="A105" s="58"/>
      <c r="B105" s="59"/>
      <c r="C105" s="59" t="s">
        <v>199</v>
      </c>
      <c r="D105" s="68" t="s">
        <v>200</v>
      </c>
      <c r="E105" s="92">
        <v>150.0</v>
      </c>
      <c r="F105" s="92">
        <f>150*26</f>
        <v>3900</v>
      </c>
      <c r="G105" s="120" t="s">
        <v>90</v>
      </c>
      <c r="H105" s="69"/>
      <c r="I105" s="68"/>
      <c r="J105" s="68">
        <v>13.0</v>
      </c>
      <c r="K105" s="65">
        <v>13.0</v>
      </c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6"/>
      <c r="AJ105" s="36"/>
      <c r="AK105" s="37"/>
    </row>
    <row r="106" ht="15.75" customHeight="1">
      <c r="A106" s="38" t="s">
        <v>201</v>
      </c>
      <c r="B106" s="74"/>
      <c r="C106" s="74" t="s">
        <v>202</v>
      </c>
      <c r="D106" s="40"/>
      <c r="E106" s="41"/>
      <c r="F106" s="42"/>
      <c r="G106" s="75"/>
      <c r="H106" s="75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8"/>
      <c r="AJ106" s="36"/>
      <c r="AK106" s="37"/>
    </row>
    <row r="107" ht="15.75" customHeight="1">
      <c r="A107" s="44"/>
      <c r="B107" s="119"/>
      <c r="C107" s="91" t="s">
        <v>203</v>
      </c>
      <c r="D107" s="46" t="s">
        <v>80</v>
      </c>
      <c r="E107" s="47">
        <v>70000.0</v>
      </c>
      <c r="F107" s="48">
        <v>70000.0</v>
      </c>
      <c r="G107" s="46" t="s">
        <v>90</v>
      </c>
      <c r="H107" s="85"/>
      <c r="I107" s="86"/>
      <c r="J107" s="86">
        <v>1.0</v>
      </c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7"/>
      <c r="AJ107" s="50"/>
      <c r="AK107" s="51"/>
      <c r="AL107" s="88"/>
      <c r="AM107" s="88"/>
    </row>
    <row r="108" ht="15.75" customHeight="1">
      <c r="A108" s="44"/>
      <c r="B108" s="119"/>
      <c r="C108" s="91" t="s">
        <v>204</v>
      </c>
      <c r="D108" s="46" t="s">
        <v>80</v>
      </c>
      <c r="E108" s="47">
        <v>30000.0</v>
      </c>
      <c r="F108" s="48">
        <v>30000.0</v>
      </c>
      <c r="G108" s="46" t="s">
        <v>90</v>
      </c>
      <c r="H108" s="85"/>
      <c r="I108" s="86"/>
      <c r="J108" s="86">
        <v>1.0</v>
      </c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7"/>
      <c r="AJ108" s="50"/>
      <c r="AK108" s="51"/>
      <c r="AL108" s="88"/>
      <c r="AM108" s="88"/>
    </row>
    <row r="109" ht="15.75" customHeight="1">
      <c r="A109" s="38" t="s">
        <v>201</v>
      </c>
      <c r="B109" s="74"/>
      <c r="C109" s="74" t="s">
        <v>205</v>
      </c>
      <c r="D109" s="40"/>
      <c r="E109" s="41"/>
      <c r="F109" s="42"/>
      <c r="G109" s="75"/>
      <c r="H109" s="75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8"/>
      <c r="AJ109" s="36"/>
      <c r="AK109" s="37"/>
    </row>
    <row r="110" ht="15.75" customHeight="1">
      <c r="A110" s="58"/>
      <c r="B110" s="121"/>
      <c r="C110" s="71" t="s">
        <v>206</v>
      </c>
      <c r="D110" s="68" t="s">
        <v>207</v>
      </c>
      <c r="E110" s="92">
        <v>4850.0</v>
      </c>
      <c r="F110" s="122">
        <v>4850.0</v>
      </c>
      <c r="G110" s="73" t="s">
        <v>208</v>
      </c>
      <c r="H110" s="73"/>
      <c r="I110" s="65"/>
      <c r="J110" s="65"/>
      <c r="K110" s="65">
        <v>1.0</v>
      </c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6"/>
      <c r="AJ110" s="36"/>
      <c r="AK110" s="37"/>
    </row>
    <row r="111" ht="15.75" customHeight="1">
      <c r="A111" s="38" t="s">
        <v>209</v>
      </c>
      <c r="B111" s="74"/>
      <c r="C111" s="74" t="s">
        <v>210</v>
      </c>
      <c r="D111" s="40"/>
      <c r="E111" s="41"/>
      <c r="F111" s="42"/>
      <c r="G111" s="75"/>
      <c r="H111" s="75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8"/>
      <c r="AJ111" s="36"/>
      <c r="AK111" s="37"/>
    </row>
    <row r="112" ht="15.75" customHeight="1">
      <c r="A112" s="58"/>
      <c r="B112" s="121"/>
      <c r="C112" s="123" t="s">
        <v>211</v>
      </c>
      <c r="D112" s="68" t="s">
        <v>80</v>
      </c>
      <c r="E112" s="124">
        <v>3500000.0</v>
      </c>
      <c r="F112" s="125">
        <v>3500000.0</v>
      </c>
      <c r="G112" s="126" t="s">
        <v>212</v>
      </c>
      <c r="H112" s="73"/>
      <c r="I112" s="65"/>
      <c r="J112" s="65">
        <v>1.0</v>
      </c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6"/>
      <c r="AJ112" s="36"/>
      <c r="AK112" s="37"/>
    </row>
    <row r="113">
      <c r="A113" s="58"/>
      <c r="B113" s="121"/>
      <c r="C113" s="123" t="s">
        <v>213</v>
      </c>
      <c r="D113" s="127" t="s">
        <v>214</v>
      </c>
      <c r="E113" s="124">
        <v>125000.0</v>
      </c>
      <c r="F113" s="125">
        <v>375000.0</v>
      </c>
      <c r="G113" s="126" t="s">
        <v>155</v>
      </c>
      <c r="H113" s="73"/>
      <c r="I113" s="65"/>
      <c r="J113" s="128">
        <v>3.0</v>
      </c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6"/>
      <c r="AJ113" s="36"/>
      <c r="AK113" s="37"/>
    </row>
    <row r="114" ht="15.75" customHeight="1">
      <c r="A114" s="129"/>
      <c r="B114" s="130"/>
      <c r="C114" s="131" t="s">
        <v>215</v>
      </c>
      <c r="D114" s="132" t="s">
        <v>80</v>
      </c>
      <c r="E114" s="133">
        <v>1000000.0</v>
      </c>
      <c r="F114" s="133">
        <v>1000000.0</v>
      </c>
      <c r="G114" s="134" t="s">
        <v>212</v>
      </c>
      <c r="H114" s="135"/>
      <c r="I114" s="132"/>
      <c r="J114" s="132"/>
      <c r="K114" s="136">
        <v>1.0</v>
      </c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7"/>
      <c r="AJ114" s="36"/>
      <c r="AK114" s="37"/>
    </row>
    <row r="115" ht="15.75" customHeight="1">
      <c r="A115" s="138"/>
      <c r="B115" s="139"/>
      <c r="C115" s="139"/>
      <c r="D115" s="2"/>
      <c r="E115" s="9"/>
      <c r="F115" s="10"/>
      <c r="G115" s="11"/>
      <c r="H115" s="1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15.75" customHeight="1">
      <c r="A116" s="140" t="s">
        <v>216</v>
      </c>
      <c r="B116" s="6"/>
      <c r="C116" s="6"/>
      <c r="D116" s="141">
        <f>SUM(F12:F112)</f>
        <v>4777688.4</v>
      </c>
      <c r="E116" s="142"/>
      <c r="F116" s="142"/>
      <c r="G116" s="11"/>
      <c r="H116" s="1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ht="15.75" hidden="1" customHeight="1">
      <c r="A117" s="143" t="s">
        <v>217</v>
      </c>
      <c r="B117" s="144"/>
      <c r="C117" s="144"/>
      <c r="D117" s="145">
        <f>PRODUCT(D116,0.1)</f>
        <v>477768.84</v>
      </c>
      <c r="E117" s="146"/>
      <c r="F117" s="147"/>
      <c r="G117" s="11"/>
      <c r="H117" s="11"/>
      <c r="I117" s="148"/>
      <c r="K117" s="148"/>
      <c r="AH117" s="148"/>
      <c r="AI117" s="2"/>
      <c r="AJ117" s="2"/>
      <c r="AK117" s="2"/>
    </row>
    <row r="118" ht="15.75" hidden="1" customHeight="1">
      <c r="A118" s="149" t="s">
        <v>218</v>
      </c>
      <c r="B118" s="150"/>
      <c r="C118" s="150"/>
      <c r="D118" s="151">
        <f>PRODUCT(D116,0.1)</f>
        <v>477768.84</v>
      </c>
      <c r="E118" s="152"/>
      <c r="F118" s="153"/>
      <c r="G118" s="11"/>
      <c r="H118" s="11"/>
      <c r="I118" s="154"/>
      <c r="J118" s="154"/>
      <c r="K118" s="155"/>
      <c r="AH118" s="155"/>
      <c r="AI118" s="2"/>
      <c r="AJ118" s="2"/>
      <c r="AK118" s="2"/>
    </row>
    <row r="119" ht="15.75" hidden="1" customHeight="1">
      <c r="A119" s="149" t="s">
        <v>219</v>
      </c>
      <c r="B119" s="150"/>
      <c r="C119" s="150"/>
      <c r="D119" s="151">
        <f>SUM(D116:F118)</f>
        <v>5733226.08</v>
      </c>
      <c r="E119" s="152"/>
      <c r="F119" s="153"/>
      <c r="G119" s="11"/>
      <c r="H119" s="11"/>
      <c r="I119" s="154"/>
      <c r="J119" s="154"/>
      <c r="K119" s="155"/>
      <c r="AH119" s="155"/>
      <c r="AI119" s="2"/>
      <c r="AJ119" s="2"/>
      <c r="AK119" s="2"/>
    </row>
    <row r="120" ht="15.75" customHeight="1">
      <c r="A120" s="156"/>
      <c r="B120" s="6"/>
      <c r="C120" s="6"/>
      <c r="D120" s="2"/>
      <c r="E120" s="9"/>
      <c r="F120" s="10"/>
      <c r="G120" s="11"/>
      <c r="H120" s="11"/>
      <c r="I120" s="154"/>
      <c r="J120" s="154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  <c r="AI120" s="2"/>
      <c r="AJ120" s="2"/>
      <c r="AK120" s="2"/>
    </row>
    <row r="121" ht="15.75" customHeight="1">
      <c r="A121" s="157" t="s">
        <v>220</v>
      </c>
      <c r="B121" s="6"/>
      <c r="C121" s="6"/>
      <c r="D121" s="2"/>
      <c r="E121" s="9"/>
      <c r="F121" s="10"/>
      <c r="G121" s="11"/>
      <c r="H121" s="1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ht="15.75" customHeight="1">
      <c r="A122" s="23"/>
      <c r="B122" s="6"/>
      <c r="C122" s="6"/>
      <c r="D122" s="2"/>
      <c r="E122" s="9"/>
      <c r="F122" s="10"/>
      <c r="G122" s="11"/>
      <c r="H122" s="1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ht="15.75" customHeight="1">
      <c r="A123" s="158" t="s">
        <v>221</v>
      </c>
      <c r="B123" s="6"/>
      <c r="C123" s="6"/>
      <c r="D123" s="159" t="s">
        <v>222</v>
      </c>
      <c r="E123" s="160"/>
      <c r="F123" s="161"/>
      <c r="G123" s="162" t="s">
        <v>223</v>
      </c>
      <c r="H123" s="101"/>
      <c r="I123" s="101"/>
      <c r="J123" s="159" t="s">
        <v>224</v>
      </c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2"/>
      <c r="AK123" s="154"/>
    </row>
    <row r="124" ht="15.75" customHeight="1">
      <c r="A124" s="158"/>
      <c r="B124" s="6"/>
      <c r="C124" s="6"/>
      <c r="D124" s="101"/>
      <c r="E124" s="160"/>
      <c r="F124" s="16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54"/>
      <c r="AK124" s="154"/>
    </row>
    <row r="125" ht="15.75" customHeight="1">
      <c r="A125" s="6"/>
      <c r="B125" s="6"/>
      <c r="C125" s="6"/>
      <c r="D125" s="101"/>
      <c r="E125" s="160"/>
      <c r="F125" s="16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54"/>
      <c r="AK125" s="154"/>
    </row>
    <row r="126" ht="15.75" customHeight="1">
      <c r="A126" s="163" t="s">
        <v>225</v>
      </c>
      <c r="D126" s="159" t="s">
        <v>226</v>
      </c>
      <c r="E126" s="160"/>
      <c r="F126" s="161"/>
      <c r="G126" s="162" t="s">
        <v>227</v>
      </c>
      <c r="H126" s="101"/>
      <c r="I126" s="101"/>
      <c r="J126" s="159" t="s">
        <v>225</v>
      </c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2"/>
      <c r="AK126" s="2"/>
    </row>
    <row r="127" ht="15.0" customHeight="1">
      <c r="A127" s="164" t="s">
        <v>228</v>
      </c>
      <c r="D127" s="165" t="s">
        <v>229</v>
      </c>
      <c r="E127" s="160"/>
      <c r="F127" s="161"/>
      <c r="G127" s="101" t="s">
        <v>230</v>
      </c>
      <c r="H127" s="101"/>
      <c r="I127" s="101"/>
      <c r="J127" s="165" t="s">
        <v>231</v>
      </c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54"/>
      <c r="AK127" s="154"/>
    </row>
    <row r="128" ht="15.75" customHeight="1">
      <c r="A128" s="2"/>
      <c r="B128" s="2"/>
      <c r="C128" s="6"/>
      <c r="D128" s="101"/>
      <c r="E128" s="160"/>
      <c r="F128" s="16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2"/>
      <c r="AK128" s="2"/>
    </row>
    <row r="129" ht="15.75" customHeight="1">
      <c r="A129" s="2" t="s">
        <v>232</v>
      </c>
      <c r="B129" s="2"/>
      <c r="C129" s="6"/>
      <c r="D129" s="165" t="s">
        <v>233</v>
      </c>
      <c r="E129" s="160"/>
      <c r="F129" s="161"/>
      <c r="G129" s="101" t="s">
        <v>233</v>
      </c>
      <c r="H129" s="101"/>
      <c r="I129" s="101"/>
      <c r="J129" s="165" t="s">
        <v>233</v>
      </c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2"/>
      <c r="AK129" s="2"/>
    </row>
    <row r="130" ht="15.75" customHeight="1">
      <c r="C130" s="166"/>
      <c r="D130" s="2"/>
      <c r="E130" s="9"/>
      <c r="F130" s="10"/>
      <c r="G130" s="11"/>
      <c r="H130" s="1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5.75" customHeight="1">
      <c r="C131" s="166"/>
      <c r="D131" s="2"/>
      <c r="E131" s="9"/>
      <c r="F131" s="10"/>
      <c r="G131" s="11"/>
      <c r="H131" s="1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15.75" customHeight="1">
      <c r="C132" s="166"/>
      <c r="D132" s="2"/>
      <c r="E132" s="9"/>
      <c r="F132" s="10"/>
      <c r="G132" s="11"/>
      <c r="H132" s="1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15.75" customHeight="1">
      <c r="C133" s="166"/>
      <c r="D133" s="2"/>
      <c r="E133" s="9"/>
      <c r="F133" s="10"/>
      <c r="G133" s="11"/>
      <c r="H133" s="1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15.75" customHeight="1">
      <c r="C134" s="166"/>
      <c r="D134" s="2"/>
      <c r="E134" s="9"/>
      <c r="F134" s="10"/>
      <c r="G134" s="11"/>
      <c r="H134" s="1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15.75" customHeight="1">
      <c r="C135" s="166"/>
      <c r="E135" s="167"/>
    </row>
    <row r="136" ht="15.75" customHeight="1">
      <c r="C136" s="166"/>
      <c r="E136" s="167"/>
    </row>
    <row r="137" ht="15.75" customHeight="1">
      <c r="C137" s="166"/>
      <c r="E137" s="167"/>
    </row>
    <row r="138" ht="15.75" customHeight="1">
      <c r="C138" s="166"/>
      <c r="E138" s="167"/>
    </row>
    <row r="139" ht="15.75" customHeight="1">
      <c r="C139" s="166"/>
      <c r="E139" s="167"/>
    </row>
    <row r="140" ht="15.75" customHeight="1">
      <c r="C140" s="166"/>
      <c r="E140" s="167"/>
    </row>
    <row r="141" ht="15.75" customHeight="1">
      <c r="C141" s="166"/>
      <c r="E141" s="167"/>
    </row>
    <row r="142" ht="15.75" customHeight="1">
      <c r="C142" s="166"/>
      <c r="E142" s="167"/>
    </row>
    <row r="143" ht="15.75" customHeight="1">
      <c r="C143" s="166"/>
      <c r="E143" s="167"/>
    </row>
    <row r="144" ht="15.75" customHeight="1">
      <c r="C144" s="166"/>
      <c r="E144" s="167"/>
    </row>
    <row r="145" ht="15.75" customHeight="1">
      <c r="C145" s="166"/>
      <c r="E145" s="167"/>
    </row>
    <row r="146" ht="15.75" customHeight="1">
      <c r="C146" s="166"/>
      <c r="E146" s="167"/>
    </row>
    <row r="147" ht="15.75" customHeight="1">
      <c r="C147" s="166"/>
      <c r="E147" s="167"/>
    </row>
    <row r="148" ht="15.75" customHeight="1">
      <c r="C148" s="166"/>
      <c r="E148" s="167"/>
    </row>
    <row r="149" ht="15.75" customHeight="1">
      <c r="C149" s="166"/>
      <c r="E149" s="167"/>
    </row>
    <row r="150" ht="15.75" customHeight="1">
      <c r="C150" s="166"/>
      <c r="E150" s="167"/>
    </row>
    <row r="151" ht="15.75" customHeight="1">
      <c r="C151" s="166"/>
      <c r="E151" s="167"/>
    </row>
    <row r="152" ht="15.75" customHeight="1">
      <c r="C152" s="166"/>
      <c r="E152" s="167"/>
    </row>
    <row r="153" ht="15.75" customHeight="1">
      <c r="C153" s="166"/>
      <c r="E153" s="167"/>
    </row>
    <row r="154" ht="15.75" customHeight="1">
      <c r="C154" s="166"/>
      <c r="E154" s="167"/>
    </row>
    <row r="155" ht="15.75" customHeight="1">
      <c r="C155" s="166"/>
      <c r="E155" s="167"/>
    </row>
    <row r="156" ht="15.75" customHeight="1">
      <c r="C156" s="166"/>
      <c r="E156" s="167"/>
    </row>
    <row r="157" ht="15.75" customHeight="1">
      <c r="C157" s="166"/>
      <c r="E157" s="167"/>
    </row>
    <row r="158" ht="15.75" customHeight="1">
      <c r="C158" s="166"/>
      <c r="E158" s="167"/>
    </row>
    <row r="159" ht="15.75" customHeight="1">
      <c r="C159" s="166"/>
      <c r="E159" s="167"/>
    </row>
    <row r="160" ht="15.75" customHeight="1">
      <c r="C160" s="166"/>
      <c r="E160" s="167"/>
    </row>
    <row r="161" ht="15.75" customHeight="1">
      <c r="C161" s="166"/>
      <c r="E161" s="167"/>
    </row>
    <row r="162" ht="15.75" customHeight="1">
      <c r="C162" s="166"/>
      <c r="E162" s="167"/>
    </row>
    <row r="163" ht="15.75" customHeight="1">
      <c r="C163" s="166"/>
      <c r="E163" s="167"/>
    </row>
    <row r="164" ht="15.75" customHeight="1">
      <c r="C164" s="166"/>
      <c r="E164" s="167"/>
    </row>
    <row r="165" ht="15.75" customHeight="1">
      <c r="C165" s="166"/>
      <c r="E165" s="167"/>
    </row>
    <row r="166" ht="15.75" customHeight="1">
      <c r="C166" s="166"/>
      <c r="E166" s="167"/>
    </row>
    <row r="167" ht="15.75" customHeight="1">
      <c r="C167" s="166"/>
      <c r="E167" s="167"/>
    </row>
    <row r="168" ht="15.75" customHeight="1">
      <c r="C168" s="166"/>
      <c r="E168" s="167"/>
    </row>
    <row r="169" ht="15.75" customHeight="1">
      <c r="C169" s="166"/>
      <c r="E169" s="167"/>
    </row>
    <row r="170" ht="15.75" customHeight="1">
      <c r="C170" s="166"/>
      <c r="E170" s="167"/>
    </row>
    <row r="171" ht="15.75" customHeight="1">
      <c r="C171" s="166"/>
      <c r="E171" s="167"/>
    </row>
    <row r="172" ht="15.75" customHeight="1">
      <c r="C172" s="166"/>
      <c r="E172" s="167"/>
    </row>
    <row r="173" ht="15.75" customHeight="1">
      <c r="C173" s="166"/>
      <c r="E173" s="167"/>
    </row>
    <row r="174" ht="15.75" customHeight="1">
      <c r="C174" s="166"/>
      <c r="E174" s="167"/>
    </row>
    <row r="175" ht="15.75" customHeight="1">
      <c r="C175" s="166"/>
      <c r="E175" s="167"/>
    </row>
    <row r="176" ht="15.75" customHeight="1">
      <c r="C176" s="166"/>
      <c r="E176" s="167"/>
    </row>
    <row r="177" ht="15.75" customHeight="1">
      <c r="C177" s="166"/>
      <c r="E177" s="167"/>
    </row>
    <row r="178" ht="15.75" customHeight="1">
      <c r="C178" s="166"/>
      <c r="E178" s="167"/>
    </row>
    <row r="179" ht="15.75" customHeight="1">
      <c r="C179" s="166"/>
      <c r="E179" s="167"/>
    </row>
    <row r="180" ht="15.75" customHeight="1">
      <c r="C180" s="166"/>
      <c r="E180" s="167"/>
    </row>
    <row r="181" ht="15.75" customHeight="1">
      <c r="C181" s="166"/>
      <c r="E181" s="167"/>
    </row>
    <row r="182" ht="15.75" customHeight="1">
      <c r="C182" s="166"/>
      <c r="E182" s="167"/>
    </row>
    <row r="183" ht="15.75" customHeight="1">
      <c r="C183" s="166"/>
      <c r="E183" s="167"/>
    </row>
    <row r="184" ht="15.75" customHeight="1">
      <c r="C184" s="166"/>
      <c r="E184" s="167"/>
    </row>
    <row r="185" ht="15.75" customHeight="1">
      <c r="C185" s="166"/>
      <c r="E185" s="167"/>
    </row>
    <row r="186" ht="15.75" customHeight="1">
      <c r="C186" s="166"/>
      <c r="E186" s="167"/>
    </row>
    <row r="187" ht="15.75" customHeight="1">
      <c r="C187" s="166"/>
      <c r="E187" s="167"/>
    </row>
    <row r="188" ht="15.75" customHeight="1">
      <c r="C188" s="166"/>
      <c r="E188" s="167"/>
    </row>
    <row r="189" ht="15.75" customHeight="1">
      <c r="C189" s="166"/>
      <c r="E189" s="167"/>
    </row>
    <row r="190" ht="15.75" customHeight="1">
      <c r="C190" s="166"/>
      <c r="E190" s="167"/>
    </row>
    <row r="191" ht="15.75" customHeight="1">
      <c r="C191" s="166"/>
      <c r="E191" s="167"/>
    </row>
    <row r="192" ht="15.75" customHeight="1">
      <c r="C192" s="166"/>
      <c r="E192" s="167"/>
    </row>
    <row r="193" ht="15.75" customHeight="1">
      <c r="C193" s="166"/>
      <c r="E193" s="167"/>
    </row>
    <row r="194" ht="15.75" customHeight="1">
      <c r="C194" s="166"/>
      <c r="E194" s="167"/>
    </row>
    <row r="195" ht="15.75" customHeight="1">
      <c r="C195" s="166"/>
      <c r="E195" s="167"/>
    </row>
    <row r="196" ht="15.75" customHeight="1">
      <c r="C196" s="166"/>
      <c r="E196" s="167"/>
    </row>
    <row r="197" ht="15.75" customHeight="1">
      <c r="C197" s="166"/>
      <c r="E197" s="167"/>
    </row>
    <row r="198" ht="15.75" customHeight="1">
      <c r="C198" s="166"/>
      <c r="E198" s="167"/>
    </row>
    <row r="199" ht="15.75" customHeight="1">
      <c r="C199" s="166"/>
      <c r="E199" s="167"/>
    </row>
    <row r="200" ht="15.75" customHeight="1">
      <c r="C200" s="166"/>
      <c r="E200" s="167"/>
    </row>
    <row r="201" ht="15.75" customHeight="1">
      <c r="C201" s="166"/>
      <c r="E201" s="167"/>
    </row>
    <row r="202" ht="15.75" customHeight="1">
      <c r="C202" s="166"/>
      <c r="E202" s="167"/>
    </row>
    <row r="203" ht="15.75" customHeight="1">
      <c r="C203" s="166"/>
      <c r="E203" s="167"/>
    </row>
    <row r="204" ht="15.75" customHeight="1">
      <c r="C204" s="166"/>
      <c r="E204" s="167"/>
    </row>
    <row r="205" ht="15.75" customHeight="1">
      <c r="C205" s="166"/>
      <c r="E205" s="167"/>
    </row>
    <row r="206" ht="15.75" customHeight="1">
      <c r="C206" s="166"/>
      <c r="E206" s="167"/>
    </row>
    <row r="207" ht="15.75" customHeight="1">
      <c r="C207" s="166"/>
      <c r="E207" s="167"/>
    </row>
    <row r="208" ht="15.75" customHeight="1">
      <c r="C208" s="166"/>
      <c r="E208" s="167"/>
    </row>
    <row r="209" ht="15.75" customHeight="1">
      <c r="C209" s="166"/>
      <c r="E209" s="167"/>
    </row>
    <row r="210" ht="15.75" customHeight="1">
      <c r="C210" s="166"/>
      <c r="E210" s="167"/>
    </row>
    <row r="211" ht="15.75" customHeight="1">
      <c r="C211" s="166"/>
      <c r="E211" s="167"/>
    </row>
    <row r="212" ht="15.75" customHeight="1">
      <c r="C212" s="166"/>
      <c r="E212" s="167"/>
    </row>
    <row r="213" ht="15.75" customHeight="1">
      <c r="C213" s="166"/>
      <c r="E213" s="167"/>
    </row>
    <row r="214" ht="15.75" customHeight="1">
      <c r="C214" s="166"/>
      <c r="E214" s="167"/>
    </row>
    <row r="215" ht="15.75" customHeight="1">
      <c r="C215" s="166"/>
      <c r="E215" s="167"/>
    </row>
    <row r="216" ht="15.75" customHeight="1">
      <c r="C216" s="166"/>
      <c r="E216" s="167"/>
    </row>
    <row r="217" ht="15.75" customHeight="1">
      <c r="C217" s="166"/>
      <c r="E217" s="167"/>
    </row>
    <row r="218" ht="15.75" customHeight="1">
      <c r="C218" s="166"/>
      <c r="E218" s="167"/>
    </row>
    <row r="219" ht="15.75" customHeight="1">
      <c r="C219" s="166"/>
      <c r="E219" s="167"/>
    </row>
    <row r="220" ht="15.75" customHeight="1">
      <c r="C220" s="166"/>
      <c r="E220" s="167"/>
    </row>
    <row r="221" ht="15.75" customHeight="1">
      <c r="C221" s="166"/>
      <c r="E221" s="167"/>
    </row>
    <row r="222" ht="15.75" customHeight="1">
      <c r="C222" s="166"/>
      <c r="E222" s="167"/>
    </row>
    <row r="223" ht="15.75" customHeight="1">
      <c r="C223" s="166"/>
      <c r="E223" s="167"/>
    </row>
    <row r="224" ht="15.75" customHeight="1">
      <c r="C224" s="166"/>
      <c r="E224" s="167"/>
    </row>
    <row r="225" ht="15.75" customHeight="1">
      <c r="C225" s="166"/>
      <c r="E225" s="167"/>
    </row>
    <row r="226" ht="15.75" customHeight="1">
      <c r="C226" s="166"/>
      <c r="E226" s="167"/>
    </row>
    <row r="227" ht="15.75" customHeight="1">
      <c r="C227" s="166"/>
      <c r="E227" s="167"/>
    </row>
    <row r="228" ht="15.75" customHeight="1">
      <c r="C228" s="166"/>
      <c r="E228" s="167"/>
    </row>
    <row r="229" ht="15.75" customHeight="1">
      <c r="C229" s="166"/>
      <c r="E229" s="167"/>
    </row>
    <row r="230" ht="15.75" customHeight="1">
      <c r="C230" s="166"/>
      <c r="E230" s="167"/>
    </row>
    <row r="231" ht="15.75" customHeight="1">
      <c r="C231" s="166"/>
      <c r="E231" s="167"/>
    </row>
    <row r="232" ht="15.75" customHeight="1">
      <c r="C232" s="166"/>
      <c r="E232" s="167"/>
    </row>
    <row r="233" ht="15.75" customHeight="1">
      <c r="C233" s="166"/>
      <c r="E233" s="167"/>
    </row>
    <row r="234" ht="15.75" customHeight="1">
      <c r="C234" s="166"/>
      <c r="E234" s="167"/>
    </row>
    <row r="235" ht="15.75" customHeight="1">
      <c r="C235" s="166"/>
      <c r="E235" s="167"/>
    </row>
    <row r="236" ht="15.75" customHeight="1">
      <c r="C236" s="166"/>
      <c r="E236" s="167"/>
    </row>
    <row r="237" ht="15.75" customHeight="1">
      <c r="C237" s="166"/>
      <c r="E237" s="167"/>
    </row>
    <row r="238" ht="15.75" customHeight="1">
      <c r="C238" s="166"/>
      <c r="E238" s="167"/>
    </row>
    <row r="239" ht="15.75" customHeight="1">
      <c r="C239" s="166"/>
      <c r="E239" s="167"/>
    </row>
    <row r="240" ht="15.75" customHeight="1">
      <c r="C240" s="166"/>
      <c r="E240" s="167"/>
    </row>
    <row r="241" ht="15.75" customHeight="1">
      <c r="C241" s="166"/>
      <c r="E241" s="167"/>
    </row>
    <row r="242" ht="15.75" customHeight="1">
      <c r="C242" s="166"/>
      <c r="E242" s="167"/>
    </row>
    <row r="243" ht="15.75" customHeight="1">
      <c r="C243" s="166"/>
      <c r="E243" s="167"/>
    </row>
    <row r="244" ht="15.75" customHeight="1">
      <c r="C244" s="166"/>
      <c r="E244" s="167"/>
    </row>
    <row r="245" ht="15.75" customHeight="1">
      <c r="C245" s="166"/>
      <c r="E245" s="167"/>
    </row>
    <row r="246" ht="15.75" customHeight="1">
      <c r="C246" s="166"/>
      <c r="E246" s="167"/>
    </row>
    <row r="247" ht="15.75" customHeight="1">
      <c r="C247" s="166"/>
      <c r="E247" s="167"/>
    </row>
    <row r="248" ht="15.75" customHeight="1">
      <c r="C248" s="166"/>
      <c r="E248" s="167"/>
    </row>
    <row r="249" ht="15.75" customHeight="1">
      <c r="C249" s="166"/>
      <c r="E249" s="167"/>
    </row>
    <row r="250" ht="15.75" customHeight="1">
      <c r="C250" s="166"/>
      <c r="E250" s="167"/>
    </row>
    <row r="251" ht="15.75" customHeight="1">
      <c r="C251" s="166"/>
      <c r="E251" s="167"/>
    </row>
    <row r="252" ht="15.75" customHeight="1">
      <c r="C252" s="166"/>
      <c r="E252" s="167"/>
    </row>
    <row r="253" ht="15.75" customHeight="1">
      <c r="C253" s="166"/>
      <c r="E253" s="167"/>
    </row>
    <row r="254" ht="15.75" customHeight="1">
      <c r="C254" s="166"/>
      <c r="E254" s="167"/>
    </row>
    <row r="255" ht="15.75" customHeight="1">
      <c r="C255" s="166"/>
      <c r="E255" s="167"/>
    </row>
    <row r="256" ht="15.75" customHeight="1">
      <c r="C256" s="166"/>
      <c r="E256" s="167"/>
    </row>
    <row r="257" ht="15.75" customHeight="1">
      <c r="C257" s="166"/>
      <c r="E257" s="167"/>
    </row>
    <row r="258" ht="15.75" customHeight="1">
      <c r="C258" s="166"/>
      <c r="E258" s="167"/>
    </row>
    <row r="259" ht="15.75" customHeight="1">
      <c r="C259" s="166"/>
      <c r="E259" s="167"/>
    </row>
    <row r="260" ht="15.75" customHeight="1">
      <c r="C260" s="166"/>
      <c r="E260" s="167"/>
    </row>
    <row r="261" ht="15.75" customHeight="1">
      <c r="C261" s="166"/>
      <c r="E261" s="167"/>
    </row>
    <row r="262" ht="15.75" customHeight="1">
      <c r="C262" s="166"/>
      <c r="E262" s="167"/>
    </row>
    <row r="263" ht="15.75" customHeight="1">
      <c r="C263" s="166"/>
      <c r="E263" s="167"/>
    </row>
    <row r="264" ht="15.75" customHeight="1">
      <c r="C264" s="166"/>
      <c r="E264" s="167"/>
    </row>
    <row r="265" ht="15.75" customHeight="1">
      <c r="C265" s="166"/>
      <c r="E265" s="167"/>
    </row>
    <row r="266" ht="15.75" customHeight="1">
      <c r="C266" s="166"/>
      <c r="E266" s="167"/>
    </row>
    <row r="267" ht="15.75" customHeight="1">
      <c r="C267" s="166"/>
      <c r="E267" s="167"/>
    </row>
    <row r="268" ht="15.75" customHeight="1">
      <c r="C268" s="166"/>
      <c r="E268" s="167"/>
    </row>
    <row r="269" ht="15.75" customHeight="1">
      <c r="C269" s="166"/>
      <c r="E269" s="167"/>
    </row>
    <row r="270" ht="15.75" customHeight="1">
      <c r="C270" s="166"/>
      <c r="E270" s="167"/>
    </row>
    <row r="271" ht="15.75" customHeight="1">
      <c r="C271" s="166"/>
      <c r="E271" s="167"/>
    </row>
    <row r="272" ht="15.75" customHeight="1">
      <c r="C272" s="166"/>
      <c r="E272" s="167"/>
    </row>
    <row r="273" ht="15.75" customHeight="1">
      <c r="C273" s="166"/>
      <c r="E273" s="167"/>
    </row>
    <row r="274" ht="15.75" customHeight="1">
      <c r="C274" s="166"/>
      <c r="E274" s="167"/>
    </row>
    <row r="275" ht="15.75" customHeight="1">
      <c r="C275" s="166"/>
      <c r="E275" s="167"/>
    </row>
    <row r="276" ht="15.75" customHeight="1">
      <c r="C276" s="166"/>
      <c r="E276" s="167"/>
    </row>
    <row r="277" ht="15.75" customHeight="1">
      <c r="C277" s="166"/>
      <c r="E277" s="167"/>
    </row>
    <row r="278" ht="15.75" customHeight="1">
      <c r="C278" s="166"/>
      <c r="E278" s="167"/>
    </row>
    <row r="279" ht="15.75" customHeight="1">
      <c r="C279" s="166"/>
      <c r="E279" s="167"/>
    </row>
    <row r="280" ht="15.75" customHeight="1">
      <c r="C280" s="166"/>
      <c r="E280" s="167"/>
    </row>
    <row r="281" ht="15.75" customHeight="1">
      <c r="C281" s="166"/>
      <c r="E281" s="167"/>
    </row>
    <row r="282" ht="15.75" customHeight="1">
      <c r="C282" s="166"/>
      <c r="E282" s="167"/>
    </row>
    <row r="283" ht="15.75" customHeight="1">
      <c r="C283" s="166"/>
      <c r="E283" s="167"/>
    </row>
    <row r="284" ht="15.75" customHeight="1">
      <c r="C284" s="166"/>
      <c r="E284" s="167"/>
    </row>
    <row r="285" ht="15.75" customHeight="1">
      <c r="C285" s="166"/>
      <c r="E285" s="167"/>
    </row>
    <row r="286" ht="15.75" customHeight="1">
      <c r="C286" s="166"/>
      <c r="E286" s="167"/>
    </row>
    <row r="287" ht="15.75" customHeight="1">
      <c r="C287" s="166"/>
      <c r="E287" s="167"/>
    </row>
    <row r="288" ht="15.75" customHeight="1">
      <c r="C288" s="166"/>
      <c r="E288" s="167"/>
    </row>
    <row r="289" ht="15.75" customHeight="1">
      <c r="C289" s="166"/>
      <c r="E289" s="167"/>
    </row>
    <row r="290" ht="15.75" customHeight="1">
      <c r="C290" s="166"/>
      <c r="E290" s="167"/>
    </row>
    <row r="291" ht="15.75" customHeight="1">
      <c r="C291" s="166"/>
      <c r="E291" s="167"/>
    </row>
    <row r="292" ht="15.75" customHeight="1">
      <c r="C292" s="166"/>
      <c r="E292" s="167"/>
    </row>
    <row r="293" ht="15.75" customHeight="1">
      <c r="C293" s="166"/>
      <c r="E293" s="167"/>
    </row>
    <row r="294" ht="15.75" customHeight="1">
      <c r="C294" s="166"/>
      <c r="E294" s="167"/>
    </row>
    <row r="295" ht="15.75" customHeight="1">
      <c r="C295" s="166"/>
      <c r="E295" s="167"/>
    </row>
    <row r="296" ht="15.75" customHeight="1">
      <c r="C296" s="166"/>
      <c r="E296" s="167"/>
    </row>
    <row r="297" ht="15.75" customHeight="1">
      <c r="C297" s="166"/>
      <c r="E297" s="167"/>
    </row>
    <row r="298" ht="15.75" customHeight="1">
      <c r="C298" s="166"/>
      <c r="E298" s="167"/>
    </row>
    <row r="299" ht="15.75" customHeight="1">
      <c r="C299" s="166"/>
      <c r="E299" s="167"/>
    </row>
    <row r="300" ht="15.75" customHeight="1">
      <c r="C300" s="166"/>
      <c r="E300" s="167"/>
    </row>
    <row r="301" ht="15.75" customHeight="1">
      <c r="C301" s="166"/>
      <c r="E301" s="167"/>
    </row>
    <row r="302" ht="15.75" customHeight="1">
      <c r="C302" s="166"/>
      <c r="E302" s="167"/>
    </row>
    <row r="303" ht="15.75" customHeight="1">
      <c r="C303" s="166"/>
      <c r="E303" s="167"/>
    </row>
    <row r="304" ht="15.75" customHeight="1">
      <c r="C304" s="166"/>
      <c r="E304" s="167"/>
    </row>
    <row r="305" ht="15.75" customHeight="1">
      <c r="C305" s="166"/>
      <c r="E305" s="167"/>
    </row>
    <row r="306" ht="15.75" customHeight="1">
      <c r="C306" s="166"/>
      <c r="E306" s="167"/>
    </row>
    <row r="307" ht="15.75" customHeight="1">
      <c r="C307" s="166"/>
      <c r="E307" s="167"/>
    </row>
    <row r="308" ht="15.75" customHeight="1">
      <c r="C308" s="166"/>
      <c r="E308" s="167"/>
    </row>
    <row r="309" ht="15.75" customHeight="1">
      <c r="C309" s="166"/>
      <c r="E309" s="167"/>
    </row>
    <row r="310" ht="15.75" customHeight="1">
      <c r="C310" s="166"/>
      <c r="E310" s="167"/>
    </row>
    <row r="311" ht="15.75" customHeight="1">
      <c r="C311" s="166"/>
      <c r="E311" s="167"/>
    </row>
    <row r="312" ht="15.75" customHeight="1">
      <c r="C312" s="166"/>
      <c r="E312" s="167"/>
    </row>
    <row r="313" ht="15.75" customHeight="1">
      <c r="C313" s="166"/>
      <c r="E313" s="167"/>
    </row>
    <row r="314" ht="15.75" customHeight="1">
      <c r="C314" s="166"/>
      <c r="E314" s="167"/>
    </row>
    <row r="315" ht="15.75" customHeight="1">
      <c r="C315" s="166"/>
      <c r="E315" s="167"/>
    </row>
    <row r="316" ht="15.75" customHeight="1">
      <c r="C316" s="166"/>
      <c r="E316" s="167"/>
    </row>
    <row r="317" ht="15.75" customHeight="1">
      <c r="C317" s="166"/>
      <c r="E317" s="167"/>
    </row>
    <row r="318" ht="15.75" customHeight="1">
      <c r="C318" s="166"/>
      <c r="E318" s="167"/>
    </row>
    <row r="319" ht="15.75" customHeight="1">
      <c r="C319" s="166"/>
      <c r="E319" s="167"/>
    </row>
    <row r="320" ht="15.75" customHeight="1">
      <c r="C320" s="166"/>
      <c r="E320" s="167"/>
    </row>
    <row r="321" ht="15.75" customHeight="1">
      <c r="C321" s="166"/>
      <c r="E321" s="167"/>
    </row>
    <row r="322" ht="15.75" customHeight="1">
      <c r="C322" s="166"/>
      <c r="E322" s="167"/>
    </row>
    <row r="323" ht="15.75" customHeight="1">
      <c r="C323" s="166"/>
      <c r="E323" s="167"/>
    </row>
    <row r="324" ht="15.75" customHeight="1">
      <c r="C324" s="166"/>
      <c r="E324" s="167"/>
    </row>
    <row r="325" ht="15.75" customHeight="1">
      <c r="C325" s="166"/>
      <c r="E325" s="167"/>
    </row>
    <row r="326" ht="15.75" customHeight="1">
      <c r="C326" s="166"/>
      <c r="E326" s="167"/>
    </row>
    <row r="327" ht="15.75" customHeight="1">
      <c r="C327" s="166"/>
      <c r="E327" s="167"/>
    </row>
    <row r="328" ht="15.75" customHeight="1">
      <c r="C328" s="166"/>
      <c r="E328" s="167"/>
    </row>
    <row r="329" ht="15.75" customHeight="1">
      <c r="C329" s="166"/>
      <c r="E329" s="167"/>
    </row>
    <row r="330" ht="15.75" customHeight="1">
      <c r="C330" s="166"/>
    </row>
    <row r="331" ht="15.75" customHeight="1">
      <c r="C331" s="166"/>
    </row>
    <row r="332" ht="15.75" customHeight="1">
      <c r="C332" s="166"/>
    </row>
    <row r="333" ht="15.75" customHeight="1">
      <c r="C333" s="166"/>
    </row>
    <row r="334" ht="15.75" customHeight="1">
      <c r="C334" s="166"/>
    </row>
    <row r="335" ht="15.75" customHeight="1">
      <c r="C335" s="166"/>
    </row>
    <row r="336" ht="15.75" customHeight="1">
      <c r="C336" s="166"/>
    </row>
    <row r="337" ht="15.75" customHeight="1">
      <c r="C337" s="166"/>
    </row>
    <row r="338" ht="15.75" customHeight="1">
      <c r="C338" s="166"/>
    </row>
    <row r="339" ht="15.75" customHeight="1">
      <c r="C339" s="166"/>
    </row>
    <row r="340" ht="15.75" customHeight="1">
      <c r="C340" s="166"/>
    </row>
    <row r="341" ht="15.75" customHeight="1">
      <c r="C341" s="166"/>
    </row>
    <row r="342" ht="15.75" customHeight="1">
      <c r="C342" s="166"/>
    </row>
    <row r="343" ht="15.75" customHeight="1">
      <c r="C343" s="166"/>
    </row>
    <row r="344" ht="15.75" customHeight="1">
      <c r="C344" s="166"/>
    </row>
    <row r="345" ht="15.75" customHeight="1">
      <c r="C345" s="166"/>
    </row>
    <row r="346" ht="15.75" customHeight="1">
      <c r="C346" s="166"/>
    </row>
    <row r="347" ht="15.75" customHeight="1">
      <c r="C347" s="166"/>
    </row>
    <row r="348" ht="15.75" customHeight="1">
      <c r="C348" s="166"/>
    </row>
    <row r="349" ht="15.75" customHeight="1">
      <c r="C349" s="166"/>
    </row>
    <row r="350" ht="15.75" customHeight="1">
      <c r="C350" s="166"/>
    </row>
    <row r="351" ht="15.75" customHeight="1">
      <c r="C351" s="166"/>
    </row>
    <row r="352" ht="15.75" customHeight="1">
      <c r="C352" s="166"/>
    </row>
    <row r="353" ht="15.75" customHeight="1">
      <c r="C353" s="166"/>
    </row>
    <row r="354" ht="15.75" customHeight="1">
      <c r="C354" s="166"/>
    </row>
    <row r="355" ht="15.75" customHeight="1">
      <c r="C355" s="166"/>
    </row>
    <row r="356" ht="15.75" customHeight="1">
      <c r="C356" s="166"/>
    </row>
    <row r="357" ht="15.75" customHeight="1">
      <c r="C357" s="166"/>
    </row>
    <row r="358" ht="15.75" customHeight="1">
      <c r="C358" s="166"/>
    </row>
    <row r="359" ht="15.75" customHeight="1">
      <c r="C359" s="166"/>
    </row>
    <row r="360" ht="15.75" customHeight="1">
      <c r="C360" s="166"/>
    </row>
    <row r="361" ht="15.75" customHeight="1">
      <c r="C361" s="166"/>
    </row>
    <row r="362" ht="15.75" customHeight="1">
      <c r="C362" s="166"/>
    </row>
    <row r="363" ht="15.75" customHeight="1">
      <c r="C363" s="166"/>
    </row>
    <row r="364" ht="15.75" customHeight="1">
      <c r="C364" s="166"/>
    </row>
    <row r="365" ht="15.75" customHeight="1">
      <c r="C365" s="166"/>
    </row>
    <row r="366" ht="15.75" customHeight="1">
      <c r="C366" s="166"/>
    </row>
    <row r="367" ht="15.75" customHeight="1">
      <c r="C367" s="166"/>
    </row>
    <row r="368" ht="15.75" customHeight="1">
      <c r="C368" s="166"/>
    </row>
    <row r="369" ht="15.75" customHeight="1">
      <c r="C369" s="166"/>
    </row>
    <row r="370" ht="15.75" customHeight="1">
      <c r="C370" s="166"/>
    </row>
    <row r="371" ht="15.75" customHeight="1">
      <c r="C371" s="166"/>
    </row>
    <row r="372" ht="15.75" customHeight="1">
      <c r="C372" s="166"/>
    </row>
    <row r="373" ht="15.75" customHeight="1">
      <c r="C373" s="166"/>
    </row>
    <row r="374" ht="15.75" customHeight="1">
      <c r="C374" s="166"/>
    </row>
    <row r="375" ht="15.75" customHeight="1">
      <c r="C375" s="166"/>
    </row>
    <row r="376" ht="15.75" customHeight="1">
      <c r="C376" s="166"/>
    </row>
    <row r="377" ht="15.75" customHeight="1">
      <c r="C377" s="166"/>
    </row>
    <row r="378" ht="15.75" customHeight="1">
      <c r="C378" s="166"/>
    </row>
    <row r="379" ht="15.75" customHeight="1">
      <c r="C379" s="166"/>
    </row>
    <row r="380" ht="15.75" customHeight="1">
      <c r="C380" s="166"/>
    </row>
    <row r="381" ht="15.75" customHeight="1">
      <c r="C381" s="166"/>
    </row>
    <row r="382" ht="15.75" customHeight="1">
      <c r="C382" s="166"/>
    </row>
    <row r="383" ht="15.75" customHeight="1">
      <c r="C383" s="166"/>
    </row>
    <row r="384" ht="15.75" customHeight="1">
      <c r="C384" s="166"/>
    </row>
    <row r="385" ht="15.75" customHeight="1">
      <c r="C385" s="166"/>
    </row>
    <row r="386" ht="15.75" customHeight="1">
      <c r="C386" s="166"/>
    </row>
    <row r="387" ht="15.75" customHeight="1">
      <c r="C387" s="166"/>
    </row>
    <row r="388" ht="15.75" customHeight="1">
      <c r="C388" s="166"/>
    </row>
    <row r="389" ht="15.75" customHeight="1">
      <c r="C389" s="166"/>
    </row>
    <row r="390" ht="15.75" customHeight="1">
      <c r="C390" s="166"/>
    </row>
    <row r="391" ht="15.75" customHeight="1">
      <c r="C391" s="166"/>
    </row>
    <row r="392" ht="15.75" customHeight="1">
      <c r="C392" s="166"/>
    </row>
    <row r="393" ht="15.75" customHeight="1">
      <c r="C393" s="166"/>
    </row>
    <row r="394" ht="15.75" customHeight="1">
      <c r="C394" s="166"/>
    </row>
    <row r="395" ht="15.75" customHeight="1">
      <c r="C395" s="166"/>
    </row>
    <row r="396" ht="15.75" customHeight="1">
      <c r="C396" s="166"/>
    </row>
    <row r="397" ht="15.75" customHeight="1">
      <c r="C397" s="166"/>
    </row>
    <row r="398" ht="15.75" customHeight="1">
      <c r="C398" s="166"/>
    </row>
    <row r="399" ht="15.75" customHeight="1">
      <c r="C399" s="166"/>
    </row>
    <row r="400" ht="15.75" customHeight="1">
      <c r="C400" s="166"/>
    </row>
    <row r="401" ht="15.75" customHeight="1">
      <c r="C401" s="166"/>
    </row>
    <row r="402" ht="15.75" customHeight="1">
      <c r="C402" s="166"/>
    </row>
    <row r="403" ht="15.75" customHeight="1">
      <c r="C403" s="166"/>
    </row>
    <row r="404" ht="15.75" customHeight="1">
      <c r="C404" s="166"/>
    </row>
    <row r="405" ht="15.75" customHeight="1">
      <c r="C405" s="166"/>
    </row>
    <row r="406" ht="15.75" customHeight="1">
      <c r="C406" s="166"/>
    </row>
    <row r="407" ht="15.75" customHeight="1">
      <c r="C407" s="166"/>
    </row>
    <row r="408" ht="15.75" customHeight="1">
      <c r="C408" s="166"/>
    </row>
    <row r="409" ht="15.75" customHeight="1">
      <c r="C409" s="166"/>
    </row>
    <row r="410" ht="15.75" customHeight="1">
      <c r="C410" s="166"/>
    </row>
    <row r="411" ht="15.75" customHeight="1">
      <c r="C411" s="166"/>
    </row>
    <row r="412" ht="15.75" customHeight="1">
      <c r="C412" s="166"/>
    </row>
    <row r="413" ht="15.75" customHeight="1">
      <c r="C413" s="166"/>
    </row>
    <row r="414" ht="15.75" customHeight="1">
      <c r="C414" s="166"/>
    </row>
    <row r="415" ht="15.75" customHeight="1">
      <c r="C415" s="166"/>
    </row>
    <row r="416" ht="15.75" customHeight="1">
      <c r="C416" s="166"/>
    </row>
    <row r="417" ht="15.75" customHeight="1">
      <c r="C417" s="166"/>
    </row>
    <row r="418" ht="15.75" customHeight="1">
      <c r="C418" s="166"/>
    </row>
    <row r="419" ht="15.75" customHeight="1">
      <c r="C419" s="166"/>
    </row>
    <row r="420" ht="15.75" customHeight="1">
      <c r="C420" s="166"/>
    </row>
    <row r="421" ht="15.75" customHeight="1">
      <c r="C421" s="166"/>
    </row>
    <row r="422" ht="15.75" customHeight="1">
      <c r="C422" s="166"/>
    </row>
    <row r="423" ht="15.75" customHeight="1">
      <c r="C423" s="166"/>
    </row>
    <row r="424" ht="15.75" customHeight="1">
      <c r="C424" s="166"/>
    </row>
    <row r="425" ht="15.75" customHeight="1">
      <c r="C425" s="166"/>
    </row>
    <row r="426" ht="15.75" customHeight="1">
      <c r="C426" s="166"/>
    </row>
    <row r="427" ht="15.75" customHeight="1">
      <c r="C427" s="166"/>
    </row>
    <row r="428" ht="15.75" customHeight="1">
      <c r="C428" s="166"/>
    </row>
    <row r="429" ht="15.75" customHeight="1">
      <c r="C429" s="166"/>
    </row>
    <row r="430" ht="15.75" customHeight="1">
      <c r="C430" s="166"/>
    </row>
    <row r="431" ht="15.75" customHeight="1">
      <c r="C431" s="166"/>
    </row>
    <row r="432" ht="15.75" customHeight="1">
      <c r="C432" s="166"/>
    </row>
    <row r="433" ht="15.75" customHeight="1">
      <c r="C433" s="166"/>
    </row>
    <row r="434" ht="15.75" customHeight="1">
      <c r="C434" s="166"/>
    </row>
    <row r="435" ht="15.75" customHeight="1">
      <c r="C435" s="166"/>
    </row>
    <row r="436" ht="15.75" customHeight="1">
      <c r="C436" s="166"/>
    </row>
    <row r="437" ht="15.75" customHeight="1">
      <c r="C437" s="166"/>
    </row>
    <row r="438" ht="15.75" customHeight="1">
      <c r="C438" s="166"/>
    </row>
    <row r="439" ht="15.75" customHeight="1">
      <c r="C439" s="166"/>
    </row>
    <row r="440" ht="15.75" customHeight="1">
      <c r="C440" s="166"/>
    </row>
    <row r="441" ht="15.75" customHeight="1">
      <c r="C441" s="166"/>
    </row>
    <row r="442" ht="15.75" customHeight="1">
      <c r="C442" s="166"/>
    </row>
    <row r="443" ht="15.75" customHeight="1">
      <c r="C443" s="166"/>
    </row>
    <row r="444" ht="15.75" customHeight="1">
      <c r="C444" s="166"/>
    </row>
    <row r="445" ht="15.75" customHeight="1">
      <c r="C445" s="166"/>
    </row>
    <row r="446" ht="15.75" customHeight="1">
      <c r="C446" s="166"/>
    </row>
    <row r="447" ht="15.75" customHeight="1">
      <c r="C447" s="166"/>
    </row>
    <row r="448" ht="15.75" customHeight="1">
      <c r="C448" s="166"/>
    </row>
    <row r="449" ht="15.75" customHeight="1">
      <c r="C449" s="166"/>
    </row>
    <row r="450" ht="15.75" customHeight="1">
      <c r="C450" s="166"/>
    </row>
    <row r="451" ht="15.75" customHeight="1">
      <c r="C451" s="166"/>
    </row>
    <row r="452" ht="15.75" customHeight="1">
      <c r="C452" s="166"/>
    </row>
    <row r="453" ht="15.75" customHeight="1">
      <c r="C453" s="166"/>
    </row>
    <row r="454" ht="15.75" customHeight="1">
      <c r="C454" s="166"/>
    </row>
    <row r="455" ht="15.75" customHeight="1">
      <c r="C455" s="166"/>
    </row>
    <row r="456" ht="15.75" customHeight="1">
      <c r="C456" s="166"/>
    </row>
    <row r="457" ht="15.75" customHeight="1">
      <c r="C457" s="166"/>
    </row>
    <row r="458" ht="15.75" customHeight="1">
      <c r="C458" s="166"/>
    </row>
    <row r="459" ht="15.75" customHeight="1">
      <c r="C459" s="166"/>
    </row>
    <row r="460" ht="15.75" customHeight="1">
      <c r="C460" s="166"/>
    </row>
    <row r="461" ht="15.75" customHeight="1">
      <c r="C461" s="166"/>
    </row>
    <row r="462" ht="15.75" customHeight="1">
      <c r="C462" s="166"/>
    </row>
    <row r="463" ht="15.75" customHeight="1">
      <c r="C463" s="166"/>
    </row>
    <row r="464" ht="15.75" customHeight="1">
      <c r="C464" s="166"/>
    </row>
    <row r="465" ht="15.75" customHeight="1">
      <c r="C465" s="166"/>
    </row>
    <row r="466" ht="15.75" customHeight="1">
      <c r="C466" s="166"/>
    </row>
    <row r="467" ht="15.75" customHeight="1">
      <c r="C467" s="166"/>
    </row>
    <row r="468" ht="15.75" customHeight="1">
      <c r="C468" s="166"/>
    </row>
    <row r="469" ht="15.75" customHeight="1">
      <c r="C469" s="166"/>
    </row>
    <row r="470" ht="15.75" customHeight="1">
      <c r="C470" s="166"/>
    </row>
    <row r="471" ht="15.75" customHeight="1">
      <c r="C471" s="166"/>
    </row>
    <row r="472" ht="15.75" customHeight="1">
      <c r="C472" s="166"/>
    </row>
    <row r="473" ht="15.75" customHeight="1">
      <c r="C473" s="166"/>
    </row>
    <row r="474" ht="15.75" customHeight="1">
      <c r="C474" s="166"/>
    </row>
    <row r="475" ht="15.75" customHeight="1">
      <c r="C475" s="166"/>
    </row>
    <row r="476" ht="15.75" customHeight="1">
      <c r="C476" s="166"/>
    </row>
    <row r="477" ht="15.75" customHeight="1">
      <c r="C477" s="166"/>
    </row>
    <row r="478" ht="15.75" customHeight="1">
      <c r="C478" s="166"/>
    </row>
    <row r="479" ht="15.75" customHeight="1">
      <c r="C479" s="166"/>
    </row>
    <row r="480" ht="15.75" customHeight="1">
      <c r="C480" s="166"/>
    </row>
    <row r="481" ht="15.75" customHeight="1">
      <c r="C481" s="166"/>
    </row>
    <row r="482" ht="15.75" customHeight="1">
      <c r="C482" s="166"/>
    </row>
    <row r="483" ht="15.75" customHeight="1">
      <c r="C483" s="166"/>
    </row>
    <row r="484" ht="15.75" customHeight="1">
      <c r="C484" s="166"/>
    </row>
    <row r="485" ht="15.75" customHeight="1">
      <c r="C485" s="166"/>
    </row>
    <row r="486" ht="15.75" customHeight="1">
      <c r="C486" s="166"/>
    </row>
    <row r="487" ht="15.75" customHeight="1">
      <c r="C487" s="166"/>
    </row>
    <row r="488" ht="15.75" customHeight="1">
      <c r="C488" s="166"/>
    </row>
    <row r="489" ht="15.75" customHeight="1">
      <c r="C489" s="166"/>
    </row>
    <row r="490" ht="15.75" customHeight="1">
      <c r="C490" s="166"/>
    </row>
    <row r="491" ht="15.75" customHeight="1">
      <c r="C491" s="166"/>
    </row>
    <row r="492" ht="15.75" customHeight="1">
      <c r="C492" s="166"/>
    </row>
    <row r="493" ht="15.75" customHeight="1">
      <c r="C493" s="166"/>
    </row>
    <row r="494" ht="15.75" customHeight="1">
      <c r="C494" s="166"/>
    </row>
    <row r="495" ht="15.75" customHeight="1">
      <c r="C495" s="166"/>
    </row>
    <row r="496" ht="15.75" customHeight="1">
      <c r="C496" s="166"/>
    </row>
    <row r="497" ht="15.75" customHeight="1">
      <c r="C497" s="166"/>
    </row>
    <row r="498" ht="15.75" customHeight="1">
      <c r="C498" s="166"/>
    </row>
    <row r="499" ht="15.75" customHeight="1">
      <c r="C499" s="166"/>
    </row>
    <row r="500" ht="15.75" customHeight="1">
      <c r="C500" s="166"/>
    </row>
    <row r="501" ht="15.75" customHeight="1">
      <c r="C501" s="166"/>
    </row>
    <row r="502" ht="15.75" customHeight="1">
      <c r="C502" s="166"/>
    </row>
    <row r="503" ht="15.75" customHeight="1">
      <c r="C503" s="166"/>
    </row>
    <row r="504" ht="15.75" customHeight="1">
      <c r="C504" s="166"/>
    </row>
    <row r="505" ht="15.75" customHeight="1">
      <c r="C505" s="166"/>
    </row>
    <row r="506" ht="15.75" customHeight="1">
      <c r="C506" s="166"/>
    </row>
    <row r="507" ht="15.75" customHeight="1">
      <c r="C507" s="166"/>
    </row>
    <row r="508" ht="15.75" customHeight="1">
      <c r="C508" s="166"/>
    </row>
    <row r="509" ht="15.75" customHeight="1">
      <c r="C509" s="166"/>
    </row>
    <row r="510" ht="15.75" customHeight="1">
      <c r="C510" s="166"/>
    </row>
    <row r="511" ht="15.75" customHeight="1">
      <c r="C511" s="166"/>
    </row>
    <row r="512" ht="15.75" customHeight="1">
      <c r="C512" s="166"/>
    </row>
    <row r="513" ht="15.75" customHeight="1">
      <c r="C513" s="166"/>
    </row>
    <row r="514" ht="15.75" customHeight="1">
      <c r="C514" s="166"/>
    </row>
    <row r="515" ht="15.75" customHeight="1">
      <c r="C515" s="166"/>
    </row>
    <row r="516" ht="15.75" customHeight="1">
      <c r="C516" s="166"/>
    </row>
    <row r="517" ht="15.75" customHeight="1">
      <c r="C517" s="166"/>
    </row>
    <row r="518" ht="15.75" customHeight="1">
      <c r="C518" s="166"/>
    </row>
    <row r="519" ht="15.75" customHeight="1">
      <c r="C519" s="166"/>
    </row>
    <row r="520" ht="15.75" customHeight="1">
      <c r="C520" s="166"/>
    </row>
    <row r="521" ht="15.75" customHeight="1">
      <c r="C521" s="166"/>
    </row>
    <row r="522" ht="15.75" customHeight="1">
      <c r="C522" s="166"/>
    </row>
    <row r="523" ht="15.75" customHeight="1">
      <c r="C523" s="166"/>
    </row>
    <row r="524" ht="15.75" customHeight="1">
      <c r="C524" s="166"/>
    </row>
    <row r="525" ht="15.75" customHeight="1">
      <c r="C525" s="166"/>
    </row>
    <row r="526" ht="15.75" customHeight="1">
      <c r="C526" s="166"/>
    </row>
    <row r="527" ht="15.75" customHeight="1">
      <c r="C527" s="166"/>
    </row>
    <row r="528" ht="15.75" customHeight="1">
      <c r="C528" s="166"/>
    </row>
    <row r="529" ht="15.75" customHeight="1">
      <c r="C529" s="166"/>
    </row>
    <row r="530" ht="15.75" customHeight="1">
      <c r="C530" s="166"/>
    </row>
    <row r="531" ht="15.75" customHeight="1">
      <c r="C531" s="166"/>
    </row>
    <row r="532" ht="15.75" customHeight="1">
      <c r="C532" s="166"/>
    </row>
    <row r="533" ht="15.75" customHeight="1">
      <c r="C533" s="166"/>
    </row>
    <row r="534" ht="15.75" customHeight="1">
      <c r="C534" s="166"/>
    </row>
    <row r="535" ht="15.75" customHeight="1">
      <c r="C535" s="166"/>
    </row>
    <row r="536" ht="15.75" customHeight="1">
      <c r="C536" s="166"/>
    </row>
    <row r="537" ht="15.75" customHeight="1">
      <c r="C537" s="166"/>
    </row>
    <row r="538" ht="15.75" customHeight="1">
      <c r="C538" s="166"/>
    </row>
    <row r="539" ht="15.75" customHeight="1">
      <c r="C539" s="166"/>
    </row>
    <row r="540" ht="15.75" customHeight="1">
      <c r="C540" s="166"/>
    </row>
    <row r="541" ht="15.75" customHeight="1">
      <c r="C541" s="166"/>
    </row>
    <row r="542" ht="15.75" customHeight="1">
      <c r="C542" s="166"/>
    </row>
    <row r="543" ht="15.75" customHeight="1">
      <c r="C543" s="166"/>
    </row>
    <row r="544" ht="15.75" customHeight="1">
      <c r="C544" s="166"/>
    </row>
    <row r="545" ht="15.75" customHeight="1">
      <c r="C545" s="166"/>
    </row>
    <row r="546" ht="15.75" customHeight="1">
      <c r="C546" s="166"/>
    </row>
    <row r="547" ht="15.75" customHeight="1">
      <c r="C547" s="166"/>
    </row>
    <row r="548" ht="15.75" customHeight="1">
      <c r="C548" s="166"/>
    </row>
    <row r="549" ht="15.75" customHeight="1">
      <c r="C549" s="166"/>
    </row>
    <row r="550" ht="15.75" customHeight="1">
      <c r="C550" s="166"/>
    </row>
    <row r="551" ht="15.75" customHeight="1">
      <c r="C551" s="166"/>
    </row>
    <row r="552" ht="15.75" customHeight="1">
      <c r="C552" s="166"/>
    </row>
    <row r="553" ht="15.75" customHeight="1">
      <c r="C553" s="166"/>
    </row>
    <row r="554" ht="15.75" customHeight="1">
      <c r="C554" s="166"/>
    </row>
    <row r="555" ht="15.75" customHeight="1">
      <c r="C555" s="166"/>
    </row>
    <row r="556" ht="15.75" customHeight="1">
      <c r="C556" s="166"/>
    </row>
    <row r="557" ht="15.75" customHeight="1">
      <c r="C557" s="166"/>
    </row>
    <row r="558" ht="15.75" customHeight="1">
      <c r="C558" s="166"/>
    </row>
    <row r="559" ht="15.75" customHeight="1">
      <c r="C559" s="166"/>
    </row>
    <row r="560" ht="15.75" customHeight="1">
      <c r="C560" s="166"/>
    </row>
    <row r="561" ht="15.75" customHeight="1">
      <c r="C561" s="166"/>
    </row>
    <row r="562" ht="15.75" customHeight="1">
      <c r="C562" s="166"/>
    </row>
    <row r="563" ht="15.75" customHeight="1">
      <c r="C563" s="166"/>
    </row>
    <row r="564" ht="15.75" customHeight="1">
      <c r="C564" s="166"/>
    </row>
    <row r="565" ht="15.75" customHeight="1">
      <c r="C565" s="166"/>
    </row>
    <row r="566" ht="15.75" customHeight="1">
      <c r="C566" s="166"/>
    </row>
    <row r="567" ht="15.75" customHeight="1">
      <c r="C567" s="166"/>
    </row>
    <row r="568" ht="15.75" customHeight="1">
      <c r="C568" s="166"/>
    </row>
    <row r="569" ht="15.75" customHeight="1">
      <c r="C569" s="166"/>
    </row>
    <row r="570" ht="15.75" customHeight="1">
      <c r="C570" s="166"/>
    </row>
    <row r="571" ht="15.75" customHeight="1">
      <c r="C571" s="166"/>
    </row>
    <row r="572" ht="15.75" customHeight="1">
      <c r="C572" s="166"/>
    </row>
    <row r="573" ht="15.75" customHeight="1">
      <c r="C573" s="166"/>
    </row>
    <row r="574" ht="15.75" customHeight="1">
      <c r="C574" s="166"/>
    </row>
    <row r="575" ht="15.75" customHeight="1">
      <c r="C575" s="166"/>
    </row>
    <row r="576" ht="15.75" customHeight="1">
      <c r="C576" s="166"/>
    </row>
    <row r="577" ht="15.75" customHeight="1">
      <c r="C577" s="166"/>
    </row>
    <row r="578" ht="15.75" customHeight="1">
      <c r="C578" s="166"/>
    </row>
    <row r="579" ht="15.75" customHeight="1">
      <c r="C579" s="166"/>
    </row>
    <row r="580" ht="15.75" customHeight="1">
      <c r="C580" s="166"/>
    </row>
    <row r="581" ht="15.75" customHeight="1">
      <c r="C581" s="166"/>
    </row>
    <row r="582" ht="15.75" customHeight="1">
      <c r="C582" s="166"/>
    </row>
    <row r="583" ht="15.75" customHeight="1">
      <c r="C583" s="166"/>
    </row>
    <row r="584" ht="15.75" customHeight="1">
      <c r="C584" s="166"/>
    </row>
    <row r="585" ht="15.75" customHeight="1">
      <c r="C585" s="166"/>
    </row>
    <row r="586" ht="15.75" customHeight="1">
      <c r="C586" s="166"/>
    </row>
    <row r="587" ht="15.75" customHeight="1">
      <c r="C587" s="166"/>
    </row>
    <row r="588" ht="15.75" customHeight="1">
      <c r="C588" s="166"/>
    </row>
    <row r="589" ht="15.75" customHeight="1">
      <c r="C589" s="166"/>
    </row>
    <row r="590" ht="15.75" customHeight="1">
      <c r="C590" s="166"/>
    </row>
    <row r="591" ht="15.75" customHeight="1">
      <c r="C591" s="166"/>
    </row>
    <row r="592" ht="15.75" customHeight="1">
      <c r="C592" s="166"/>
    </row>
    <row r="593" ht="15.75" customHeight="1">
      <c r="C593" s="166"/>
    </row>
    <row r="594" ht="15.75" customHeight="1">
      <c r="C594" s="166"/>
    </row>
    <row r="595" ht="15.75" customHeight="1">
      <c r="C595" s="166"/>
    </row>
    <row r="596" ht="15.75" customHeight="1">
      <c r="C596" s="166"/>
    </row>
    <row r="597" ht="15.75" customHeight="1">
      <c r="C597" s="166"/>
    </row>
    <row r="598" ht="15.75" customHeight="1">
      <c r="C598" s="166"/>
    </row>
    <row r="599" ht="15.75" customHeight="1">
      <c r="C599" s="166"/>
    </row>
    <row r="600" ht="15.75" customHeight="1">
      <c r="C600" s="166"/>
    </row>
    <row r="601" ht="15.75" customHeight="1">
      <c r="C601" s="166"/>
    </row>
    <row r="602" ht="15.75" customHeight="1">
      <c r="C602" s="166"/>
    </row>
    <row r="603" ht="15.75" customHeight="1">
      <c r="C603" s="166"/>
    </row>
    <row r="604" ht="15.75" customHeight="1">
      <c r="C604" s="166"/>
    </row>
    <row r="605" ht="15.75" customHeight="1">
      <c r="C605" s="166"/>
    </row>
    <row r="606" ht="15.75" customHeight="1">
      <c r="C606" s="166"/>
    </row>
    <row r="607" ht="15.75" customHeight="1">
      <c r="C607" s="166"/>
    </row>
    <row r="608" ht="15.75" customHeight="1">
      <c r="C608" s="166"/>
    </row>
    <row r="609" ht="15.75" customHeight="1">
      <c r="C609" s="166"/>
    </row>
    <row r="610" ht="15.75" customHeight="1">
      <c r="C610" s="166"/>
    </row>
    <row r="611" ht="15.75" customHeight="1">
      <c r="C611" s="166"/>
    </row>
    <row r="612" ht="15.75" customHeight="1">
      <c r="C612" s="166"/>
    </row>
    <row r="613" ht="15.75" customHeight="1">
      <c r="C613" s="166"/>
    </row>
    <row r="614" ht="15.75" customHeight="1">
      <c r="C614" s="166"/>
    </row>
    <row r="615" ht="15.75" customHeight="1">
      <c r="C615" s="166"/>
    </row>
    <row r="616" ht="15.75" customHeight="1">
      <c r="C616" s="166"/>
    </row>
    <row r="617" ht="15.75" customHeight="1">
      <c r="C617" s="166"/>
    </row>
    <row r="618" ht="15.75" customHeight="1">
      <c r="C618" s="166"/>
    </row>
    <row r="619" ht="15.75" customHeight="1">
      <c r="C619" s="166"/>
    </row>
    <row r="620" ht="15.75" customHeight="1">
      <c r="C620" s="166"/>
    </row>
    <row r="621" ht="15.75" customHeight="1">
      <c r="C621" s="166"/>
    </row>
    <row r="622" ht="15.75" customHeight="1">
      <c r="C622" s="166"/>
    </row>
    <row r="623" ht="15.75" customHeight="1">
      <c r="C623" s="166"/>
    </row>
    <row r="624" ht="15.75" customHeight="1">
      <c r="C624" s="166"/>
    </row>
    <row r="625" ht="15.75" customHeight="1">
      <c r="C625" s="166"/>
    </row>
    <row r="626" ht="15.75" customHeight="1">
      <c r="C626" s="166"/>
    </row>
    <row r="627" ht="15.75" customHeight="1">
      <c r="C627" s="166"/>
    </row>
    <row r="628" ht="15.75" customHeight="1">
      <c r="C628" s="166"/>
    </row>
    <row r="629" ht="15.75" customHeight="1">
      <c r="C629" s="166"/>
    </row>
    <row r="630" ht="15.75" customHeight="1">
      <c r="C630" s="166"/>
    </row>
    <row r="631" ht="15.75" customHeight="1">
      <c r="C631" s="166"/>
    </row>
    <row r="632" ht="15.75" customHeight="1">
      <c r="C632" s="166"/>
    </row>
    <row r="633" ht="15.75" customHeight="1">
      <c r="C633" s="166"/>
    </row>
    <row r="634" ht="15.75" customHeight="1">
      <c r="C634" s="166"/>
    </row>
    <row r="635" ht="15.75" customHeight="1">
      <c r="C635" s="166"/>
    </row>
    <row r="636" ht="15.75" customHeight="1">
      <c r="C636" s="166"/>
    </row>
    <row r="637" ht="15.75" customHeight="1">
      <c r="C637" s="166"/>
    </row>
    <row r="638" ht="15.75" customHeight="1">
      <c r="C638" s="166"/>
    </row>
    <row r="639" ht="15.75" customHeight="1">
      <c r="C639" s="166"/>
    </row>
    <row r="640" ht="15.75" customHeight="1">
      <c r="C640" s="166"/>
    </row>
    <row r="641" ht="15.75" customHeight="1">
      <c r="C641" s="166"/>
    </row>
    <row r="642" ht="15.75" customHeight="1">
      <c r="C642" s="166"/>
    </row>
    <row r="643" ht="15.75" customHeight="1">
      <c r="C643" s="166"/>
    </row>
    <row r="644" ht="15.75" customHeight="1">
      <c r="C644" s="166"/>
    </row>
    <row r="645" ht="15.75" customHeight="1">
      <c r="C645" s="166"/>
    </row>
    <row r="646" ht="15.75" customHeight="1">
      <c r="C646" s="166"/>
    </row>
    <row r="647" ht="15.75" customHeight="1">
      <c r="C647" s="166"/>
    </row>
    <row r="648" ht="15.75" customHeight="1">
      <c r="C648" s="166"/>
    </row>
    <row r="649" ht="15.75" customHeight="1">
      <c r="C649" s="166"/>
    </row>
    <row r="650" ht="15.75" customHeight="1">
      <c r="C650" s="166"/>
    </row>
    <row r="651" ht="15.75" customHeight="1">
      <c r="C651" s="166"/>
    </row>
    <row r="652" ht="15.75" customHeight="1">
      <c r="C652" s="166"/>
    </row>
    <row r="653" ht="15.75" customHeight="1">
      <c r="C653" s="166"/>
    </row>
    <row r="654" ht="15.75" customHeight="1">
      <c r="C654" s="166"/>
    </row>
    <row r="655" ht="15.75" customHeight="1">
      <c r="C655" s="166"/>
    </row>
    <row r="656" ht="15.75" customHeight="1">
      <c r="C656" s="166"/>
    </row>
    <row r="657" ht="15.75" customHeight="1">
      <c r="C657" s="166"/>
    </row>
    <row r="658" ht="15.75" customHeight="1">
      <c r="C658" s="166"/>
    </row>
    <row r="659" ht="15.75" customHeight="1">
      <c r="C659" s="166"/>
    </row>
    <row r="660" ht="15.75" customHeight="1">
      <c r="C660" s="166"/>
    </row>
    <row r="661" ht="15.75" customHeight="1">
      <c r="C661" s="166"/>
    </row>
    <row r="662" ht="15.75" customHeight="1">
      <c r="C662" s="166"/>
    </row>
    <row r="663" ht="15.75" customHeight="1">
      <c r="C663" s="166"/>
    </row>
    <row r="664" ht="15.75" customHeight="1">
      <c r="C664" s="166"/>
    </row>
    <row r="665" ht="15.75" customHeight="1">
      <c r="C665" s="166"/>
    </row>
    <row r="666" ht="15.75" customHeight="1">
      <c r="C666" s="166"/>
    </row>
    <row r="667" ht="15.75" customHeight="1">
      <c r="C667" s="166"/>
    </row>
    <row r="668" ht="15.75" customHeight="1">
      <c r="C668" s="166"/>
    </row>
    <row r="669" ht="15.75" customHeight="1">
      <c r="C669" s="166"/>
    </row>
    <row r="670" ht="15.75" customHeight="1">
      <c r="C670" s="166"/>
    </row>
    <row r="671" ht="15.75" customHeight="1">
      <c r="C671" s="166"/>
    </row>
    <row r="672" ht="15.75" customHeight="1">
      <c r="C672" s="166"/>
    </row>
    <row r="673" ht="15.75" customHeight="1">
      <c r="C673" s="166"/>
    </row>
    <row r="674" ht="15.75" customHeight="1">
      <c r="C674" s="166"/>
    </row>
    <row r="675" ht="15.75" customHeight="1">
      <c r="C675" s="166"/>
    </row>
    <row r="676" ht="15.75" customHeight="1">
      <c r="C676" s="166"/>
    </row>
    <row r="677" ht="15.75" customHeight="1">
      <c r="C677" s="166"/>
    </row>
    <row r="678" ht="15.75" customHeight="1">
      <c r="C678" s="166"/>
    </row>
    <row r="679" ht="15.75" customHeight="1">
      <c r="C679" s="166"/>
    </row>
    <row r="680" ht="15.75" customHeight="1">
      <c r="C680" s="166"/>
    </row>
    <row r="681" ht="15.75" customHeight="1">
      <c r="C681" s="166"/>
    </row>
    <row r="682" ht="15.75" customHeight="1">
      <c r="C682" s="166"/>
    </row>
    <row r="683" ht="15.75" customHeight="1">
      <c r="C683" s="166"/>
    </row>
    <row r="684" ht="15.75" customHeight="1">
      <c r="C684" s="166"/>
    </row>
    <row r="685" ht="15.75" customHeight="1">
      <c r="C685" s="166"/>
    </row>
    <row r="686" ht="15.75" customHeight="1">
      <c r="C686" s="166"/>
    </row>
    <row r="687" ht="15.75" customHeight="1">
      <c r="C687" s="166"/>
    </row>
    <row r="688" ht="15.75" customHeight="1">
      <c r="C688" s="166"/>
    </row>
    <row r="689" ht="15.75" customHeight="1">
      <c r="C689" s="166"/>
    </row>
    <row r="690" ht="15.75" customHeight="1">
      <c r="C690" s="166"/>
    </row>
    <row r="691" ht="15.75" customHeight="1">
      <c r="C691" s="166"/>
    </row>
    <row r="692" ht="15.75" customHeight="1">
      <c r="C692" s="166"/>
    </row>
    <row r="693" ht="15.75" customHeight="1">
      <c r="C693" s="166"/>
    </row>
    <row r="694" ht="15.75" customHeight="1">
      <c r="C694" s="166"/>
    </row>
    <row r="695" ht="15.75" customHeight="1">
      <c r="C695" s="166"/>
    </row>
    <row r="696" ht="15.75" customHeight="1">
      <c r="C696" s="166"/>
    </row>
    <row r="697" ht="15.75" customHeight="1">
      <c r="C697" s="166"/>
    </row>
    <row r="698" ht="15.75" customHeight="1">
      <c r="C698" s="166"/>
    </row>
    <row r="699" ht="15.75" customHeight="1">
      <c r="C699" s="166"/>
    </row>
    <row r="700" ht="15.75" customHeight="1">
      <c r="C700" s="166"/>
    </row>
    <row r="701" ht="15.75" customHeight="1">
      <c r="C701" s="166"/>
    </row>
    <row r="702" ht="15.75" customHeight="1">
      <c r="C702" s="166"/>
    </row>
    <row r="703" ht="15.75" customHeight="1">
      <c r="C703" s="166"/>
    </row>
    <row r="704" ht="15.75" customHeight="1">
      <c r="C704" s="166"/>
    </row>
    <row r="705" ht="15.75" customHeight="1">
      <c r="C705" s="166"/>
    </row>
    <row r="706" ht="15.75" customHeight="1">
      <c r="C706" s="166"/>
    </row>
    <row r="707" ht="15.75" customHeight="1">
      <c r="C707" s="166"/>
    </row>
    <row r="708" ht="15.75" customHeight="1">
      <c r="C708" s="166"/>
    </row>
    <row r="709" ht="15.75" customHeight="1">
      <c r="C709" s="166"/>
    </row>
    <row r="710" ht="15.75" customHeight="1">
      <c r="C710" s="166"/>
    </row>
    <row r="711" ht="15.75" customHeight="1">
      <c r="C711" s="166"/>
    </row>
    <row r="712" ht="15.75" customHeight="1">
      <c r="C712" s="166"/>
    </row>
    <row r="713" ht="15.75" customHeight="1">
      <c r="C713" s="166"/>
    </row>
    <row r="714" ht="15.75" customHeight="1">
      <c r="C714" s="166"/>
    </row>
    <row r="715" ht="15.75" customHeight="1">
      <c r="C715" s="166"/>
    </row>
    <row r="716" ht="15.75" customHeight="1">
      <c r="C716" s="166"/>
    </row>
    <row r="717" ht="15.75" customHeight="1">
      <c r="C717" s="166"/>
    </row>
    <row r="718" ht="15.75" customHeight="1">
      <c r="C718" s="166"/>
    </row>
    <row r="719" ht="15.75" customHeight="1">
      <c r="C719" s="166"/>
    </row>
    <row r="720" ht="15.75" customHeight="1">
      <c r="C720" s="166"/>
    </row>
    <row r="721" ht="15.75" customHeight="1">
      <c r="C721" s="166"/>
    </row>
    <row r="722" ht="15.75" customHeight="1">
      <c r="C722" s="166"/>
    </row>
    <row r="723" ht="15.75" customHeight="1">
      <c r="C723" s="166"/>
    </row>
    <row r="724" ht="15.75" customHeight="1">
      <c r="C724" s="166"/>
    </row>
    <row r="725" ht="15.75" customHeight="1">
      <c r="C725" s="166"/>
    </row>
    <row r="726" ht="15.75" customHeight="1">
      <c r="C726" s="166"/>
    </row>
    <row r="727" ht="15.75" customHeight="1">
      <c r="C727" s="166"/>
    </row>
    <row r="728" ht="15.75" customHeight="1">
      <c r="C728" s="166"/>
    </row>
    <row r="729" ht="15.75" customHeight="1">
      <c r="C729" s="166"/>
    </row>
    <row r="730" ht="15.75" customHeight="1">
      <c r="C730" s="166"/>
    </row>
    <row r="731" ht="15.75" customHeight="1">
      <c r="C731" s="166"/>
    </row>
    <row r="732" ht="15.75" customHeight="1">
      <c r="C732" s="166"/>
    </row>
    <row r="733" ht="15.75" customHeight="1">
      <c r="C733" s="166"/>
    </row>
    <row r="734" ht="15.75" customHeight="1">
      <c r="C734" s="166"/>
    </row>
    <row r="735" ht="15.75" customHeight="1">
      <c r="C735" s="166"/>
    </row>
    <row r="736" ht="15.75" customHeight="1">
      <c r="C736" s="166"/>
    </row>
    <row r="737" ht="15.75" customHeight="1">
      <c r="C737" s="166"/>
    </row>
    <row r="738" ht="15.75" customHeight="1">
      <c r="C738" s="166"/>
    </row>
    <row r="739" ht="15.75" customHeight="1">
      <c r="C739" s="166"/>
    </row>
    <row r="740" ht="15.75" customHeight="1">
      <c r="C740" s="166"/>
    </row>
    <row r="741" ht="15.75" customHeight="1">
      <c r="C741" s="166"/>
    </row>
    <row r="742" ht="15.75" customHeight="1">
      <c r="C742" s="166"/>
    </row>
    <row r="743" ht="15.75" customHeight="1">
      <c r="C743" s="166"/>
    </row>
    <row r="744" ht="15.75" customHeight="1">
      <c r="C744" s="166"/>
    </row>
    <row r="745" ht="15.75" customHeight="1">
      <c r="C745" s="166"/>
    </row>
    <row r="746" ht="15.75" customHeight="1">
      <c r="C746" s="166"/>
    </row>
    <row r="747" ht="15.75" customHeight="1">
      <c r="C747" s="166"/>
    </row>
    <row r="748" ht="15.75" customHeight="1">
      <c r="C748" s="166"/>
    </row>
    <row r="749" ht="15.75" customHeight="1">
      <c r="C749" s="166"/>
    </row>
    <row r="750" ht="15.75" customHeight="1">
      <c r="C750" s="166"/>
    </row>
    <row r="751" ht="15.75" customHeight="1">
      <c r="C751" s="166"/>
    </row>
    <row r="752" ht="15.75" customHeight="1">
      <c r="C752" s="166"/>
    </row>
    <row r="753" ht="15.75" customHeight="1">
      <c r="C753" s="166"/>
    </row>
    <row r="754" ht="15.75" customHeight="1">
      <c r="C754" s="166"/>
    </row>
    <row r="755" ht="15.75" customHeight="1">
      <c r="C755" s="166"/>
    </row>
    <row r="756" ht="15.75" customHeight="1">
      <c r="C756" s="166"/>
    </row>
    <row r="757" ht="15.75" customHeight="1">
      <c r="C757" s="166"/>
    </row>
    <row r="758" ht="15.75" customHeight="1">
      <c r="C758" s="166"/>
    </row>
    <row r="759" ht="15.75" customHeight="1">
      <c r="C759" s="166"/>
    </row>
    <row r="760" ht="15.75" customHeight="1">
      <c r="C760" s="166"/>
    </row>
    <row r="761" ht="15.75" customHeight="1">
      <c r="C761" s="166"/>
    </row>
    <row r="762" ht="15.75" customHeight="1">
      <c r="C762" s="166"/>
    </row>
    <row r="763" ht="15.75" customHeight="1">
      <c r="C763" s="166"/>
    </row>
    <row r="764" ht="15.75" customHeight="1">
      <c r="C764" s="166"/>
    </row>
    <row r="765" ht="15.75" customHeight="1">
      <c r="C765" s="166"/>
    </row>
    <row r="766" ht="15.75" customHeight="1">
      <c r="C766" s="166"/>
    </row>
    <row r="767" ht="15.75" customHeight="1">
      <c r="C767" s="166"/>
    </row>
    <row r="768" ht="15.75" customHeight="1">
      <c r="C768" s="166"/>
    </row>
    <row r="769" ht="15.75" customHeight="1">
      <c r="C769" s="166"/>
    </row>
    <row r="770" ht="15.75" customHeight="1">
      <c r="C770" s="166"/>
    </row>
    <row r="771" ht="15.75" customHeight="1">
      <c r="C771" s="166"/>
    </row>
    <row r="772" ht="15.75" customHeight="1">
      <c r="C772" s="166"/>
    </row>
    <row r="773" ht="15.75" customHeight="1">
      <c r="C773" s="166"/>
    </row>
    <row r="774" ht="15.75" customHeight="1">
      <c r="C774" s="166"/>
    </row>
    <row r="775" ht="15.75" customHeight="1">
      <c r="C775" s="166"/>
    </row>
    <row r="776" ht="15.75" customHeight="1">
      <c r="C776" s="166"/>
    </row>
    <row r="777" ht="15.75" customHeight="1">
      <c r="C777" s="166"/>
    </row>
    <row r="778" ht="15.75" customHeight="1">
      <c r="C778" s="166"/>
    </row>
    <row r="779" ht="15.75" customHeight="1">
      <c r="C779" s="166"/>
    </row>
    <row r="780" ht="15.75" customHeight="1">
      <c r="C780" s="166"/>
    </row>
    <row r="781" ht="15.75" customHeight="1">
      <c r="C781" s="166"/>
    </row>
    <row r="782" ht="15.75" customHeight="1">
      <c r="C782" s="166"/>
    </row>
    <row r="783" ht="15.75" customHeight="1">
      <c r="C783" s="166"/>
    </row>
    <row r="784" ht="15.75" customHeight="1">
      <c r="C784" s="166"/>
    </row>
    <row r="785" ht="15.75" customHeight="1">
      <c r="C785" s="166"/>
    </row>
    <row r="786" ht="15.75" customHeight="1">
      <c r="C786" s="166"/>
    </row>
    <row r="787" ht="15.75" customHeight="1">
      <c r="C787" s="166"/>
    </row>
    <row r="788" ht="15.75" customHeight="1">
      <c r="C788" s="166"/>
    </row>
    <row r="789" ht="15.75" customHeight="1">
      <c r="C789" s="166"/>
    </row>
    <row r="790" ht="15.75" customHeight="1">
      <c r="C790" s="166"/>
    </row>
    <row r="791" ht="15.75" customHeight="1">
      <c r="C791" s="166"/>
    </row>
    <row r="792" ht="15.75" customHeight="1">
      <c r="C792" s="166"/>
    </row>
    <row r="793" ht="15.75" customHeight="1">
      <c r="C793" s="166"/>
    </row>
    <row r="794" ht="15.75" customHeight="1">
      <c r="C794" s="166"/>
    </row>
    <row r="795" ht="15.75" customHeight="1">
      <c r="C795" s="166"/>
    </row>
    <row r="796" ht="15.75" customHeight="1">
      <c r="C796" s="166"/>
    </row>
    <row r="797" ht="15.75" customHeight="1">
      <c r="C797" s="166"/>
    </row>
    <row r="798" ht="15.75" customHeight="1">
      <c r="C798" s="166"/>
    </row>
    <row r="799" ht="15.75" customHeight="1">
      <c r="C799" s="166"/>
    </row>
    <row r="800" ht="15.75" customHeight="1">
      <c r="C800" s="166"/>
    </row>
    <row r="801" ht="15.75" customHeight="1">
      <c r="C801" s="166"/>
    </row>
    <row r="802" ht="15.75" customHeight="1">
      <c r="C802" s="166"/>
    </row>
    <row r="803" ht="15.75" customHeight="1">
      <c r="C803" s="166"/>
    </row>
    <row r="804" ht="15.75" customHeight="1">
      <c r="C804" s="166"/>
    </row>
    <row r="805" ht="15.75" customHeight="1">
      <c r="C805" s="166"/>
    </row>
    <row r="806" ht="15.75" customHeight="1">
      <c r="C806" s="166"/>
    </row>
    <row r="807" ht="15.75" customHeight="1">
      <c r="C807" s="166"/>
    </row>
    <row r="808" ht="15.75" customHeight="1">
      <c r="C808" s="166"/>
    </row>
    <row r="809" ht="15.75" customHeight="1">
      <c r="C809" s="166"/>
    </row>
    <row r="810" ht="15.75" customHeight="1">
      <c r="C810" s="166"/>
    </row>
    <row r="811" ht="15.75" customHeight="1">
      <c r="C811" s="166"/>
    </row>
    <row r="812" ht="15.75" customHeight="1">
      <c r="C812" s="166"/>
    </row>
    <row r="813" ht="15.75" customHeight="1">
      <c r="C813" s="166"/>
    </row>
    <row r="814" ht="15.75" customHeight="1">
      <c r="C814" s="166"/>
    </row>
    <row r="815" ht="15.75" customHeight="1">
      <c r="C815" s="166"/>
    </row>
    <row r="816" ht="15.75" customHeight="1">
      <c r="C816" s="166"/>
    </row>
    <row r="817" ht="15.75" customHeight="1">
      <c r="C817" s="166"/>
    </row>
    <row r="818" ht="15.75" customHeight="1">
      <c r="C818" s="166"/>
    </row>
    <row r="819" ht="15.75" customHeight="1">
      <c r="C819" s="166"/>
    </row>
    <row r="820" ht="15.75" customHeight="1">
      <c r="C820" s="166"/>
    </row>
    <row r="821" ht="15.75" customHeight="1">
      <c r="C821" s="166"/>
    </row>
    <row r="822" ht="15.75" customHeight="1">
      <c r="C822" s="166"/>
    </row>
    <row r="823" ht="15.75" customHeight="1">
      <c r="C823" s="166"/>
    </row>
    <row r="824" ht="15.75" customHeight="1">
      <c r="C824" s="166"/>
    </row>
    <row r="825" ht="15.75" customHeight="1">
      <c r="C825" s="166"/>
    </row>
    <row r="826" ht="15.75" customHeight="1">
      <c r="C826" s="166"/>
    </row>
    <row r="827" ht="15.75" customHeight="1">
      <c r="C827" s="166"/>
    </row>
    <row r="828" ht="15.75" customHeight="1">
      <c r="C828" s="166"/>
    </row>
    <row r="829" ht="15.75" customHeight="1">
      <c r="C829" s="166"/>
    </row>
    <row r="830" ht="15.75" customHeight="1">
      <c r="C830" s="166"/>
    </row>
    <row r="831" ht="15.75" customHeight="1">
      <c r="C831" s="166"/>
    </row>
    <row r="832" ht="15.75" customHeight="1">
      <c r="C832" s="166"/>
    </row>
    <row r="833" ht="15.75" customHeight="1">
      <c r="C833" s="166"/>
    </row>
    <row r="834" ht="15.75" customHeight="1">
      <c r="C834" s="166"/>
    </row>
    <row r="835" ht="15.75" customHeight="1">
      <c r="C835" s="166"/>
    </row>
    <row r="836" ht="15.75" customHeight="1">
      <c r="C836" s="166"/>
    </row>
    <row r="837" ht="15.75" customHeight="1">
      <c r="C837" s="166"/>
    </row>
    <row r="838" ht="15.75" customHeight="1">
      <c r="C838" s="166"/>
    </row>
    <row r="839" ht="15.75" customHeight="1">
      <c r="C839" s="166"/>
    </row>
    <row r="840" ht="15.75" customHeight="1">
      <c r="C840" s="166"/>
    </row>
    <row r="841" ht="15.75" customHeight="1">
      <c r="C841" s="166"/>
    </row>
    <row r="842" ht="15.75" customHeight="1">
      <c r="C842" s="166"/>
    </row>
    <row r="843" ht="15.75" customHeight="1">
      <c r="C843" s="166"/>
    </row>
    <row r="844" ht="15.75" customHeight="1">
      <c r="C844" s="166"/>
    </row>
    <row r="845" ht="15.75" customHeight="1">
      <c r="C845" s="166"/>
    </row>
    <row r="846" ht="15.75" customHeight="1">
      <c r="C846" s="166"/>
    </row>
    <row r="847" ht="15.75" customHeight="1">
      <c r="C847" s="166"/>
    </row>
    <row r="848" ht="15.75" customHeight="1">
      <c r="C848" s="166"/>
    </row>
    <row r="849" ht="15.75" customHeight="1">
      <c r="C849" s="166"/>
    </row>
    <row r="850" ht="15.75" customHeight="1">
      <c r="C850" s="166"/>
    </row>
    <row r="851" ht="15.75" customHeight="1">
      <c r="C851" s="166"/>
    </row>
    <row r="852" ht="15.75" customHeight="1">
      <c r="C852" s="166"/>
    </row>
    <row r="853" ht="15.75" customHeight="1">
      <c r="C853" s="166"/>
    </row>
    <row r="854" ht="15.75" customHeight="1">
      <c r="C854" s="166"/>
    </row>
    <row r="855" ht="15.75" customHeight="1">
      <c r="C855" s="166"/>
    </row>
    <row r="856" ht="15.75" customHeight="1">
      <c r="C856" s="166"/>
    </row>
    <row r="857" ht="15.75" customHeight="1">
      <c r="C857" s="166"/>
    </row>
    <row r="858" ht="15.75" customHeight="1">
      <c r="C858" s="166"/>
    </row>
    <row r="859" ht="15.75" customHeight="1">
      <c r="C859" s="166"/>
    </row>
    <row r="860" ht="15.75" customHeight="1">
      <c r="C860" s="166"/>
    </row>
    <row r="861" ht="15.75" customHeight="1">
      <c r="C861" s="166"/>
    </row>
    <row r="862" ht="15.75" customHeight="1">
      <c r="C862" s="166"/>
    </row>
    <row r="863" ht="15.75" customHeight="1">
      <c r="C863" s="166"/>
    </row>
    <row r="864" ht="15.75" customHeight="1">
      <c r="C864" s="166"/>
    </row>
    <row r="865" ht="15.75" customHeight="1">
      <c r="C865" s="166"/>
    </row>
    <row r="866" ht="15.75" customHeight="1">
      <c r="C866" s="166"/>
    </row>
    <row r="867" ht="15.75" customHeight="1">
      <c r="C867" s="166"/>
    </row>
    <row r="868" ht="15.75" customHeight="1">
      <c r="C868" s="166"/>
    </row>
    <row r="869" ht="15.75" customHeight="1">
      <c r="C869" s="166"/>
    </row>
    <row r="870" ht="15.75" customHeight="1">
      <c r="C870" s="166"/>
    </row>
    <row r="871" ht="15.75" customHeight="1">
      <c r="C871" s="166"/>
    </row>
    <row r="872" ht="15.75" customHeight="1">
      <c r="C872" s="166"/>
    </row>
    <row r="873" ht="15.75" customHeight="1">
      <c r="C873" s="166"/>
    </row>
    <row r="874" ht="15.75" customHeight="1">
      <c r="C874" s="166"/>
    </row>
    <row r="875" ht="15.75" customHeight="1">
      <c r="C875" s="166"/>
    </row>
    <row r="876" ht="15.75" customHeight="1">
      <c r="C876" s="166"/>
    </row>
    <row r="877" ht="15.75" customHeight="1">
      <c r="C877" s="166"/>
    </row>
    <row r="878" ht="15.75" customHeight="1">
      <c r="C878" s="166"/>
    </row>
    <row r="879" ht="15.75" customHeight="1">
      <c r="C879" s="166"/>
    </row>
    <row r="880" ht="15.75" customHeight="1">
      <c r="C880" s="166"/>
    </row>
    <row r="881" ht="15.75" customHeight="1">
      <c r="C881" s="166"/>
    </row>
    <row r="882" ht="15.75" customHeight="1">
      <c r="C882" s="166"/>
    </row>
    <row r="883" ht="15.75" customHeight="1">
      <c r="C883" s="166"/>
    </row>
    <row r="884" ht="15.75" customHeight="1">
      <c r="C884" s="166"/>
    </row>
    <row r="885" ht="15.75" customHeight="1">
      <c r="C885" s="166"/>
    </row>
    <row r="886" ht="15.75" customHeight="1">
      <c r="C886" s="166"/>
    </row>
    <row r="887" ht="15.75" customHeight="1">
      <c r="C887" s="166"/>
    </row>
    <row r="888" ht="15.75" customHeight="1">
      <c r="C888" s="166"/>
    </row>
    <row r="889" ht="15.75" customHeight="1">
      <c r="C889" s="166"/>
    </row>
    <row r="890" ht="15.75" customHeight="1">
      <c r="C890" s="166"/>
    </row>
    <row r="891" ht="15.75" customHeight="1">
      <c r="C891" s="166"/>
    </row>
    <row r="892" ht="15.75" customHeight="1">
      <c r="C892" s="166"/>
    </row>
    <row r="893" ht="15.75" customHeight="1">
      <c r="C893" s="166"/>
    </row>
    <row r="894" ht="15.75" customHeight="1">
      <c r="C894" s="166"/>
    </row>
    <row r="895" ht="15.75" customHeight="1">
      <c r="C895" s="166"/>
    </row>
    <row r="896" ht="15.75" customHeight="1">
      <c r="C896" s="166"/>
    </row>
    <row r="897" ht="15.75" customHeight="1">
      <c r="C897" s="166"/>
    </row>
    <row r="898" ht="15.75" customHeight="1">
      <c r="C898" s="166"/>
    </row>
    <row r="899" ht="15.75" customHeight="1">
      <c r="C899" s="166"/>
    </row>
    <row r="900" ht="15.75" customHeight="1">
      <c r="C900" s="166"/>
    </row>
    <row r="901" ht="15.75" customHeight="1">
      <c r="C901" s="166"/>
    </row>
    <row r="902" ht="15.75" customHeight="1">
      <c r="C902" s="166"/>
    </row>
    <row r="903" ht="15.75" customHeight="1">
      <c r="C903" s="166"/>
    </row>
    <row r="904" ht="15.75" customHeight="1">
      <c r="C904" s="166"/>
    </row>
    <row r="905" ht="15.75" customHeight="1">
      <c r="C905" s="166"/>
    </row>
    <row r="906" ht="15.75" customHeight="1">
      <c r="C906" s="166"/>
    </row>
    <row r="907" ht="15.75" customHeight="1">
      <c r="C907" s="166"/>
    </row>
    <row r="908" ht="15.75" customHeight="1">
      <c r="C908" s="166"/>
    </row>
    <row r="909" ht="15.75" customHeight="1">
      <c r="C909" s="166"/>
    </row>
    <row r="910" ht="15.75" customHeight="1">
      <c r="C910" s="166"/>
    </row>
    <row r="911" ht="15.75" customHeight="1">
      <c r="C911" s="166"/>
    </row>
    <row r="912" ht="15.75" customHeight="1">
      <c r="C912" s="166"/>
    </row>
    <row r="913" ht="15.75" customHeight="1">
      <c r="C913" s="166"/>
    </row>
    <row r="914" ht="15.75" customHeight="1">
      <c r="C914" s="166"/>
    </row>
    <row r="915" ht="15.75" customHeight="1">
      <c r="C915" s="166"/>
    </row>
    <row r="916" ht="15.75" customHeight="1">
      <c r="C916" s="166"/>
    </row>
    <row r="917" ht="15.75" customHeight="1">
      <c r="C917" s="166"/>
    </row>
    <row r="918" ht="15.75" customHeight="1">
      <c r="C918" s="166"/>
    </row>
    <row r="919" ht="15.75" customHeight="1">
      <c r="C919" s="166"/>
    </row>
    <row r="920" ht="15.75" customHeight="1">
      <c r="C920" s="166"/>
    </row>
    <row r="921" ht="15.75" customHeight="1">
      <c r="C921" s="166"/>
    </row>
    <row r="922" ht="15.75" customHeight="1">
      <c r="C922" s="166"/>
    </row>
    <row r="923" ht="15.75" customHeight="1">
      <c r="C923" s="166"/>
    </row>
    <row r="924" ht="15.75" customHeight="1">
      <c r="C924" s="166"/>
    </row>
    <row r="925" ht="15.75" customHeight="1">
      <c r="C925" s="166"/>
    </row>
    <row r="926" ht="15.75" customHeight="1">
      <c r="C926" s="166"/>
    </row>
    <row r="927" ht="15.75" customHeight="1">
      <c r="C927" s="166"/>
    </row>
    <row r="928" ht="15.75" customHeight="1">
      <c r="C928" s="166"/>
    </row>
    <row r="929" ht="15.75" customHeight="1">
      <c r="C929" s="166"/>
    </row>
    <row r="930" ht="15.75" customHeight="1">
      <c r="C930" s="166"/>
    </row>
    <row r="931" ht="15.75" customHeight="1">
      <c r="C931" s="166"/>
    </row>
    <row r="932" ht="15.75" customHeight="1">
      <c r="C932" s="166"/>
    </row>
    <row r="933" ht="15.75" customHeight="1">
      <c r="C933" s="166"/>
    </row>
    <row r="934" ht="15.75" customHeight="1">
      <c r="C934" s="166"/>
    </row>
    <row r="935" ht="15.75" customHeight="1">
      <c r="C935" s="166"/>
    </row>
    <row r="936" ht="15.75" customHeight="1">
      <c r="C936" s="166"/>
    </row>
    <row r="937" ht="15.75" customHeight="1">
      <c r="C937" s="166"/>
    </row>
    <row r="938" ht="15.75" customHeight="1">
      <c r="C938" s="166"/>
    </row>
    <row r="939" ht="15.75" customHeight="1">
      <c r="C939" s="166"/>
    </row>
    <row r="940" ht="15.75" customHeight="1">
      <c r="C940" s="166"/>
    </row>
    <row r="941" ht="15.75" customHeight="1">
      <c r="C941" s="166"/>
    </row>
    <row r="942" ht="15.75" customHeight="1">
      <c r="C942" s="166"/>
    </row>
    <row r="943" ht="15.75" customHeight="1">
      <c r="C943" s="166"/>
    </row>
    <row r="944" ht="15.75" customHeight="1">
      <c r="C944" s="166"/>
    </row>
    <row r="945" ht="15.75" customHeight="1">
      <c r="C945" s="166"/>
    </row>
    <row r="946" ht="15.75" customHeight="1">
      <c r="C946" s="166"/>
    </row>
    <row r="947" ht="15.75" customHeight="1">
      <c r="C947" s="166"/>
    </row>
    <row r="948" ht="15.75" customHeight="1">
      <c r="C948" s="166"/>
    </row>
    <row r="949" ht="15.75" customHeight="1">
      <c r="C949" s="166"/>
    </row>
    <row r="950" ht="15.75" customHeight="1">
      <c r="C950" s="166"/>
    </row>
    <row r="951" ht="15.75" customHeight="1">
      <c r="C951" s="166"/>
    </row>
    <row r="952" ht="15.75" customHeight="1">
      <c r="C952" s="166"/>
    </row>
    <row r="953" ht="15.75" customHeight="1">
      <c r="C953" s="166"/>
    </row>
    <row r="954" ht="15.75" customHeight="1">
      <c r="C954" s="166"/>
    </row>
    <row r="955" ht="15.75" customHeight="1">
      <c r="C955" s="166"/>
    </row>
    <row r="956" ht="15.75" customHeight="1">
      <c r="C956" s="166"/>
    </row>
    <row r="957" ht="15.75" customHeight="1">
      <c r="C957" s="166"/>
    </row>
    <row r="958" ht="15.75" customHeight="1">
      <c r="C958" s="166"/>
    </row>
    <row r="959" ht="15.75" customHeight="1">
      <c r="C959" s="166"/>
    </row>
    <row r="960" ht="15.75" customHeight="1">
      <c r="C960" s="166"/>
    </row>
    <row r="961" ht="15.75" customHeight="1">
      <c r="C961" s="166"/>
    </row>
    <row r="962" ht="15.75" customHeight="1">
      <c r="C962" s="166"/>
    </row>
    <row r="963" ht="15.75" customHeight="1">
      <c r="C963" s="166"/>
    </row>
    <row r="964" ht="15.75" customHeight="1">
      <c r="C964" s="166"/>
    </row>
    <row r="965" ht="15.75" customHeight="1">
      <c r="C965" s="166"/>
    </row>
    <row r="966" ht="15.75" customHeight="1">
      <c r="C966" s="166"/>
    </row>
    <row r="967" ht="15.75" customHeight="1">
      <c r="C967" s="166"/>
    </row>
    <row r="968" ht="15.75" customHeight="1">
      <c r="C968" s="166"/>
    </row>
    <row r="969" ht="15.75" customHeight="1">
      <c r="C969" s="166"/>
    </row>
    <row r="970" ht="15.75" customHeight="1">
      <c r="C970" s="166"/>
    </row>
    <row r="971" ht="15.75" customHeight="1">
      <c r="C971" s="166"/>
    </row>
    <row r="972" ht="15.75" customHeight="1">
      <c r="C972" s="166"/>
    </row>
    <row r="973" ht="15.75" customHeight="1">
      <c r="C973" s="166"/>
    </row>
    <row r="974" ht="15.75" customHeight="1">
      <c r="C974" s="166"/>
    </row>
    <row r="975" ht="15.75" customHeight="1">
      <c r="C975" s="166"/>
    </row>
    <row r="976" ht="15.75" customHeight="1">
      <c r="C976" s="166"/>
    </row>
    <row r="977" ht="15.75" customHeight="1">
      <c r="C977" s="166"/>
    </row>
    <row r="978" ht="15.75" customHeight="1">
      <c r="C978" s="166"/>
    </row>
    <row r="979" ht="15.75" customHeight="1">
      <c r="C979" s="166"/>
    </row>
    <row r="980" ht="15.75" customHeight="1">
      <c r="C980" s="166"/>
    </row>
    <row r="981" ht="15.75" customHeight="1">
      <c r="C981" s="166"/>
    </row>
    <row r="982" ht="15.75" customHeight="1">
      <c r="C982" s="166"/>
    </row>
    <row r="983" ht="15.75" customHeight="1">
      <c r="C983" s="166"/>
    </row>
    <row r="984" ht="15.75" customHeight="1">
      <c r="C984" s="166"/>
    </row>
    <row r="985" ht="15.75" customHeight="1">
      <c r="C985" s="166"/>
    </row>
    <row r="986" ht="15.75" customHeight="1">
      <c r="C986" s="166"/>
    </row>
    <row r="987" ht="15.75" customHeight="1">
      <c r="C987" s="166"/>
    </row>
    <row r="988" ht="15.75" customHeight="1">
      <c r="C988" s="166"/>
    </row>
    <row r="989" ht="15.75" customHeight="1">
      <c r="C989" s="166"/>
    </row>
    <row r="990" ht="15.75" customHeight="1">
      <c r="C990" s="166"/>
    </row>
    <row r="991" ht="15.75" customHeight="1">
      <c r="C991" s="166"/>
    </row>
    <row r="992" ht="15.75" customHeight="1">
      <c r="C992" s="166"/>
    </row>
    <row r="993" ht="15.75" customHeight="1">
      <c r="C993" s="166"/>
    </row>
    <row r="994" ht="15.75" customHeight="1">
      <c r="C994" s="166"/>
    </row>
    <row r="995" ht="15.75" customHeight="1">
      <c r="C995" s="166"/>
    </row>
    <row r="996" ht="15.75" customHeight="1">
      <c r="C996" s="166"/>
    </row>
    <row r="997" ht="15.75" customHeight="1">
      <c r="C997" s="166"/>
    </row>
    <row r="998" ht="15.75" customHeight="1">
      <c r="C998" s="166"/>
    </row>
    <row r="999" ht="15.75" customHeight="1">
      <c r="C999" s="166"/>
    </row>
    <row r="1000" ht="15.75" customHeight="1">
      <c r="C1000" s="166"/>
    </row>
    <row r="1001" ht="15.75" customHeight="1">
      <c r="C1001" s="166"/>
    </row>
    <row r="1002" ht="15.75" customHeight="1">
      <c r="C1002" s="166"/>
    </row>
    <row r="1003" ht="15.75" customHeight="1">
      <c r="C1003" s="166"/>
    </row>
    <row r="1004" ht="15.75" customHeight="1">
      <c r="C1004" s="166"/>
    </row>
    <row r="1005" ht="15.75" customHeight="1">
      <c r="C1005" s="166"/>
    </row>
    <row r="1006" ht="15.75" customHeight="1">
      <c r="C1006" s="166"/>
    </row>
    <row r="1007" ht="15.75" customHeight="1">
      <c r="C1007" s="166"/>
    </row>
    <row r="1008" ht="15.75" customHeight="1">
      <c r="C1008" s="166"/>
    </row>
    <row r="1009" ht="15.75" customHeight="1">
      <c r="C1009" s="166"/>
    </row>
    <row r="1010" ht="15.75" customHeight="1">
      <c r="C1010" s="166"/>
    </row>
    <row r="1011" ht="15.75" customHeight="1">
      <c r="C1011" s="166"/>
    </row>
    <row r="1012" ht="15.75" customHeight="1">
      <c r="C1012" s="166"/>
    </row>
    <row r="1013" ht="15.75" customHeight="1">
      <c r="C1013" s="166"/>
    </row>
    <row r="1014" ht="15.75" customHeight="1">
      <c r="C1014" s="166"/>
    </row>
    <row r="1015" ht="15.75" customHeight="1">
      <c r="C1015" s="166"/>
    </row>
    <row r="1016" ht="15.75" customHeight="1">
      <c r="C1016" s="166"/>
    </row>
    <row r="1017" ht="15.75" customHeight="1">
      <c r="C1017" s="166"/>
    </row>
    <row r="1018" ht="15.75" customHeight="1">
      <c r="C1018" s="166"/>
    </row>
    <row r="1019" ht="15.75" customHeight="1">
      <c r="C1019" s="166"/>
    </row>
    <row r="1020" ht="15.75" customHeight="1">
      <c r="C1020" s="166"/>
    </row>
    <row r="1021" ht="15.75" customHeight="1">
      <c r="C1021" s="166"/>
    </row>
    <row r="1022" ht="15.75" customHeight="1">
      <c r="C1022" s="166"/>
    </row>
    <row r="1023" ht="15.75" customHeight="1">
      <c r="C1023" s="166"/>
    </row>
    <row r="1024" ht="15.75" customHeight="1">
      <c r="C1024" s="166"/>
    </row>
    <row r="1025" ht="15.75" customHeight="1">
      <c r="C1025" s="166"/>
    </row>
    <row r="1026" ht="15.75" customHeight="1">
      <c r="C1026" s="166"/>
    </row>
    <row r="1027" ht="15.75" customHeight="1">
      <c r="C1027" s="166"/>
    </row>
    <row r="1028" ht="15.75" customHeight="1">
      <c r="C1028" s="166"/>
    </row>
    <row r="1029" ht="15.75" customHeight="1">
      <c r="C1029" s="166"/>
    </row>
    <row r="1030" ht="15.75" customHeight="1">
      <c r="C1030" s="166"/>
    </row>
    <row r="1031" ht="15.75" customHeight="1">
      <c r="C1031" s="166"/>
    </row>
    <row r="1032" ht="15.75" customHeight="1">
      <c r="C1032" s="166"/>
    </row>
    <row r="1033" ht="15.75" customHeight="1">
      <c r="C1033" s="166"/>
    </row>
    <row r="1034" ht="15.75" customHeight="1">
      <c r="C1034" s="166"/>
    </row>
  </sheetData>
  <mergeCells count="53">
    <mergeCell ref="D118:F118"/>
    <mergeCell ref="D119:F119"/>
    <mergeCell ref="A126:C126"/>
    <mergeCell ref="A127:C127"/>
    <mergeCell ref="F74:F76"/>
    <mergeCell ref="F77:F78"/>
    <mergeCell ref="F79:F80"/>
    <mergeCell ref="F82:F98"/>
    <mergeCell ref="G82:G98"/>
    <mergeCell ref="D116:F116"/>
    <mergeCell ref="D117:F117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6:D28"/>
    <mergeCell ref="F16:F28"/>
    <mergeCell ref="G16:G28"/>
    <mergeCell ref="F29:F34"/>
    <mergeCell ref="G29:G34"/>
    <mergeCell ref="D53:D58"/>
    <mergeCell ref="D59:D65"/>
    <mergeCell ref="D70:D73"/>
    <mergeCell ref="D74:D76"/>
    <mergeCell ref="D77:D78"/>
    <mergeCell ref="D79:D80"/>
    <mergeCell ref="D82:D98"/>
    <mergeCell ref="D29:D34"/>
    <mergeCell ref="D36:D44"/>
    <mergeCell ref="F36:F44"/>
    <mergeCell ref="G36:G44"/>
    <mergeCell ref="D45:D52"/>
    <mergeCell ref="G45:G52"/>
    <mergeCell ref="G53:G58"/>
    <mergeCell ref="F45:F52"/>
    <mergeCell ref="F53:F58"/>
    <mergeCell ref="F59:F65"/>
    <mergeCell ref="G59:G65"/>
    <mergeCell ref="F70:F73"/>
    <mergeCell ref="G70:G73"/>
    <mergeCell ref="G74:G76"/>
    <mergeCell ref="G77:G78"/>
    <mergeCell ref="I117:J117"/>
    <mergeCell ref="K117:AG117"/>
    <mergeCell ref="K118:AG118"/>
    <mergeCell ref="K119:AG119"/>
  </mergeCells>
  <printOptions/>
  <pageMargins bottom="0.75" footer="0.0" header="0.0" left="0.7" right="0.33527454242928456" top="0.75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9.75"/>
  </cols>
  <sheetData>
    <row r="1">
      <c r="A1" s="1" t="s">
        <v>0</v>
      </c>
      <c r="AJ1" s="101"/>
      <c r="AK1" s="2"/>
    </row>
    <row r="2">
      <c r="A2" s="168" t="s">
        <v>234</v>
      </c>
      <c r="AJ2" s="101"/>
      <c r="AK2" s="2"/>
    </row>
    <row r="3">
      <c r="A3" s="4"/>
      <c r="AJ3" s="101"/>
      <c r="AK3" s="2"/>
    </row>
    <row r="4">
      <c r="A4" s="5" t="s">
        <v>2</v>
      </c>
      <c r="B4" s="6"/>
      <c r="C4" s="6"/>
      <c r="D4" s="6"/>
      <c r="E4" s="7"/>
      <c r="F4" s="6"/>
      <c r="G4" s="16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101"/>
      <c r="AK4" s="2"/>
    </row>
    <row r="5">
      <c r="A5" s="8"/>
      <c r="B5" s="6"/>
      <c r="C5" s="6"/>
      <c r="D5" s="6"/>
      <c r="E5" s="9"/>
      <c r="F5" s="10"/>
      <c r="G5" s="14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01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101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101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170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28" t="s">
        <v>16</v>
      </c>
      <c r="J9" s="28" t="s">
        <v>17</v>
      </c>
      <c r="K9" s="28" t="s">
        <v>235</v>
      </c>
      <c r="L9" s="29" t="s">
        <v>18</v>
      </c>
      <c r="M9" s="29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30" t="s">
        <v>41</v>
      </c>
      <c r="AJ9" s="170"/>
      <c r="AK9" s="23"/>
      <c r="AL9" s="24"/>
      <c r="AM9" s="24"/>
    </row>
    <row r="10">
      <c r="A10" s="32" t="s">
        <v>42</v>
      </c>
      <c r="B10" s="32" t="s">
        <v>43</v>
      </c>
      <c r="C10" s="32" t="s">
        <v>44</v>
      </c>
      <c r="D10" s="32" t="s">
        <v>45</v>
      </c>
      <c r="E10" s="33" t="s">
        <v>46</v>
      </c>
      <c r="F10" s="34" t="s">
        <v>47</v>
      </c>
      <c r="G10" s="32" t="s">
        <v>48</v>
      </c>
      <c r="H10" s="32" t="s">
        <v>49</v>
      </c>
      <c r="I10" s="32" t="s">
        <v>50</v>
      </c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5" t="s">
        <v>76</v>
      </c>
      <c r="AJ10" s="170"/>
      <c r="AK10" s="37"/>
    </row>
    <row r="11">
      <c r="A11" s="38" t="s">
        <v>87</v>
      </c>
      <c r="B11" s="39"/>
      <c r="C11" s="171" t="s">
        <v>88</v>
      </c>
      <c r="D11" s="172"/>
      <c r="E11" s="173"/>
      <c r="F11" s="174"/>
      <c r="G11" s="172"/>
      <c r="H11" s="172"/>
      <c r="I11" s="172"/>
      <c r="J11" s="172"/>
      <c r="K11" s="172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175"/>
      <c r="AJ11" s="176">
        <f>SUM(F12:F27)</f>
        <v>141570</v>
      </c>
      <c r="AK11" s="177">
        <v>147686.0</v>
      </c>
    </row>
    <row r="12">
      <c r="A12" s="58"/>
      <c r="B12" s="178"/>
      <c r="C12" s="179" t="s">
        <v>236</v>
      </c>
      <c r="D12" s="180" t="s">
        <v>80</v>
      </c>
      <c r="E12" s="181">
        <v>80.0</v>
      </c>
      <c r="F12" s="182">
        <f t="shared" ref="F12:F22" si="1">E12*J12</f>
        <v>4000</v>
      </c>
      <c r="G12" s="183" t="s">
        <v>237</v>
      </c>
      <c r="H12" s="184" t="s">
        <v>238</v>
      </c>
      <c r="I12" s="185"/>
      <c r="J12" s="186">
        <v>50.0</v>
      </c>
      <c r="K12" s="187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188"/>
      <c r="AJ12" s="101"/>
      <c r="AK12" s="37"/>
    </row>
    <row r="13">
      <c r="A13" s="58"/>
      <c r="B13" s="178"/>
      <c r="C13" s="189" t="s">
        <v>239</v>
      </c>
      <c r="D13" s="190"/>
      <c r="E13" s="191">
        <v>850.0</v>
      </c>
      <c r="F13" s="192">
        <f t="shared" si="1"/>
        <v>4250</v>
      </c>
      <c r="G13" s="193" t="s">
        <v>237</v>
      </c>
      <c r="H13" s="194"/>
      <c r="I13" s="195"/>
      <c r="J13" s="196">
        <v>5.0</v>
      </c>
      <c r="K13" s="187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188"/>
      <c r="AJ13" s="101"/>
      <c r="AK13" s="37"/>
    </row>
    <row r="14">
      <c r="A14" s="58"/>
      <c r="B14" s="178"/>
      <c r="C14" s="189" t="s">
        <v>240</v>
      </c>
      <c r="D14" s="190"/>
      <c r="E14" s="191">
        <v>450.0</v>
      </c>
      <c r="F14" s="192">
        <f t="shared" si="1"/>
        <v>2250</v>
      </c>
      <c r="G14" s="193" t="s">
        <v>237</v>
      </c>
      <c r="H14" s="194"/>
      <c r="I14" s="195"/>
      <c r="J14" s="196">
        <v>5.0</v>
      </c>
      <c r="K14" s="187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188"/>
      <c r="AJ14" s="101"/>
      <c r="AK14" s="37"/>
    </row>
    <row r="15">
      <c r="A15" s="58"/>
      <c r="B15" s="178"/>
      <c r="C15" s="189" t="s">
        <v>241</v>
      </c>
      <c r="D15" s="190"/>
      <c r="E15" s="191">
        <v>80.0</v>
      </c>
      <c r="F15" s="192">
        <f t="shared" si="1"/>
        <v>4000</v>
      </c>
      <c r="G15" s="193" t="s">
        <v>237</v>
      </c>
      <c r="H15" s="194"/>
      <c r="I15" s="195"/>
      <c r="J15" s="196">
        <v>50.0</v>
      </c>
      <c r="K15" s="187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188"/>
      <c r="AJ15" s="101"/>
      <c r="AK15" s="37"/>
    </row>
    <row r="16">
      <c r="A16" s="58"/>
      <c r="B16" s="178"/>
      <c r="C16" s="189" t="s">
        <v>242</v>
      </c>
      <c r="D16" s="190"/>
      <c r="E16" s="191">
        <v>300.0</v>
      </c>
      <c r="F16" s="192">
        <f t="shared" si="1"/>
        <v>4500</v>
      </c>
      <c r="G16" s="193" t="s">
        <v>237</v>
      </c>
      <c r="H16" s="194"/>
      <c r="I16" s="195"/>
      <c r="J16" s="196">
        <v>15.0</v>
      </c>
      <c r="K16" s="187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188"/>
      <c r="AJ16" s="101"/>
      <c r="AK16" s="37"/>
    </row>
    <row r="17">
      <c r="A17" s="58"/>
      <c r="B17" s="178"/>
      <c r="C17" s="189" t="s">
        <v>243</v>
      </c>
      <c r="D17" s="190"/>
      <c r="E17" s="191">
        <v>350.0</v>
      </c>
      <c r="F17" s="192">
        <f t="shared" si="1"/>
        <v>5250</v>
      </c>
      <c r="G17" s="193" t="s">
        <v>237</v>
      </c>
      <c r="H17" s="194"/>
      <c r="I17" s="195"/>
      <c r="J17" s="196">
        <v>15.0</v>
      </c>
      <c r="K17" s="187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188"/>
      <c r="AJ17" s="101"/>
      <c r="AK17" s="37"/>
    </row>
    <row r="18">
      <c r="A18" s="58"/>
      <c r="B18" s="178"/>
      <c r="C18" s="189" t="s">
        <v>244</v>
      </c>
      <c r="D18" s="190"/>
      <c r="E18" s="191">
        <v>500.0</v>
      </c>
      <c r="F18" s="192">
        <f t="shared" si="1"/>
        <v>7500</v>
      </c>
      <c r="G18" s="193" t="s">
        <v>237</v>
      </c>
      <c r="H18" s="194"/>
      <c r="I18" s="195"/>
      <c r="J18" s="196">
        <v>15.0</v>
      </c>
      <c r="K18" s="187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188"/>
      <c r="AJ18" s="101"/>
      <c r="AK18" s="37"/>
    </row>
    <row r="19" ht="15.75" customHeight="1">
      <c r="A19" s="58"/>
      <c r="B19" s="178"/>
      <c r="C19" s="189" t="s">
        <v>245</v>
      </c>
      <c r="D19" s="190"/>
      <c r="E19" s="191">
        <v>350.0</v>
      </c>
      <c r="F19" s="192">
        <f t="shared" si="1"/>
        <v>2800</v>
      </c>
      <c r="G19" s="193" t="s">
        <v>237</v>
      </c>
      <c r="H19" s="194"/>
      <c r="I19" s="195"/>
      <c r="J19" s="196">
        <v>8.0</v>
      </c>
      <c r="K19" s="187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188"/>
      <c r="AJ19" s="101"/>
      <c r="AK19" s="37"/>
    </row>
    <row r="20" ht="15.75" customHeight="1">
      <c r="A20" s="58"/>
      <c r="B20" s="178"/>
      <c r="C20" s="189" t="s">
        <v>246</v>
      </c>
      <c r="D20" s="190"/>
      <c r="E20" s="191">
        <v>2000.0</v>
      </c>
      <c r="F20" s="192">
        <f t="shared" si="1"/>
        <v>6000</v>
      </c>
      <c r="G20" s="193" t="s">
        <v>237</v>
      </c>
      <c r="H20" s="194"/>
      <c r="I20" s="195"/>
      <c r="J20" s="196">
        <v>3.0</v>
      </c>
      <c r="K20" s="187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188"/>
      <c r="AJ20" s="101"/>
      <c r="AK20" s="37"/>
    </row>
    <row r="21" ht="15.75" customHeight="1">
      <c r="A21" s="58"/>
      <c r="B21" s="178"/>
      <c r="C21" s="189" t="s">
        <v>247</v>
      </c>
      <c r="D21" s="190"/>
      <c r="E21" s="191">
        <v>50.0</v>
      </c>
      <c r="F21" s="192">
        <f t="shared" si="1"/>
        <v>400</v>
      </c>
      <c r="G21" s="193" t="s">
        <v>237</v>
      </c>
      <c r="H21" s="194"/>
      <c r="I21" s="195"/>
      <c r="J21" s="196">
        <v>8.0</v>
      </c>
      <c r="K21" s="187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188"/>
      <c r="AJ21" s="101"/>
      <c r="AK21" s="37"/>
    </row>
    <row r="22" ht="15.75" customHeight="1">
      <c r="A22" s="58"/>
      <c r="B22" s="178"/>
      <c r="C22" s="189" t="s">
        <v>248</v>
      </c>
      <c r="D22" s="147"/>
      <c r="E22" s="191">
        <v>80.0</v>
      </c>
      <c r="F22" s="192">
        <f t="shared" si="1"/>
        <v>640</v>
      </c>
      <c r="G22" s="193" t="s">
        <v>237</v>
      </c>
      <c r="H22" s="194"/>
      <c r="I22" s="195"/>
      <c r="J22" s="196">
        <v>8.0</v>
      </c>
      <c r="K22" s="187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188"/>
      <c r="AJ22" s="101"/>
      <c r="AK22" s="37"/>
    </row>
    <row r="23">
      <c r="A23" s="197"/>
      <c r="B23" s="178"/>
      <c r="C23" s="198" t="s">
        <v>249</v>
      </c>
      <c r="D23" s="199" t="s">
        <v>250</v>
      </c>
      <c r="E23" s="200">
        <v>120.0</v>
      </c>
      <c r="F23" s="192">
        <f t="shared" ref="F23:F24" si="2">E23*I23</f>
        <v>3000</v>
      </c>
      <c r="G23" s="193" t="s">
        <v>90</v>
      </c>
      <c r="H23" s="201"/>
      <c r="I23" s="202">
        <v>25.0</v>
      </c>
      <c r="J23" s="203"/>
      <c r="K23" s="204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205"/>
      <c r="AJ23" s="101"/>
      <c r="AK23" s="101"/>
    </row>
    <row r="24" ht="15.75" customHeight="1">
      <c r="A24" s="206"/>
      <c r="B24" s="178"/>
      <c r="C24" s="207" t="s">
        <v>251</v>
      </c>
      <c r="D24" s="208" t="s">
        <v>252</v>
      </c>
      <c r="E24" s="191">
        <v>60.0</v>
      </c>
      <c r="F24" s="192">
        <f t="shared" si="2"/>
        <v>480</v>
      </c>
      <c r="G24" s="193" t="s">
        <v>90</v>
      </c>
      <c r="H24" s="195"/>
      <c r="I24" s="209">
        <v>8.0</v>
      </c>
      <c r="J24" s="187"/>
      <c r="K24" s="187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188"/>
      <c r="AJ24" s="101"/>
      <c r="AK24" s="101"/>
      <c r="AL24" s="102"/>
      <c r="AM24" s="102"/>
    </row>
    <row r="25" ht="15.75" customHeight="1">
      <c r="A25" s="206"/>
      <c r="B25" s="178"/>
      <c r="C25" s="211" t="s">
        <v>253</v>
      </c>
      <c r="D25" s="212" t="s">
        <v>254</v>
      </c>
      <c r="E25" s="213">
        <v>200.0</v>
      </c>
      <c r="F25" s="192">
        <f>E25*J25</f>
        <v>2000</v>
      </c>
      <c r="G25" s="193" t="s">
        <v>90</v>
      </c>
      <c r="H25" s="214"/>
      <c r="I25" s="185"/>
      <c r="J25" s="215">
        <v>10.0</v>
      </c>
      <c r="K25" s="216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7"/>
      <c r="AJ25" s="101"/>
      <c r="AK25" s="101"/>
      <c r="AL25" s="102"/>
      <c r="AM25" s="102"/>
    </row>
    <row r="26" ht="15.75" customHeight="1">
      <c r="A26" s="206"/>
      <c r="B26" s="178"/>
      <c r="C26" s="218" t="s">
        <v>255</v>
      </c>
      <c r="D26" s="219" t="s">
        <v>80</v>
      </c>
      <c r="E26" s="220">
        <v>28000.0</v>
      </c>
      <c r="F26" s="192">
        <f t="shared" ref="F26:F27" si="3">E26*I26</f>
        <v>84000</v>
      </c>
      <c r="G26" s="193" t="s">
        <v>90</v>
      </c>
      <c r="H26" s="195"/>
      <c r="I26" s="209">
        <v>3.0</v>
      </c>
      <c r="J26" s="187"/>
      <c r="K26" s="187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187"/>
      <c r="AI26" s="188"/>
      <c r="AJ26" s="101"/>
      <c r="AK26" s="101"/>
      <c r="AL26" s="102"/>
      <c r="AM26" s="102"/>
    </row>
    <row r="27" ht="15.75" customHeight="1">
      <c r="A27" s="216"/>
      <c r="B27" s="178"/>
      <c r="C27" s="207" t="s">
        <v>256</v>
      </c>
      <c r="D27" s="147"/>
      <c r="E27" s="221">
        <v>3500.0</v>
      </c>
      <c r="F27" s="192">
        <f t="shared" si="3"/>
        <v>10500</v>
      </c>
      <c r="G27" s="193" t="s">
        <v>90</v>
      </c>
      <c r="H27" s="195"/>
      <c r="I27" s="209">
        <v>3.0</v>
      </c>
      <c r="J27" s="187"/>
      <c r="K27" s="187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188"/>
      <c r="AJ27" s="101"/>
      <c r="AK27" s="101"/>
      <c r="AL27" s="102"/>
      <c r="AM27" s="102"/>
    </row>
    <row r="28" ht="15.75" customHeight="1">
      <c r="A28" s="38" t="s">
        <v>114</v>
      </c>
      <c r="B28" s="74"/>
      <c r="C28" s="74" t="s">
        <v>115</v>
      </c>
      <c r="D28" s="75"/>
      <c r="E28" s="76"/>
      <c r="F28" s="222"/>
      <c r="G28" s="77"/>
      <c r="H28" s="75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223"/>
      <c r="AJ28" s="224">
        <f>SUM(F29:F102)</f>
        <v>1276420</v>
      </c>
      <c r="AK28" s="225">
        <v>3000000.0</v>
      </c>
    </row>
    <row r="29">
      <c r="A29" s="226"/>
      <c r="B29" s="216"/>
      <c r="C29" s="227" t="s">
        <v>257</v>
      </c>
      <c r="D29" s="228" t="s">
        <v>258</v>
      </c>
      <c r="E29" s="229">
        <v>40000.0</v>
      </c>
      <c r="F29" s="229">
        <f>E29*I29</f>
        <v>80000</v>
      </c>
      <c r="G29" s="230" t="s">
        <v>81</v>
      </c>
      <c r="H29" s="231" t="s">
        <v>259</v>
      </c>
      <c r="I29" s="228">
        <v>2.0</v>
      </c>
      <c r="J29" s="232"/>
      <c r="K29" s="232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33"/>
      <c r="AJ29" s="101"/>
      <c r="AK29" s="2"/>
      <c r="AL29" s="234"/>
      <c r="AM29" s="234"/>
    </row>
    <row r="30" ht="27.75" customHeight="1">
      <c r="A30" s="226"/>
      <c r="B30" s="216"/>
      <c r="C30" s="227" t="s">
        <v>260</v>
      </c>
      <c r="D30" s="228" t="s">
        <v>214</v>
      </c>
      <c r="E30" s="229">
        <v>5000.0</v>
      </c>
      <c r="F30" s="235">
        <f t="shared" ref="F30:F36" si="4">E30*J30</f>
        <v>15000</v>
      </c>
      <c r="G30" s="236" t="s">
        <v>90</v>
      </c>
      <c r="H30" s="231" t="s">
        <v>259</v>
      </c>
      <c r="I30" s="232"/>
      <c r="J30" s="237">
        <v>3.0</v>
      </c>
      <c r="K30" s="232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33"/>
      <c r="AJ30" s="101"/>
      <c r="AK30" s="2"/>
      <c r="AL30" s="234"/>
      <c r="AM30" s="234"/>
    </row>
    <row r="31" ht="27.75" customHeight="1">
      <c r="A31" s="226"/>
      <c r="B31" s="216"/>
      <c r="C31" s="227" t="s">
        <v>261</v>
      </c>
      <c r="D31" s="238" t="s">
        <v>80</v>
      </c>
      <c r="E31" s="229">
        <v>2500.0</v>
      </c>
      <c r="F31" s="235">
        <f t="shared" si="4"/>
        <v>12500</v>
      </c>
      <c r="G31" s="239" t="s">
        <v>81</v>
      </c>
      <c r="H31" s="231" t="s">
        <v>259</v>
      </c>
      <c r="I31" s="232"/>
      <c r="J31" s="236">
        <v>5.0</v>
      </c>
      <c r="K31" s="232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33"/>
      <c r="AJ31" s="101"/>
      <c r="AK31" s="2"/>
      <c r="AL31" s="234"/>
      <c r="AM31" s="234"/>
    </row>
    <row r="32">
      <c r="A32" s="226"/>
      <c r="B32" s="216"/>
      <c r="C32" s="240" t="s">
        <v>262</v>
      </c>
      <c r="D32" s="190"/>
      <c r="E32" s="235">
        <v>22000.0</v>
      </c>
      <c r="F32" s="235">
        <f t="shared" si="4"/>
        <v>22000</v>
      </c>
      <c r="G32" s="190"/>
      <c r="H32" s="231" t="s">
        <v>259</v>
      </c>
      <c r="I32" s="232"/>
      <c r="J32" s="237">
        <v>1.0</v>
      </c>
      <c r="K32" s="232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  <c r="AI32" s="233"/>
      <c r="AJ32" s="101"/>
      <c r="AK32" s="2"/>
      <c r="AL32" s="234"/>
      <c r="AM32" s="234"/>
    </row>
    <row r="33">
      <c r="A33" s="226"/>
      <c r="B33" s="216"/>
      <c r="C33" s="240" t="s">
        <v>263</v>
      </c>
      <c r="D33" s="190"/>
      <c r="E33" s="235">
        <v>21000.0</v>
      </c>
      <c r="F33" s="235">
        <f t="shared" si="4"/>
        <v>42000</v>
      </c>
      <c r="G33" s="190"/>
      <c r="H33" s="231" t="s">
        <v>259</v>
      </c>
      <c r="I33" s="232"/>
      <c r="J33" s="237">
        <v>2.0</v>
      </c>
      <c r="K33" s="232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33"/>
      <c r="AJ33" s="101"/>
      <c r="AK33" s="2"/>
      <c r="AL33" s="234"/>
      <c r="AM33" s="234"/>
    </row>
    <row r="34">
      <c r="A34" s="226"/>
      <c r="B34" s="216"/>
      <c r="C34" s="240" t="s">
        <v>264</v>
      </c>
      <c r="D34" s="190"/>
      <c r="E34" s="235">
        <v>15000.0</v>
      </c>
      <c r="F34" s="235">
        <f t="shared" si="4"/>
        <v>15000</v>
      </c>
      <c r="G34" s="190"/>
      <c r="H34" s="231" t="s">
        <v>259</v>
      </c>
      <c r="I34" s="232"/>
      <c r="J34" s="237">
        <v>1.0</v>
      </c>
      <c r="K34" s="232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33"/>
      <c r="AJ34" s="101"/>
      <c r="AK34" s="2"/>
      <c r="AL34" s="234"/>
      <c r="AM34" s="234"/>
    </row>
    <row r="35">
      <c r="A35" s="226"/>
      <c r="B35" s="216"/>
      <c r="C35" s="240" t="s">
        <v>265</v>
      </c>
      <c r="D35" s="147"/>
      <c r="E35" s="235">
        <v>2100.0</v>
      </c>
      <c r="F35" s="235">
        <f t="shared" si="4"/>
        <v>4200</v>
      </c>
      <c r="G35" s="147"/>
      <c r="H35" s="231" t="s">
        <v>259</v>
      </c>
      <c r="I35" s="232"/>
      <c r="J35" s="237">
        <v>2.0</v>
      </c>
      <c r="K35" s="232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33"/>
      <c r="AJ35" s="101"/>
      <c r="AK35" s="2"/>
      <c r="AL35" s="234"/>
      <c r="AM35" s="234"/>
    </row>
    <row r="36">
      <c r="A36" s="226"/>
      <c r="B36" s="216"/>
      <c r="C36" s="240" t="s">
        <v>266</v>
      </c>
      <c r="D36" s="202" t="s">
        <v>267</v>
      </c>
      <c r="E36" s="235">
        <v>15000.0</v>
      </c>
      <c r="F36" s="229">
        <f t="shared" si="4"/>
        <v>15000</v>
      </c>
      <c r="G36" s="230" t="s">
        <v>81</v>
      </c>
      <c r="H36" s="231" t="s">
        <v>259</v>
      </c>
      <c r="I36" s="228"/>
      <c r="J36" s="241">
        <v>1.0</v>
      </c>
      <c r="K36" s="232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33"/>
      <c r="AJ36" s="101"/>
      <c r="AK36" s="2"/>
      <c r="AL36" s="234"/>
      <c r="AM36" s="234"/>
    </row>
    <row r="37">
      <c r="A37" s="242"/>
      <c r="B37" s="178"/>
      <c r="C37" s="243" t="s">
        <v>268</v>
      </c>
      <c r="D37" s="199" t="s">
        <v>269</v>
      </c>
      <c r="E37" s="244">
        <v>2500.0</v>
      </c>
      <c r="F37" s="245">
        <f>E37*I37</f>
        <v>12500</v>
      </c>
      <c r="G37" s="246" t="s">
        <v>81</v>
      </c>
      <c r="H37" s="178" t="s">
        <v>270</v>
      </c>
      <c r="I37" s="246">
        <v>5.0</v>
      </c>
      <c r="J37" s="204"/>
      <c r="K37" s="204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47"/>
      <c r="AJ37" s="101"/>
      <c r="AK37" s="2"/>
      <c r="AL37" s="234"/>
      <c r="AM37" s="234"/>
    </row>
    <row r="38" ht="27.75" customHeight="1">
      <c r="A38" s="226"/>
      <c r="B38" s="216"/>
      <c r="C38" s="248" t="s">
        <v>271</v>
      </c>
      <c r="D38" s="199" t="s">
        <v>272</v>
      </c>
      <c r="E38" s="249">
        <v>1000.0</v>
      </c>
      <c r="F38" s="245">
        <f t="shared" ref="F38:F39" si="5">E38*J38</f>
        <v>8000</v>
      </c>
      <c r="G38" s="203" t="s">
        <v>90</v>
      </c>
      <c r="H38" s="201"/>
      <c r="I38" s="202"/>
      <c r="J38" s="237">
        <v>8.0</v>
      </c>
      <c r="K38" s="232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  <c r="AI38" s="233"/>
      <c r="AJ38" s="101"/>
      <c r="AK38" s="2"/>
      <c r="AL38" s="234"/>
      <c r="AM38" s="234"/>
    </row>
    <row r="39" ht="27.75" customHeight="1">
      <c r="A39" s="242"/>
      <c r="B39" s="201"/>
      <c r="C39" s="250" t="s">
        <v>273</v>
      </c>
      <c r="D39" s="199" t="s">
        <v>252</v>
      </c>
      <c r="E39" s="251">
        <v>90.0</v>
      </c>
      <c r="F39" s="245">
        <f t="shared" si="5"/>
        <v>720</v>
      </c>
      <c r="G39" s="203" t="s">
        <v>90</v>
      </c>
      <c r="H39" s="178" t="s">
        <v>259</v>
      </c>
      <c r="I39" s="202"/>
      <c r="J39" s="199">
        <v>8.0</v>
      </c>
      <c r="K39" s="204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47"/>
      <c r="AJ39" s="101"/>
      <c r="AK39" s="2"/>
      <c r="AL39" s="234"/>
      <c r="AM39" s="234"/>
    </row>
    <row r="40" ht="27.75" customHeight="1">
      <c r="A40" s="206"/>
      <c r="B40" s="231"/>
      <c r="C40" s="252" t="s">
        <v>274</v>
      </c>
      <c r="D40" s="253" t="s">
        <v>80</v>
      </c>
      <c r="E40" s="254">
        <v>300.0</v>
      </c>
      <c r="F40" s="255">
        <f>(E40*J40)+(E41*J41)+(E42*J42)+(E43*J43)</f>
        <v>12000</v>
      </c>
      <c r="G40" s="256" t="s">
        <v>90</v>
      </c>
      <c r="H40" s="210"/>
      <c r="I40" s="202"/>
      <c r="J40" s="236">
        <v>10.0</v>
      </c>
      <c r="K40" s="232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7"/>
      <c r="AJ40" s="101"/>
      <c r="AK40" s="101"/>
    </row>
    <row r="41" ht="27.75" customHeight="1">
      <c r="A41" s="197"/>
      <c r="B41" s="178"/>
      <c r="C41" s="257" t="s">
        <v>275</v>
      </c>
      <c r="D41" s="190"/>
      <c r="E41" s="258">
        <v>300.0</v>
      </c>
      <c r="F41" s="190"/>
      <c r="G41" s="190"/>
      <c r="H41" s="187"/>
      <c r="I41" s="202"/>
      <c r="J41" s="203">
        <v>10.0</v>
      </c>
      <c r="K41" s="204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205"/>
      <c r="AJ41" s="101"/>
      <c r="AK41" s="101"/>
    </row>
    <row r="42" ht="27.75" customHeight="1">
      <c r="A42" s="197"/>
      <c r="B42" s="201"/>
      <c r="C42" s="257" t="s">
        <v>276</v>
      </c>
      <c r="D42" s="190"/>
      <c r="E42" s="258">
        <v>500.0</v>
      </c>
      <c r="F42" s="190"/>
      <c r="G42" s="190"/>
      <c r="H42" s="187"/>
      <c r="I42" s="202"/>
      <c r="J42" s="199">
        <v>6.0</v>
      </c>
      <c r="K42" s="204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205"/>
      <c r="AJ42" s="101"/>
      <c r="AK42" s="101"/>
    </row>
    <row r="43" ht="27.75" customHeight="1">
      <c r="A43" s="197"/>
      <c r="B43" s="201"/>
      <c r="C43" s="257" t="s">
        <v>277</v>
      </c>
      <c r="D43" s="147"/>
      <c r="E43" s="258">
        <v>500.0</v>
      </c>
      <c r="F43" s="147"/>
      <c r="G43" s="147"/>
      <c r="H43" s="187"/>
      <c r="I43" s="202"/>
      <c r="J43" s="199">
        <v>6.0</v>
      </c>
      <c r="K43" s="204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205"/>
      <c r="AJ43" s="101"/>
      <c r="AK43" s="101"/>
    </row>
    <row r="44" ht="27.75" customHeight="1">
      <c r="A44" s="197"/>
      <c r="B44" s="201"/>
      <c r="C44" s="257" t="s">
        <v>278</v>
      </c>
      <c r="D44" s="253" t="s">
        <v>80</v>
      </c>
      <c r="E44" s="259">
        <v>1300.0</v>
      </c>
      <c r="F44" s="62">
        <f>(E44*J44)+(E45*J45)+(E46*J46)+(E47*J47)+(E48*J48)+(E49*J49)+(E50*J50)</f>
        <v>155750</v>
      </c>
      <c r="G44" s="239" t="s">
        <v>81</v>
      </c>
      <c r="H44" s="201"/>
      <c r="I44" s="202"/>
      <c r="J44" s="203">
        <v>20.0</v>
      </c>
      <c r="K44" s="204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205"/>
      <c r="AJ44" s="101"/>
      <c r="AK44" s="101"/>
    </row>
    <row r="45" ht="27.75" customHeight="1">
      <c r="A45" s="197"/>
      <c r="B45" s="201"/>
      <c r="C45" s="257" t="s">
        <v>279</v>
      </c>
      <c r="D45" s="190"/>
      <c r="E45" s="259">
        <v>800.0</v>
      </c>
      <c r="F45" s="67"/>
      <c r="G45" s="190"/>
      <c r="H45" s="201"/>
      <c r="I45" s="202"/>
      <c r="J45" s="203">
        <v>15.0</v>
      </c>
      <c r="K45" s="204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205"/>
      <c r="AJ45" s="101"/>
      <c r="AK45" s="101"/>
    </row>
    <row r="46" ht="27.75" customHeight="1">
      <c r="A46" s="197"/>
      <c r="B46" s="201"/>
      <c r="C46" s="257" t="s">
        <v>280</v>
      </c>
      <c r="D46" s="190"/>
      <c r="E46" s="259">
        <v>250.0</v>
      </c>
      <c r="F46" s="67"/>
      <c r="G46" s="190"/>
      <c r="H46" s="201"/>
      <c r="I46" s="202"/>
      <c r="J46" s="203">
        <v>15.0</v>
      </c>
      <c r="K46" s="204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205"/>
      <c r="AJ46" s="101"/>
      <c r="AK46" s="101"/>
    </row>
    <row r="47" ht="27.75" customHeight="1">
      <c r="A47" s="197"/>
      <c r="B47" s="178"/>
      <c r="C47" s="257" t="s">
        <v>281</v>
      </c>
      <c r="D47" s="190"/>
      <c r="E47" s="259">
        <v>2400.0</v>
      </c>
      <c r="F47" s="67"/>
      <c r="G47" s="190"/>
      <c r="H47" s="201"/>
      <c r="I47" s="202"/>
      <c r="J47" s="203">
        <v>10.0</v>
      </c>
      <c r="K47" s="204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205"/>
      <c r="AJ47" s="101"/>
      <c r="AK47" s="101"/>
    </row>
    <row r="48" ht="27.75" customHeight="1">
      <c r="A48" s="197"/>
      <c r="B48" s="178"/>
      <c r="C48" s="257" t="s">
        <v>282</v>
      </c>
      <c r="D48" s="190"/>
      <c r="E48" s="259">
        <v>2000.0</v>
      </c>
      <c r="F48" s="67"/>
      <c r="G48" s="190"/>
      <c r="H48" s="201"/>
      <c r="I48" s="202"/>
      <c r="J48" s="203">
        <v>10.0</v>
      </c>
      <c r="K48" s="204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205"/>
      <c r="AJ48" s="101"/>
      <c r="AK48" s="101"/>
    </row>
    <row r="49" ht="27.75" customHeight="1">
      <c r="A49" s="197"/>
      <c r="B49" s="178"/>
      <c r="C49" s="257" t="s">
        <v>283</v>
      </c>
      <c r="D49" s="190"/>
      <c r="E49" s="259">
        <v>1000.0</v>
      </c>
      <c r="F49" s="67"/>
      <c r="G49" s="190"/>
      <c r="H49" s="201"/>
      <c r="I49" s="202"/>
      <c r="J49" s="203">
        <v>10.0</v>
      </c>
      <c r="K49" s="204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205"/>
      <c r="AJ49" s="101"/>
      <c r="AK49" s="101"/>
    </row>
    <row r="50" ht="27.75" customHeight="1">
      <c r="A50" s="197"/>
      <c r="B50" s="201"/>
      <c r="C50" s="260" t="s">
        <v>284</v>
      </c>
      <c r="D50" s="147"/>
      <c r="E50" s="261">
        <v>2500.0</v>
      </c>
      <c r="F50" s="70"/>
      <c r="G50" s="147"/>
      <c r="H50" s="201"/>
      <c r="I50" s="202"/>
      <c r="J50" s="203">
        <v>24.0</v>
      </c>
      <c r="K50" s="204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205"/>
      <c r="AJ50" s="101"/>
      <c r="AK50" s="101"/>
    </row>
    <row r="51" ht="27.75" customHeight="1">
      <c r="A51" s="58"/>
      <c r="B51" s="262"/>
      <c r="C51" s="263" t="s">
        <v>285</v>
      </c>
      <c r="D51" s="264" t="s">
        <v>80</v>
      </c>
      <c r="E51" s="265">
        <v>7000.0</v>
      </c>
      <c r="F51" s="266">
        <v>352000.0</v>
      </c>
      <c r="G51" s="68"/>
      <c r="H51" s="73"/>
      <c r="I51" s="127">
        <v>6.0</v>
      </c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188"/>
      <c r="AJ51" s="101"/>
      <c r="AK51" s="37"/>
    </row>
    <row r="52" ht="27.75" customHeight="1">
      <c r="A52" s="58"/>
      <c r="B52" s="262"/>
      <c r="C52" s="263" t="s">
        <v>286</v>
      </c>
      <c r="D52" s="67"/>
      <c r="E52" s="265">
        <v>24000.0</v>
      </c>
      <c r="F52" s="67"/>
      <c r="G52" s="68"/>
      <c r="H52" s="73"/>
      <c r="I52" s="127">
        <v>2.0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188"/>
      <c r="AJ52" s="101"/>
      <c r="AK52" s="37"/>
    </row>
    <row r="53" ht="27.75" customHeight="1">
      <c r="A53" s="58"/>
      <c r="B53" s="262"/>
      <c r="C53" s="263" t="s">
        <v>287</v>
      </c>
      <c r="D53" s="67"/>
      <c r="E53" s="265">
        <v>21000.0</v>
      </c>
      <c r="F53" s="67"/>
      <c r="G53" s="68"/>
      <c r="H53" s="73"/>
      <c r="I53" s="127">
        <v>2.0</v>
      </c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188"/>
      <c r="AJ53" s="101"/>
      <c r="AK53" s="37"/>
    </row>
    <row r="54" ht="27.75" customHeight="1">
      <c r="A54" s="58"/>
      <c r="B54" s="262"/>
      <c r="C54" s="263" t="s">
        <v>288</v>
      </c>
      <c r="D54" s="67"/>
      <c r="E54" s="265">
        <v>50000.0</v>
      </c>
      <c r="F54" s="67"/>
      <c r="G54" s="68"/>
      <c r="H54" s="73"/>
      <c r="I54" s="127">
        <v>1.0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188"/>
      <c r="AJ54" s="101"/>
      <c r="AK54" s="37"/>
    </row>
    <row r="55" ht="27.75" customHeight="1">
      <c r="A55" s="58"/>
      <c r="B55" s="262"/>
      <c r="C55" s="263" t="s">
        <v>289</v>
      </c>
      <c r="D55" s="67"/>
      <c r="E55" s="265">
        <v>20000.0</v>
      </c>
      <c r="F55" s="67"/>
      <c r="G55" s="68"/>
      <c r="H55" s="73"/>
      <c r="I55" s="127">
        <v>2.0</v>
      </c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188"/>
      <c r="AJ55" s="101"/>
      <c r="AK55" s="37"/>
    </row>
    <row r="56" ht="27.75" customHeight="1">
      <c r="A56" s="58"/>
      <c r="B56" s="262"/>
      <c r="C56" s="263" t="s">
        <v>290</v>
      </c>
      <c r="D56" s="67"/>
      <c r="E56" s="265">
        <v>24000.0</v>
      </c>
      <c r="F56" s="67"/>
      <c r="G56" s="68"/>
      <c r="H56" s="73"/>
      <c r="I56" s="127">
        <v>2.0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188"/>
      <c r="AJ56" s="101"/>
      <c r="AK56" s="37"/>
    </row>
    <row r="57" ht="27.75" customHeight="1">
      <c r="A57" s="58"/>
      <c r="B57" s="262"/>
      <c r="C57" s="263" t="s">
        <v>291</v>
      </c>
      <c r="D57" s="67"/>
      <c r="E57" s="265">
        <v>2300.0</v>
      </c>
      <c r="F57" s="67"/>
      <c r="G57" s="68"/>
      <c r="H57" s="73"/>
      <c r="I57" s="127">
        <v>20.0</v>
      </c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188"/>
      <c r="AJ57" s="101"/>
      <c r="AK57" s="37"/>
    </row>
    <row r="58" ht="27.75" customHeight="1">
      <c r="A58" s="58"/>
      <c r="B58" s="262"/>
      <c r="C58" s="263" t="s">
        <v>292</v>
      </c>
      <c r="D58" s="67"/>
      <c r="E58" s="265">
        <v>30.0</v>
      </c>
      <c r="F58" s="67"/>
      <c r="G58" s="68"/>
      <c r="H58" s="73"/>
      <c r="I58" s="127">
        <v>200.0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188"/>
      <c r="AJ58" s="101"/>
      <c r="AK58" s="37"/>
    </row>
    <row r="59" ht="27.75" customHeight="1">
      <c r="A59" s="58"/>
      <c r="B59" s="262"/>
      <c r="C59" s="263" t="s">
        <v>293</v>
      </c>
      <c r="D59" s="70"/>
      <c r="E59" s="265">
        <v>15000.0</v>
      </c>
      <c r="F59" s="70"/>
      <c r="G59" s="68"/>
      <c r="H59" s="73"/>
      <c r="I59" s="127">
        <v>2.0</v>
      </c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188"/>
      <c r="AJ59" s="101"/>
      <c r="AK59" s="37"/>
    </row>
    <row r="60" ht="27.75" customHeight="1">
      <c r="A60" s="58"/>
      <c r="B60" s="262"/>
      <c r="C60" s="263" t="s">
        <v>294</v>
      </c>
      <c r="D60" s="264" t="s">
        <v>80</v>
      </c>
      <c r="E60" s="265">
        <v>9000.0</v>
      </c>
      <c r="F60" s="266">
        <v>84500.0</v>
      </c>
      <c r="G60" s="68"/>
      <c r="H60" s="73"/>
      <c r="I60" s="127">
        <v>4.0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188"/>
      <c r="AJ60" s="101"/>
      <c r="AK60" s="37"/>
    </row>
    <row r="61" ht="27.75" customHeight="1">
      <c r="A61" s="58"/>
      <c r="B61" s="262"/>
      <c r="C61" s="263" t="s">
        <v>295</v>
      </c>
      <c r="D61" s="67"/>
      <c r="E61" s="265">
        <v>7500.0</v>
      </c>
      <c r="F61" s="67"/>
      <c r="G61" s="68"/>
      <c r="H61" s="73"/>
      <c r="I61" s="127">
        <v>4.0</v>
      </c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188"/>
      <c r="AJ61" s="101"/>
      <c r="AK61" s="37"/>
    </row>
    <row r="62" ht="27.75" customHeight="1">
      <c r="A62" s="58"/>
      <c r="B62" s="262"/>
      <c r="C62" s="263" t="s">
        <v>296</v>
      </c>
      <c r="D62" s="67"/>
      <c r="E62" s="265">
        <v>2000.0</v>
      </c>
      <c r="F62" s="67"/>
      <c r="G62" s="68"/>
      <c r="H62" s="73"/>
      <c r="I62" s="127">
        <v>3.0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188"/>
      <c r="AJ62" s="101"/>
      <c r="AK62" s="37"/>
    </row>
    <row r="63" ht="27.75" customHeight="1">
      <c r="A63" s="58"/>
      <c r="B63" s="262"/>
      <c r="C63" s="263" t="s">
        <v>297</v>
      </c>
      <c r="D63" s="67"/>
      <c r="E63" s="265">
        <v>1000.0</v>
      </c>
      <c r="F63" s="67"/>
      <c r="G63" s="68"/>
      <c r="H63" s="73"/>
      <c r="I63" s="73"/>
      <c r="J63" s="127">
        <v>5.0</v>
      </c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188"/>
      <c r="AJ63" s="101"/>
      <c r="AK63" s="37"/>
    </row>
    <row r="64" ht="27.75" customHeight="1">
      <c r="A64" s="58"/>
      <c r="B64" s="262"/>
      <c r="C64" s="263" t="s">
        <v>298</v>
      </c>
      <c r="D64" s="67"/>
      <c r="E64" s="265">
        <v>750.0</v>
      </c>
      <c r="F64" s="67"/>
      <c r="G64" s="68"/>
      <c r="H64" s="73"/>
      <c r="I64" s="73"/>
      <c r="J64" s="127">
        <v>5.0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188"/>
      <c r="AJ64" s="101"/>
      <c r="AK64" s="37"/>
    </row>
    <row r="65" ht="27.75" customHeight="1">
      <c r="A65" s="58"/>
      <c r="B65" s="262"/>
      <c r="C65" s="263" t="s">
        <v>299</v>
      </c>
      <c r="D65" s="70"/>
      <c r="E65" s="265">
        <v>750.0</v>
      </c>
      <c r="F65" s="70"/>
      <c r="G65" s="68"/>
      <c r="H65" s="73"/>
      <c r="I65" s="73"/>
      <c r="J65" s="127">
        <v>5.0</v>
      </c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188"/>
      <c r="AJ65" s="101"/>
      <c r="AK65" s="37"/>
    </row>
    <row r="66" ht="27.75" customHeight="1">
      <c r="A66" s="58"/>
      <c r="B66" s="262"/>
      <c r="C66" s="263" t="s">
        <v>300</v>
      </c>
      <c r="D66" s="264" t="s">
        <v>80</v>
      </c>
      <c r="E66" s="265">
        <v>13000.0</v>
      </c>
      <c r="F66" s="266">
        <v>219000.0</v>
      </c>
      <c r="G66" s="68"/>
      <c r="H66" s="73"/>
      <c r="I66" s="73"/>
      <c r="J66" s="127">
        <v>1.0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188"/>
      <c r="AJ66" s="101"/>
      <c r="AK66" s="37"/>
    </row>
    <row r="67" ht="27.75" customHeight="1">
      <c r="A67" s="58"/>
      <c r="B67" s="262"/>
      <c r="C67" s="263" t="s">
        <v>301</v>
      </c>
      <c r="D67" s="67"/>
      <c r="E67" s="265">
        <v>13000.0</v>
      </c>
      <c r="F67" s="67"/>
      <c r="G67" s="68"/>
      <c r="H67" s="73"/>
      <c r="I67" s="73"/>
      <c r="J67" s="127">
        <v>1.0</v>
      </c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188"/>
      <c r="AJ67" s="101"/>
      <c r="AK67" s="37"/>
    </row>
    <row r="68" ht="27.75" customHeight="1">
      <c r="A68" s="58"/>
      <c r="B68" s="262"/>
      <c r="C68" s="263" t="s">
        <v>302</v>
      </c>
      <c r="D68" s="67"/>
      <c r="E68" s="265">
        <v>13000.0</v>
      </c>
      <c r="F68" s="67"/>
      <c r="G68" s="68"/>
      <c r="H68" s="73"/>
      <c r="I68" s="73"/>
      <c r="J68" s="127">
        <v>1.0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188"/>
      <c r="AJ68" s="101"/>
      <c r="AK68" s="37"/>
    </row>
    <row r="69" ht="27.75" customHeight="1">
      <c r="A69" s="58"/>
      <c r="B69" s="262"/>
      <c r="C69" s="263" t="s">
        <v>303</v>
      </c>
      <c r="D69" s="67"/>
      <c r="E69" s="265">
        <v>13000.0</v>
      </c>
      <c r="F69" s="67"/>
      <c r="G69" s="68"/>
      <c r="H69" s="73"/>
      <c r="I69" s="73"/>
      <c r="J69" s="127">
        <v>1.0</v>
      </c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188"/>
      <c r="AJ69" s="101"/>
      <c r="AK69" s="37"/>
    </row>
    <row r="70" ht="27.75" customHeight="1">
      <c r="A70" s="58"/>
      <c r="B70" s="262"/>
      <c r="C70" s="263" t="s">
        <v>304</v>
      </c>
      <c r="D70" s="67"/>
      <c r="E70" s="265">
        <v>13000.0</v>
      </c>
      <c r="F70" s="67"/>
      <c r="G70" s="68"/>
      <c r="H70" s="73"/>
      <c r="I70" s="73"/>
      <c r="J70" s="127">
        <v>1.0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188"/>
      <c r="AJ70" s="101"/>
      <c r="AK70" s="37"/>
    </row>
    <row r="71" ht="27.75" customHeight="1">
      <c r="A71" s="58"/>
      <c r="B71" s="262"/>
      <c r="C71" s="263" t="s">
        <v>305</v>
      </c>
      <c r="D71" s="67"/>
      <c r="E71" s="265">
        <v>13000.0</v>
      </c>
      <c r="F71" s="67"/>
      <c r="G71" s="68"/>
      <c r="H71" s="73"/>
      <c r="I71" s="73"/>
      <c r="J71" s="127">
        <v>1.0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188"/>
      <c r="AJ71" s="101"/>
      <c r="AK71" s="37"/>
    </row>
    <row r="72" ht="27.75" customHeight="1">
      <c r="A72" s="58"/>
      <c r="B72" s="262"/>
      <c r="C72" s="263" t="s">
        <v>306</v>
      </c>
      <c r="D72" s="67"/>
      <c r="E72" s="265">
        <v>2000.0</v>
      </c>
      <c r="F72" s="67"/>
      <c r="G72" s="68"/>
      <c r="H72" s="73"/>
      <c r="I72" s="73"/>
      <c r="J72" s="127">
        <v>10.0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188"/>
      <c r="AJ72" s="101"/>
      <c r="AK72" s="37"/>
    </row>
    <row r="73" ht="27.75" customHeight="1">
      <c r="A73" s="58"/>
      <c r="B73" s="262"/>
      <c r="C73" s="263" t="s">
        <v>307</v>
      </c>
      <c r="D73" s="67"/>
      <c r="E73" s="265">
        <v>2000.0</v>
      </c>
      <c r="F73" s="67"/>
      <c r="G73" s="68"/>
      <c r="H73" s="73"/>
      <c r="I73" s="73"/>
      <c r="J73" s="127">
        <v>10.0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188"/>
      <c r="AJ73" s="101"/>
      <c r="AK73" s="37"/>
    </row>
    <row r="74" ht="27.75" customHeight="1">
      <c r="A74" s="58"/>
      <c r="B74" s="262"/>
      <c r="C74" s="263" t="s">
        <v>308</v>
      </c>
      <c r="D74" s="67"/>
      <c r="E74" s="265">
        <v>2000.0</v>
      </c>
      <c r="F74" s="67"/>
      <c r="G74" s="68"/>
      <c r="H74" s="73"/>
      <c r="I74" s="73"/>
      <c r="J74" s="127">
        <v>10.0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188"/>
      <c r="AJ74" s="101"/>
      <c r="AK74" s="37"/>
    </row>
    <row r="75" ht="27.75" customHeight="1">
      <c r="A75" s="58"/>
      <c r="B75" s="262"/>
      <c r="C75" s="263" t="s">
        <v>309</v>
      </c>
      <c r="D75" s="67"/>
      <c r="E75" s="265">
        <v>2000.0</v>
      </c>
      <c r="F75" s="67"/>
      <c r="G75" s="68"/>
      <c r="H75" s="73"/>
      <c r="I75" s="73"/>
      <c r="J75" s="127">
        <v>10.0</v>
      </c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188"/>
      <c r="AJ75" s="101"/>
      <c r="AK75" s="37"/>
    </row>
    <row r="76" ht="27.75" customHeight="1">
      <c r="A76" s="58"/>
      <c r="B76" s="262"/>
      <c r="C76" s="263" t="s">
        <v>310</v>
      </c>
      <c r="D76" s="67"/>
      <c r="E76" s="265">
        <v>2000.0</v>
      </c>
      <c r="F76" s="67"/>
      <c r="G76" s="68"/>
      <c r="H76" s="73"/>
      <c r="I76" s="73"/>
      <c r="J76" s="127">
        <v>10.0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188"/>
      <c r="AJ76" s="101"/>
      <c r="AK76" s="37"/>
    </row>
    <row r="77" ht="27.75" customHeight="1">
      <c r="A77" s="58"/>
      <c r="B77" s="262"/>
      <c r="C77" s="263" t="s">
        <v>311</v>
      </c>
      <c r="D77" s="67"/>
      <c r="E77" s="265">
        <v>35000.0</v>
      </c>
      <c r="F77" s="67"/>
      <c r="G77" s="68"/>
      <c r="H77" s="73"/>
      <c r="I77" s="73"/>
      <c r="J77" s="127">
        <v>1.0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188"/>
      <c r="AJ77" s="101"/>
      <c r="AK77" s="37"/>
    </row>
    <row r="78" ht="27.75" customHeight="1">
      <c r="A78" s="58"/>
      <c r="B78" s="262"/>
      <c r="C78" s="263" t="s">
        <v>312</v>
      </c>
      <c r="D78" s="70"/>
      <c r="E78" s="265">
        <v>6000.0</v>
      </c>
      <c r="F78" s="70"/>
      <c r="G78" s="68"/>
      <c r="H78" s="73"/>
      <c r="I78" s="73"/>
      <c r="J78" s="127">
        <v>1.0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188"/>
      <c r="AJ78" s="101"/>
      <c r="AK78" s="37"/>
    </row>
    <row r="79" ht="27.75" customHeight="1">
      <c r="A79" s="58"/>
      <c r="B79" s="262"/>
      <c r="C79" s="263" t="s">
        <v>313</v>
      </c>
      <c r="D79" s="127" t="s">
        <v>314</v>
      </c>
      <c r="E79" s="265">
        <v>1200.0</v>
      </c>
      <c r="F79" s="267">
        <v>6000.0</v>
      </c>
      <c r="G79" s="68"/>
      <c r="H79" s="73"/>
      <c r="I79" s="73"/>
      <c r="J79" s="127">
        <v>5.0</v>
      </c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188"/>
      <c r="AJ79" s="101"/>
      <c r="AK79" s="37"/>
    </row>
    <row r="80" ht="27.75" customHeight="1">
      <c r="A80" s="58"/>
      <c r="B80" s="262"/>
      <c r="C80" s="263" t="s">
        <v>315</v>
      </c>
      <c r="D80" s="127" t="s">
        <v>314</v>
      </c>
      <c r="E80" s="265">
        <v>1000.0</v>
      </c>
      <c r="F80" s="267">
        <v>5000.0</v>
      </c>
      <c r="G80" s="68"/>
      <c r="H80" s="73"/>
      <c r="I80" s="73"/>
      <c r="J80" s="127">
        <v>5.0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188"/>
      <c r="AJ80" s="101"/>
      <c r="AK80" s="37"/>
    </row>
    <row r="81" ht="27.75" customHeight="1">
      <c r="A81" s="58"/>
      <c r="B81" s="262"/>
      <c r="C81" s="263" t="s">
        <v>316</v>
      </c>
      <c r="D81" s="127" t="s">
        <v>314</v>
      </c>
      <c r="E81" s="265">
        <v>1000.0</v>
      </c>
      <c r="F81" s="267">
        <v>5000.0</v>
      </c>
      <c r="G81" s="68"/>
      <c r="H81" s="73"/>
      <c r="I81" s="73"/>
      <c r="J81" s="127">
        <v>5.0</v>
      </c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188"/>
      <c r="AJ81" s="101"/>
      <c r="AK81" s="37"/>
    </row>
    <row r="82" ht="27.75" customHeight="1">
      <c r="A82" s="58"/>
      <c r="B82" s="262"/>
      <c r="C82" s="263" t="s">
        <v>317</v>
      </c>
      <c r="D82" s="264" t="s">
        <v>80</v>
      </c>
      <c r="E82" s="265">
        <v>7000.0</v>
      </c>
      <c r="F82" s="266">
        <v>100250.0</v>
      </c>
      <c r="G82" s="68"/>
      <c r="H82" s="73"/>
      <c r="I82" s="73"/>
      <c r="J82" s="65"/>
      <c r="K82" s="127">
        <v>2.0</v>
      </c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188"/>
      <c r="AJ82" s="101"/>
      <c r="AK82" s="37"/>
    </row>
    <row r="83" ht="27.75" customHeight="1">
      <c r="A83" s="58"/>
      <c r="B83" s="262"/>
      <c r="C83" s="263" t="s">
        <v>318</v>
      </c>
      <c r="D83" s="67"/>
      <c r="E83" s="265">
        <v>3000.0</v>
      </c>
      <c r="F83" s="67"/>
      <c r="G83" s="68"/>
      <c r="H83" s="73"/>
      <c r="I83" s="73"/>
      <c r="J83" s="65"/>
      <c r="K83" s="127">
        <v>10.0</v>
      </c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188"/>
      <c r="AJ83" s="101"/>
      <c r="AK83" s="37"/>
    </row>
    <row r="84" ht="27.75" customHeight="1">
      <c r="A84" s="58"/>
      <c r="B84" s="262"/>
      <c r="C84" s="263" t="s">
        <v>319</v>
      </c>
      <c r="D84" s="67"/>
      <c r="E84" s="265">
        <v>1000.0</v>
      </c>
      <c r="F84" s="67"/>
      <c r="G84" s="68"/>
      <c r="H84" s="73"/>
      <c r="I84" s="73"/>
      <c r="J84" s="65"/>
      <c r="K84" s="127">
        <v>5.0</v>
      </c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188"/>
      <c r="AJ84" s="101"/>
      <c r="AK84" s="37"/>
    </row>
    <row r="85" ht="27.75" customHeight="1">
      <c r="A85" s="58"/>
      <c r="B85" s="262"/>
      <c r="C85" s="263" t="s">
        <v>320</v>
      </c>
      <c r="D85" s="67"/>
      <c r="E85" s="265">
        <v>1500.0</v>
      </c>
      <c r="F85" s="67"/>
      <c r="G85" s="68"/>
      <c r="H85" s="73"/>
      <c r="I85" s="73"/>
      <c r="J85" s="65"/>
      <c r="K85" s="127">
        <v>10.0</v>
      </c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188"/>
      <c r="AJ85" s="101"/>
      <c r="AK85" s="37"/>
    </row>
    <row r="86" ht="27.75" customHeight="1">
      <c r="A86" s="58"/>
      <c r="B86" s="262"/>
      <c r="C86" s="263" t="s">
        <v>321</v>
      </c>
      <c r="D86" s="67"/>
      <c r="E86" s="265">
        <v>170.0</v>
      </c>
      <c r="F86" s="67"/>
      <c r="G86" s="68"/>
      <c r="H86" s="73"/>
      <c r="I86" s="73"/>
      <c r="J86" s="65"/>
      <c r="K86" s="127">
        <v>5.0</v>
      </c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188"/>
      <c r="AJ86" s="101"/>
      <c r="AK86" s="37"/>
    </row>
    <row r="87" ht="27.75" customHeight="1">
      <c r="A87" s="58"/>
      <c r="B87" s="262"/>
      <c r="C87" s="263" t="s">
        <v>322</v>
      </c>
      <c r="D87" s="67"/>
      <c r="E87" s="265">
        <v>180.0</v>
      </c>
      <c r="F87" s="67"/>
      <c r="G87" s="68"/>
      <c r="H87" s="73"/>
      <c r="I87" s="73"/>
      <c r="J87" s="65"/>
      <c r="K87" s="127">
        <v>25.0</v>
      </c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188"/>
      <c r="AJ87" s="101"/>
      <c r="AK87" s="37"/>
    </row>
    <row r="88" ht="27.75" customHeight="1">
      <c r="A88" s="58"/>
      <c r="B88" s="262"/>
      <c r="C88" s="263" t="s">
        <v>323</v>
      </c>
      <c r="D88" s="67"/>
      <c r="E88" s="265">
        <v>250.0</v>
      </c>
      <c r="F88" s="67"/>
      <c r="G88" s="68"/>
      <c r="H88" s="73"/>
      <c r="I88" s="73"/>
      <c r="J88" s="65"/>
      <c r="K88" s="127">
        <v>25.0</v>
      </c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188"/>
      <c r="AJ88" s="101"/>
      <c r="AK88" s="37"/>
    </row>
    <row r="89" ht="27.75" customHeight="1">
      <c r="A89" s="58"/>
      <c r="B89" s="262"/>
      <c r="C89" s="263" t="s">
        <v>324</v>
      </c>
      <c r="D89" s="67"/>
      <c r="E89" s="265">
        <v>950.0</v>
      </c>
      <c r="F89" s="67"/>
      <c r="G89" s="68"/>
      <c r="H89" s="73"/>
      <c r="I89" s="73"/>
      <c r="J89" s="65"/>
      <c r="K89" s="127">
        <v>6.0</v>
      </c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188"/>
      <c r="AJ89" s="101"/>
      <c r="AK89" s="37"/>
    </row>
    <row r="90" ht="27.75" customHeight="1">
      <c r="A90" s="58"/>
      <c r="B90" s="262"/>
      <c r="C90" s="263" t="s">
        <v>325</v>
      </c>
      <c r="D90" s="67"/>
      <c r="E90" s="265">
        <v>600.0</v>
      </c>
      <c r="F90" s="67"/>
      <c r="G90" s="68"/>
      <c r="H90" s="73"/>
      <c r="I90" s="73"/>
      <c r="J90" s="65"/>
      <c r="K90" s="127">
        <v>6.0</v>
      </c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188"/>
      <c r="AJ90" s="101"/>
      <c r="AK90" s="37"/>
    </row>
    <row r="91" ht="27.75" customHeight="1">
      <c r="A91" s="58"/>
      <c r="B91" s="262"/>
      <c r="C91" s="263" t="s">
        <v>326</v>
      </c>
      <c r="D91" s="67"/>
      <c r="E91" s="265">
        <v>150.0</v>
      </c>
      <c r="F91" s="67"/>
      <c r="G91" s="68"/>
      <c r="H91" s="73"/>
      <c r="I91" s="73"/>
      <c r="J91" s="65"/>
      <c r="K91" s="127">
        <v>5.0</v>
      </c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188"/>
      <c r="AJ91" s="101"/>
      <c r="AK91" s="37"/>
    </row>
    <row r="92" ht="27.75" customHeight="1">
      <c r="A92" s="58"/>
      <c r="B92" s="262"/>
      <c r="C92" s="263" t="s">
        <v>327</v>
      </c>
      <c r="D92" s="67"/>
      <c r="E92" s="265">
        <v>100.0</v>
      </c>
      <c r="F92" s="67"/>
      <c r="G92" s="68"/>
      <c r="H92" s="73"/>
      <c r="I92" s="73"/>
      <c r="J92" s="65"/>
      <c r="K92" s="127">
        <v>15.0</v>
      </c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188"/>
      <c r="AJ92" s="101"/>
      <c r="AK92" s="37"/>
    </row>
    <row r="93" ht="27.75" customHeight="1">
      <c r="A93" s="58"/>
      <c r="B93" s="262"/>
      <c r="C93" s="263" t="s">
        <v>328</v>
      </c>
      <c r="D93" s="67"/>
      <c r="E93" s="265">
        <v>100.0</v>
      </c>
      <c r="F93" s="67"/>
      <c r="G93" s="68"/>
      <c r="H93" s="73"/>
      <c r="I93" s="73"/>
      <c r="J93" s="65"/>
      <c r="K93" s="127">
        <v>15.0</v>
      </c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188"/>
      <c r="AJ93" s="101"/>
      <c r="AK93" s="37"/>
    </row>
    <row r="94" ht="27.75" customHeight="1">
      <c r="A94" s="58"/>
      <c r="B94" s="262"/>
      <c r="C94" s="263" t="s">
        <v>329</v>
      </c>
      <c r="D94" s="67"/>
      <c r="E94" s="265">
        <v>100.0</v>
      </c>
      <c r="F94" s="67"/>
      <c r="G94" s="68"/>
      <c r="H94" s="73"/>
      <c r="I94" s="73"/>
      <c r="J94" s="65"/>
      <c r="K94" s="127">
        <v>15.0</v>
      </c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188"/>
      <c r="AJ94" s="101"/>
      <c r="AK94" s="37"/>
    </row>
    <row r="95" ht="27.75" customHeight="1">
      <c r="A95" s="58"/>
      <c r="B95" s="262"/>
      <c r="C95" s="263" t="s">
        <v>330</v>
      </c>
      <c r="D95" s="67"/>
      <c r="E95" s="265">
        <v>1800.0</v>
      </c>
      <c r="F95" s="67"/>
      <c r="G95" s="68"/>
      <c r="H95" s="73"/>
      <c r="I95" s="73"/>
      <c r="J95" s="65"/>
      <c r="K95" s="127">
        <v>1.0</v>
      </c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188"/>
      <c r="AJ95" s="101"/>
      <c r="AK95" s="37"/>
    </row>
    <row r="96" ht="27.75" customHeight="1">
      <c r="A96" s="58"/>
      <c r="B96" s="262"/>
      <c r="C96" s="263" t="s">
        <v>331</v>
      </c>
      <c r="D96" s="67"/>
      <c r="E96" s="265">
        <v>2000.0</v>
      </c>
      <c r="F96" s="67"/>
      <c r="G96" s="68"/>
      <c r="H96" s="73"/>
      <c r="I96" s="73"/>
      <c r="J96" s="65"/>
      <c r="K96" s="127">
        <v>1.0</v>
      </c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188"/>
      <c r="AJ96" s="101"/>
      <c r="AK96" s="37"/>
    </row>
    <row r="97" ht="27.75" customHeight="1">
      <c r="A97" s="58"/>
      <c r="B97" s="262"/>
      <c r="C97" s="263" t="s">
        <v>332</v>
      </c>
      <c r="D97" s="67"/>
      <c r="E97" s="265">
        <v>300.0</v>
      </c>
      <c r="F97" s="67"/>
      <c r="G97" s="68"/>
      <c r="H97" s="73"/>
      <c r="I97" s="73"/>
      <c r="J97" s="65"/>
      <c r="K97" s="127">
        <v>5.0</v>
      </c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188"/>
      <c r="AJ97" s="101"/>
      <c r="AK97" s="37"/>
    </row>
    <row r="98" ht="27.75" customHeight="1">
      <c r="A98" s="58"/>
      <c r="B98" s="262"/>
      <c r="C98" s="263" t="s">
        <v>333</v>
      </c>
      <c r="D98" s="67"/>
      <c r="E98" s="265">
        <v>300.0</v>
      </c>
      <c r="F98" s="67"/>
      <c r="G98" s="68"/>
      <c r="H98" s="73"/>
      <c r="I98" s="73"/>
      <c r="J98" s="65"/>
      <c r="K98" s="127">
        <v>12.0</v>
      </c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188"/>
      <c r="AJ98" s="101"/>
      <c r="AK98" s="37"/>
    </row>
    <row r="99" ht="27.75" customHeight="1">
      <c r="A99" s="58"/>
      <c r="B99" s="262"/>
      <c r="C99" s="263" t="s">
        <v>334</v>
      </c>
      <c r="D99" s="70"/>
      <c r="E99" s="265">
        <v>1200.0</v>
      </c>
      <c r="F99" s="70"/>
      <c r="G99" s="68"/>
      <c r="H99" s="73"/>
      <c r="I99" s="73"/>
      <c r="J99" s="65"/>
      <c r="K99" s="127">
        <v>1.0</v>
      </c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188"/>
      <c r="AJ99" s="101"/>
      <c r="AK99" s="37"/>
    </row>
    <row r="100" ht="27.75" customHeight="1">
      <c r="A100" s="58"/>
      <c r="B100" s="262"/>
      <c r="C100" s="268" t="s">
        <v>335</v>
      </c>
      <c r="D100" s="208" t="s">
        <v>80</v>
      </c>
      <c r="E100" s="269">
        <v>45000.0</v>
      </c>
      <c r="F100" s="270">
        <v>45000.0</v>
      </c>
      <c r="G100" s="68"/>
      <c r="H100" s="73"/>
      <c r="I100" s="73"/>
      <c r="J100" s="65"/>
      <c r="K100" s="208">
        <v>1.0</v>
      </c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188"/>
      <c r="AJ100" s="101"/>
      <c r="AK100" s="37"/>
    </row>
    <row r="101" ht="27.75" customHeight="1">
      <c r="A101" s="58"/>
      <c r="B101" s="262"/>
      <c r="C101" s="268" t="s">
        <v>336</v>
      </c>
      <c r="D101" s="208" t="s">
        <v>80</v>
      </c>
      <c r="E101" s="269">
        <v>35000.0</v>
      </c>
      <c r="F101" s="270">
        <v>35000.0</v>
      </c>
      <c r="G101" s="68"/>
      <c r="H101" s="73"/>
      <c r="I101" s="73"/>
      <c r="J101" s="65"/>
      <c r="K101" s="208">
        <v>1.0</v>
      </c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188"/>
      <c r="AJ101" s="101"/>
      <c r="AK101" s="37"/>
    </row>
    <row r="102" ht="27.75" customHeight="1">
      <c r="A102" s="58"/>
      <c r="B102" s="262"/>
      <c r="C102" s="268" t="s">
        <v>337</v>
      </c>
      <c r="D102" s="208" t="s">
        <v>80</v>
      </c>
      <c r="E102" s="269">
        <v>30000.0</v>
      </c>
      <c r="F102" s="270">
        <v>30000.0</v>
      </c>
      <c r="G102" s="68"/>
      <c r="H102" s="73"/>
      <c r="I102" s="73"/>
      <c r="J102" s="65"/>
      <c r="K102" s="208">
        <v>1.0</v>
      </c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188"/>
      <c r="AJ102" s="101"/>
      <c r="AK102" s="37"/>
    </row>
    <row r="103" ht="15.75" customHeight="1">
      <c r="A103" s="38" t="s">
        <v>151</v>
      </c>
      <c r="B103" s="74"/>
      <c r="C103" s="74" t="s">
        <v>152</v>
      </c>
      <c r="D103" s="40"/>
      <c r="E103" s="41"/>
      <c r="F103" s="271"/>
      <c r="G103" s="77"/>
      <c r="H103" s="75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223"/>
      <c r="AJ103" s="272">
        <f>SUM(F104:F129)</f>
        <v>209090</v>
      </c>
      <c r="AK103" s="225">
        <v>250000.0</v>
      </c>
    </row>
    <row r="104">
      <c r="A104" s="226"/>
      <c r="B104" s="216"/>
      <c r="C104" s="240" t="s">
        <v>338</v>
      </c>
      <c r="D104" s="72" t="s">
        <v>80</v>
      </c>
      <c r="E104" s="229">
        <v>3000.0</v>
      </c>
      <c r="F104" s="266">
        <f>(E104*J104)+(E105*J105)+(E106*J106)</f>
        <v>31000</v>
      </c>
      <c r="G104" s="72" t="s">
        <v>90</v>
      </c>
      <c r="H104" s="273"/>
      <c r="I104" s="232"/>
      <c r="J104" s="228">
        <v>4.0</v>
      </c>
      <c r="K104" s="232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  <c r="AE104" s="216"/>
      <c r="AF104" s="216"/>
      <c r="AG104" s="216"/>
      <c r="AH104" s="216"/>
      <c r="AI104" s="188"/>
      <c r="AJ104" s="101"/>
      <c r="AK104" s="2"/>
      <c r="AL104" s="234"/>
      <c r="AM104" s="234"/>
    </row>
    <row r="105">
      <c r="A105" s="242"/>
      <c r="B105" s="274"/>
      <c r="C105" s="275" t="s">
        <v>339</v>
      </c>
      <c r="D105" s="67"/>
      <c r="E105" s="244">
        <v>5000.0</v>
      </c>
      <c r="F105" s="67"/>
      <c r="G105" s="67"/>
      <c r="H105" s="190"/>
      <c r="I105" s="204"/>
      <c r="J105" s="199">
        <v>3.0</v>
      </c>
      <c r="K105" s="204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188"/>
      <c r="AJ105" s="101"/>
      <c r="AK105" s="2"/>
      <c r="AL105" s="234"/>
      <c r="AM105" s="234"/>
    </row>
    <row r="106">
      <c r="A106" s="242"/>
      <c r="B106" s="274"/>
      <c r="C106" s="275" t="s">
        <v>340</v>
      </c>
      <c r="D106" s="67"/>
      <c r="E106" s="244">
        <v>1000.0</v>
      </c>
      <c r="F106" s="70"/>
      <c r="G106" s="70"/>
      <c r="H106" s="147"/>
      <c r="I106" s="204"/>
      <c r="J106" s="199">
        <v>4.0</v>
      </c>
      <c r="K106" s="204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1"/>
      <c r="AD106" s="201"/>
      <c r="AE106" s="201"/>
      <c r="AF106" s="201"/>
      <c r="AG106" s="201"/>
      <c r="AH106" s="201"/>
      <c r="AI106" s="188"/>
      <c r="AJ106" s="101"/>
      <c r="AK106" s="2"/>
      <c r="AL106" s="234"/>
      <c r="AM106" s="234"/>
    </row>
    <row r="107" ht="29.25" customHeight="1">
      <c r="A107" s="58"/>
      <c r="B107" s="69"/>
      <c r="C107" s="268" t="s">
        <v>341</v>
      </c>
      <c r="D107" s="72" t="s">
        <v>80</v>
      </c>
      <c r="E107" s="124">
        <v>900.0</v>
      </c>
      <c r="F107" s="266">
        <f>(E107*J107)+(E108*J108)+(E109*J109)+(E110*J110)</f>
        <v>35200</v>
      </c>
      <c r="G107" s="72" t="s">
        <v>90</v>
      </c>
      <c r="H107" s="73"/>
      <c r="I107" s="65"/>
      <c r="J107" s="128">
        <v>16.0</v>
      </c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188"/>
      <c r="AJ107" s="101"/>
      <c r="AK107" s="37"/>
    </row>
    <row r="108" ht="15.75" customHeight="1">
      <c r="A108" s="58"/>
      <c r="B108" s="73"/>
      <c r="C108" s="276" t="s">
        <v>342</v>
      </c>
      <c r="D108" s="67"/>
      <c r="E108" s="124">
        <v>500.0</v>
      </c>
      <c r="F108" s="67"/>
      <c r="G108" s="67"/>
      <c r="H108" s="73"/>
      <c r="I108" s="65"/>
      <c r="J108" s="128">
        <v>16.0</v>
      </c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188"/>
      <c r="AJ108" s="101"/>
      <c r="AK108" s="37"/>
    </row>
    <row r="109" ht="15.75" customHeight="1">
      <c r="A109" s="58"/>
      <c r="B109" s="73"/>
      <c r="C109" s="276" t="s">
        <v>343</v>
      </c>
      <c r="D109" s="67"/>
      <c r="E109" s="92">
        <v>300.0</v>
      </c>
      <c r="F109" s="67"/>
      <c r="G109" s="67"/>
      <c r="H109" s="73"/>
      <c r="I109" s="65"/>
      <c r="J109" s="128">
        <v>16.0</v>
      </c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188"/>
      <c r="AJ109" s="101"/>
      <c r="AK109" s="37"/>
    </row>
    <row r="110" ht="27.75" customHeight="1">
      <c r="A110" s="58"/>
      <c r="B110" s="59"/>
      <c r="C110" s="277" t="s">
        <v>344</v>
      </c>
      <c r="D110" s="67"/>
      <c r="E110" s="92">
        <v>500.0</v>
      </c>
      <c r="F110" s="70"/>
      <c r="G110" s="70"/>
      <c r="H110" s="73"/>
      <c r="I110" s="65"/>
      <c r="J110" s="128">
        <v>16.0</v>
      </c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188"/>
      <c r="AJ110" s="101"/>
      <c r="AK110" s="37"/>
    </row>
    <row r="111" ht="15.75" customHeight="1">
      <c r="A111" s="58"/>
      <c r="B111" s="278"/>
      <c r="C111" s="279" t="s">
        <v>162</v>
      </c>
      <c r="D111" s="264" t="s">
        <v>80</v>
      </c>
      <c r="E111" s="124">
        <v>800.0</v>
      </c>
      <c r="F111" s="266">
        <f>(E111*K111)+(E112*K112)</f>
        <v>15500</v>
      </c>
      <c r="G111" s="72" t="s">
        <v>90</v>
      </c>
      <c r="H111" s="73"/>
      <c r="I111" s="65"/>
      <c r="J111" s="65"/>
      <c r="K111" s="128">
        <v>10.0</v>
      </c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188"/>
      <c r="AJ111" s="101"/>
      <c r="AK111" s="37"/>
    </row>
    <row r="112" ht="26.25" customHeight="1">
      <c r="A112" s="58"/>
      <c r="B112" s="278"/>
      <c r="C112" s="279" t="s">
        <v>345</v>
      </c>
      <c r="D112" s="67"/>
      <c r="E112" s="124">
        <v>750.0</v>
      </c>
      <c r="F112" s="70"/>
      <c r="G112" s="70"/>
      <c r="H112" s="73"/>
      <c r="I112" s="65"/>
      <c r="J112" s="65"/>
      <c r="K112" s="128">
        <v>10.0</v>
      </c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188"/>
      <c r="AJ112" s="101"/>
      <c r="AK112" s="37"/>
    </row>
    <row r="113">
      <c r="A113" s="226"/>
      <c r="B113" s="216"/>
      <c r="C113" s="280" t="s">
        <v>346</v>
      </c>
      <c r="D113" s="228" t="s">
        <v>347</v>
      </c>
      <c r="E113" s="254">
        <v>4500.0</v>
      </c>
      <c r="F113" s="281">
        <f t="shared" ref="F113:F116" si="6">E113*I113</f>
        <v>9000</v>
      </c>
      <c r="G113" s="230" t="s">
        <v>237</v>
      </c>
      <c r="H113" s="183" t="s">
        <v>238</v>
      </c>
      <c r="I113" s="237">
        <v>2.0</v>
      </c>
      <c r="J113" s="232"/>
      <c r="K113" s="232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  <c r="AH113" s="210"/>
      <c r="AI113" s="188"/>
      <c r="AJ113" s="101"/>
      <c r="AK113" s="101"/>
      <c r="AL113" s="101"/>
      <c r="AM113" s="101"/>
    </row>
    <row r="114">
      <c r="A114" s="226"/>
      <c r="B114" s="216"/>
      <c r="C114" s="282" t="s">
        <v>348</v>
      </c>
      <c r="D114" s="237" t="s">
        <v>258</v>
      </c>
      <c r="E114" s="283">
        <v>1500.0</v>
      </c>
      <c r="F114" s="284">
        <f t="shared" si="6"/>
        <v>3000</v>
      </c>
      <c r="G114" s="230" t="s">
        <v>90</v>
      </c>
      <c r="H114" s="210"/>
      <c r="I114" s="237">
        <v>2.0</v>
      </c>
      <c r="J114" s="232"/>
      <c r="K114" s="232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  <c r="AG114" s="210"/>
      <c r="AH114" s="210"/>
      <c r="AI114" s="188"/>
      <c r="AJ114" s="101"/>
      <c r="AK114" s="101"/>
      <c r="AL114" s="101"/>
      <c r="AM114" s="101"/>
    </row>
    <row r="115">
      <c r="A115" s="242"/>
      <c r="B115" s="274"/>
      <c r="C115" s="285" t="s">
        <v>349</v>
      </c>
      <c r="D115" s="246" t="s">
        <v>258</v>
      </c>
      <c r="E115" s="286">
        <v>10000.0</v>
      </c>
      <c r="F115" s="261">
        <f t="shared" si="6"/>
        <v>20000</v>
      </c>
      <c r="G115" s="246" t="s">
        <v>90</v>
      </c>
      <c r="H115" s="187"/>
      <c r="I115" s="203">
        <v>2.0</v>
      </c>
      <c r="J115" s="204"/>
      <c r="K115" s="204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8"/>
      <c r="AJ115" s="101"/>
      <c r="AK115" s="101"/>
      <c r="AL115" s="101"/>
      <c r="AM115" s="101"/>
    </row>
    <row r="116">
      <c r="A116" s="206"/>
      <c r="B116" s="287"/>
      <c r="C116" s="252" t="s">
        <v>350</v>
      </c>
      <c r="D116" s="288" t="s">
        <v>80</v>
      </c>
      <c r="E116" s="284">
        <v>500.0</v>
      </c>
      <c r="F116" s="261">
        <f t="shared" si="6"/>
        <v>10000</v>
      </c>
      <c r="G116" s="236" t="s">
        <v>90</v>
      </c>
      <c r="H116" s="210"/>
      <c r="I116" s="236">
        <v>20.0</v>
      </c>
      <c r="J116" s="232"/>
      <c r="K116" s="232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  <c r="AH116" s="289"/>
      <c r="AI116" s="217"/>
      <c r="AJ116" s="101"/>
      <c r="AK116" s="101"/>
      <c r="AL116" s="101"/>
      <c r="AM116" s="101"/>
    </row>
    <row r="117">
      <c r="A117" s="206"/>
      <c r="B117" s="290"/>
      <c r="C117" s="252" t="s">
        <v>351</v>
      </c>
      <c r="D117" s="291" t="s">
        <v>80</v>
      </c>
      <c r="E117" s="254">
        <v>200.0</v>
      </c>
      <c r="F117" s="62">
        <f>(E117*I117)+(E118*I118)+(E119*I119)+(E120*I120)+(E121*I121)+(E122*I122)</f>
        <v>32500</v>
      </c>
      <c r="G117" s="256" t="s">
        <v>90</v>
      </c>
      <c r="H117" s="210"/>
      <c r="I117" s="236">
        <v>10.0</v>
      </c>
      <c r="J117" s="232"/>
      <c r="K117" s="232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  <c r="AG117" s="210"/>
      <c r="AH117" s="210"/>
      <c r="AI117" s="217"/>
      <c r="AJ117" s="101"/>
      <c r="AK117" s="101"/>
      <c r="AL117" s="101"/>
      <c r="AM117" s="101"/>
    </row>
    <row r="118">
      <c r="A118" s="197"/>
      <c r="B118" s="292"/>
      <c r="C118" s="198" t="s">
        <v>352</v>
      </c>
      <c r="D118" s="190"/>
      <c r="E118" s="286">
        <v>2000.0</v>
      </c>
      <c r="F118" s="67"/>
      <c r="G118" s="190"/>
      <c r="H118" s="187"/>
      <c r="I118" s="203">
        <v>10.0</v>
      </c>
      <c r="J118" s="204"/>
      <c r="K118" s="204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205"/>
      <c r="AJ118" s="101"/>
      <c r="AK118" s="101"/>
      <c r="AL118" s="101"/>
      <c r="AM118" s="101"/>
    </row>
    <row r="119">
      <c r="A119" s="197"/>
      <c r="B119" s="274"/>
      <c r="C119" s="257" t="s">
        <v>353</v>
      </c>
      <c r="D119" s="190"/>
      <c r="E119" s="286">
        <v>150.0</v>
      </c>
      <c r="F119" s="67"/>
      <c r="G119" s="190"/>
      <c r="H119" s="187"/>
      <c r="I119" s="203">
        <v>10.0</v>
      </c>
      <c r="J119" s="204"/>
      <c r="K119" s="204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205"/>
      <c r="AJ119" s="101"/>
      <c r="AK119" s="101"/>
      <c r="AL119" s="101"/>
      <c r="AM119" s="101"/>
    </row>
    <row r="120">
      <c r="A120" s="197"/>
      <c r="B120" s="274"/>
      <c r="C120" s="257" t="s">
        <v>354</v>
      </c>
      <c r="D120" s="190"/>
      <c r="E120" s="286">
        <v>200.0</v>
      </c>
      <c r="F120" s="67"/>
      <c r="G120" s="190"/>
      <c r="H120" s="187"/>
      <c r="I120" s="203">
        <v>10.0</v>
      </c>
      <c r="J120" s="204"/>
      <c r="K120" s="204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205"/>
      <c r="AJ120" s="101"/>
      <c r="AK120" s="101"/>
      <c r="AL120" s="101"/>
      <c r="AM120" s="101"/>
    </row>
    <row r="121">
      <c r="A121" s="197"/>
      <c r="B121" s="274"/>
      <c r="C121" s="257" t="s">
        <v>355</v>
      </c>
      <c r="D121" s="190"/>
      <c r="E121" s="293">
        <v>300.0</v>
      </c>
      <c r="F121" s="67"/>
      <c r="G121" s="190"/>
      <c r="H121" s="187"/>
      <c r="I121" s="203">
        <v>10.0</v>
      </c>
      <c r="J121" s="204"/>
      <c r="K121" s="204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205"/>
      <c r="AJ121" s="101"/>
      <c r="AK121" s="101"/>
      <c r="AL121" s="101"/>
      <c r="AM121" s="101"/>
    </row>
    <row r="122">
      <c r="A122" s="197"/>
      <c r="B122" s="274"/>
      <c r="C122" s="257" t="s">
        <v>356</v>
      </c>
      <c r="D122" s="147"/>
      <c r="E122" s="261">
        <v>400.0</v>
      </c>
      <c r="F122" s="70"/>
      <c r="G122" s="147"/>
      <c r="H122" s="187"/>
      <c r="I122" s="203">
        <v>10.0</v>
      </c>
      <c r="J122" s="204"/>
      <c r="K122" s="204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205"/>
      <c r="AJ122" s="101"/>
      <c r="AK122" s="101"/>
      <c r="AL122" s="101"/>
      <c r="AM122" s="101"/>
    </row>
    <row r="123">
      <c r="A123" s="206"/>
      <c r="B123" s="287"/>
      <c r="C123" s="211" t="s">
        <v>357</v>
      </c>
      <c r="D123" s="294" t="s">
        <v>358</v>
      </c>
      <c r="E123" s="295">
        <v>280.0</v>
      </c>
      <c r="F123" s="281">
        <f t="shared" ref="F123:F124" si="7">E123*J123</f>
        <v>5040</v>
      </c>
      <c r="G123" s="236"/>
      <c r="H123" s="210"/>
      <c r="I123" s="216"/>
      <c r="J123" s="215">
        <v>18.0</v>
      </c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  <c r="AE123" s="216"/>
      <c r="AF123" s="216"/>
      <c r="AG123" s="216"/>
      <c r="AH123" s="216"/>
      <c r="AI123" s="205"/>
      <c r="AJ123" s="101"/>
      <c r="AK123" s="101"/>
      <c r="AL123" s="101"/>
      <c r="AM123" s="101"/>
    </row>
    <row r="124">
      <c r="A124" s="197"/>
      <c r="B124" s="292"/>
      <c r="C124" s="296" t="s">
        <v>359</v>
      </c>
      <c r="D124" s="294" t="s">
        <v>360</v>
      </c>
      <c r="E124" s="297">
        <v>950.0</v>
      </c>
      <c r="F124" s="281">
        <f t="shared" si="7"/>
        <v>2850</v>
      </c>
      <c r="G124" s="236"/>
      <c r="H124" s="210"/>
      <c r="I124" s="201"/>
      <c r="J124" s="298">
        <v>3.0</v>
      </c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5"/>
      <c r="AJ124" s="101"/>
      <c r="AK124" s="101"/>
      <c r="AL124" s="101"/>
      <c r="AM124" s="101"/>
    </row>
    <row r="125">
      <c r="A125" s="201"/>
      <c r="B125" s="292"/>
      <c r="C125" s="296" t="s">
        <v>361</v>
      </c>
      <c r="D125" s="299"/>
      <c r="E125" s="297"/>
      <c r="F125" s="281"/>
      <c r="G125" s="236"/>
      <c r="H125" s="187"/>
      <c r="I125" s="201"/>
      <c r="J125" s="298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5"/>
      <c r="AJ125" s="101"/>
      <c r="AK125" s="101"/>
      <c r="AL125" s="101"/>
      <c r="AM125" s="101"/>
    </row>
    <row r="126">
      <c r="A126" s="300"/>
      <c r="B126" s="292"/>
      <c r="C126" s="301" t="s">
        <v>362</v>
      </c>
      <c r="D126" s="219" t="s">
        <v>80</v>
      </c>
      <c r="E126" s="302">
        <v>750.0</v>
      </c>
      <c r="F126" s="182">
        <f t="shared" ref="F126:F129" si="8">E126*I126</f>
        <v>11250</v>
      </c>
      <c r="G126" s="230" t="s">
        <v>237</v>
      </c>
      <c r="H126" s="195"/>
      <c r="I126" s="209">
        <v>15.0</v>
      </c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217"/>
      <c r="AJ126" s="101"/>
      <c r="AK126" s="101"/>
      <c r="AL126" s="101"/>
      <c r="AM126" s="101"/>
    </row>
    <row r="127">
      <c r="A127" s="300"/>
      <c r="B127" s="292"/>
      <c r="C127" s="301" t="s">
        <v>363</v>
      </c>
      <c r="D127" s="190"/>
      <c r="E127" s="302">
        <v>750.0</v>
      </c>
      <c r="F127" s="182">
        <f t="shared" si="8"/>
        <v>11250</v>
      </c>
      <c r="G127" s="230" t="s">
        <v>237</v>
      </c>
      <c r="H127" s="195"/>
      <c r="I127" s="209">
        <v>15.0</v>
      </c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217"/>
      <c r="AJ127" s="101"/>
      <c r="AK127" s="101"/>
      <c r="AL127" s="101"/>
      <c r="AM127" s="101"/>
    </row>
    <row r="128">
      <c r="A128" s="300"/>
      <c r="B128" s="292"/>
      <c r="C128" s="301" t="s">
        <v>364</v>
      </c>
      <c r="D128" s="190"/>
      <c r="E128" s="302">
        <v>750.0</v>
      </c>
      <c r="F128" s="182">
        <f t="shared" si="8"/>
        <v>11250</v>
      </c>
      <c r="G128" s="230" t="s">
        <v>237</v>
      </c>
      <c r="H128" s="195"/>
      <c r="I128" s="209">
        <v>15.0</v>
      </c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217"/>
      <c r="AJ128" s="101"/>
      <c r="AK128" s="101"/>
      <c r="AL128" s="101"/>
      <c r="AM128" s="101"/>
    </row>
    <row r="129">
      <c r="A129" s="300"/>
      <c r="B129" s="292"/>
      <c r="C129" s="301" t="s">
        <v>365</v>
      </c>
      <c r="D129" s="147"/>
      <c r="E129" s="302">
        <v>750.0</v>
      </c>
      <c r="F129" s="182">
        <f t="shared" si="8"/>
        <v>11250</v>
      </c>
      <c r="G129" s="230" t="s">
        <v>237</v>
      </c>
      <c r="H129" s="195"/>
      <c r="I129" s="209">
        <v>15.0</v>
      </c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217"/>
      <c r="AJ129" s="101"/>
      <c r="AK129" s="101"/>
      <c r="AL129" s="101"/>
      <c r="AM129" s="101"/>
    </row>
    <row r="130" ht="15.75" customHeight="1">
      <c r="A130" s="38" t="s">
        <v>188</v>
      </c>
      <c r="B130" s="74"/>
      <c r="C130" s="74" t="s">
        <v>189</v>
      </c>
      <c r="D130" s="40"/>
      <c r="E130" s="41"/>
      <c r="F130" s="271"/>
      <c r="G130" s="77"/>
      <c r="H130" s="75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223"/>
      <c r="AJ130" s="176">
        <f>SUM(F131:F132)</f>
        <v>123200</v>
      </c>
      <c r="AK130" s="225">
        <v>600000.0</v>
      </c>
    </row>
    <row r="131">
      <c r="A131" s="206"/>
      <c r="B131" s="231"/>
      <c r="C131" s="248" t="s">
        <v>366</v>
      </c>
      <c r="D131" s="303" t="s">
        <v>367</v>
      </c>
      <c r="E131" s="304">
        <v>900.0</v>
      </c>
      <c r="F131" s="284">
        <f t="shared" ref="F131:F132" si="9">E131*I131</f>
        <v>28800</v>
      </c>
      <c r="G131" s="236" t="s">
        <v>90</v>
      </c>
      <c r="H131" s="210"/>
      <c r="I131" s="237">
        <v>32.0</v>
      </c>
      <c r="J131" s="232"/>
      <c r="K131" s="232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10"/>
      <c r="AI131" s="217"/>
      <c r="AJ131" s="101"/>
      <c r="AK131" s="101"/>
    </row>
    <row r="132">
      <c r="A132" s="206"/>
      <c r="B132" s="231"/>
      <c r="C132" s="248" t="s">
        <v>368</v>
      </c>
      <c r="D132" s="303" t="s">
        <v>367</v>
      </c>
      <c r="E132" s="304">
        <v>2950.0</v>
      </c>
      <c r="F132" s="284">
        <f t="shared" si="9"/>
        <v>94400</v>
      </c>
      <c r="G132" s="236" t="s">
        <v>90</v>
      </c>
      <c r="H132" s="210"/>
      <c r="I132" s="237">
        <v>32.0</v>
      </c>
      <c r="J132" s="232"/>
      <c r="K132" s="232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0"/>
      <c r="AI132" s="217"/>
      <c r="AJ132" s="101"/>
      <c r="AK132" s="101"/>
    </row>
    <row r="133" ht="15.75" customHeight="1">
      <c r="A133" s="38" t="s">
        <v>197</v>
      </c>
      <c r="B133" s="74"/>
      <c r="C133" s="74" t="s">
        <v>198</v>
      </c>
      <c r="D133" s="40"/>
      <c r="E133" s="41"/>
      <c r="F133" s="271"/>
      <c r="G133" s="77"/>
      <c r="H133" s="75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8"/>
      <c r="AJ133" s="170"/>
      <c r="AK133" s="37"/>
    </row>
    <row r="134" ht="15.75" customHeight="1">
      <c r="A134" s="58"/>
      <c r="B134" s="59"/>
      <c r="C134" s="59" t="s">
        <v>199</v>
      </c>
      <c r="D134" s="127" t="s">
        <v>369</v>
      </c>
      <c r="E134" s="92">
        <v>150.0</v>
      </c>
      <c r="F134" s="92">
        <f>(E134*(J134+K134))</f>
        <v>3900</v>
      </c>
      <c r="G134" s="120" t="s">
        <v>90</v>
      </c>
      <c r="H134" s="69"/>
      <c r="I134" s="68"/>
      <c r="J134" s="68">
        <v>13.0</v>
      </c>
      <c r="K134" s="65">
        <v>13.0</v>
      </c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6"/>
      <c r="AJ134" s="170"/>
      <c r="AK134" s="37"/>
    </row>
    <row r="135" ht="15.75" customHeight="1">
      <c r="A135" s="38" t="s">
        <v>209</v>
      </c>
      <c r="B135" s="74"/>
      <c r="C135" s="74" t="s">
        <v>210</v>
      </c>
      <c r="D135" s="40"/>
      <c r="E135" s="41"/>
      <c r="F135" s="271"/>
      <c r="G135" s="77"/>
      <c r="H135" s="75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8"/>
      <c r="AJ135" s="305">
        <f>SUM(F136:F138)</f>
        <v>4875000</v>
      </c>
      <c r="AK135" s="37"/>
    </row>
    <row r="136" ht="15.75" customHeight="1">
      <c r="A136" s="58"/>
      <c r="B136" s="121"/>
      <c r="C136" s="123" t="s">
        <v>211</v>
      </c>
      <c r="D136" s="68" t="s">
        <v>80</v>
      </c>
      <c r="E136" s="124">
        <v>3500000.0</v>
      </c>
      <c r="F136" s="267">
        <f t="shared" ref="F136:F137" si="10">E136*J136</f>
        <v>3500000</v>
      </c>
      <c r="G136" s="126" t="s">
        <v>212</v>
      </c>
      <c r="H136" s="73"/>
      <c r="I136" s="65"/>
      <c r="J136" s="65">
        <v>1.0</v>
      </c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6"/>
      <c r="AJ136" s="170"/>
      <c r="AK136" s="37"/>
    </row>
    <row r="137">
      <c r="A137" s="58"/>
      <c r="B137" s="121"/>
      <c r="C137" s="123" t="s">
        <v>213</v>
      </c>
      <c r="D137" s="127" t="s">
        <v>214</v>
      </c>
      <c r="E137" s="124">
        <v>125000.0</v>
      </c>
      <c r="F137" s="267">
        <f t="shared" si="10"/>
        <v>375000</v>
      </c>
      <c r="G137" s="126" t="s">
        <v>155</v>
      </c>
      <c r="H137" s="73"/>
      <c r="I137" s="65"/>
      <c r="J137" s="128">
        <v>3.0</v>
      </c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6"/>
      <c r="AJ137" s="170"/>
      <c r="AK137" s="37"/>
    </row>
    <row r="138" ht="15.75" customHeight="1">
      <c r="A138" s="129"/>
      <c r="B138" s="130"/>
      <c r="C138" s="131" t="s">
        <v>215</v>
      </c>
      <c r="D138" s="132" t="s">
        <v>80</v>
      </c>
      <c r="E138" s="133">
        <v>1000000.0</v>
      </c>
      <c r="F138" s="133">
        <f>E138*K138</f>
        <v>1000000</v>
      </c>
      <c r="G138" s="134" t="s">
        <v>212</v>
      </c>
      <c r="H138" s="135"/>
      <c r="I138" s="132"/>
      <c r="J138" s="132"/>
      <c r="K138" s="136">
        <v>1.0</v>
      </c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7"/>
      <c r="AJ138" s="170"/>
      <c r="AK138" s="37"/>
    </row>
    <row r="139" ht="15.75" customHeight="1">
      <c r="A139" s="138"/>
      <c r="B139" s="139"/>
      <c r="C139" s="139"/>
      <c r="D139" s="6"/>
      <c r="E139" s="9"/>
      <c r="F139" s="10"/>
      <c r="G139" s="14"/>
      <c r="H139" s="1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101"/>
      <c r="AK139" s="2"/>
    </row>
    <row r="140" ht="15.75" customHeight="1">
      <c r="A140" s="140" t="s">
        <v>216</v>
      </c>
      <c r="B140" s="6"/>
      <c r="C140" s="6"/>
      <c r="D140" s="306">
        <f>SUM(F11:F138)</f>
        <v>6629180</v>
      </c>
      <c r="E140" s="142"/>
      <c r="F140" s="142"/>
      <c r="G140" s="14"/>
      <c r="H140" s="1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101"/>
      <c r="AK140" s="2"/>
    </row>
    <row r="141" ht="15.75" hidden="1" customHeight="1">
      <c r="A141" s="143" t="s">
        <v>217</v>
      </c>
      <c r="B141" s="144"/>
      <c r="C141" s="144"/>
      <c r="D141" s="307">
        <f>PRODUCT(D140,0.1)</f>
        <v>662918</v>
      </c>
      <c r="E141" s="146"/>
      <c r="F141" s="147"/>
      <c r="G141" s="14"/>
      <c r="H141" s="11"/>
      <c r="I141" s="148"/>
      <c r="K141" s="148"/>
      <c r="AH141" s="148"/>
      <c r="AI141" s="2"/>
      <c r="AJ141" s="101"/>
      <c r="AK141" s="2"/>
    </row>
    <row r="142" ht="15.75" hidden="1" customHeight="1">
      <c r="A142" s="149" t="s">
        <v>218</v>
      </c>
      <c r="B142" s="150"/>
      <c r="C142" s="150"/>
      <c r="D142" s="308">
        <f>PRODUCT(D140,0.1)</f>
        <v>662918</v>
      </c>
      <c r="E142" s="152"/>
      <c r="F142" s="153"/>
      <c r="G142" s="14"/>
      <c r="H142" s="11"/>
      <c r="I142" s="154"/>
      <c r="J142" s="154"/>
      <c r="K142" s="155"/>
      <c r="AH142" s="155"/>
      <c r="AI142" s="2"/>
      <c r="AJ142" s="101"/>
      <c r="AK142" s="2"/>
    </row>
    <row r="143" ht="15.75" hidden="1" customHeight="1">
      <c r="A143" s="149" t="s">
        <v>219</v>
      </c>
      <c r="B143" s="150"/>
      <c r="C143" s="150"/>
      <c r="D143" s="308">
        <f>SUM(D140:F142)</f>
        <v>7955016</v>
      </c>
      <c r="E143" s="152"/>
      <c r="F143" s="153"/>
      <c r="G143" s="14"/>
      <c r="H143" s="11"/>
      <c r="I143" s="154"/>
      <c r="J143" s="154"/>
      <c r="K143" s="155"/>
      <c r="AH143" s="155"/>
      <c r="AI143" s="2"/>
      <c r="AJ143" s="101"/>
      <c r="AK143" s="2"/>
    </row>
    <row r="144" ht="15.75" customHeight="1">
      <c r="A144" s="156"/>
      <c r="B144" s="6"/>
      <c r="C144" s="6"/>
      <c r="D144" s="6"/>
      <c r="E144" s="9"/>
      <c r="F144" s="10"/>
      <c r="G144" s="14"/>
      <c r="H144" s="11"/>
      <c r="I144" s="154"/>
      <c r="J144" s="154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2"/>
      <c r="AJ144" s="101"/>
      <c r="AK144" s="2"/>
    </row>
    <row r="145" ht="15.75" customHeight="1">
      <c r="A145" s="157" t="s">
        <v>220</v>
      </c>
      <c r="B145" s="6"/>
      <c r="C145" s="6"/>
      <c r="D145" s="6"/>
      <c r="E145" s="9"/>
      <c r="F145" s="10"/>
      <c r="G145" s="14"/>
      <c r="H145" s="1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101"/>
      <c r="AK145" s="2"/>
    </row>
    <row r="146" ht="15.75" customHeight="1">
      <c r="A146" s="23"/>
      <c r="B146" s="6"/>
      <c r="C146" s="6"/>
      <c r="D146" s="6"/>
      <c r="E146" s="9"/>
      <c r="F146" s="10"/>
      <c r="G146" s="14"/>
      <c r="H146" s="1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101"/>
      <c r="AK146" s="2"/>
    </row>
    <row r="147" ht="15.75" customHeight="1">
      <c r="A147" s="158" t="s">
        <v>221</v>
      </c>
      <c r="B147" s="6"/>
      <c r="C147" s="6"/>
      <c r="D147" s="309" t="s">
        <v>222</v>
      </c>
      <c r="E147" s="160"/>
      <c r="F147" s="161"/>
      <c r="G147" s="310" t="s">
        <v>223</v>
      </c>
      <c r="H147" s="101"/>
      <c r="I147" s="101"/>
      <c r="J147" s="159" t="s">
        <v>224</v>
      </c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54"/>
    </row>
    <row r="148" ht="15.75" customHeight="1">
      <c r="A148" s="158"/>
      <c r="B148" s="6"/>
      <c r="C148" s="6"/>
      <c r="D148" s="6"/>
      <c r="E148" s="160"/>
      <c r="F148" s="161"/>
      <c r="G148" s="169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54"/>
    </row>
    <row r="149" ht="15.75" customHeight="1">
      <c r="A149" s="6"/>
      <c r="B149" s="6"/>
      <c r="C149" s="6"/>
      <c r="D149" s="6"/>
      <c r="E149" s="160"/>
      <c r="F149" s="161"/>
      <c r="G149" s="169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54"/>
    </row>
    <row r="150" ht="15.75" customHeight="1">
      <c r="A150" s="163" t="s">
        <v>225</v>
      </c>
      <c r="D150" s="309" t="s">
        <v>226</v>
      </c>
      <c r="E150" s="160"/>
      <c r="F150" s="161"/>
      <c r="G150" s="310" t="s">
        <v>227</v>
      </c>
      <c r="H150" s="101"/>
      <c r="I150" s="101"/>
      <c r="J150" s="159" t="s">
        <v>225</v>
      </c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2"/>
    </row>
    <row r="151" ht="15.0" customHeight="1">
      <c r="A151" s="164" t="s">
        <v>228</v>
      </c>
      <c r="D151" s="311" t="s">
        <v>229</v>
      </c>
      <c r="E151" s="160"/>
      <c r="F151" s="161"/>
      <c r="G151" s="169" t="s">
        <v>230</v>
      </c>
      <c r="H151" s="101"/>
      <c r="I151" s="101"/>
      <c r="J151" s="165" t="s">
        <v>231</v>
      </c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54"/>
    </row>
    <row r="152" ht="15.75" customHeight="1">
      <c r="A152" s="2"/>
      <c r="B152" s="2"/>
      <c r="C152" s="6"/>
      <c r="D152" s="6"/>
      <c r="E152" s="160"/>
      <c r="F152" s="161"/>
      <c r="G152" s="169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2"/>
    </row>
    <row r="153" ht="15.75" customHeight="1">
      <c r="A153" s="2" t="s">
        <v>232</v>
      </c>
      <c r="B153" s="2"/>
      <c r="C153" s="6"/>
      <c r="D153" s="311" t="s">
        <v>233</v>
      </c>
      <c r="E153" s="160"/>
      <c r="F153" s="161"/>
      <c r="G153" s="169" t="s">
        <v>233</v>
      </c>
      <c r="H153" s="101"/>
      <c r="I153" s="101"/>
      <c r="J153" s="165" t="s">
        <v>233</v>
      </c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2"/>
    </row>
    <row r="154" ht="15.75" customHeight="1">
      <c r="C154" s="166"/>
      <c r="D154" s="6"/>
      <c r="E154" s="9"/>
      <c r="F154" s="10"/>
      <c r="G154" s="14"/>
      <c r="H154" s="1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102"/>
    </row>
    <row r="155" ht="15.75" customHeight="1">
      <c r="C155" s="166"/>
      <c r="D155" s="6"/>
      <c r="E155" s="9"/>
      <c r="F155" s="10"/>
      <c r="G155" s="14"/>
      <c r="H155" s="1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102"/>
    </row>
    <row r="156" ht="15.75" customHeight="1">
      <c r="C156" s="166"/>
      <c r="D156" s="6"/>
      <c r="E156" s="9"/>
      <c r="F156" s="10"/>
      <c r="G156" s="14"/>
      <c r="H156" s="1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102"/>
    </row>
    <row r="157" ht="15.75" customHeight="1">
      <c r="C157" s="166"/>
      <c r="D157" s="6"/>
      <c r="E157" s="9"/>
      <c r="F157" s="10"/>
      <c r="G157" s="14"/>
      <c r="H157" s="1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102"/>
    </row>
    <row r="158" ht="15.75" customHeight="1">
      <c r="C158" s="166"/>
      <c r="D158" s="6"/>
      <c r="E158" s="9"/>
      <c r="F158" s="10"/>
      <c r="G158" s="14"/>
      <c r="H158" s="1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102"/>
    </row>
    <row r="159" ht="15.75" customHeight="1">
      <c r="C159" s="166"/>
      <c r="D159" s="166"/>
      <c r="E159" s="167"/>
      <c r="G159" s="312"/>
      <c r="AJ159" s="102"/>
    </row>
    <row r="160" ht="15.75" customHeight="1">
      <c r="C160" s="166"/>
      <c r="D160" s="166"/>
      <c r="E160" s="167"/>
      <c r="G160" s="312"/>
      <c r="AJ160" s="102"/>
    </row>
    <row r="161" ht="15.75" customHeight="1">
      <c r="C161" s="166"/>
      <c r="D161" s="166"/>
      <c r="E161" s="167"/>
      <c r="G161" s="312"/>
      <c r="AJ161" s="102"/>
    </row>
    <row r="162" ht="15.75" customHeight="1">
      <c r="C162" s="166"/>
      <c r="D162" s="166"/>
      <c r="E162" s="167"/>
      <c r="G162" s="312"/>
      <c r="AJ162" s="102"/>
    </row>
    <row r="163" ht="15.75" customHeight="1">
      <c r="C163" s="166"/>
      <c r="D163" s="166"/>
      <c r="E163" s="167"/>
      <c r="G163" s="312"/>
      <c r="AJ163" s="102"/>
    </row>
    <row r="164" ht="15.75" customHeight="1">
      <c r="C164" s="166"/>
      <c r="D164" s="166"/>
      <c r="E164" s="167"/>
      <c r="G164" s="312"/>
      <c r="AJ164" s="102"/>
    </row>
    <row r="165" ht="15.75" customHeight="1">
      <c r="C165" s="166"/>
      <c r="D165" s="166"/>
      <c r="E165" s="167"/>
      <c r="G165" s="312"/>
      <c r="AJ165" s="102"/>
    </row>
    <row r="166" ht="15.75" customHeight="1">
      <c r="C166" s="166"/>
      <c r="D166" s="166"/>
      <c r="E166" s="167"/>
      <c r="G166" s="312"/>
      <c r="AJ166" s="102"/>
    </row>
    <row r="167" ht="15.75" customHeight="1">
      <c r="C167" s="166"/>
      <c r="D167" s="166"/>
      <c r="E167" s="167"/>
      <c r="G167" s="312"/>
      <c r="AJ167" s="102"/>
    </row>
    <row r="168" ht="15.75" customHeight="1">
      <c r="C168" s="166"/>
      <c r="D168" s="166"/>
      <c r="E168" s="167"/>
      <c r="G168" s="312"/>
      <c r="AJ168" s="102"/>
    </row>
    <row r="169" ht="15.75" customHeight="1">
      <c r="C169" s="166"/>
      <c r="D169" s="166"/>
      <c r="E169" s="167"/>
      <c r="G169" s="312"/>
      <c r="AJ169" s="102"/>
    </row>
    <row r="170" ht="15.75" customHeight="1">
      <c r="C170" s="166"/>
      <c r="D170" s="166"/>
      <c r="E170" s="167"/>
      <c r="G170" s="312"/>
      <c r="AJ170" s="102"/>
    </row>
    <row r="171" ht="15.75" customHeight="1">
      <c r="C171" s="166"/>
      <c r="D171" s="166"/>
      <c r="E171" s="167"/>
      <c r="G171" s="312"/>
      <c r="AJ171" s="102"/>
    </row>
    <row r="172" ht="15.75" customHeight="1">
      <c r="C172" s="166"/>
      <c r="D172" s="166"/>
      <c r="E172" s="167"/>
      <c r="G172" s="312"/>
      <c r="AJ172" s="102"/>
    </row>
    <row r="173" ht="15.75" customHeight="1">
      <c r="C173" s="166"/>
      <c r="D173" s="166"/>
      <c r="E173" s="167"/>
      <c r="G173" s="312"/>
      <c r="AJ173" s="102"/>
    </row>
    <row r="174" ht="15.75" customHeight="1">
      <c r="C174" s="166"/>
      <c r="D174" s="166"/>
      <c r="E174" s="167"/>
      <c r="G174" s="312"/>
      <c r="AJ174" s="102"/>
    </row>
    <row r="175" ht="15.75" customHeight="1">
      <c r="C175" s="166"/>
      <c r="D175" s="166"/>
      <c r="E175" s="167"/>
      <c r="G175" s="312"/>
      <c r="AJ175" s="102"/>
    </row>
    <row r="176" ht="15.75" customHeight="1">
      <c r="C176" s="166"/>
      <c r="D176" s="166"/>
      <c r="E176" s="167"/>
      <c r="G176" s="312"/>
      <c r="AJ176" s="102"/>
    </row>
    <row r="177" ht="15.75" customHeight="1">
      <c r="C177" s="166"/>
      <c r="D177" s="166"/>
      <c r="E177" s="167"/>
      <c r="G177" s="312"/>
      <c r="AJ177" s="102"/>
    </row>
    <row r="178" ht="15.75" customHeight="1">
      <c r="C178" s="166"/>
      <c r="D178" s="166"/>
      <c r="E178" s="167"/>
      <c r="G178" s="312"/>
      <c r="AJ178" s="102"/>
    </row>
    <row r="179" ht="15.75" customHeight="1">
      <c r="C179" s="166"/>
      <c r="D179" s="166"/>
      <c r="E179" s="167"/>
      <c r="G179" s="312"/>
      <c r="AJ179" s="102"/>
    </row>
    <row r="180" ht="15.75" customHeight="1">
      <c r="C180" s="166"/>
      <c r="D180" s="166"/>
      <c r="E180" s="167"/>
      <c r="G180" s="312"/>
      <c r="AJ180" s="102"/>
    </row>
    <row r="181" ht="15.75" customHeight="1">
      <c r="C181" s="166"/>
      <c r="D181" s="166"/>
      <c r="E181" s="167"/>
      <c r="G181" s="312"/>
      <c r="AJ181" s="102"/>
    </row>
    <row r="182" ht="15.75" customHeight="1">
      <c r="C182" s="166"/>
      <c r="D182" s="166"/>
      <c r="E182" s="167"/>
      <c r="G182" s="312"/>
      <c r="AJ182" s="102"/>
    </row>
    <row r="183" ht="15.75" customHeight="1">
      <c r="C183" s="166"/>
      <c r="D183" s="166"/>
      <c r="E183" s="167"/>
      <c r="G183" s="312"/>
      <c r="AJ183" s="102"/>
    </row>
    <row r="184" ht="15.75" customHeight="1">
      <c r="C184" s="166"/>
      <c r="D184" s="166"/>
      <c r="E184" s="167"/>
      <c r="G184" s="312"/>
      <c r="AJ184" s="102"/>
    </row>
    <row r="185" ht="15.75" customHeight="1">
      <c r="C185" s="166"/>
      <c r="D185" s="166"/>
      <c r="E185" s="167"/>
      <c r="G185" s="312"/>
      <c r="AJ185" s="102"/>
    </row>
    <row r="186" ht="15.75" customHeight="1">
      <c r="C186" s="166"/>
      <c r="D186" s="166"/>
      <c r="E186" s="167"/>
      <c r="G186" s="312"/>
      <c r="AJ186" s="102"/>
    </row>
    <row r="187" ht="15.75" customHeight="1">
      <c r="C187" s="166"/>
      <c r="D187" s="166"/>
      <c r="E187" s="167"/>
      <c r="G187" s="312"/>
      <c r="AJ187" s="102"/>
    </row>
    <row r="188" ht="15.75" customHeight="1">
      <c r="C188" s="166"/>
      <c r="D188" s="166"/>
      <c r="E188" s="167"/>
      <c r="G188" s="312"/>
      <c r="AJ188" s="102"/>
    </row>
    <row r="189" ht="15.75" customHeight="1">
      <c r="C189" s="166"/>
      <c r="D189" s="166"/>
      <c r="E189" s="167"/>
      <c r="G189" s="312"/>
      <c r="AJ189" s="102"/>
    </row>
    <row r="190" ht="15.75" customHeight="1">
      <c r="C190" s="166"/>
      <c r="D190" s="166"/>
      <c r="E190" s="167"/>
      <c r="G190" s="312"/>
      <c r="AJ190" s="102"/>
    </row>
    <row r="191" ht="15.75" customHeight="1">
      <c r="C191" s="166"/>
      <c r="D191" s="166"/>
      <c r="E191" s="167"/>
      <c r="G191" s="312"/>
      <c r="AJ191" s="102"/>
    </row>
    <row r="192" ht="15.75" customHeight="1">
      <c r="C192" s="166"/>
      <c r="D192" s="166"/>
      <c r="E192" s="167"/>
      <c r="G192" s="312"/>
      <c r="AJ192" s="102"/>
    </row>
    <row r="193" ht="15.75" customHeight="1">
      <c r="C193" s="166"/>
      <c r="D193" s="166"/>
      <c r="E193" s="167"/>
      <c r="G193" s="312"/>
      <c r="AJ193" s="102"/>
    </row>
    <row r="194" ht="15.75" customHeight="1">
      <c r="C194" s="166"/>
      <c r="D194" s="166"/>
      <c r="E194" s="167"/>
      <c r="G194" s="312"/>
      <c r="AJ194" s="102"/>
    </row>
    <row r="195" ht="15.75" customHeight="1">
      <c r="C195" s="166"/>
      <c r="D195" s="166"/>
      <c r="E195" s="167"/>
      <c r="G195" s="312"/>
      <c r="AJ195" s="102"/>
    </row>
    <row r="196" ht="15.75" customHeight="1">
      <c r="C196" s="166"/>
      <c r="D196" s="166"/>
      <c r="E196" s="167"/>
      <c r="G196" s="312"/>
      <c r="AJ196" s="102"/>
    </row>
    <row r="197" ht="15.75" customHeight="1">
      <c r="C197" s="166"/>
      <c r="D197" s="166"/>
      <c r="E197" s="167"/>
      <c r="G197" s="312"/>
      <c r="AJ197" s="102"/>
    </row>
    <row r="198" ht="15.75" customHeight="1">
      <c r="C198" s="166"/>
      <c r="D198" s="166"/>
      <c r="E198" s="167"/>
      <c r="G198" s="312"/>
      <c r="AJ198" s="102"/>
    </row>
    <row r="199" ht="15.75" customHeight="1">
      <c r="C199" s="166"/>
      <c r="D199" s="166"/>
      <c r="E199" s="167"/>
      <c r="G199" s="312"/>
      <c r="AJ199" s="102"/>
    </row>
    <row r="200" ht="15.75" customHeight="1">
      <c r="C200" s="166"/>
      <c r="D200" s="166"/>
      <c r="E200" s="167"/>
      <c r="G200" s="312"/>
      <c r="AJ200" s="102"/>
    </row>
    <row r="201" ht="15.75" customHeight="1">
      <c r="C201" s="166"/>
      <c r="D201" s="166"/>
      <c r="E201" s="167"/>
      <c r="G201" s="312"/>
      <c r="AJ201" s="102"/>
    </row>
    <row r="202" ht="15.75" customHeight="1">
      <c r="C202" s="166"/>
      <c r="D202" s="166"/>
      <c r="E202" s="167"/>
      <c r="G202" s="312"/>
      <c r="AJ202" s="102"/>
    </row>
    <row r="203" ht="15.75" customHeight="1">
      <c r="C203" s="166"/>
      <c r="D203" s="166"/>
      <c r="E203" s="167"/>
      <c r="G203" s="312"/>
      <c r="AJ203" s="102"/>
    </row>
    <row r="204" ht="15.75" customHeight="1">
      <c r="C204" s="166"/>
      <c r="D204" s="166"/>
      <c r="E204" s="167"/>
      <c r="G204" s="312"/>
      <c r="AJ204" s="102"/>
    </row>
    <row r="205" ht="15.75" customHeight="1">
      <c r="C205" s="166"/>
      <c r="D205" s="166"/>
      <c r="E205" s="167"/>
      <c r="G205" s="312"/>
      <c r="AJ205" s="102"/>
    </row>
    <row r="206" ht="15.75" customHeight="1">
      <c r="C206" s="166"/>
      <c r="D206" s="166"/>
      <c r="E206" s="167"/>
      <c r="G206" s="312"/>
      <c r="AJ206" s="102"/>
    </row>
    <row r="207" ht="15.75" customHeight="1">
      <c r="C207" s="166"/>
      <c r="D207" s="166"/>
      <c r="E207" s="167"/>
      <c r="G207" s="312"/>
      <c r="AJ207" s="102"/>
    </row>
    <row r="208" ht="15.75" customHeight="1">
      <c r="C208" s="166"/>
      <c r="D208" s="166"/>
      <c r="E208" s="167"/>
      <c r="G208" s="312"/>
      <c r="AJ208" s="102"/>
    </row>
    <row r="209" ht="15.75" customHeight="1">
      <c r="C209" s="166"/>
      <c r="D209" s="166"/>
      <c r="E209" s="167"/>
      <c r="G209" s="312"/>
      <c r="AJ209" s="102"/>
    </row>
    <row r="210" ht="15.75" customHeight="1">
      <c r="C210" s="166"/>
      <c r="D210" s="166"/>
      <c r="E210" s="167"/>
      <c r="G210" s="312"/>
      <c r="AJ210" s="102"/>
    </row>
    <row r="211" ht="15.75" customHeight="1">
      <c r="C211" s="166"/>
      <c r="D211" s="166"/>
      <c r="E211" s="167"/>
      <c r="G211" s="312"/>
      <c r="AJ211" s="102"/>
    </row>
    <row r="212" ht="15.75" customHeight="1">
      <c r="C212" s="166"/>
      <c r="D212" s="166"/>
      <c r="E212" s="167"/>
      <c r="G212" s="312"/>
      <c r="AJ212" s="102"/>
    </row>
    <row r="213" ht="15.75" customHeight="1">
      <c r="C213" s="166"/>
      <c r="D213" s="166"/>
      <c r="E213" s="167"/>
      <c r="G213" s="312"/>
      <c r="AJ213" s="102"/>
    </row>
    <row r="214" ht="15.75" customHeight="1">
      <c r="C214" s="166"/>
      <c r="D214" s="166"/>
      <c r="E214" s="167"/>
      <c r="G214" s="312"/>
      <c r="AJ214" s="102"/>
    </row>
    <row r="215" ht="15.75" customHeight="1">
      <c r="C215" s="166"/>
      <c r="D215" s="166"/>
      <c r="E215" s="167"/>
      <c r="G215" s="312"/>
      <c r="AJ215" s="102"/>
    </row>
    <row r="216" ht="15.75" customHeight="1">
      <c r="C216" s="166"/>
      <c r="D216" s="166"/>
      <c r="E216" s="167"/>
      <c r="G216" s="312"/>
      <c r="AJ216" s="102"/>
    </row>
    <row r="217" ht="15.75" customHeight="1">
      <c r="C217" s="166"/>
      <c r="D217" s="166"/>
      <c r="E217" s="167"/>
      <c r="G217" s="312"/>
      <c r="AJ217" s="102"/>
    </row>
    <row r="218" ht="15.75" customHeight="1">
      <c r="C218" s="166"/>
      <c r="D218" s="166"/>
      <c r="E218" s="167"/>
      <c r="G218" s="312"/>
      <c r="AJ218" s="102"/>
    </row>
    <row r="219" ht="15.75" customHeight="1">
      <c r="C219" s="166"/>
      <c r="D219" s="166"/>
      <c r="E219" s="167"/>
      <c r="G219" s="312"/>
      <c r="AJ219" s="102"/>
    </row>
    <row r="220" ht="15.75" customHeight="1">
      <c r="C220" s="166"/>
      <c r="D220" s="166"/>
      <c r="E220" s="167"/>
      <c r="G220" s="312"/>
      <c r="AJ220" s="102"/>
    </row>
    <row r="221" ht="15.75" customHeight="1">
      <c r="C221" s="166"/>
      <c r="D221" s="166"/>
      <c r="E221" s="167"/>
      <c r="G221" s="312"/>
      <c r="AJ221" s="102"/>
    </row>
    <row r="222" ht="15.75" customHeight="1">
      <c r="C222" s="166"/>
      <c r="D222" s="166"/>
      <c r="E222" s="167"/>
      <c r="G222" s="312"/>
      <c r="AJ222" s="102"/>
    </row>
    <row r="223" ht="15.75" customHeight="1">
      <c r="C223" s="166"/>
      <c r="D223" s="166"/>
      <c r="E223" s="167"/>
      <c r="G223" s="312"/>
      <c r="AJ223" s="102"/>
    </row>
    <row r="224" ht="15.75" customHeight="1">
      <c r="C224" s="166"/>
      <c r="D224" s="166"/>
      <c r="E224" s="167"/>
      <c r="G224" s="312"/>
      <c r="AJ224" s="102"/>
    </row>
    <row r="225" ht="15.75" customHeight="1">
      <c r="C225" s="166"/>
      <c r="D225" s="166"/>
      <c r="E225" s="167"/>
      <c r="G225" s="312"/>
      <c r="AJ225" s="102"/>
    </row>
    <row r="226" ht="15.75" customHeight="1">
      <c r="C226" s="166"/>
      <c r="D226" s="166"/>
      <c r="E226" s="167"/>
      <c r="G226" s="312"/>
      <c r="AJ226" s="102"/>
    </row>
    <row r="227" ht="15.75" customHeight="1">
      <c r="C227" s="166"/>
      <c r="D227" s="166"/>
      <c r="E227" s="167"/>
      <c r="G227" s="312"/>
      <c r="AJ227" s="102"/>
    </row>
    <row r="228" ht="15.75" customHeight="1">
      <c r="C228" s="166"/>
      <c r="D228" s="166"/>
      <c r="E228" s="167"/>
      <c r="G228" s="312"/>
      <c r="AJ228" s="102"/>
    </row>
    <row r="229" ht="15.75" customHeight="1">
      <c r="C229" s="166"/>
      <c r="D229" s="166"/>
      <c r="E229" s="167"/>
      <c r="G229" s="312"/>
      <c r="AJ229" s="102"/>
    </row>
    <row r="230" ht="15.75" customHeight="1">
      <c r="C230" s="166"/>
      <c r="D230" s="166"/>
      <c r="E230" s="167"/>
      <c r="G230" s="312"/>
      <c r="AJ230" s="102"/>
    </row>
    <row r="231" ht="15.75" customHeight="1">
      <c r="C231" s="166"/>
      <c r="D231" s="166"/>
      <c r="E231" s="167"/>
      <c r="G231" s="312"/>
      <c r="AJ231" s="102"/>
    </row>
    <row r="232" ht="15.75" customHeight="1">
      <c r="C232" s="166"/>
      <c r="D232" s="166"/>
      <c r="E232" s="167"/>
      <c r="G232" s="312"/>
      <c r="AJ232" s="102"/>
    </row>
    <row r="233" ht="15.75" customHeight="1">
      <c r="C233" s="166"/>
      <c r="D233" s="166"/>
      <c r="E233" s="167"/>
      <c r="G233" s="312"/>
      <c r="AJ233" s="102"/>
    </row>
    <row r="234" ht="15.75" customHeight="1">
      <c r="C234" s="166"/>
      <c r="D234" s="166"/>
      <c r="E234" s="167"/>
      <c r="G234" s="312"/>
      <c r="AJ234" s="102"/>
    </row>
    <row r="235" ht="15.75" customHeight="1">
      <c r="C235" s="166"/>
      <c r="D235" s="166"/>
      <c r="E235" s="167"/>
      <c r="G235" s="312"/>
      <c r="AJ235" s="102"/>
    </row>
    <row r="236" ht="15.75" customHeight="1">
      <c r="C236" s="166"/>
      <c r="D236" s="166"/>
      <c r="E236" s="167"/>
      <c r="G236" s="312"/>
      <c r="AJ236" s="102"/>
    </row>
    <row r="237" ht="15.75" customHeight="1">
      <c r="C237" s="166"/>
      <c r="D237" s="166"/>
      <c r="E237" s="167"/>
      <c r="G237" s="312"/>
      <c r="AJ237" s="102"/>
    </row>
    <row r="238" ht="15.75" customHeight="1">
      <c r="C238" s="166"/>
      <c r="D238" s="166"/>
      <c r="E238" s="167"/>
      <c r="G238" s="312"/>
      <c r="AJ238" s="102"/>
    </row>
    <row r="239" ht="15.75" customHeight="1">
      <c r="C239" s="166"/>
      <c r="D239" s="166"/>
      <c r="E239" s="167"/>
      <c r="G239" s="312"/>
      <c r="AJ239" s="102"/>
    </row>
    <row r="240" ht="15.75" customHeight="1">
      <c r="C240" s="166"/>
      <c r="D240" s="166"/>
      <c r="E240" s="167"/>
      <c r="G240" s="312"/>
      <c r="AJ240" s="102"/>
    </row>
    <row r="241" ht="15.75" customHeight="1">
      <c r="C241" s="166"/>
      <c r="D241" s="166"/>
      <c r="E241" s="167"/>
      <c r="G241" s="312"/>
      <c r="AJ241" s="102"/>
    </row>
    <row r="242" ht="15.75" customHeight="1">
      <c r="C242" s="166"/>
      <c r="D242" s="166"/>
      <c r="E242" s="167"/>
      <c r="G242" s="312"/>
      <c r="AJ242" s="102"/>
    </row>
    <row r="243" ht="15.75" customHeight="1">
      <c r="C243" s="166"/>
      <c r="D243" s="166"/>
      <c r="E243" s="167"/>
      <c r="G243" s="312"/>
      <c r="AJ243" s="102"/>
    </row>
    <row r="244" ht="15.75" customHeight="1">
      <c r="C244" s="166"/>
      <c r="D244" s="166"/>
      <c r="E244" s="167"/>
      <c r="G244" s="312"/>
      <c r="AJ244" s="102"/>
    </row>
    <row r="245" ht="15.75" customHeight="1">
      <c r="C245" s="166"/>
      <c r="D245" s="166"/>
      <c r="E245" s="167"/>
      <c r="G245" s="312"/>
      <c r="AJ245" s="102"/>
    </row>
    <row r="246" ht="15.75" customHeight="1">
      <c r="C246" s="166"/>
      <c r="D246" s="166"/>
      <c r="E246" s="167"/>
      <c r="G246" s="312"/>
      <c r="AJ246" s="102"/>
    </row>
    <row r="247" ht="15.75" customHeight="1">
      <c r="C247" s="166"/>
      <c r="D247" s="166"/>
      <c r="E247" s="167"/>
      <c r="G247" s="312"/>
      <c r="AJ247" s="102"/>
    </row>
    <row r="248" ht="15.75" customHeight="1">
      <c r="C248" s="166"/>
      <c r="D248" s="166"/>
      <c r="E248" s="167"/>
      <c r="G248" s="312"/>
      <c r="AJ248" s="102"/>
    </row>
    <row r="249" ht="15.75" customHeight="1">
      <c r="C249" s="166"/>
      <c r="D249" s="166"/>
      <c r="E249" s="167"/>
      <c r="G249" s="312"/>
      <c r="AJ249" s="102"/>
    </row>
    <row r="250" ht="15.75" customHeight="1">
      <c r="C250" s="166"/>
      <c r="D250" s="166"/>
      <c r="E250" s="167"/>
      <c r="G250" s="312"/>
      <c r="AJ250" s="102"/>
    </row>
    <row r="251" ht="15.75" customHeight="1">
      <c r="C251" s="166"/>
      <c r="D251" s="166"/>
      <c r="E251" s="167"/>
      <c r="G251" s="312"/>
      <c r="AJ251" s="102"/>
    </row>
    <row r="252" ht="15.75" customHeight="1">
      <c r="C252" s="166"/>
      <c r="D252" s="166"/>
      <c r="E252" s="167"/>
      <c r="G252" s="312"/>
      <c r="AJ252" s="102"/>
    </row>
    <row r="253" ht="15.75" customHeight="1">
      <c r="C253" s="166"/>
      <c r="D253" s="166"/>
      <c r="E253" s="167"/>
      <c r="G253" s="312"/>
      <c r="AJ253" s="102"/>
    </row>
    <row r="254" ht="15.75" customHeight="1">
      <c r="C254" s="166"/>
      <c r="D254" s="166"/>
      <c r="E254" s="167"/>
      <c r="G254" s="312"/>
      <c r="AJ254" s="102"/>
    </row>
    <row r="255" ht="15.75" customHeight="1">
      <c r="C255" s="166"/>
      <c r="D255" s="166"/>
      <c r="E255" s="167"/>
      <c r="G255" s="312"/>
      <c r="AJ255" s="102"/>
    </row>
    <row r="256" ht="15.75" customHeight="1">
      <c r="C256" s="166"/>
      <c r="D256" s="166"/>
      <c r="E256" s="167"/>
      <c r="G256" s="312"/>
      <c r="AJ256" s="102"/>
    </row>
    <row r="257" ht="15.75" customHeight="1">
      <c r="C257" s="166"/>
      <c r="D257" s="166"/>
      <c r="E257" s="167"/>
      <c r="G257" s="312"/>
      <c r="AJ257" s="102"/>
    </row>
    <row r="258" ht="15.75" customHeight="1">
      <c r="C258" s="166"/>
      <c r="D258" s="166"/>
      <c r="E258" s="167"/>
      <c r="G258" s="312"/>
      <c r="AJ258" s="102"/>
    </row>
    <row r="259" ht="15.75" customHeight="1">
      <c r="C259" s="166"/>
      <c r="D259" s="166"/>
      <c r="E259" s="167"/>
      <c r="G259" s="312"/>
      <c r="AJ259" s="102"/>
    </row>
    <row r="260" ht="15.75" customHeight="1">
      <c r="C260" s="166"/>
      <c r="D260" s="166"/>
      <c r="E260" s="167"/>
      <c r="G260" s="312"/>
      <c r="AJ260" s="102"/>
    </row>
    <row r="261" ht="15.75" customHeight="1">
      <c r="C261" s="166"/>
      <c r="D261" s="166"/>
      <c r="E261" s="167"/>
      <c r="G261" s="312"/>
      <c r="AJ261" s="102"/>
    </row>
    <row r="262" ht="15.75" customHeight="1">
      <c r="C262" s="166"/>
      <c r="D262" s="166"/>
      <c r="E262" s="167"/>
      <c r="G262" s="312"/>
      <c r="AJ262" s="102"/>
    </row>
    <row r="263" ht="15.75" customHeight="1">
      <c r="C263" s="166"/>
      <c r="D263" s="166"/>
      <c r="E263" s="167"/>
      <c r="G263" s="312"/>
      <c r="AJ263" s="102"/>
    </row>
    <row r="264" ht="15.75" customHeight="1">
      <c r="C264" s="166"/>
      <c r="D264" s="166"/>
      <c r="E264" s="167"/>
      <c r="G264" s="312"/>
      <c r="AJ264" s="102"/>
    </row>
    <row r="265" ht="15.75" customHeight="1">
      <c r="C265" s="166"/>
      <c r="D265" s="166"/>
      <c r="E265" s="167"/>
      <c r="G265" s="312"/>
      <c r="AJ265" s="102"/>
    </row>
    <row r="266" ht="15.75" customHeight="1">
      <c r="C266" s="166"/>
      <c r="D266" s="166"/>
      <c r="E266" s="167"/>
      <c r="G266" s="312"/>
      <c r="AJ266" s="102"/>
    </row>
    <row r="267" ht="15.75" customHeight="1">
      <c r="C267" s="166"/>
      <c r="D267" s="166"/>
      <c r="E267" s="167"/>
      <c r="G267" s="312"/>
      <c r="AJ267" s="102"/>
    </row>
    <row r="268" ht="15.75" customHeight="1">
      <c r="C268" s="166"/>
      <c r="D268" s="166"/>
      <c r="E268" s="167"/>
      <c r="G268" s="312"/>
      <c r="AJ268" s="102"/>
    </row>
    <row r="269" ht="15.75" customHeight="1">
      <c r="C269" s="166"/>
      <c r="D269" s="166"/>
      <c r="E269" s="167"/>
      <c r="G269" s="312"/>
      <c r="AJ269" s="102"/>
    </row>
    <row r="270" ht="15.75" customHeight="1">
      <c r="C270" s="166"/>
      <c r="D270" s="166"/>
      <c r="E270" s="167"/>
      <c r="G270" s="312"/>
      <c r="AJ270" s="102"/>
    </row>
    <row r="271" ht="15.75" customHeight="1">
      <c r="C271" s="166"/>
      <c r="D271" s="166"/>
      <c r="E271" s="167"/>
      <c r="G271" s="312"/>
      <c r="AJ271" s="102"/>
    </row>
    <row r="272" ht="15.75" customHeight="1">
      <c r="C272" s="166"/>
      <c r="D272" s="166"/>
      <c r="E272" s="167"/>
      <c r="G272" s="312"/>
      <c r="AJ272" s="102"/>
    </row>
    <row r="273" ht="15.75" customHeight="1">
      <c r="C273" s="166"/>
      <c r="D273" s="166"/>
      <c r="E273" s="167"/>
      <c r="G273" s="312"/>
      <c r="AJ273" s="102"/>
    </row>
    <row r="274" ht="15.75" customHeight="1">
      <c r="C274" s="166"/>
      <c r="D274" s="166"/>
      <c r="E274" s="167"/>
      <c r="G274" s="312"/>
      <c r="AJ274" s="102"/>
    </row>
    <row r="275" ht="15.75" customHeight="1">
      <c r="C275" s="166"/>
      <c r="D275" s="166"/>
      <c r="E275" s="167"/>
      <c r="G275" s="312"/>
      <c r="AJ275" s="102"/>
    </row>
    <row r="276" ht="15.75" customHeight="1">
      <c r="C276" s="166"/>
      <c r="D276" s="166"/>
      <c r="E276" s="167"/>
      <c r="G276" s="312"/>
      <c r="AJ276" s="102"/>
    </row>
    <row r="277" ht="15.75" customHeight="1">
      <c r="C277" s="166"/>
      <c r="D277" s="166"/>
      <c r="E277" s="167"/>
      <c r="G277" s="312"/>
      <c r="AJ277" s="102"/>
    </row>
    <row r="278" ht="15.75" customHeight="1">
      <c r="C278" s="166"/>
      <c r="D278" s="166"/>
      <c r="E278" s="167"/>
      <c r="G278" s="312"/>
      <c r="AJ278" s="102"/>
    </row>
    <row r="279" ht="15.75" customHeight="1">
      <c r="C279" s="166"/>
      <c r="D279" s="166"/>
      <c r="E279" s="167"/>
      <c r="G279" s="312"/>
      <c r="AJ279" s="102"/>
    </row>
    <row r="280" ht="15.75" customHeight="1">
      <c r="C280" s="166"/>
      <c r="D280" s="166"/>
      <c r="E280" s="167"/>
      <c r="G280" s="312"/>
      <c r="AJ280" s="102"/>
    </row>
    <row r="281" ht="15.75" customHeight="1">
      <c r="C281" s="166"/>
      <c r="D281" s="166"/>
      <c r="E281" s="167"/>
      <c r="G281" s="312"/>
      <c r="AJ281" s="102"/>
    </row>
    <row r="282" ht="15.75" customHeight="1">
      <c r="C282" s="166"/>
      <c r="D282" s="166"/>
      <c r="E282" s="167"/>
      <c r="G282" s="312"/>
      <c r="AJ282" s="102"/>
    </row>
    <row r="283" ht="15.75" customHeight="1">
      <c r="C283" s="166"/>
      <c r="D283" s="166"/>
      <c r="E283" s="167"/>
      <c r="G283" s="312"/>
      <c r="AJ283" s="102"/>
    </row>
    <row r="284" ht="15.75" customHeight="1">
      <c r="C284" s="166"/>
      <c r="D284" s="166"/>
      <c r="E284" s="167"/>
      <c r="G284" s="312"/>
      <c r="AJ284" s="102"/>
    </row>
    <row r="285" ht="15.75" customHeight="1">
      <c r="C285" s="166"/>
      <c r="D285" s="166"/>
      <c r="E285" s="167"/>
      <c r="G285" s="312"/>
      <c r="AJ285" s="102"/>
    </row>
    <row r="286" ht="15.75" customHeight="1">
      <c r="C286" s="166"/>
      <c r="D286" s="166"/>
      <c r="E286" s="167"/>
      <c r="G286" s="312"/>
      <c r="AJ286" s="102"/>
    </row>
    <row r="287" ht="15.75" customHeight="1">
      <c r="C287" s="166"/>
      <c r="D287" s="166"/>
      <c r="E287" s="167"/>
      <c r="G287" s="312"/>
      <c r="AJ287" s="102"/>
    </row>
    <row r="288" ht="15.75" customHeight="1">
      <c r="C288" s="166"/>
      <c r="D288" s="166"/>
      <c r="E288" s="167"/>
      <c r="G288" s="312"/>
      <c r="AJ288" s="102"/>
    </row>
    <row r="289" ht="15.75" customHeight="1">
      <c r="C289" s="166"/>
      <c r="D289" s="166"/>
      <c r="E289" s="167"/>
      <c r="G289" s="312"/>
      <c r="AJ289" s="102"/>
    </row>
    <row r="290" ht="15.75" customHeight="1">
      <c r="C290" s="166"/>
      <c r="D290" s="166"/>
      <c r="E290" s="167"/>
      <c r="G290" s="312"/>
      <c r="AJ290" s="102"/>
    </row>
    <row r="291" ht="15.75" customHeight="1">
      <c r="C291" s="166"/>
      <c r="D291" s="166"/>
      <c r="E291" s="167"/>
      <c r="G291" s="312"/>
      <c r="AJ291" s="102"/>
    </row>
    <row r="292" ht="15.75" customHeight="1">
      <c r="C292" s="166"/>
      <c r="D292" s="166"/>
      <c r="E292" s="167"/>
      <c r="G292" s="312"/>
      <c r="AJ292" s="102"/>
    </row>
    <row r="293" ht="15.75" customHeight="1">
      <c r="C293" s="166"/>
      <c r="D293" s="166"/>
      <c r="E293" s="167"/>
      <c r="G293" s="312"/>
      <c r="AJ293" s="102"/>
    </row>
    <row r="294" ht="15.75" customHeight="1">
      <c r="C294" s="166"/>
      <c r="D294" s="166"/>
      <c r="E294" s="167"/>
      <c r="G294" s="312"/>
      <c r="AJ294" s="102"/>
    </row>
    <row r="295" ht="15.75" customHeight="1">
      <c r="C295" s="166"/>
      <c r="D295" s="166"/>
      <c r="E295" s="167"/>
      <c r="G295" s="312"/>
      <c r="AJ295" s="102"/>
    </row>
    <row r="296" ht="15.75" customHeight="1">
      <c r="C296" s="166"/>
      <c r="D296" s="166"/>
      <c r="E296" s="167"/>
      <c r="G296" s="312"/>
      <c r="AJ296" s="102"/>
    </row>
    <row r="297" ht="15.75" customHeight="1">
      <c r="C297" s="166"/>
      <c r="D297" s="166"/>
      <c r="E297" s="167"/>
      <c r="G297" s="312"/>
      <c r="AJ297" s="102"/>
    </row>
    <row r="298" ht="15.75" customHeight="1">
      <c r="C298" s="166"/>
      <c r="D298" s="166"/>
      <c r="E298" s="167"/>
      <c r="G298" s="312"/>
      <c r="AJ298" s="102"/>
    </row>
    <row r="299" ht="15.75" customHeight="1">
      <c r="C299" s="166"/>
      <c r="D299" s="166"/>
      <c r="E299" s="167"/>
      <c r="G299" s="312"/>
      <c r="AJ299" s="102"/>
    </row>
    <row r="300" ht="15.75" customHeight="1">
      <c r="C300" s="166"/>
      <c r="D300" s="166"/>
      <c r="E300" s="167"/>
      <c r="G300" s="312"/>
      <c r="AJ300" s="102"/>
    </row>
    <row r="301" ht="15.75" customHeight="1">
      <c r="C301" s="166"/>
      <c r="D301" s="166"/>
      <c r="E301" s="167"/>
      <c r="G301" s="312"/>
      <c r="AJ301" s="102"/>
    </row>
    <row r="302" ht="15.75" customHeight="1">
      <c r="C302" s="166"/>
      <c r="D302" s="166"/>
      <c r="E302" s="167"/>
      <c r="G302" s="312"/>
      <c r="AJ302" s="102"/>
    </row>
    <row r="303" ht="15.75" customHeight="1">
      <c r="C303" s="166"/>
      <c r="D303" s="166"/>
      <c r="E303" s="167"/>
      <c r="G303" s="312"/>
      <c r="AJ303" s="102"/>
    </row>
    <row r="304" ht="15.75" customHeight="1">
      <c r="C304" s="166"/>
      <c r="D304" s="166"/>
      <c r="E304" s="167"/>
      <c r="G304" s="312"/>
      <c r="AJ304" s="102"/>
    </row>
    <row r="305" ht="15.75" customHeight="1">
      <c r="C305" s="166"/>
      <c r="D305" s="166"/>
      <c r="E305" s="167"/>
      <c r="G305" s="312"/>
      <c r="AJ305" s="102"/>
    </row>
    <row r="306" ht="15.75" customHeight="1">
      <c r="C306" s="166"/>
      <c r="D306" s="166"/>
      <c r="E306" s="167"/>
      <c r="G306" s="312"/>
      <c r="AJ306" s="102"/>
    </row>
    <row r="307" ht="15.75" customHeight="1">
      <c r="C307" s="166"/>
      <c r="D307" s="166"/>
      <c r="E307" s="167"/>
      <c r="G307" s="312"/>
      <c r="AJ307" s="102"/>
    </row>
    <row r="308" ht="15.75" customHeight="1">
      <c r="C308" s="166"/>
      <c r="D308" s="166"/>
      <c r="E308" s="167"/>
      <c r="G308" s="312"/>
      <c r="AJ308" s="102"/>
    </row>
    <row r="309" ht="15.75" customHeight="1">
      <c r="C309" s="166"/>
      <c r="D309" s="166"/>
      <c r="E309" s="167"/>
      <c r="G309" s="312"/>
      <c r="AJ309" s="102"/>
    </row>
    <row r="310" ht="15.75" customHeight="1">
      <c r="C310" s="166"/>
      <c r="D310" s="166"/>
      <c r="E310" s="167"/>
      <c r="G310" s="312"/>
      <c r="AJ310" s="102"/>
    </row>
    <row r="311" ht="15.75" customHeight="1">
      <c r="C311" s="166"/>
      <c r="D311" s="166"/>
      <c r="E311" s="167"/>
      <c r="G311" s="312"/>
      <c r="AJ311" s="102"/>
    </row>
    <row r="312" ht="15.75" customHeight="1">
      <c r="C312" s="166"/>
      <c r="D312" s="166"/>
      <c r="E312" s="167"/>
      <c r="G312" s="312"/>
      <c r="AJ312" s="102"/>
    </row>
    <row r="313" ht="15.75" customHeight="1">
      <c r="C313" s="166"/>
      <c r="D313" s="166"/>
      <c r="E313" s="167"/>
      <c r="G313" s="312"/>
      <c r="AJ313" s="102"/>
    </row>
    <row r="314" ht="15.75" customHeight="1">
      <c r="C314" s="166"/>
      <c r="D314" s="166"/>
      <c r="E314" s="167"/>
      <c r="G314" s="312"/>
      <c r="AJ314" s="102"/>
    </row>
    <row r="315" ht="15.75" customHeight="1">
      <c r="C315" s="166"/>
      <c r="D315" s="166"/>
      <c r="E315" s="167"/>
      <c r="G315" s="312"/>
      <c r="AJ315" s="102"/>
    </row>
    <row r="316" ht="15.75" customHeight="1">
      <c r="C316" s="166"/>
      <c r="D316" s="166"/>
      <c r="E316" s="167"/>
      <c r="G316" s="312"/>
      <c r="AJ316" s="102"/>
    </row>
    <row r="317" ht="15.75" customHeight="1">
      <c r="C317" s="166"/>
      <c r="D317" s="166"/>
      <c r="E317" s="167"/>
      <c r="G317" s="312"/>
      <c r="AJ317" s="102"/>
    </row>
    <row r="318" ht="15.75" customHeight="1">
      <c r="C318" s="166"/>
      <c r="D318" s="166"/>
      <c r="E318" s="167"/>
      <c r="G318" s="312"/>
      <c r="AJ318" s="102"/>
    </row>
    <row r="319" ht="15.75" customHeight="1">
      <c r="C319" s="166"/>
      <c r="D319" s="166"/>
      <c r="E319" s="167"/>
      <c r="G319" s="312"/>
      <c r="AJ319" s="102"/>
    </row>
    <row r="320" ht="15.75" customHeight="1">
      <c r="C320" s="166"/>
      <c r="D320" s="166"/>
      <c r="E320" s="167"/>
      <c r="G320" s="312"/>
      <c r="AJ320" s="102"/>
    </row>
    <row r="321" ht="15.75" customHeight="1">
      <c r="C321" s="166"/>
      <c r="D321" s="166"/>
      <c r="E321" s="167"/>
      <c r="G321" s="312"/>
      <c r="AJ321" s="102"/>
    </row>
    <row r="322" ht="15.75" customHeight="1">
      <c r="C322" s="166"/>
      <c r="D322" s="166"/>
      <c r="E322" s="167"/>
      <c r="G322" s="312"/>
      <c r="AJ322" s="102"/>
    </row>
    <row r="323" ht="15.75" customHeight="1">
      <c r="C323" s="166"/>
      <c r="D323" s="166"/>
      <c r="E323" s="167"/>
      <c r="G323" s="312"/>
      <c r="AJ323" s="102"/>
    </row>
    <row r="324" ht="15.75" customHeight="1">
      <c r="C324" s="166"/>
      <c r="D324" s="166"/>
      <c r="E324" s="167"/>
      <c r="G324" s="312"/>
      <c r="AJ324" s="102"/>
    </row>
    <row r="325" ht="15.75" customHeight="1">
      <c r="C325" s="166"/>
      <c r="D325" s="166"/>
      <c r="E325" s="167"/>
      <c r="G325" s="312"/>
      <c r="AJ325" s="102"/>
    </row>
    <row r="326" ht="15.75" customHeight="1">
      <c r="C326" s="166"/>
      <c r="D326" s="166"/>
      <c r="E326" s="167"/>
      <c r="G326" s="312"/>
      <c r="AJ326" s="102"/>
    </row>
    <row r="327" ht="15.75" customHeight="1">
      <c r="C327" s="166"/>
      <c r="D327" s="166"/>
      <c r="E327" s="167"/>
      <c r="G327" s="312"/>
      <c r="AJ327" s="102"/>
    </row>
    <row r="328" ht="15.75" customHeight="1">
      <c r="C328" s="166"/>
      <c r="D328" s="166"/>
      <c r="E328" s="167"/>
      <c r="G328" s="312"/>
      <c r="AJ328" s="102"/>
    </row>
    <row r="329" ht="15.75" customHeight="1">
      <c r="C329" s="166"/>
      <c r="D329" s="166"/>
      <c r="E329" s="167"/>
      <c r="G329" s="312"/>
      <c r="AJ329" s="102"/>
    </row>
    <row r="330" ht="15.75" customHeight="1">
      <c r="C330" s="166"/>
      <c r="D330" s="166"/>
      <c r="E330" s="167"/>
      <c r="G330" s="312"/>
      <c r="AJ330" s="102"/>
    </row>
    <row r="331" ht="15.75" customHeight="1">
      <c r="C331" s="166"/>
      <c r="D331" s="166"/>
      <c r="E331" s="167"/>
      <c r="G331" s="312"/>
      <c r="AJ331" s="102"/>
    </row>
    <row r="332" ht="15.75" customHeight="1">
      <c r="C332" s="166"/>
      <c r="D332" s="166"/>
      <c r="E332" s="167"/>
      <c r="G332" s="312"/>
      <c r="AJ332" s="102"/>
    </row>
    <row r="333" ht="15.75" customHeight="1">
      <c r="C333" s="166"/>
      <c r="D333" s="166"/>
      <c r="E333" s="167"/>
      <c r="G333" s="312"/>
      <c r="AJ333" s="102"/>
    </row>
    <row r="334" ht="15.75" customHeight="1">
      <c r="C334" s="166"/>
      <c r="D334" s="166"/>
      <c r="E334" s="167"/>
      <c r="G334" s="312"/>
      <c r="AJ334" s="102"/>
    </row>
    <row r="335" ht="15.75" customHeight="1">
      <c r="C335" s="166"/>
      <c r="D335" s="166"/>
      <c r="E335" s="167"/>
      <c r="G335" s="312"/>
      <c r="AJ335" s="102"/>
    </row>
    <row r="336" ht="15.75" customHeight="1">
      <c r="C336" s="166"/>
      <c r="D336" s="166"/>
      <c r="E336" s="167"/>
      <c r="G336" s="312"/>
      <c r="AJ336" s="102"/>
    </row>
    <row r="337" ht="15.75" customHeight="1">
      <c r="C337" s="166"/>
      <c r="D337" s="166"/>
      <c r="E337" s="167"/>
      <c r="G337" s="312"/>
      <c r="AJ337" s="102"/>
    </row>
    <row r="338" ht="15.75" customHeight="1">
      <c r="C338" s="166"/>
      <c r="D338" s="166"/>
      <c r="E338" s="167"/>
      <c r="G338" s="312"/>
      <c r="AJ338" s="102"/>
    </row>
    <row r="339" ht="15.75" customHeight="1">
      <c r="C339" s="166"/>
      <c r="D339" s="166"/>
      <c r="E339" s="167"/>
      <c r="G339" s="312"/>
      <c r="AJ339" s="102"/>
    </row>
    <row r="340" ht="15.75" customHeight="1">
      <c r="C340" s="166"/>
      <c r="D340" s="166"/>
      <c r="E340" s="167"/>
      <c r="G340" s="312"/>
      <c r="AJ340" s="102"/>
    </row>
    <row r="341" ht="15.75" customHeight="1">
      <c r="C341" s="166"/>
      <c r="D341" s="166"/>
      <c r="E341" s="167"/>
      <c r="G341" s="312"/>
      <c r="AJ341" s="102"/>
    </row>
    <row r="342" ht="15.75" customHeight="1">
      <c r="C342" s="166"/>
      <c r="D342" s="166"/>
      <c r="E342" s="167"/>
      <c r="G342" s="312"/>
      <c r="AJ342" s="102"/>
    </row>
    <row r="343" ht="15.75" customHeight="1">
      <c r="C343" s="166"/>
      <c r="D343" s="166"/>
      <c r="E343" s="167"/>
      <c r="G343" s="312"/>
      <c r="AJ343" s="102"/>
    </row>
    <row r="344" ht="15.75" customHeight="1">
      <c r="C344" s="166"/>
      <c r="D344" s="166"/>
      <c r="E344" s="167"/>
      <c r="G344" s="312"/>
      <c r="AJ344" s="102"/>
    </row>
    <row r="345" ht="15.75" customHeight="1">
      <c r="C345" s="166"/>
      <c r="D345" s="166"/>
      <c r="E345" s="167"/>
      <c r="G345" s="312"/>
      <c r="AJ345" s="102"/>
    </row>
    <row r="346" ht="15.75" customHeight="1">
      <c r="C346" s="166"/>
      <c r="D346" s="166"/>
      <c r="E346" s="167"/>
      <c r="G346" s="312"/>
      <c r="AJ346" s="102"/>
    </row>
    <row r="347" ht="15.75" customHeight="1">
      <c r="C347" s="166"/>
      <c r="D347" s="166"/>
      <c r="E347" s="167"/>
      <c r="G347" s="312"/>
      <c r="AJ347" s="102"/>
    </row>
    <row r="348" ht="15.75" customHeight="1">
      <c r="C348" s="166"/>
      <c r="D348" s="166"/>
      <c r="E348" s="167"/>
      <c r="G348" s="312"/>
      <c r="AJ348" s="102"/>
    </row>
    <row r="349" ht="15.75" customHeight="1">
      <c r="C349" s="166"/>
      <c r="D349" s="166"/>
      <c r="E349" s="167"/>
      <c r="G349" s="312"/>
      <c r="AJ349" s="102"/>
    </row>
    <row r="350" ht="15.75" customHeight="1">
      <c r="C350" s="166"/>
      <c r="D350" s="166"/>
      <c r="E350" s="167"/>
      <c r="G350" s="312"/>
      <c r="AJ350" s="102"/>
    </row>
    <row r="351" ht="15.75" customHeight="1">
      <c r="C351" s="166"/>
      <c r="D351" s="166"/>
      <c r="E351" s="167"/>
      <c r="G351" s="312"/>
      <c r="AJ351" s="102"/>
    </row>
    <row r="352" ht="15.75" customHeight="1">
      <c r="C352" s="166"/>
      <c r="D352" s="166"/>
      <c r="E352" s="167"/>
      <c r="G352" s="312"/>
      <c r="AJ352" s="102"/>
    </row>
    <row r="353" ht="15.75" customHeight="1">
      <c r="C353" s="166"/>
      <c r="D353" s="166"/>
      <c r="E353" s="167"/>
      <c r="G353" s="312"/>
      <c r="AJ353" s="102"/>
    </row>
    <row r="354" ht="15.75" customHeight="1">
      <c r="C354" s="166"/>
      <c r="D354" s="166"/>
      <c r="G354" s="312"/>
      <c r="AJ354" s="102"/>
    </row>
    <row r="355" ht="15.75" customHeight="1">
      <c r="C355" s="166"/>
      <c r="D355" s="166"/>
      <c r="G355" s="312"/>
      <c r="AJ355" s="102"/>
    </row>
    <row r="356" ht="15.75" customHeight="1">
      <c r="C356" s="166"/>
      <c r="D356" s="166"/>
      <c r="G356" s="312"/>
      <c r="AJ356" s="102"/>
    </row>
    <row r="357" ht="15.75" customHeight="1">
      <c r="C357" s="166"/>
      <c r="D357" s="166"/>
      <c r="G357" s="312"/>
      <c r="AJ357" s="102"/>
    </row>
    <row r="358" ht="15.75" customHeight="1">
      <c r="C358" s="166"/>
      <c r="D358" s="166"/>
      <c r="G358" s="312"/>
      <c r="AJ358" s="102"/>
    </row>
    <row r="359" ht="15.75" customHeight="1">
      <c r="C359" s="166"/>
      <c r="D359" s="166"/>
      <c r="G359" s="312"/>
      <c r="AJ359" s="102"/>
    </row>
    <row r="360" ht="15.75" customHeight="1">
      <c r="C360" s="166"/>
      <c r="D360" s="166"/>
      <c r="G360" s="312"/>
      <c r="AJ360" s="102"/>
    </row>
    <row r="361" ht="15.75" customHeight="1">
      <c r="C361" s="166"/>
      <c r="D361" s="166"/>
      <c r="G361" s="312"/>
      <c r="AJ361" s="102"/>
    </row>
    <row r="362" ht="15.75" customHeight="1">
      <c r="C362" s="166"/>
      <c r="D362" s="166"/>
      <c r="G362" s="312"/>
      <c r="AJ362" s="102"/>
    </row>
    <row r="363" ht="15.75" customHeight="1">
      <c r="C363" s="166"/>
      <c r="D363" s="166"/>
      <c r="G363" s="312"/>
      <c r="AJ363" s="102"/>
    </row>
    <row r="364" ht="15.75" customHeight="1">
      <c r="C364" s="166"/>
      <c r="D364" s="166"/>
      <c r="G364" s="312"/>
      <c r="AJ364" s="102"/>
    </row>
    <row r="365" ht="15.75" customHeight="1">
      <c r="C365" s="166"/>
      <c r="D365" s="166"/>
      <c r="G365" s="312"/>
      <c r="AJ365" s="102"/>
    </row>
    <row r="366" ht="15.75" customHeight="1">
      <c r="C366" s="166"/>
      <c r="D366" s="166"/>
      <c r="G366" s="312"/>
      <c r="AJ366" s="102"/>
    </row>
    <row r="367" ht="15.75" customHeight="1">
      <c r="C367" s="166"/>
      <c r="D367" s="166"/>
      <c r="G367" s="312"/>
      <c r="AJ367" s="102"/>
    </row>
    <row r="368" ht="15.75" customHeight="1">
      <c r="C368" s="166"/>
      <c r="D368" s="166"/>
      <c r="G368" s="312"/>
      <c r="AJ368" s="102"/>
    </row>
    <row r="369" ht="15.75" customHeight="1">
      <c r="C369" s="166"/>
      <c r="D369" s="166"/>
      <c r="G369" s="312"/>
      <c r="AJ369" s="102"/>
    </row>
    <row r="370" ht="15.75" customHeight="1">
      <c r="C370" s="166"/>
      <c r="D370" s="166"/>
      <c r="G370" s="312"/>
      <c r="AJ370" s="102"/>
    </row>
    <row r="371" ht="15.75" customHeight="1">
      <c r="C371" s="166"/>
      <c r="D371" s="166"/>
      <c r="G371" s="312"/>
      <c r="AJ371" s="102"/>
    </row>
    <row r="372" ht="15.75" customHeight="1">
      <c r="C372" s="166"/>
      <c r="D372" s="166"/>
      <c r="G372" s="312"/>
      <c r="AJ372" s="102"/>
    </row>
    <row r="373" ht="15.75" customHeight="1">
      <c r="C373" s="166"/>
      <c r="D373" s="166"/>
      <c r="G373" s="312"/>
      <c r="AJ373" s="102"/>
    </row>
    <row r="374" ht="15.75" customHeight="1">
      <c r="C374" s="166"/>
      <c r="D374" s="166"/>
      <c r="G374" s="312"/>
      <c r="AJ374" s="102"/>
    </row>
    <row r="375" ht="15.75" customHeight="1">
      <c r="C375" s="166"/>
      <c r="D375" s="166"/>
      <c r="G375" s="312"/>
      <c r="AJ375" s="102"/>
    </row>
    <row r="376" ht="15.75" customHeight="1">
      <c r="C376" s="166"/>
      <c r="D376" s="166"/>
      <c r="G376" s="312"/>
      <c r="AJ376" s="102"/>
    </row>
    <row r="377" ht="15.75" customHeight="1">
      <c r="C377" s="166"/>
      <c r="D377" s="166"/>
      <c r="G377" s="312"/>
      <c r="AJ377" s="102"/>
    </row>
    <row r="378" ht="15.75" customHeight="1">
      <c r="C378" s="166"/>
      <c r="D378" s="166"/>
      <c r="G378" s="312"/>
      <c r="AJ378" s="102"/>
    </row>
    <row r="379" ht="15.75" customHeight="1">
      <c r="C379" s="166"/>
      <c r="D379" s="166"/>
      <c r="G379" s="312"/>
      <c r="AJ379" s="102"/>
    </row>
    <row r="380" ht="15.75" customHeight="1">
      <c r="C380" s="166"/>
      <c r="D380" s="166"/>
      <c r="G380" s="312"/>
      <c r="AJ380" s="102"/>
    </row>
    <row r="381" ht="15.75" customHeight="1">
      <c r="C381" s="166"/>
      <c r="D381" s="166"/>
      <c r="G381" s="312"/>
      <c r="AJ381" s="102"/>
    </row>
    <row r="382" ht="15.75" customHeight="1">
      <c r="C382" s="166"/>
      <c r="D382" s="166"/>
      <c r="G382" s="312"/>
      <c r="AJ382" s="102"/>
    </row>
    <row r="383" ht="15.75" customHeight="1">
      <c r="C383" s="166"/>
      <c r="D383" s="166"/>
      <c r="G383" s="312"/>
      <c r="AJ383" s="102"/>
    </row>
    <row r="384" ht="15.75" customHeight="1">
      <c r="C384" s="166"/>
      <c r="D384" s="166"/>
      <c r="G384" s="312"/>
      <c r="AJ384" s="102"/>
    </row>
    <row r="385" ht="15.75" customHeight="1">
      <c r="C385" s="166"/>
      <c r="D385" s="166"/>
      <c r="G385" s="312"/>
      <c r="AJ385" s="102"/>
    </row>
    <row r="386" ht="15.75" customHeight="1">
      <c r="C386" s="166"/>
      <c r="D386" s="166"/>
      <c r="G386" s="312"/>
      <c r="AJ386" s="102"/>
    </row>
    <row r="387" ht="15.75" customHeight="1">
      <c r="C387" s="166"/>
      <c r="D387" s="166"/>
      <c r="G387" s="312"/>
      <c r="AJ387" s="102"/>
    </row>
    <row r="388" ht="15.75" customHeight="1">
      <c r="C388" s="166"/>
      <c r="D388" s="166"/>
      <c r="G388" s="312"/>
      <c r="AJ388" s="102"/>
    </row>
    <row r="389" ht="15.75" customHeight="1">
      <c r="C389" s="166"/>
      <c r="D389" s="166"/>
      <c r="G389" s="312"/>
      <c r="AJ389" s="102"/>
    </row>
    <row r="390" ht="15.75" customHeight="1">
      <c r="C390" s="166"/>
      <c r="D390" s="166"/>
      <c r="G390" s="312"/>
      <c r="AJ390" s="102"/>
    </row>
    <row r="391" ht="15.75" customHeight="1">
      <c r="C391" s="166"/>
      <c r="D391" s="166"/>
      <c r="G391" s="312"/>
      <c r="AJ391" s="102"/>
    </row>
    <row r="392" ht="15.75" customHeight="1">
      <c r="C392" s="166"/>
      <c r="D392" s="166"/>
      <c r="G392" s="312"/>
      <c r="AJ392" s="102"/>
    </row>
    <row r="393" ht="15.75" customHeight="1">
      <c r="C393" s="166"/>
      <c r="D393" s="166"/>
      <c r="G393" s="312"/>
      <c r="AJ393" s="102"/>
    </row>
    <row r="394" ht="15.75" customHeight="1">
      <c r="C394" s="166"/>
      <c r="D394" s="166"/>
      <c r="G394" s="312"/>
      <c r="AJ394" s="102"/>
    </row>
    <row r="395" ht="15.75" customHeight="1">
      <c r="C395" s="166"/>
      <c r="D395" s="166"/>
      <c r="G395" s="312"/>
      <c r="AJ395" s="102"/>
    </row>
    <row r="396" ht="15.75" customHeight="1">
      <c r="C396" s="166"/>
      <c r="D396" s="166"/>
      <c r="G396" s="312"/>
      <c r="AJ396" s="102"/>
    </row>
    <row r="397" ht="15.75" customHeight="1">
      <c r="C397" s="166"/>
      <c r="D397" s="166"/>
      <c r="G397" s="312"/>
      <c r="AJ397" s="102"/>
    </row>
    <row r="398" ht="15.75" customHeight="1">
      <c r="C398" s="166"/>
      <c r="D398" s="166"/>
      <c r="G398" s="312"/>
      <c r="AJ398" s="102"/>
    </row>
    <row r="399" ht="15.75" customHeight="1">
      <c r="C399" s="166"/>
      <c r="D399" s="166"/>
      <c r="G399" s="312"/>
      <c r="AJ399" s="102"/>
    </row>
    <row r="400" ht="15.75" customHeight="1">
      <c r="C400" s="166"/>
      <c r="D400" s="166"/>
      <c r="G400" s="312"/>
      <c r="AJ400" s="102"/>
    </row>
    <row r="401" ht="15.75" customHeight="1">
      <c r="C401" s="166"/>
      <c r="D401" s="166"/>
      <c r="G401" s="312"/>
      <c r="AJ401" s="102"/>
    </row>
    <row r="402" ht="15.75" customHeight="1">
      <c r="C402" s="166"/>
      <c r="D402" s="166"/>
      <c r="G402" s="312"/>
      <c r="AJ402" s="102"/>
    </row>
    <row r="403" ht="15.75" customHeight="1">
      <c r="C403" s="166"/>
      <c r="D403" s="166"/>
      <c r="G403" s="312"/>
      <c r="AJ403" s="102"/>
    </row>
    <row r="404" ht="15.75" customHeight="1">
      <c r="C404" s="166"/>
      <c r="D404" s="166"/>
      <c r="G404" s="312"/>
      <c r="AJ404" s="102"/>
    </row>
    <row r="405" ht="15.75" customHeight="1">
      <c r="C405" s="166"/>
      <c r="D405" s="166"/>
      <c r="G405" s="312"/>
      <c r="AJ405" s="102"/>
    </row>
    <row r="406" ht="15.75" customHeight="1">
      <c r="C406" s="166"/>
      <c r="D406" s="166"/>
      <c r="G406" s="312"/>
      <c r="AJ406" s="102"/>
    </row>
    <row r="407" ht="15.75" customHeight="1">
      <c r="C407" s="166"/>
      <c r="D407" s="166"/>
      <c r="G407" s="312"/>
      <c r="AJ407" s="102"/>
    </row>
    <row r="408" ht="15.75" customHeight="1">
      <c r="C408" s="166"/>
      <c r="D408" s="166"/>
      <c r="G408" s="312"/>
      <c r="AJ408" s="102"/>
    </row>
    <row r="409" ht="15.75" customHeight="1">
      <c r="C409" s="166"/>
      <c r="D409" s="166"/>
      <c r="G409" s="312"/>
      <c r="AJ409" s="102"/>
    </row>
    <row r="410" ht="15.75" customHeight="1">
      <c r="C410" s="166"/>
      <c r="D410" s="166"/>
      <c r="G410" s="312"/>
      <c r="AJ410" s="102"/>
    </row>
    <row r="411" ht="15.75" customHeight="1">
      <c r="C411" s="166"/>
      <c r="D411" s="166"/>
      <c r="G411" s="312"/>
      <c r="AJ411" s="102"/>
    </row>
    <row r="412" ht="15.75" customHeight="1">
      <c r="C412" s="166"/>
      <c r="D412" s="166"/>
      <c r="G412" s="312"/>
      <c r="AJ412" s="102"/>
    </row>
    <row r="413" ht="15.75" customHeight="1">
      <c r="C413" s="166"/>
      <c r="D413" s="166"/>
      <c r="G413" s="312"/>
      <c r="AJ413" s="102"/>
    </row>
    <row r="414" ht="15.75" customHeight="1">
      <c r="C414" s="166"/>
      <c r="D414" s="166"/>
      <c r="G414" s="312"/>
      <c r="AJ414" s="102"/>
    </row>
    <row r="415" ht="15.75" customHeight="1">
      <c r="C415" s="166"/>
      <c r="D415" s="166"/>
      <c r="G415" s="312"/>
      <c r="AJ415" s="102"/>
    </row>
    <row r="416" ht="15.75" customHeight="1">
      <c r="C416" s="166"/>
      <c r="D416" s="166"/>
      <c r="G416" s="312"/>
      <c r="AJ416" s="102"/>
    </row>
    <row r="417" ht="15.75" customHeight="1">
      <c r="C417" s="166"/>
      <c r="D417" s="166"/>
      <c r="G417" s="312"/>
      <c r="AJ417" s="102"/>
    </row>
    <row r="418" ht="15.75" customHeight="1">
      <c r="C418" s="166"/>
      <c r="D418" s="166"/>
      <c r="G418" s="312"/>
      <c r="AJ418" s="102"/>
    </row>
    <row r="419" ht="15.75" customHeight="1">
      <c r="C419" s="166"/>
      <c r="D419" s="166"/>
      <c r="G419" s="312"/>
      <c r="AJ419" s="102"/>
    </row>
    <row r="420" ht="15.75" customHeight="1">
      <c r="C420" s="166"/>
      <c r="D420" s="166"/>
      <c r="G420" s="312"/>
      <c r="AJ420" s="102"/>
    </row>
    <row r="421" ht="15.75" customHeight="1">
      <c r="C421" s="166"/>
      <c r="D421" s="166"/>
      <c r="G421" s="312"/>
      <c r="AJ421" s="102"/>
    </row>
    <row r="422" ht="15.75" customHeight="1">
      <c r="C422" s="166"/>
      <c r="D422" s="166"/>
      <c r="G422" s="312"/>
      <c r="AJ422" s="102"/>
    </row>
    <row r="423" ht="15.75" customHeight="1">
      <c r="C423" s="166"/>
      <c r="D423" s="166"/>
      <c r="G423" s="312"/>
      <c r="AJ423" s="102"/>
    </row>
    <row r="424" ht="15.75" customHeight="1">
      <c r="C424" s="166"/>
      <c r="D424" s="166"/>
      <c r="G424" s="312"/>
      <c r="AJ424" s="102"/>
    </row>
    <row r="425" ht="15.75" customHeight="1">
      <c r="C425" s="166"/>
      <c r="D425" s="166"/>
      <c r="G425" s="312"/>
      <c r="AJ425" s="102"/>
    </row>
    <row r="426" ht="15.75" customHeight="1">
      <c r="C426" s="166"/>
      <c r="D426" s="166"/>
      <c r="G426" s="312"/>
      <c r="AJ426" s="102"/>
    </row>
    <row r="427" ht="15.75" customHeight="1">
      <c r="C427" s="166"/>
      <c r="D427" s="166"/>
      <c r="G427" s="312"/>
      <c r="AJ427" s="102"/>
    </row>
    <row r="428" ht="15.75" customHeight="1">
      <c r="C428" s="166"/>
      <c r="D428" s="166"/>
      <c r="G428" s="312"/>
      <c r="AJ428" s="102"/>
    </row>
    <row r="429" ht="15.75" customHeight="1">
      <c r="C429" s="166"/>
      <c r="D429" s="166"/>
      <c r="G429" s="312"/>
      <c r="AJ429" s="102"/>
    </row>
    <row r="430" ht="15.75" customHeight="1">
      <c r="C430" s="166"/>
      <c r="D430" s="166"/>
      <c r="G430" s="312"/>
      <c r="AJ430" s="102"/>
    </row>
    <row r="431" ht="15.75" customHeight="1">
      <c r="C431" s="166"/>
      <c r="D431" s="166"/>
      <c r="G431" s="312"/>
      <c r="AJ431" s="102"/>
    </row>
    <row r="432" ht="15.75" customHeight="1">
      <c r="C432" s="166"/>
      <c r="D432" s="166"/>
      <c r="G432" s="312"/>
      <c r="AJ432" s="102"/>
    </row>
    <row r="433" ht="15.75" customHeight="1">
      <c r="C433" s="166"/>
      <c r="D433" s="166"/>
      <c r="G433" s="312"/>
      <c r="AJ433" s="102"/>
    </row>
    <row r="434" ht="15.75" customHeight="1">
      <c r="C434" s="166"/>
      <c r="D434" s="166"/>
      <c r="G434" s="312"/>
      <c r="AJ434" s="102"/>
    </row>
    <row r="435" ht="15.75" customHeight="1">
      <c r="C435" s="166"/>
      <c r="D435" s="166"/>
      <c r="G435" s="312"/>
      <c r="AJ435" s="102"/>
    </row>
    <row r="436" ht="15.75" customHeight="1">
      <c r="C436" s="166"/>
      <c r="D436" s="166"/>
      <c r="G436" s="312"/>
      <c r="AJ436" s="102"/>
    </row>
    <row r="437" ht="15.75" customHeight="1">
      <c r="C437" s="166"/>
      <c r="D437" s="166"/>
      <c r="G437" s="312"/>
      <c r="AJ437" s="102"/>
    </row>
    <row r="438" ht="15.75" customHeight="1">
      <c r="C438" s="166"/>
      <c r="D438" s="166"/>
      <c r="G438" s="312"/>
      <c r="AJ438" s="102"/>
    </row>
    <row r="439" ht="15.75" customHeight="1">
      <c r="C439" s="166"/>
      <c r="D439" s="166"/>
      <c r="G439" s="312"/>
      <c r="AJ439" s="102"/>
    </row>
    <row r="440" ht="15.75" customHeight="1">
      <c r="C440" s="166"/>
      <c r="D440" s="166"/>
      <c r="G440" s="312"/>
      <c r="AJ440" s="102"/>
    </row>
    <row r="441" ht="15.75" customHeight="1">
      <c r="C441" s="166"/>
      <c r="D441" s="166"/>
      <c r="G441" s="312"/>
      <c r="AJ441" s="102"/>
    </row>
    <row r="442" ht="15.75" customHeight="1">
      <c r="C442" s="166"/>
      <c r="D442" s="166"/>
      <c r="G442" s="312"/>
      <c r="AJ442" s="102"/>
    </row>
    <row r="443" ht="15.75" customHeight="1">
      <c r="C443" s="166"/>
      <c r="D443" s="166"/>
      <c r="G443" s="312"/>
      <c r="AJ443" s="102"/>
    </row>
    <row r="444" ht="15.75" customHeight="1">
      <c r="C444" s="166"/>
      <c r="D444" s="166"/>
      <c r="G444" s="312"/>
      <c r="AJ444" s="102"/>
    </row>
    <row r="445" ht="15.75" customHeight="1">
      <c r="C445" s="166"/>
      <c r="D445" s="166"/>
      <c r="G445" s="312"/>
      <c r="AJ445" s="102"/>
    </row>
    <row r="446" ht="15.75" customHeight="1">
      <c r="C446" s="166"/>
      <c r="D446" s="166"/>
      <c r="G446" s="312"/>
      <c r="AJ446" s="102"/>
    </row>
    <row r="447" ht="15.75" customHeight="1">
      <c r="C447" s="166"/>
      <c r="D447" s="166"/>
      <c r="G447" s="312"/>
      <c r="AJ447" s="102"/>
    </row>
    <row r="448" ht="15.75" customHeight="1">
      <c r="C448" s="166"/>
      <c r="D448" s="166"/>
      <c r="G448" s="312"/>
      <c r="AJ448" s="102"/>
    </row>
    <row r="449" ht="15.75" customHeight="1">
      <c r="C449" s="166"/>
      <c r="D449" s="166"/>
      <c r="G449" s="312"/>
      <c r="AJ449" s="102"/>
    </row>
    <row r="450" ht="15.75" customHeight="1">
      <c r="C450" s="166"/>
      <c r="D450" s="166"/>
      <c r="G450" s="312"/>
      <c r="AJ450" s="102"/>
    </row>
    <row r="451" ht="15.75" customHeight="1">
      <c r="C451" s="166"/>
      <c r="D451" s="166"/>
      <c r="G451" s="312"/>
      <c r="AJ451" s="102"/>
    </row>
    <row r="452" ht="15.75" customHeight="1">
      <c r="C452" s="166"/>
      <c r="D452" s="166"/>
      <c r="G452" s="312"/>
      <c r="AJ452" s="102"/>
    </row>
    <row r="453" ht="15.75" customHeight="1">
      <c r="C453" s="166"/>
      <c r="D453" s="166"/>
      <c r="G453" s="312"/>
      <c r="AJ453" s="102"/>
    </row>
    <row r="454" ht="15.75" customHeight="1">
      <c r="C454" s="166"/>
      <c r="D454" s="166"/>
      <c r="G454" s="312"/>
      <c r="AJ454" s="102"/>
    </row>
    <row r="455" ht="15.75" customHeight="1">
      <c r="C455" s="166"/>
      <c r="D455" s="166"/>
      <c r="G455" s="312"/>
      <c r="AJ455" s="102"/>
    </row>
    <row r="456" ht="15.75" customHeight="1">
      <c r="C456" s="166"/>
      <c r="D456" s="166"/>
      <c r="G456" s="312"/>
      <c r="AJ456" s="102"/>
    </row>
    <row r="457" ht="15.75" customHeight="1">
      <c r="C457" s="166"/>
      <c r="D457" s="166"/>
      <c r="G457" s="312"/>
      <c r="AJ457" s="102"/>
    </row>
    <row r="458" ht="15.75" customHeight="1">
      <c r="C458" s="166"/>
      <c r="D458" s="166"/>
      <c r="G458" s="312"/>
      <c r="AJ458" s="102"/>
    </row>
    <row r="459" ht="15.75" customHeight="1">
      <c r="C459" s="166"/>
      <c r="D459" s="166"/>
      <c r="G459" s="312"/>
      <c r="AJ459" s="102"/>
    </row>
    <row r="460" ht="15.75" customHeight="1">
      <c r="C460" s="166"/>
      <c r="D460" s="166"/>
      <c r="G460" s="312"/>
      <c r="AJ460" s="102"/>
    </row>
    <row r="461" ht="15.75" customHeight="1">
      <c r="C461" s="166"/>
      <c r="D461" s="166"/>
      <c r="G461" s="312"/>
      <c r="AJ461" s="102"/>
    </row>
    <row r="462" ht="15.75" customHeight="1">
      <c r="C462" s="166"/>
      <c r="D462" s="166"/>
      <c r="G462" s="312"/>
      <c r="AJ462" s="102"/>
    </row>
    <row r="463" ht="15.75" customHeight="1">
      <c r="C463" s="166"/>
      <c r="D463" s="166"/>
      <c r="G463" s="312"/>
      <c r="AJ463" s="102"/>
    </row>
    <row r="464" ht="15.75" customHeight="1">
      <c r="C464" s="166"/>
      <c r="D464" s="166"/>
      <c r="G464" s="312"/>
      <c r="AJ464" s="102"/>
    </row>
    <row r="465" ht="15.75" customHeight="1">
      <c r="C465" s="166"/>
      <c r="D465" s="166"/>
      <c r="G465" s="312"/>
      <c r="AJ465" s="102"/>
    </row>
    <row r="466" ht="15.75" customHeight="1">
      <c r="C466" s="166"/>
      <c r="D466" s="166"/>
      <c r="G466" s="312"/>
      <c r="AJ466" s="102"/>
    </row>
    <row r="467" ht="15.75" customHeight="1">
      <c r="C467" s="166"/>
      <c r="D467" s="166"/>
      <c r="G467" s="312"/>
      <c r="AJ467" s="102"/>
    </row>
    <row r="468" ht="15.75" customHeight="1">
      <c r="C468" s="166"/>
      <c r="D468" s="166"/>
      <c r="G468" s="312"/>
      <c r="AJ468" s="102"/>
    </row>
    <row r="469" ht="15.75" customHeight="1">
      <c r="C469" s="166"/>
      <c r="D469" s="166"/>
      <c r="G469" s="312"/>
      <c r="AJ469" s="102"/>
    </row>
    <row r="470" ht="15.75" customHeight="1">
      <c r="C470" s="166"/>
      <c r="D470" s="166"/>
      <c r="G470" s="312"/>
      <c r="AJ470" s="102"/>
    </row>
    <row r="471" ht="15.75" customHeight="1">
      <c r="C471" s="166"/>
      <c r="D471" s="166"/>
      <c r="G471" s="312"/>
      <c r="AJ471" s="102"/>
    </row>
    <row r="472" ht="15.75" customHeight="1">
      <c r="C472" s="166"/>
      <c r="D472" s="166"/>
      <c r="G472" s="312"/>
      <c r="AJ472" s="102"/>
    </row>
    <row r="473" ht="15.75" customHeight="1">
      <c r="C473" s="166"/>
      <c r="D473" s="166"/>
      <c r="G473" s="312"/>
      <c r="AJ473" s="102"/>
    </row>
    <row r="474" ht="15.75" customHeight="1">
      <c r="C474" s="166"/>
      <c r="D474" s="166"/>
      <c r="G474" s="312"/>
      <c r="AJ474" s="102"/>
    </row>
    <row r="475" ht="15.75" customHeight="1">
      <c r="C475" s="166"/>
      <c r="D475" s="166"/>
      <c r="G475" s="312"/>
      <c r="AJ475" s="102"/>
    </row>
    <row r="476" ht="15.75" customHeight="1">
      <c r="C476" s="166"/>
      <c r="D476" s="166"/>
      <c r="G476" s="312"/>
      <c r="AJ476" s="102"/>
    </row>
    <row r="477" ht="15.75" customHeight="1">
      <c r="C477" s="166"/>
      <c r="D477" s="166"/>
      <c r="G477" s="312"/>
      <c r="AJ477" s="102"/>
    </row>
    <row r="478" ht="15.75" customHeight="1">
      <c r="C478" s="166"/>
      <c r="D478" s="166"/>
      <c r="G478" s="312"/>
      <c r="AJ478" s="102"/>
    </row>
    <row r="479" ht="15.75" customHeight="1">
      <c r="C479" s="166"/>
      <c r="D479" s="166"/>
      <c r="G479" s="312"/>
      <c r="AJ479" s="102"/>
    </row>
    <row r="480" ht="15.75" customHeight="1">
      <c r="C480" s="166"/>
      <c r="D480" s="166"/>
      <c r="G480" s="312"/>
      <c r="AJ480" s="102"/>
    </row>
    <row r="481" ht="15.75" customHeight="1">
      <c r="C481" s="166"/>
      <c r="D481" s="166"/>
      <c r="G481" s="312"/>
      <c r="AJ481" s="102"/>
    </row>
    <row r="482" ht="15.75" customHeight="1">
      <c r="C482" s="166"/>
      <c r="D482" s="166"/>
      <c r="G482" s="312"/>
      <c r="AJ482" s="102"/>
    </row>
    <row r="483" ht="15.75" customHeight="1">
      <c r="C483" s="166"/>
      <c r="D483" s="166"/>
      <c r="G483" s="312"/>
      <c r="AJ483" s="102"/>
    </row>
    <row r="484" ht="15.75" customHeight="1">
      <c r="C484" s="166"/>
      <c r="D484" s="166"/>
      <c r="G484" s="312"/>
      <c r="AJ484" s="102"/>
    </row>
    <row r="485" ht="15.75" customHeight="1">
      <c r="C485" s="166"/>
      <c r="D485" s="166"/>
      <c r="G485" s="312"/>
      <c r="AJ485" s="102"/>
    </row>
    <row r="486" ht="15.75" customHeight="1">
      <c r="C486" s="166"/>
      <c r="D486" s="166"/>
      <c r="G486" s="312"/>
      <c r="AJ486" s="102"/>
    </row>
    <row r="487" ht="15.75" customHeight="1">
      <c r="C487" s="166"/>
      <c r="D487" s="166"/>
      <c r="G487" s="312"/>
      <c r="AJ487" s="102"/>
    </row>
    <row r="488" ht="15.75" customHeight="1">
      <c r="C488" s="166"/>
      <c r="D488" s="166"/>
      <c r="G488" s="312"/>
      <c r="AJ488" s="102"/>
    </row>
    <row r="489" ht="15.75" customHeight="1">
      <c r="C489" s="166"/>
      <c r="D489" s="166"/>
      <c r="G489" s="312"/>
      <c r="AJ489" s="102"/>
    </row>
    <row r="490" ht="15.75" customHeight="1">
      <c r="C490" s="166"/>
      <c r="D490" s="166"/>
      <c r="G490" s="312"/>
      <c r="AJ490" s="102"/>
    </row>
    <row r="491" ht="15.75" customHeight="1">
      <c r="C491" s="166"/>
      <c r="D491" s="166"/>
      <c r="G491" s="312"/>
      <c r="AJ491" s="102"/>
    </row>
    <row r="492" ht="15.75" customHeight="1">
      <c r="C492" s="166"/>
      <c r="D492" s="166"/>
      <c r="G492" s="312"/>
      <c r="AJ492" s="102"/>
    </row>
    <row r="493" ht="15.75" customHeight="1">
      <c r="C493" s="166"/>
      <c r="D493" s="166"/>
      <c r="G493" s="312"/>
      <c r="AJ493" s="102"/>
    </row>
    <row r="494" ht="15.75" customHeight="1">
      <c r="C494" s="166"/>
      <c r="D494" s="166"/>
      <c r="G494" s="312"/>
      <c r="AJ494" s="102"/>
    </row>
    <row r="495" ht="15.75" customHeight="1">
      <c r="C495" s="166"/>
      <c r="D495" s="166"/>
      <c r="G495" s="312"/>
      <c r="AJ495" s="102"/>
    </row>
    <row r="496" ht="15.75" customHeight="1">
      <c r="C496" s="166"/>
      <c r="D496" s="166"/>
      <c r="G496" s="312"/>
      <c r="AJ496" s="102"/>
    </row>
    <row r="497" ht="15.75" customHeight="1">
      <c r="C497" s="166"/>
      <c r="D497" s="166"/>
      <c r="G497" s="312"/>
      <c r="AJ497" s="102"/>
    </row>
    <row r="498" ht="15.75" customHeight="1">
      <c r="C498" s="166"/>
      <c r="D498" s="166"/>
      <c r="G498" s="312"/>
      <c r="AJ498" s="102"/>
    </row>
    <row r="499" ht="15.75" customHeight="1">
      <c r="C499" s="166"/>
      <c r="D499" s="166"/>
      <c r="G499" s="312"/>
      <c r="AJ499" s="102"/>
    </row>
    <row r="500" ht="15.75" customHeight="1">
      <c r="C500" s="166"/>
      <c r="D500" s="166"/>
      <c r="G500" s="312"/>
      <c r="AJ500" s="102"/>
    </row>
    <row r="501" ht="15.75" customHeight="1">
      <c r="C501" s="166"/>
      <c r="D501" s="166"/>
      <c r="G501" s="312"/>
      <c r="AJ501" s="102"/>
    </row>
    <row r="502" ht="15.75" customHeight="1">
      <c r="C502" s="166"/>
      <c r="D502" s="166"/>
      <c r="G502" s="312"/>
      <c r="AJ502" s="102"/>
    </row>
    <row r="503" ht="15.75" customHeight="1">
      <c r="C503" s="166"/>
      <c r="D503" s="166"/>
      <c r="G503" s="312"/>
      <c r="AJ503" s="102"/>
    </row>
    <row r="504" ht="15.75" customHeight="1">
      <c r="C504" s="166"/>
      <c r="D504" s="166"/>
      <c r="G504" s="312"/>
      <c r="AJ504" s="102"/>
    </row>
    <row r="505" ht="15.75" customHeight="1">
      <c r="C505" s="166"/>
      <c r="D505" s="166"/>
      <c r="G505" s="312"/>
      <c r="AJ505" s="102"/>
    </row>
    <row r="506" ht="15.75" customHeight="1">
      <c r="C506" s="166"/>
      <c r="D506" s="166"/>
      <c r="G506" s="312"/>
      <c r="AJ506" s="102"/>
    </row>
    <row r="507" ht="15.75" customHeight="1">
      <c r="C507" s="166"/>
      <c r="D507" s="166"/>
      <c r="G507" s="312"/>
      <c r="AJ507" s="102"/>
    </row>
    <row r="508" ht="15.75" customHeight="1">
      <c r="C508" s="166"/>
      <c r="D508" s="166"/>
      <c r="G508" s="312"/>
      <c r="AJ508" s="102"/>
    </row>
    <row r="509" ht="15.75" customHeight="1">
      <c r="C509" s="166"/>
      <c r="D509" s="166"/>
      <c r="G509" s="312"/>
      <c r="AJ509" s="102"/>
    </row>
    <row r="510" ht="15.75" customHeight="1">
      <c r="C510" s="166"/>
      <c r="D510" s="166"/>
      <c r="G510" s="312"/>
      <c r="AJ510" s="102"/>
    </row>
    <row r="511" ht="15.75" customHeight="1">
      <c r="C511" s="166"/>
      <c r="D511" s="166"/>
      <c r="G511" s="312"/>
      <c r="AJ511" s="102"/>
    </row>
    <row r="512" ht="15.75" customHeight="1">
      <c r="C512" s="166"/>
      <c r="D512" s="166"/>
      <c r="G512" s="312"/>
      <c r="AJ512" s="102"/>
    </row>
    <row r="513" ht="15.75" customHeight="1">
      <c r="C513" s="166"/>
      <c r="D513" s="166"/>
      <c r="G513" s="312"/>
      <c r="AJ513" s="102"/>
    </row>
    <row r="514" ht="15.75" customHeight="1">
      <c r="C514" s="166"/>
      <c r="D514" s="166"/>
      <c r="G514" s="312"/>
      <c r="AJ514" s="102"/>
    </row>
    <row r="515" ht="15.75" customHeight="1">
      <c r="C515" s="166"/>
      <c r="D515" s="166"/>
      <c r="G515" s="312"/>
      <c r="AJ515" s="102"/>
    </row>
    <row r="516" ht="15.75" customHeight="1">
      <c r="C516" s="166"/>
      <c r="D516" s="166"/>
      <c r="G516" s="312"/>
      <c r="AJ516" s="102"/>
    </row>
    <row r="517" ht="15.75" customHeight="1">
      <c r="C517" s="166"/>
      <c r="D517" s="166"/>
      <c r="G517" s="312"/>
      <c r="AJ517" s="102"/>
    </row>
    <row r="518" ht="15.75" customHeight="1">
      <c r="C518" s="166"/>
      <c r="D518" s="166"/>
      <c r="G518" s="312"/>
      <c r="AJ518" s="102"/>
    </row>
    <row r="519" ht="15.75" customHeight="1">
      <c r="C519" s="166"/>
      <c r="D519" s="166"/>
      <c r="G519" s="312"/>
      <c r="AJ519" s="102"/>
    </row>
    <row r="520" ht="15.75" customHeight="1">
      <c r="C520" s="166"/>
      <c r="D520" s="166"/>
      <c r="G520" s="312"/>
      <c r="AJ520" s="102"/>
    </row>
    <row r="521" ht="15.75" customHeight="1">
      <c r="C521" s="166"/>
      <c r="D521" s="166"/>
      <c r="G521" s="312"/>
      <c r="AJ521" s="102"/>
    </row>
    <row r="522" ht="15.75" customHeight="1">
      <c r="C522" s="166"/>
      <c r="D522" s="166"/>
      <c r="G522" s="312"/>
      <c r="AJ522" s="102"/>
    </row>
    <row r="523" ht="15.75" customHeight="1">
      <c r="C523" s="166"/>
      <c r="D523" s="166"/>
      <c r="G523" s="312"/>
      <c r="AJ523" s="102"/>
    </row>
    <row r="524" ht="15.75" customHeight="1">
      <c r="C524" s="166"/>
      <c r="D524" s="166"/>
      <c r="G524" s="312"/>
      <c r="AJ524" s="102"/>
    </row>
    <row r="525" ht="15.75" customHeight="1">
      <c r="C525" s="166"/>
      <c r="D525" s="166"/>
      <c r="G525" s="312"/>
      <c r="AJ525" s="102"/>
    </row>
    <row r="526" ht="15.75" customHeight="1">
      <c r="C526" s="166"/>
      <c r="D526" s="166"/>
      <c r="G526" s="312"/>
      <c r="AJ526" s="102"/>
    </row>
    <row r="527" ht="15.75" customHeight="1">
      <c r="C527" s="166"/>
      <c r="D527" s="166"/>
      <c r="G527" s="312"/>
      <c r="AJ527" s="102"/>
    </row>
    <row r="528" ht="15.75" customHeight="1">
      <c r="C528" s="166"/>
      <c r="D528" s="166"/>
      <c r="G528" s="312"/>
      <c r="AJ528" s="102"/>
    </row>
    <row r="529" ht="15.75" customHeight="1">
      <c r="C529" s="166"/>
      <c r="D529" s="166"/>
      <c r="G529" s="312"/>
      <c r="AJ529" s="102"/>
    </row>
    <row r="530" ht="15.75" customHeight="1">
      <c r="C530" s="166"/>
      <c r="D530" s="166"/>
      <c r="G530" s="312"/>
      <c r="AJ530" s="102"/>
    </row>
    <row r="531" ht="15.75" customHeight="1">
      <c r="C531" s="166"/>
      <c r="D531" s="166"/>
      <c r="G531" s="312"/>
      <c r="AJ531" s="102"/>
    </row>
    <row r="532" ht="15.75" customHeight="1">
      <c r="C532" s="166"/>
      <c r="D532" s="166"/>
      <c r="G532" s="312"/>
      <c r="AJ532" s="102"/>
    </row>
    <row r="533" ht="15.75" customHeight="1">
      <c r="C533" s="166"/>
      <c r="D533" s="166"/>
      <c r="G533" s="312"/>
      <c r="AJ533" s="102"/>
    </row>
    <row r="534" ht="15.75" customHeight="1">
      <c r="C534" s="166"/>
      <c r="D534" s="166"/>
      <c r="G534" s="312"/>
      <c r="AJ534" s="102"/>
    </row>
    <row r="535" ht="15.75" customHeight="1">
      <c r="C535" s="166"/>
      <c r="D535" s="166"/>
      <c r="G535" s="312"/>
      <c r="AJ535" s="102"/>
    </row>
    <row r="536" ht="15.75" customHeight="1">
      <c r="C536" s="166"/>
      <c r="D536" s="166"/>
      <c r="G536" s="312"/>
      <c r="AJ536" s="102"/>
    </row>
    <row r="537" ht="15.75" customHeight="1">
      <c r="C537" s="166"/>
      <c r="D537" s="166"/>
      <c r="G537" s="312"/>
      <c r="AJ537" s="102"/>
    </row>
    <row r="538" ht="15.75" customHeight="1">
      <c r="C538" s="166"/>
      <c r="D538" s="166"/>
      <c r="G538" s="312"/>
      <c r="AJ538" s="102"/>
    </row>
    <row r="539" ht="15.75" customHeight="1">
      <c r="C539" s="166"/>
      <c r="D539" s="166"/>
      <c r="G539" s="312"/>
      <c r="AJ539" s="102"/>
    </row>
    <row r="540" ht="15.75" customHeight="1">
      <c r="C540" s="166"/>
      <c r="D540" s="166"/>
      <c r="G540" s="312"/>
      <c r="AJ540" s="102"/>
    </row>
    <row r="541" ht="15.75" customHeight="1">
      <c r="C541" s="166"/>
      <c r="D541" s="166"/>
      <c r="G541" s="312"/>
      <c r="AJ541" s="102"/>
    </row>
    <row r="542" ht="15.75" customHeight="1">
      <c r="C542" s="166"/>
      <c r="D542" s="166"/>
      <c r="G542" s="312"/>
      <c r="AJ542" s="102"/>
    </row>
    <row r="543" ht="15.75" customHeight="1">
      <c r="C543" s="166"/>
      <c r="D543" s="166"/>
      <c r="G543" s="312"/>
      <c r="AJ543" s="102"/>
    </row>
    <row r="544" ht="15.75" customHeight="1">
      <c r="C544" s="166"/>
      <c r="D544" s="166"/>
      <c r="G544" s="312"/>
      <c r="AJ544" s="102"/>
    </row>
    <row r="545" ht="15.75" customHeight="1">
      <c r="C545" s="166"/>
      <c r="D545" s="166"/>
      <c r="G545" s="312"/>
      <c r="AJ545" s="102"/>
    </row>
    <row r="546" ht="15.75" customHeight="1">
      <c r="C546" s="166"/>
      <c r="D546" s="166"/>
      <c r="G546" s="312"/>
      <c r="AJ546" s="102"/>
    </row>
    <row r="547" ht="15.75" customHeight="1">
      <c r="C547" s="166"/>
      <c r="D547" s="166"/>
      <c r="G547" s="312"/>
      <c r="AJ547" s="102"/>
    </row>
    <row r="548" ht="15.75" customHeight="1">
      <c r="C548" s="166"/>
      <c r="D548" s="166"/>
      <c r="G548" s="312"/>
      <c r="AJ548" s="102"/>
    </row>
    <row r="549" ht="15.75" customHeight="1">
      <c r="C549" s="166"/>
      <c r="D549" s="166"/>
      <c r="G549" s="312"/>
      <c r="AJ549" s="102"/>
    </row>
    <row r="550" ht="15.75" customHeight="1">
      <c r="C550" s="166"/>
      <c r="D550" s="166"/>
      <c r="G550" s="312"/>
      <c r="AJ550" s="102"/>
    </row>
    <row r="551" ht="15.75" customHeight="1">
      <c r="C551" s="166"/>
      <c r="D551" s="166"/>
      <c r="G551" s="312"/>
      <c r="AJ551" s="102"/>
    </row>
    <row r="552" ht="15.75" customHeight="1">
      <c r="C552" s="166"/>
      <c r="D552" s="166"/>
      <c r="G552" s="312"/>
      <c r="AJ552" s="102"/>
    </row>
    <row r="553" ht="15.75" customHeight="1">
      <c r="C553" s="166"/>
      <c r="D553" s="166"/>
      <c r="G553" s="312"/>
      <c r="AJ553" s="102"/>
    </row>
    <row r="554" ht="15.75" customHeight="1">
      <c r="C554" s="166"/>
      <c r="D554" s="166"/>
      <c r="G554" s="312"/>
      <c r="AJ554" s="102"/>
    </row>
    <row r="555" ht="15.75" customHeight="1">
      <c r="C555" s="166"/>
      <c r="D555" s="166"/>
      <c r="G555" s="312"/>
      <c r="AJ555" s="102"/>
    </row>
    <row r="556" ht="15.75" customHeight="1">
      <c r="C556" s="166"/>
      <c r="D556" s="166"/>
      <c r="G556" s="312"/>
      <c r="AJ556" s="102"/>
    </row>
    <row r="557" ht="15.75" customHeight="1">
      <c r="C557" s="166"/>
      <c r="D557" s="166"/>
      <c r="G557" s="312"/>
      <c r="AJ557" s="102"/>
    </row>
    <row r="558" ht="15.75" customHeight="1">
      <c r="C558" s="166"/>
      <c r="D558" s="166"/>
      <c r="G558" s="312"/>
      <c r="AJ558" s="102"/>
    </row>
    <row r="559" ht="15.75" customHeight="1">
      <c r="C559" s="166"/>
      <c r="D559" s="166"/>
      <c r="G559" s="312"/>
      <c r="AJ559" s="102"/>
    </row>
    <row r="560" ht="15.75" customHeight="1">
      <c r="C560" s="166"/>
      <c r="D560" s="166"/>
      <c r="G560" s="312"/>
      <c r="AJ560" s="102"/>
    </row>
    <row r="561" ht="15.75" customHeight="1">
      <c r="C561" s="166"/>
      <c r="D561" s="166"/>
      <c r="G561" s="312"/>
      <c r="AJ561" s="102"/>
    </row>
    <row r="562" ht="15.75" customHeight="1">
      <c r="C562" s="166"/>
      <c r="D562" s="166"/>
      <c r="G562" s="312"/>
      <c r="AJ562" s="102"/>
    </row>
    <row r="563" ht="15.75" customHeight="1">
      <c r="C563" s="166"/>
      <c r="D563" s="166"/>
      <c r="G563" s="312"/>
      <c r="AJ563" s="102"/>
    </row>
    <row r="564" ht="15.75" customHeight="1">
      <c r="C564" s="166"/>
      <c r="D564" s="166"/>
      <c r="G564" s="312"/>
      <c r="AJ564" s="102"/>
    </row>
    <row r="565" ht="15.75" customHeight="1">
      <c r="C565" s="166"/>
      <c r="D565" s="166"/>
      <c r="G565" s="312"/>
      <c r="AJ565" s="102"/>
    </row>
    <row r="566" ht="15.75" customHeight="1">
      <c r="C566" s="166"/>
      <c r="D566" s="166"/>
      <c r="G566" s="312"/>
      <c r="AJ566" s="102"/>
    </row>
    <row r="567" ht="15.75" customHeight="1">
      <c r="C567" s="166"/>
      <c r="D567" s="166"/>
      <c r="G567" s="312"/>
      <c r="AJ567" s="102"/>
    </row>
    <row r="568" ht="15.75" customHeight="1">
      <c r="C568" s="166"/>
      <c r="D568" s="166"/>
      <c r="G568" s="312"/>
      <c r="AJ568" s="102"/>
    </row>
    <row r="569" ht="15.75" customHeight="1">
      <c r="C569" s="166"/>
      <c r="D569" s="166"/>
      <c r="G569" s="312"/>
      <c r="AJ569" s="102"/>
    </row>
    <row r="570" ht="15.75" customHeight="1">
      <c r="C570" s="166"/>
      <c r="D570" s="166"/>
      <c r="G570" s="312"/>
      <c r="AJ570" s="102"/>
    </row>
    <row r="571" ht="15.75" customHeight="1">
      <c r="C571" s="166"/>
      <c r="D571" s="166"/>
      <c r="G571" s="312"/>
      <c r="AJ571" s="102"/>
    </row>
    <row r="572" ht="15.75" customHeight="1">
      <c r="C572" s="166"/>
      <c r="D572" s="166"/>
      <c r="G572" s="312"/>
      <c r="AJ572" s="102"/>
    </row>
    <row r="573" ht="15.75" customHeight="1">
      <c r="C573" s="166"/>
      <c r="D573" s="166"/>
      <c r="G573" s="312"/>
      <c r="AJ573" s="102"/>
    </row>
    <row r="574" ht="15.75" customHeight="1">
      <c r="C574" s="166"/>
      <c r="D574" s="166"/>
      <c r="G574" s="312"/>
      <c r="AJ574" s="102"/>
    </row>
    <row r="575" ht="15.75" customHeight="1">
      <c r="C575" s="166"/>
      <c r="D575" s="166"/>
      <c r="G575" s="312"/>
      <c r="AJ575" s="102"/>
    </row>
    <row r="576" ht="15.75" customHeight="1">
      <c r="C576" s="166"/>
      <c r="D576" s="166"/>
      <c r="G576" s="312"/>
      <c r="AJ576" s="102"/>
    </row>
    <row r="577" ht="15.75" customHeight="1">
      <c r="C577" s="166"/>
      <c r="D577" s="166"/>
      <c r="G577" s="312"/>
      <c r="AJ577" s="102"/>
    </row>
    <row r="578" ht="15.75" customHeight="1">
      <c r="C578" s="166"/>
      <c r="D578" s="166"/>
      <c r="G578" s="312"/>
      <c r="AJ578" s="102"/>
    </row>
    <row r="579" ht="15.75" customHeight="1">
      <c r="C579" s="166"/>
      <c r="D579" s="166"/>
      <c r="G579" s="312"/>
      <c r="AJ579" s="102"/>
    </row>
    <row r="580" ht="15.75" customHeight="1">
      <c r="C580" s="166"/>
      <c r="D580" s="166"/>
      <c r="G580" s="312"/>
      <c r="AJ580" s="102"/>
    </row>
    <row r="581" ht="15.75" customHeight="1">
      <c r="C581" s="166"/>
      <c r="D581" s="166"/>
      <c r="G581" s="312"/>
      <c r="AJ581" s="102"/>
    </row>
    <row r="582" ht="15.75" customHeight="1">
      <c r="C582" s="166"/>
      <c r="D582" s="166"/>
      <c r="G582" s="312"/>
      <c r="AJ582" s="102"/>
    </row>
    <row r="583" ht="15.75" customHeight="1">
      <c r="C583" s="166"/>
      <c r="D583" s="166"/>
      <c r="G583" s="312"/>
      <c r="AJ583" s="102"/>
    </row>
    <row r="584" ht="15.75" customHeight="1">
      <c r="C584" s="166"/>
      <c r="D584" s="166"/>
      <c r="G584" s="312"/>
      <c r="AJ584" s="102"/>
    </row>
    <row r="585" ht="15.75" customHeight="1">
      <c r="C585" s="166"/>
      <c r="D585" s="166"/>
      <c r="G585" s="312"/>
      <c r="AJ585" s="102"/>
    </row>
    <row r="586" ht="15.75" customHeight="1">
      <c r="C586" s="166"/>
      <c r="D586" s="166"/>
      <c r="G586" s="312"/>
      <c r="AJ586" s="102"/>
    </row>
    <row r="587" ht="15.75" customHeight="1">
      <c r="C587" s="166"/>
      <c r="D587" s="166"/>
      <c r="G587" s="312"/>
      <c r="AJ587" s="102"/>
    </row>
    <row r="588" ht="15.75" customHeight="1">
      <c r="C588" s="166"/>
      <c r="D588" s="166"/>
      <c r="G588" s="312"/>
      <c r="AJ588" s="102"/>
    </row>
    <row r="589" ht="15.75" customHeight="1">
      <c r="C589" s="166"/>
      <c r="D589" s="166"/>
      <c r="G589" s="312"/>
      <c r="AJ589" s="102"/>
    </row>
    <row r="590" ht="15.75" customHeight="1">
      <c r="C590" s="166"/>
      <c r="D590" s="166"/>
      <c r="G590" s="312"/>
      <c r="AJ590" s="102"/>
    </row>
    <row r="591" ht="15.75" customHeight="1">
      <c r="C591" s="166"/>
      <c r="D591" s="166"/>
      <c r="G591" s="312"/>
      <c r="AJ591" s="102"/>
    </row>
    <row r="592" ht="15.75" customHeight="1">
      <c r="C592" s="166"/>
      <c r="D592" s="166"/>
      <c r="G592" s="312"/>
      <c r="AJ592" s="102"/>
    </row>
    <row r="593" ht="15.75" customHeight="1">
      <c r="C593" s="166"/>
      <c r="D593" s="166"/>
      <c r="G593" s="312"/>
      <c r="AJ593" s="102"/>
    </row>
    <row r="594" ht="15.75" customHeight="1">
      <c r="C594" s="166"/>
      <c r="D594" s="166"/>
      <c r="G594" s="312"/>
      <c r="AJ594" s="102"/>
    </row>
    <row r="595" ht="15.75" customHeight="1">
      <c r="C595" s="166"/>
      <c r="D595" s="166"/>
      <c r="G595" s="312"/>
      <c r="AJ595" s="102"/>
    </row>
    <row r="596" ht="15.75" customHeight="1">
      <c r="C596" s="166"/>
      <c r="D596" s="166"/>
      <c r="G596" s="312"/>
      <c r="AJ596" s="102"/>
    </row>
    <row r="597" ht="15.75" customHeight="1">
      <c r="C597" s="166"/>
      <c r="D597" s="166"/>
      <c r="G597" s="312"/>
      <c r="AJ597" s="102"/>
    </row>
    <row r="598" ht="15.75" customHeight="1">
      <c r="C598" s="166"/>
      <c r="D598" s="166"/>
      <c r="G598" s="312"/>
      <c r="AJ598" s="102"/>
    </row>
    <row r="599" ht="15.75" customHeight="1">
      <c r="C599" s="166"/>
      <c r="D599" s="166"/>
      <c r="G599" s="312"/>
      <c r="AJ599" s="102"/>
    </row>
    <row r="600" ht="15.75" customHeight="1">
      <c r="C600" s="166"/>
      <c r="D600" s="166"/>
      <c r="G600" s="312"/>
      <c r="AJ600" s="102"/>
    </row>
    <row r="601" ht="15.75" customHeight="1">
      <c r="C601" s="166"/>
      <c r="D601" s="166"/>
      <c r="G601" s="312"/>
      <c r="AJ601" s="102"/>
    </row>
    <row r="602" ht="15.75" customHeight="1">
      <c r="C602" s="166"/>
      <c r="D602" s="166"/>
      <c r="G602" s="312"/>
      <c r="AJ602" s="102"/>
    </row>
    <row r="603" ht="15.75" customHeight="1">
      <c r="C603" s="166"/>
      <c r="D603" s="166"/>
      <c r="G603" s="312"/>
      <c r="AJ603" s="102"/>
    </row>
    <row r="604" ht="15.75" customHeight="1">
      <c r="C604" s="166"/>
      <c r="D604" s="166"/>
      <c r="G604" s="312"/>
      <c r="AJ604" s="102"/>
    </row>
    <row r="605" ht="15.75" customHeight="1">
      <c r="C605" s="166"/>
      <c r="D605" s="166"/>
      <c r="G605" s="312"/>
      <c r="AJ605" s="102"/>
    </row>
    <row r="606" ht="15.75" customHeight="1">
      <c r="C606" s="166"/>
      <c r="D606" s="166"/>
      <c r="G606" s="312"/>
      <c r="AJ606" s="102"/>
    </row>
    <row r="607" ht="15.75" customHeight="1">
      <c r="C607" s="166"/>
      <c r="D607" s="166"/>
      <c r="G607" s="312"/>
      <c r="AJ607" s="102"/>
    </row>
    <row r="608" ht="15.75" customHeight="1">
      <c r="C608" s="166"/>
      <c r="D608" s="166"/>
      <c r="G608" s="312"/>
      <c r="AJ608" s="102"/>
    </row>
    <row r="609" ht="15.75" customHeight="1">
      <c r="C609" s="166"/>
      <c r="D609" s="166"/>
      <c r="G609" s="312"/>
      <c r="AJ609" s="102"/>
    </row>
    <row r="610" ht="15.75" customHeight="1">
      <c r="C610" s="166"/>
      <c r="D610" s="166"/>
      <c r="G610" s="312"/>
      <c r="AJ610" s="102"/>
    </row>
    <row r="611" ht="15.75" customHeight="1">
      <c r="C611" s="166"/>
      <c r="D611" s="166"/>
      <c r="G611" s="312"/>
      <c r="AJ611" s="102"/>
    </row>
    <row r="612" ht="15.75" customHeight="1">
      <c r="C612" s="166"/>
      <c r="D612" s="166"/>
      <c r="G612" s="312"/>
      <c r="AJ612" s="102"/>
    </row>
    <row r="613" ht="15.75" customHeight="1">
      <c r="C613" s="166"/>
      <c r="D613" s="166"/>
      <c r="G613" s="312"/>
      <c r="AJ613" s="102"/>
    </row>
    <row r="614" ht="15.75" customHeight="1">
      <c r="C614" s="166"/>
      <c r="D614" s="166"/>
      <c r="G614" s="312"/>
      <c r="AJ614" s="102"/>
    </row>
    <row r="615" ht="15.75" customHeight="1">
      <c r="C615" s="166"/>
      <c r="D615" s="166"/>
      <c r="G615" s="312"/>
      <c r="AJ615" s="102"/>
    </row>
    <row r="616" ht="15.75" customHeight="1">
      <c r="C616" s="166"/>
      <c r="D616" s="166"/>
      <c r="G616" s="312"/>
      <c r="AJ616" s="102"/>
    </row>
    <row r="617" ht="15.75" customHeight="1">
      <c r="C617" s="166"/>
      <c r="D617" s="166"/>
      <c r="G617" s="312"/>
      <c r="AJ617" s="102"/>
    </row>
    <row r="618" ht="15.75" customHeight="1">
      <c r="C618" s="166"/>
      <c r="D618" s="166"/>
      <c r="G618" s="312"/>
      <c r="AJ618" s="102"/>
    </row>
    <row r="619" ht="15.75" customHeight="1">
      <c r="C619" s="166"/>
      <c r="D619" s="166"/>
      <c r="G619" s="312"/>
      <c r="AJ619" s="102"/>
    </row>
    <row r="620" ht="15.75" customHeight="1">
      <c r="C620" s="166"/>
      <c r="D620" s="166"/>
      <c r="G620" s="312"/>
      <c r="AJ620" s="102"/>
    </row>
    <row r="621" ht="15.75" customHeight="1">
      <c r="C621" s="166"/>
      <c r="D621" s="166"/>
      <c r="G621" s="312"/>
      <c r="AJ621" s="102"/>
    </row>
    <row r="622" ht="15.75" customHeight="1">
      <c r="C622" s="166"/>
      <c r="D622" s="166"/>
      <c r="G622" s="312"/>
      <c r="AJ622" s="102"/>
    </row>
    <row r="623" ht="15.75" customHeight="1">
      <c r="C623" s="166"/>
      <c r="D623" s="166"/>
      <c r="G623" s="312"/>
      <c r="AJ623" s="102"/>
    </row>
    <row r="624" ht="15.75" customHeight="1">
      <c r="C624" s="166"/>
      <c r="D624" s="166"/>
      <c r="G624" s="312"/>
      <c r="AJ624" s="102"/>
    </row>
    <row r="625" ht="15.75" customHeight="1">
      <c r="C625" s="166"/>
      <c r="D625" s="166"/>
      <c r="G625" s="312"/>
      <c r="AJ625" s="102"/>
    </row>
    <row r="626" ht="15.75" customHeight="1">
      <c r="C626" s="166"/>
      <c r="D626" s="166"/>
      <c r="G626" s="312"/>
      <c r="AJ626" s="102"/>
    </row>
    <row r="627" ht="15.75" customHeight="1">
      <c r="C627" s="166"/>
      <c r="D627" s="166"/>
      <c r="G627" s="312"/>
      <c r="AJ627" s="102"/>
    </row>
    <row r="628" ht="15.75" customHeight="1">
      <c r="C628" s="166"/>
      <c r="D628" s="166"/>
      <c r="G628" s="312"/>
      <c r="AJ628" s="102"/>
    </row>
    <row r="629" ht="15.75" customHeight="1">
      <c r="C629" s="166"/>
      <c r="D629" s="166"/>
      <c r="G629" s="312"/>
      <c r="AJ629" s="102"/>
    </row>
    <row r="630" ht="15.75" customHeight="1">
      <c r="C630" s="166"/>
      <c r="D630" s="166"/>
      <c r="G630" s="312"/>
      <c r="AJ630" s="102"/>
    </row>
    <row r="631" ht="15.75" customHeight="1">
      <c r="C631" s="166"/>
      <c r="D631" s="166"/>
      <c r="G631" s="312"/>
      <c r="AJ631" s="102"/>
    </row>
    <row r="632" ht="15.75" customHeight="1">
      <c r="C632" s="166"/>
      <c r="D632" s="166"/>
      <c r="G632" s="312"/>
      <c r="AJ632" s="102"/>
    </row>
    <row r="633" ht="15.75" customHeight="1">
      <c r="C633" s="166"/>
      <c r="D633" s="166"/>
      <c r="G633" s="312"/>
      <c r="AJ633" s="102"/>
    </row>
    <row r="634" ht="15.75" customHeight="1">
      <c r="C634" s="166"/>
      <c r="D634" s="166"/>
      <c r="G634" s="312"/>
      <c r="AJ634" s="102"/>
    </row>
    <row r="635" ht="15.75" customHeight="1">
      <c r="C635" s="166"/>
      <c r="D635" s="166"/>
      <c r="G635" s="312"/>
      <c r="AJ635" s="102"/>
    </row>
    <row r="636" ht="15.75" customHeight="1">
      <c r="C636" s="166"/>
      <c r="D636" s="166"/>
      <c r="G636" s="312"/>
      <c r="AJ636" s="102"/>
    </row>
    <row r="637" ht="15.75" customHeight="1">
      <c r="C637" s="166"/>
      <c r="D637" s="166"/>
      <c r="G637" s="312"/>
      <c r="AJ637" s="102"/>
    </row>
    <row r="638" ht="15.75" customHeight="1">
      <c r="C638" s="166"/>
      <c r="D638" s="166"/>
      <c r="G638" s="312"/>
      <c r="AJ638" s="102"/>
    </row>
    <row r="639" ht="15.75" customHeight="1">
      <c r="C639" s="166"/>
      <c r="D639" s="166"/>
      <c r="G639" s="312"/>
      <c r="AJ639" s="102"/>
    </row>
    <row r="640" ht="15.75" customHeight="1">
      <c r="C640" s="166"/>
      <c r="D640" s="166"/>
      <c r="G640" s="312"/>
      <c r="AJ640" s="102"/>
    </row>
    <row r="641" ht="15.75" customHeight="1">
      <c r="C641" s="166"/>
      <c r="D641" s="166"/>
      <c r="G641" s="312"/>
      <c r="AJ641" s="102"/>
    </row>
    <row r="642" ht="15.75" customHeight="1">
      <c r="C642" s="166"/>
      <c r="D642" s="166"/>
      <c r="G642" s="312"/>
      <c r="AJ642" s="102"/>
    </row>
    <row r="643" ht="15.75" customHeight="1">
      <c r="C643" s="166"/>
      <c r="D643" s="166"/>
      <c r="G643" s="312"/>
      <c r="AJ643" s="102"/>
    </row>
    <row r="644" ht="15.75" customHeight="1">
      <c r="C644" s="166"/>
      <c r="D644" s="166"/>
      <c r="G644" s="312"/>
      <c r="AJ644" s="102"/>
    </row>
    <row r="645" ht="15.75" customHeight="1">
      <c r="C645" s="166"/>
      <c r="D645" s="166"/>
      <c r="G645" s="312"/>
      <c r="AJ645" s="102"/>
    </row>
    <row r="646" ht="15.75" customHeight="1">
      <c r="C646" s="166"/>
      <c r="D646" s="166"/>
      <c r="G646" s="312"/>
      <c r="AJ646" s="102"/>
    </row>
    <row r="647" ht="15.75" customHeight="1">
      <c r="C647" s="166"/>
      <c r="D647" s="166"/>
      <c r="G647" s="312"/>
      <c r="AJ647" s="102"/>
    </row>
    <row r="648" ht="15.75" customHeight="1">
      <c r="C648" s="166"/>
      <c r="D648" s="166"/>
      <c r="G648" s="312"/>
      <c r="AJ648" s="102"/>
    </row>
    <row r="649" ht="15.75" customHeight="1">
      <c r="C649" s="166"/>
      <c r="D649" s="166"/>
      <c r="G649" s="312"/>
      <c r="AJ649" s="102"/>
    </row>
    <row r="650" ht="15.75" customHeight="1">
      <c r="C650" s="166"/>
      <c r="D650" s="166"/>
      <c r="G650" s="312"/>
      <c r="AJ650" s="102"/>
    </row>
    <row r="651" ht="15.75" customHeight="1">
      <c r="C651" s="166"/>
      <c r="D651" s="166"/>
      <c r="G651" s="312"/>
      <c r="AJ651" s="102"/>
    </row>
    <row r="652" ht="15.75" customHeight="1">
      <c r="C652" s="166"/>
      <c r="D652" s="166"/>
      <c r="G652" s="312"/>
      <c r="AJ652" s="102"/>
    </row>
    <row r="653" ht="15.75" customHeight="1">
      <c r="C653" s="166"/>
      <c r="D653" s="166"/>
      <c r="G653" s="312"/>
      <c r="AJ653" s="102"/>
    </row>
    <row r="654" ht="15.75" customHeight="1">
      <c r="C654" s="166"/>
      <c r="D654" s="166"/>
      <c r="G654" s="312"/>
      <c r="AJ654" s="102"/>
    </row>
    <row r="655" ht="15.75" customHeight="1">
      <c r="C655" s="166"/>
      <c r="D655" s="166"/>
      <c r="G655" s="312"/>
      <c r="AJ655" s="102"/>
    </row>
    <row r="656" ht="15.75" customHeight="1">
      <c r="C656" s="166"/>
      <c r="D656" s="166"/>
      <c r="G656" s="312"/>
      <c r="AJ656" s="102"/>
    </row>
    <row r="657" ht="15.75" customHeight="1">
      <c r="C657" s="166"/>
      <c r="D657" s="166"/>
      <c r="G657" s="312"/>
      <c r="AJ657" s="102"/>
    </row>
    <row r="658" ht="15.75" customHeight="1">
      <c r="C658" s="166"/>
      <c r="D658" s="166"/>
      <c r="G658" s="312"/>
      <c r="AJ658" s="102"/>
    </row>
    <row r="659" ht="15.75" customHeight="1">
      <c r="C659" s="166"/>
      <c r="D659" s="166"/>
      <c r="G659" s="312"/>
      <c r="AJ659" s="102"/>
    </row>
    <row r="660" ht="15.75" customHeight="1">
      <c r="C660" s="166"/>
      <c r="D660" s="166"/>
      <c r="G660" s="312"/>
      <c r="AJ660" s="102"/>
    </row>
    <row r="661" ht="15.75" customHeight="1">
      <c r="C661" s="166"/>
      <c r="D661" s="166"/>
      <c r="G661" s="312"/>
      <c r="AJ661" s="102"/>
    </row>
    <row r="662" ht="15.75" customHeight="1">
      <c r="C662" s="166"/>
      <c r="D662" s="166"/>
      <c r="G662" s="312"/>
      <c r="AJ662" s="102"/>
    </row>
    <row r="663" ht="15.75" customHeight="1">
      <c r="C663" s="166"/>
      <c r="D663" s="166"/>
      <c r="G663" s="312"/>
      <c r="AJ663" s="102"/>
    </row>
    <row r="664" ht="15.75" customHeight="1">
      <c r="C664" s="166"/>
      <c r="D664" s="166"/>
      <c r="G664" s="312"/>
      <c r="AJ664" s="102"/>
    </row>
    <row r="665" ht="15.75" customHeight="1">
      <c r="C665" s="166"/>
      <c r="D665" s="166"/>
      <c r="G665" s="312"/>
      <c r="AJ665" s="102"/>
    </row>
    <row r="666" ht="15.75" customHeight="1">
      <c r="C666" s="166"/>
      <c r="D666" s="166"/>
      <c r="G666" s="312"/>
      <c r="AJ666" s="102"/>
    </row>
    <row r="667" ht="15.75" customHeight="1">
      <c r="C667" s="166"/>
      <c r="D667" s="166"/>
      <c r="G667" s="312"/>
      <c r="AJ667" s="102"/>
    </row>
    <row r="668" ht="15.75" customHeight="1">
      <c r="C668" s="166"/>
      <c r="D668" s="166"/>
      <c r="G668" s="312"/>
      <c r="AJ668" s="102"/>
    </row>
    <row r="669" ht="15.75" customHeight="1">
      <c r="C669" s="166"/>
      <c r="D669" s="166"/>
      <c r="G669" s="312"/>
      <c r="AJ669" s="102"/>
    </row>
    <row r="670" ht="15.75" customHeight="1">
      <c r="C670" s="166"/>
      <c r="D670" s="166"/>
      <c r="G670" s="312"/>
      <c r="AJ670" s="102"/>
    </row>
    <row r="671" ht="15.75" customHeight="1">
      <c r="C671" s="166"/>
      <c r="D671" s="166"/>
      <c r="G671" s="312"/>
      <c r="AJ671" s="102"/>
    </row>
    <row r="672" ht="15.75" customHeight="1">
      <c r="C672" s="166"/>
      <c r="D672" s="166"/>
      <c r="G672" s="312"/>
      <c r="AJ672" s="102"/>
    </row>
    <row r="673" ht="15.75" customHeight="1">
      <c r="C673" s="166"/>
      <c r="D673" s="166"/>
      <c r="G673" s="312"/>
      <c r="AJ673" s="102"/>
    </row>
    <row r="674" ht="15.75" customHeight="1">
      <c r="C674" s="166"/>
      <c r="D674" s="166"/>
      <c r="G674" s="312"/>
      <c r="AJ674" s="102"/>
    </row>
    <row r="675" ht="15.75" customHeight="1">
      <c r="C675" s="166"/>
      <c r="D675" s="166"/>
      <c r="G675" s="312"/>
      <c r="AJ675" s="102"/>
    </row>
    <row r="676" ht="15.75" customHeight="1">
      <c r="C676" s="166"/>
      <c r="D676" s="166"/>
      <c r="G676" s="312"/>
      <c r="AJ676" s="102"/>
    </row>
    <row r="677" ht="15.75" customHeight="1">
      <c r="C677" s="166"/>
      <c r="D677" s="166"/>
      <c r="G677" s="312"/>
      <c r="AJ677" s="102"/>
    </row>
    <row r="678" ht="15.75" customHeight="1">
      <c r="C678" s="166"/>
      <c r="D678" s="166"/>
      <c r="G678" s="312"/>
      <c r="AJ678" s="102"/>
    </row>
    <row r="679" ht="15.75" customHeight="1">
      <c r="C679" s="166"/>
      <c r="D679" s="166"/>
      <c r="G679" s="312"/>
      <c r="AJ679" s="102"/>
    </row>
    <row r="680" ht="15.75" customHeight="1">
      <c r="C680" s="166"/>
      <c r="D680" s="166"/>
      <c r="G680" s="312"/>
      <c r="AJ680" s="102"/>
    </row>
    <row r="681" ht="15.75" customHeight="1">
      <c r="C681" s="166"/>
      <c r="D681" s="166"/>
      <c r="G681" s="312"/>
      <c r="AJ681" s="102"/>
    </row>
    <row r="682" ht="15.75" customHeight="1">
      <c r="C682" s="166"/>
      <c r="D682" s="166"/>
      <c r="G682" s="312"/>
      <c r="AJ682" s="102"/>
    </row>
    <row r="683" ht="15.75" customHeight="1">
      <c r="C683" s="166"/>
      <c r="D683" s="166"/>
      <c r="G683" s="312"/>
      <c r="AJ683" s="102"/>
    </row>
    <row r="684" ht="15.75" customHeight="1">
      <c r="C684" s="166"/>
      <c r="D684" s="166"/>
      <c r="G684" s="312"/>
      <c r="AJ684" s="102"/>
    </row>
    <row r="685" ht="15.75" customHeight="1">
      <c r="C685" s="166"/>
      <c r="D685" s="166"/>
      <c r="G685" s="312"/>
      <c r="AJ685" s="102"/>
    </row>
    <row r="686" ht="15.75" customHeight="1">
      <c r="C686" s="166"/>
      <c r="D686" s="166"/>
      <c r="G686" s="312"/>
      <c r="AJ686" s="102"/>
    </row>
    <row r="687" ht="15.75" customHeight="1">
      <c r="C687" s="166"/>
      <c r="D687" s="166"/>
      <c r="G687" s="312"/>
      <c r="AJ687" s="102"/>
    </row>
    <row r="688" ht="15.75" customHeight="1">
      <c r="C688" s="166"/>
      <c r="D688" s="166"/>
      <c r="G688" s="312"/>
      <c r="AJ688" s="102"/>
    </row>
    <row r="689" ht="15.75" customHeight="1">
      <c r="C689" s="166"/>
      <c r="D689" s="166"/>
      <c r="G689" s="312"/>
      <c r="AJ689" s="102"/>
    </row>
    <row r="690" ht="15.75" customHeight="1">
      <c r="C690" s="166"/>
      <c r="D690" s="166"/>
      <c r="G690" s="312"/>
      <c r="AJ690" s="102"/>
    </row>
    <row r="691" ht="15.75" customHeight="1">
      <c r="C691" s="166"/>
      <c r="D691" s="166"/>
      <c r="G691" s="312"/>
      <c r="AJ691" s="102"/>
    </row>
    <row r="692" ht="15.75" customHeight="1">
      <c r="C692" s="166"/>
      <c r="D692" s="166"/>
      <c r="G692" s="312"/>
      <c r="AJ692" s="102"/>
    </row>
    <row r="693" ht="15.75" customHeight="1">
      <c r="C693" s="166"/>
      <c r="D693" s="166"/>
      <c r="G693" s="312"/>
      <c r="AJ693" s="102"/>
    </row>
    <row r="694" ht="15.75" customHeight="1">
      <c r="C694" s="166"/>
      <c r="D694" s="166"/>
      <c r="G694" s="312"/>
      <c r="AJ694" s="102"/>
    </row>
    <row r="695" ht="15.75" customHeight="1">
      <c r="C695" s="166"/>
      <c r="D695" s="166"/>
      <c r="G695" s="312"/>
      <c r="AJ695" s="102"/>
    </row>
    <row r="696" ht="15.75" customHeight="1">
      <c r="C696" s="166"/>
      <c r="D696" s="166"/>
      <c r="G696" s="312"/>
      <c r="AJ696" s="102"/>
    </row>
    <row r="697" ht="15.75" customHeight="1">
      <c r="C697" s="166"/>
      <c r="D697" s="166"/>
      <c r="G697" s="312"/>
      <c r="AJ697" s="102"/>
    </row>
    <row r="698" ht="15.75" customHeight="1">
      <c r="C698" s="166"/>
      <c r="D698" s="166"/>
      <c r="G698" s="312"/>
      <c r="AJ698" s="102"/>
    </row>
    <row r="699" ht="15.75" customHeight="1">
      <c r="C699" s="166"/>
      <c r="D699" s="166"/>
      <c r="G699" s="312"/>
      <c r="AJ699" s="102"/>
    </row>
    <row r="700" ht="15.75" customHeight="1">
      <c r="C700" s="166"/>
      <c r="D700" s="166"/>
      <c r="G700" s="312"/>
      <c r="AJ700" s="102"/>
    </row>
    <row r="701" ht="15.75" customHeight="1">
      <c r="C701" s="166"/>
      <c r="D701" s="166"/>
      <c r="G701" s="312"/>
      <c r="AJ701" s="102"/>
    </row>
    <row r="702" ht="15.75" customHeight="1">
      <c r="C702" s="166"/>
      <c r="D702" s="166"/>
      <c r="G702" s="312"/>
      <c r="AJ702" s="102"/>
    </row>
    <row r="703" ht="15.75" customHeight="1">
      <c r="C703" s="166"/>
      <c r="D703" s="166"/>
      <c r="G703" s="312"/>
      <c r="AJ703" s="102"/>
    </row>
    <row r="704" ht="15.75" customHeight="1">
      <c r="C704" s="166"/>
      <c r="D704" s="166"/>
      <c r="G704" s="312"/>
      <c r="AJ704" s="102"/>
    </row>
    <row r="705" ht="15.75" customHeight="1">
      <c r="C705" s="166"/>
      <c r="D705" s="166"/>
      <c r="G705" s="312"/>
      <c r="AJ705" s="102"/>
    </row>
    <row r="706" ht="15.75" customHeight="1">
      <c r="C706" s="166"/>
      <c r="D706" s="166"/>
      <c r="G706" s="312"/>
      <c r="AJ706" s="102"/>
    </row>
    <row r="707" ht="15.75" customHeight="1">
      <c r="C707" s="166"/>
      <c r="D707" s="166"/>
      <c r="G707" s="312"/>
      <c r="AJ707" s="102"/>
    </row>
    <row r="708" ht="15.75" customHeight="1">
      <c r="C708" s="166"/>
      <c r="D708" s="166"/>
      <c r="G708" s="312"/>
      <c r="AJ708" s="102"/>
    </row>
    <row r="709" ht="15.75" customHeight="1">
      <c r="C709" s="166"/>
      <c r="D709" s="166"/>
      <c r="G709" s="312"/>
      <c r="AJ709" s="102"/>
    </row>
    <row r="710" ht="15.75" customHeight="1">
      <c r="C710" s="166"/>
      <c r="D710" s="166"/>
      <c r="G710" s="312"/>
      <c r="AJ710" s="102"/>
    </row>
    <row r="711" ht="15.75" customHeight="1">
      <c r="C711" s="166"/>
      <c r="D711" s="166"/>
      <c r="G711" s="312"/>
      <c r="AJ711" s="102"/>
    </row>
    <row r="712" ht="15.75" customHeight="1">
      <c r="C712" s="166"/>
      <c r="D712" s="166"/>
      <c r="G712" s="312"/>
      <c r="AJ712" s="102"/>
    </row>
    <row r="713" ht="15.75" customHeight="1">
      <c r="C713" s="166"/>
      <c r="D713" s="166"/>
      <c r="G713" s="312"/>
      <c r="AJ713" s="102"/>
    </row>
    <row r="714" ht="15.75" customHeight="1">
      <c r="C714" s="166"/>
      <c r="D714" s="166"/>
      <c r="G714" s="312"/>
      <c r="AJ714" s="102"/>
    </row>
    <row r="715" ht="15.75" customHeight="1">
      <c r="C715" s="166"/>
      <c r="D715" s="166"/>
      <c r="G715" s="312"/>
      <c r="AJ715" s="102"/>
    </row>
    <row r="716" ht="15.75" customHeight="1">
      <c r="C716" s="166"/>
      <c r="D716" s="166"/>
      <c r="G716" s="312"/>
      <c r="AJ716" s="102"/>
    </row>
    <row r="717" ht="15.75" customHeight="1">
      <c r="C717" s="166"/>
      <c r="D717" s="166"/>
      <c r="G717" s="312"/>
      <c r="AJ717" s="102"/>
    </row>
    <row r="718" ht="15.75" customHeight="1">
      <c r="C718" s="166"/>
      <c r="D718" s="166"/>
      <c r="G718" s="312"/>
      <c r="AJ718" s="102"/>
    </row>
    <row r="719" ht="15.75" customHeight="1">
      <c r="C719" s="166"/>
      <c r="D719" s="166"/>
      <c r="G719" s="312"/>
      <c r="AJ719" s="102"/>
    </row>
    <row r="720" ht="15.75" customHeight="1">
      <c r="C720" s="166"/>
      <c r="D720" s="166"/>
      <c r="G720" s="312"/>
      <c r="AJ720" s="102"/>
    </row>
    <row r="721" ht="15.75" customHeight="1">
      <c r="C721" s="166"/>
      <c r="D721" s="166"/>
      <c r="G721" s="312"/>
      <c r="AJ721" s="102"/>
    </row>
    <row r="722" ht="15.75" customHeight="1">
      <c r="C722" s="166"/>
      <c r="D722" s="166"/>
      <c r="G722" s="312"/>
      <c r="AJ722" s="102"/>
    </row>
    <row r="723" ht="15.75" customHeight="1">
      <c r="C723" s="166"/>
      <c r="D723" s="166"/>
      <c r="G723" s="312"/>
      <c r="AJ723" s="102"/>
    </row>
    <row r="724" ht="15.75" customHeight="1">
      <c r="C724" s="166"/>
      <c r="D724" s="166"/>
      <c r="G724" s="312"/>
      <c r="AJ724" s="102"/>
    </row>
    <row r="725" ht="15.75" customHeight="1">
      <c r="C725" s="166"/>
      <c r="D725" s="166"/>
      <c r="G725" s="312"/>
      <c r="AJ725" s="102"/>
    </row>
    <row r="726" ht="15.75" customHeight="1">
      <c r="C726" s="166"/>
      <c r="D726" s="166"/>
      <c r="G726" s="312"/>
      <c r="AJ726" s="102"/>
    </row>
    <row r="727" ht="15.75" customHeight="1">
      <c r="C727" s="166"/>
      <c r="D727" s="166"/>
      <c r="G727" s="312"/>
      <c r="AJ727" s="102"/>
    </row>
    <row r="728" ht="15.75" customHeight="1">
      <c r="C728" s="166"/>
      <c r="D728" s="166"/>
      <c r="G728" s="312"/>
      <c r="AJ728" s="102"/>
    </row>
    <row r="729" ht="15.75" customHeight="1">
      <c r="C729" s="166"/>
      <c r="D729" s="166"/>
      <c r="G729" s="312"/>
      <c r="AJ729" s="102"/>
    </row>
    <row r="730" ht="15.75" customHeight="1">
      <c r="C730" s="166"/>
      <c r="D730" s="166"/>
      <c r="G730" s="312"/>
      <c r="AJ730" s="102"/>
    </row>
    <row r="731" ht="15.75" customHeight="1">
      <c r="C731" s="166"/>
      <c r="D731" s="166"/>
      <c r="G731" s="312"/>
      <c r="AJ731" s="102"/>
    </row>
    <row r="732" ht="15.75" customHeight="1">
      <c r="C732" s="166"/>
      <c r="D732" s="166"/>
      <c r="G732" s="312"/>
      <c r="AJ732" s="102"/>
    </row>
    <row r="733" ht="15.75" customHeight="1">
      <c r="C733" s="166"/>
      <c r="D733" s="166"/>
      <c r="G733" s="312"/>
      <c r="AJ733" s="102"/>
    </row>
    <row r="734" ht="15.75" customHeight="1">
      <c r="C734" s="166"/>
      <c r="D734" s="166"/>
      <c r="G734" s="312"/>
      <c r="AJ734" s="102"/>
    </row>
    <row r="735" ht="15.75" customHeight="1">
      <c r="C735" s="166"/>
      <c r="D735" s="166"/>
      <c r="G735" s="312"/>
      <c r="AJ735" s="102"/>
    </row>
    <row r="736" ht="15.75" customHeight="1">
      <c r="C736" s="166"/>
      <c r="D736" s="166"/>
      <c r="G736" s="312"/>
      <c r="AJ736" s="102"/>
    </row>
    <row r="737" ht="15.75" customHeight="1">
      <c r="C737" s="166"/>
      <c r="D737" s="166"/>
      <c r="G737" s="312"/>
      <c r="AJ737" s="102"/>
    </row>
    <row r="738" ht="15.75" customHeight="1">
      <c r="C738" s="166"/>
      <c r="D738" s="166"/>
      <c r="G738" s="312"/>
      <c r="AJ738" s="102"/>
    </row>
    <row r="739" ht="15.75" customHeight="1">
      <c r="C739" s="166"/>
      <c r="D739" s="166"/>
      <c r="G739" s="312"/>
      <c r="AJ739" s="102"/>
    </row>
    <row r="740" ht="15.75" customHeight="1">
      <c r="C740" s="166"/>
      <c r="D740" s="166"/>
      <c r="G740" s="312"/>
      <c r="AJ740" s="102"/>
    </row>
    <row r="741" ht="15.75" customHeight="1">
      <c r="C741" s="166"/>
      <c r="D741" s="166"/>
      <c r="G741" s="312"/>
      <c r="AJ741" s="102"/>
    </row>
    <row r="742" ht="15.75" customHeight="1">
      <c r="C742" s="166"/>
      <c r="D742" s="166"/>
      <c r="G742" s="312"/>
      <c r="AJ742" s="102"/>
    </row>
    <row r="743" ht="15.75" customHeight="1">
      <c r="C743" s="166"/>
      <c r="D743" s="166"/>
      <c r="G743" s="312"/>
      <c r="AJ743" s="102"/>
    </row>
    <row r="744" ht="15.75" customHeight="1">
      <c r="C744" s="166"/>
      <c r="D744" s="166"/>
      <c r="G744" s="312"/>
      <c r="AJ744" s="102"/>
    </row>
    <row r="745" ht="15.75" customHeight="1">
      <c r="C745" s="166"/>
      <c r="D745" s="166"/>
      <c r="G745" s="312"/>
      <c r="AJ745" s="102"/>
    </row>
    <row r="746" ht="15.75" customHeight="1">
      <c r="C746" s="166"/>
      <c r="D746" s="166"/>
      <c r="G746" s="312"/>
      <c r="AJ746" s="102"/>
    </row>
    <row r="747" ht="15.75" customHeight="1">
      <c r="C747" s="166"/>
      <c r="D747" s="166"/>
      <c r="G747" s="312"/>
      <c r="AJ747" s="102"/>
    </row>
    <row r="748" ht="15.75" customHeight="1">
      <c r="C748" s="166"/>
      <c r="D748" s="166"/>
      <c r="G748" s="312"/>
      <c r="AJ748" s="102"/>
    </row>
    <row r="749" ht="15.75" customHeight="1">
      <c r="C749" s="166"/>
      <c r="D749" s="166"/>
      <c r="G749" s="312"/>
      <c r="AJ749" s="102"/>
    </row>
    <row r="750" ht="15.75" customHeight="1">
      <c r="C750" s="166"/>
      <c r="D750" s="166"/>
      <c r="G750" s="312"/>
      <c r="AJ750" s="102"/>
    </row>
    <row r="751" ht="15.75" customHeight="1">
      <c r="C751" s="166"/>
      <c r="D751" s="166"/>
      <c r="G751" s="312"/>
      <c r="AJ751" s="102"/>
    </row>
    <row r="752" ht="15.75" customHeight="1">
      <c r="C752" s="166"/>
      <c r="D752" s="166"/>
      <c r="G752" s="312"/>
      <c r="AJ752" s="102"/>
    </row>
    <row r="753" ht="15.75" customHeight="1">
      <c r="C753" s="166"/>
      <c r="D753" s="166"/>
      <c r="G753" s="312"/>
      <c r="AJ753" s="102"/>
    </row>
    <row r="754" ht="15.75" customHeight="1">
      <c r="C754" s="166"/>
      <c r="D754" s="166"/>
      <c r="G754" s="312"/>
      <c r="AJ754" s="102"/>
    </row>
    <row r="755" ht="15.75" customHeight="1">
      <c r="C755" s="166"/>
      <c r="D755" s="166"/>
      <c r="G755" s="312"/>
      <c r="AJ755" s="102"/>
    </row>
    <row r="756" ht="15.75" customHeight="1">
      <c r="C756" s="166"/>
      <c r="D756" s="166"/>
      <c r="G756" s="312"/>
      <c r="AJ756" s="102"/>
    </row>
    <row r="757" ht="15.75" customHeight="1">
      <c r="C757" s="166"/>
      <c r="D757" s="166"/>
      <c r="G757" s="312"/>
      <c r="AJ757" s="102"/>
    </row>
    <row r="758" ht="15.75" customHeight="1">
      <c r="C758" s="166"/>
      <c r="D758" s="166"/>
      <c r="G758" s="312"/>
      <c r="AJ758" s="102"/>
    </row>
    <row r="759" ht="15.75" customHeight="1">
      <c r="C759" s="166"/>
      <c r="D759" s="166"/>
      <c r="G759" s="312"/>
      <c r="AJ759" s="102"/>
    </row>
    <row r="760" ht="15.75" customHeight="1">
      <c r="C760" s="166"/>
      <c r="D760" s="166"/>
      <c r="G760" s="312"/>
      <c r="AJ760" s="102"/>
    </row>
    <row r="761" ht="15.75" customHeight="1">
      <c r="C761" s="166"/>
      <c r="D761" s="166"/>
      <c r="G761" s="312"/>
      <c r="AJ761" s="102"/>
    </row>
    <row r="762" ht="15.75" customHeight="1">
      <c r="C762" s="166"/>
      <c r="D762" s="166"/>
      <c r="G762" s="312"/>
      <c r="AJ762" s="102"/>
    </row>
    <row r="763" ht="15.75" customHeight="1">
      <c r="C763" s="166"/>
      <c r="D763" s="166"/>
      <c r="G763" s="312"/>
      <c r="AJ763" s="102"/>
    </row>
    <row r="764" ht="15.75" customHeight="1">
      <c r="C764" s="166"/>
      <c r="D764" s="166"/>
      <c r="G764" s="312"/>
      <c r="AJ764" s="102"/>
    </row>
    <row r="765" ht="15.75" customHeight="1">
      <c r="C765" s="166"/>
      <c r="D765" s="166"/>
      <c r="G765" s="312"/>
      <c r="AJ765" s="102"/>
    </row>
    <row r="766" ht="15.75" customHeight="1">
      <c r="C766" s="166"/>
      <c r="D766" s="166"/>
      <c r="G766" s="312"/>
      <c r="AJ766" s="102"/>
    </row>
    <row r="767" ht="15.75" customHeight="1">
      <c r="C767" s="166"/>
      <c r="D767" s="166"/>
      <c r="G767" s="312"/>
      <c r="AJ767" s="102"/>
    </row>
    <row r="768" ht="15.75" customHeight="1">
      <c r="C768" s="166"/>
      <c r="D768" s="166"/>
      <c r="G768" s="312"/>
      <c r="AJ768" s="102"/>
    </row>
    <row r="769" ht="15.75" customHeight="1">
      <c r="C769" s="166"/>
      <c r="D769" s="166"/>
      <c r="G769" s="312"/>
      <c r="AJ769" s="102"/>
    </row>
    <row r="770" ht="15.75" customHeight="1">
      <c r="C770" s="166"/>
      <c r="D770" s="166"/>
      <c r="G770" s="312"/>
      <c r="AJ770" s="102"/>
    </row>
    <row r="771" ht="15.75" customHeight="1">
      <c r="C771" s="166"/>
      <c r="D771" s="166"/>
      <c r="G771" s="312"/>
      <c r="AJ771" s="102"/>
    </row>
    <row r="772" ht="15.75" customHeight="1">
      <c r="C772" s="166"/>
      <c r="D772" s="166"/>
      <c r="G772" s="312"/>
      <c r="AJ772" s="102"/>
    </row>
    <row r="773" ht="15.75" customHeight="1">
      <c r="C773" s="166"/>
      <c r="D773" s="166"/>
      <c r="G773" s="312"/>
      <c r="AJ773" s="102"/>
    </row>
    <row r="774" ht="15.75" customHeight="1">
      <c r="C774" s="166"/>
      <c r="D774" s="166"/>
      <c r="G774" s="312"/>
      <c r="AJ774" s="102"/>
    </row>
    <row r="775" ht="15.75" customHeight="1">
      <c r="C775" s="166"/>
      <c r="D775" s="166"/>
      <c r="G775" s="312"/>
      <c r="AJ775" s="102"/>
    </row>
    <row r="776" ht="15.75" customHeight="1">
      <c r="C776" s="166"/>
      <c r="D776" s="166"/>
      <c r="G776" s="312"/>
      <c r="AJ776" s="102"/>
    </row>
    <row r="777" ht="15.75" customHeight="1">
      <c r="C777" s="166"/>
      <c r="D777" s="166"/>
      <c r="G777" s="312"/>
      <c r="AJ777" s="102"/>
    </row>
    <row r="778" ht="15.75" customHeight="1">
      <c r="C778" s="166"/>
      <c r="D778" s="166"/>
      <c r="G778" s="312"/>
      <c r="AJ778" s="102"/>
    </row>
    <row r="779" ht="15.75" customHeight="1">
      <c r="C779" s="166"/>
      <c r="D779" s="166"/>
      <c r="G779" s="312"/>
      <c r="AJ779" s="102"/>
    </row>
    <row r="780" ht="15.75" customHeight="1">
      <c r="C780" s="166"/>
      <c r="D780" s="166"/>
      <c r="G780" s="312"/>
      <c r="AJ780" s="102"/>
    </row>
    <row r="781" ht="15.75" customHeight="1">
      <c r="C781" s="166"/>
      <c r="D781" s="166"/>
      <c r="G781" s="312"/>
      <c r="AJ781" s="102"/>
    </row>
    <row r="782" ht="15.75" customHeight="1">
      <c r="C782" s="166"/>
      <c r="D782" s="166"/>
      <c r="G782" s="312"/>
      <c r="AJ782" s="102"/>
    </row>
    <row r="783" ht="15.75" customHeight="1">
      <c r="C783" s="166"/>
      <c r="D783" s="166"/>
      <c r="G783" s="312"/>
      <c r="AJ783" s="102"/>
    </row>
    <row r="784" ht="15.75" customHeight="1">
      <c r="C784" s="166"/>
      <c r="D784" s="166"/>
      <c r="G784" s="312"/>
      <c r="AJ784" s="102"/>
    </row>
    <row r="785" ht="15.75" customHeight="1">
      <c r="C785" s="166"/>
      <c r="D785" s="166"/>
      <c r="G785" s="312"/>
      <c r="AJ785" s="102"/>
    </row>
    <row r="786" ht="15.75" customHeight="1">
      <c r="C786" s="166"/>
      <c r="D786" s="166"/>
      <c r="G786" s="312"/>
      <c r="AJ786" s="102"/>
    </row>
    <row r="787" ht="15.75" customHeight="1">
      <c r="C787" s="166"/>
      <c r="D787" s="166"/>
      <c r="G787" s="312"/>
      <c r="AJ787" s="102"/>
    </row>
    <row r="788" ht="15.75" customHeight="1">
      <c r="C788" s="166"/>
      <c r="D788" s="166"/>
      <c r="G788" s="312"/>
      <c r="AJ788" s="102"/>
    </row>
    <row r="789" ht="15.75" customHeight="1">
      <c r="C789" s="166"/>
      <c r="D789" s="166"/>
      <c r="G789" s="312"/>
      <c r="AJ789" s="102"/>
    </row>
    <row r="790" ht="15.75" customHeight="1">
      <c r="C790" s="166"/>
      <c r="D790" s="166"/>
      <c r="G790" s="312"/>
      <c r="AJ790" s="102"/>
    </row>
    <row r="791" ht="15.75" customHeight="1">
      <c r="C791" s="166"/>
      <c r="D791" s="166"/>
      <c r="G791" s="312"/>
      <c r="AJ791" s="102"/>
    </row>
    <row r="792" ht="15.75" customHeight="1">
      <c r="C792" s="166"/>
      <c r="D792" s="166"/>
      <c r="G792" s="312"/>
      <c r="AJ792" s="102"/>
    </row>
    <row r="793" ht="15.75" customHeight="1">
      <c r="C793" s="166"/>
      <c r="D793" s="166"/>
      <c r="G793" s="312"/>
      <c r="AJ793" s="102"/>
    </row>
    <row r="794" ht="15.75" customHeight="1">
      <c r="C794" s="166"/>
      <c r="D794" s="166"/>
      <c r="G794" s="312"/>
      <c r="AJ794" s="102"/>
    </row>
    <row r="795" ht="15.75" customHeight="1">
      <c r="C795" s="166"/>
      <c r="D795" s="166"/>
      <c r="G795" s="312"/>
      <c r="AJ795" s="102"/>
    </row>
    <row r="796" ht="15.75" customHeight="1">
      <c r="C796" s="166"/>
      <c r="D796" s="166"/>
      <c r="G796" s="312"/>
      <c r="AJ796" s="102"/>
    </row>
    <row r="797" ht="15.75" customHeight="1">
      <c r="C797" s="166"/>
      <c r="D797" s="166"/>
      <c r="G797" s="312"/>
      <c r="AJ797" s="102"/>
    </row>
    <row r="798" ht="15.75" customHeight="1">
      <c r="C798" s="166"/>
      <c r="D798" s="166"/>
      <c r="G798" s="312"/>
      <c r="AJ798" s="102"/>
    </row>
    <row r="799" ht="15.75" customHeight="1">
      <c r="C799" s="166"/>
      <c r="D799" s="166"/>
      <c r="G799" s="312"/>
      <c r="AJ799" s="102"/>
    </row>
    <row r="800" ht="15.75" customHeight="1">
      <c r="C800" s="166"/>
      <c r="D800" s="166"/>
      <c r="G800" s="312"/>
      <c r="AJ800" s="102"/>
    </row>
    <row r="801" ht="15.75" customHeight="1">
      <c r="C801" s="166"/>
      <c r="D801" s="166"/>
      <c r="G801" s="312"/>
      <c r="AJ801" s="102"/>
    </row>
    <row r="802" ht="15.75" customHeight="1">
      <c r="C802" s="166"/>
      <c r="D802" s="166"/>
      <c r="G802" s="312"/>
      <c r="AJ802" s="102"/>
    </row>
    <row r="803" ht="15.75" customHeight="1">
      <c r="C803" s="166"/>
      <c r="D803" s="166"/>
      <c r="G803" s="312"/>
      <c r="AJ803" s="102"/>
    </row>
    <row r="804" ht="15.75" customHeight="1">
      <c r="C804" s="166"/>
      <c r="D804" s="166"/>
      <c r="G804" s="312"/>
      <c r="AJ804" s="102"/>
    </row>
    <row r="805" ht="15.75" customHeight="1">
      <c r="C805" s="166"/>
      <c r="D805" s="166"/>
      <c r="G805" s="312"/>
      <c r="AJ805" s="102"/>
    </row>
    <row r="806" ht="15.75" customHeight="1">
      <c r="C806" s="166"/>
      <c r="D806" s="166"/>
      <c r="G806" s="312"/>
      <c r="AJ806" s="102"/>
    </row>
    <row r="807" ht="15.75" customHeight="1">
      <c r="C807" s="166"/>
      <c r="D807" s="166"/>
      <c r="G807" s="312"/>
      <c r="AJ807" s="102"/>
    </row>
    <row r="808" ht="15.75" customHeight="1">
      <c r="C808" s="166"/>
      <c r="D808" s="166"/>
      <c r="G808" s="312"/>
      <c r="AJ808" s="102"/>
    </row>
    <row r="809" ht="15.75" customHeight="1">
      <c r="C809" s="166"/>
      <c r="D809" s="166"/>
      <c r="G809" s="312"/>
      <c r="AJ809" s="102"/>
    </row>
    <row r="810" ht="15.75" customHeight="1">
      <c r="C810" s="166"/>
      <c r="D810" s="166"/>
      <c r="G810" s="312"/>
      <c r="AJ810" s="102"/>
    </row>
    <row r="811" ht="15.75" customHeight="1">
      <c r="C811" s="166"/>
      <c r="D811" s="166"/>
      <c r="G811" s="312"/>
      <c r="AJ811" s="102"/>
    </row>
    <row r="812" ht="15.75" customHeight="1">
      <c r="C812" s="166"/>
      <c r="D812" s="166"/>
      <c r="G812" s="312"/>
      <c r="AJ812" s="102"/>
    </row>
    <row r="813" ht="15.75" customHeight="1">
      <c r="C813" s="166"/>
      <c r="D813" s="166"/>
      <c r="G813" s="312"/>
      <c r="AJ813" s="102"/>
    </row>
    <row r="814" ht="15.75" customHeight="1">
      <c r="C814" s="166"/>
      <c r="D814" s="166"/>
      <c r="G814" s="312"/>
      <c r="AJ814" s="102"/>
    </row>
    <row r="815" ht="15.75" customHeight="1">
      <c r="C815" s="166"/>
      <c r="D815" s="166"/>
      <c r="G815" s="312"/>
      <c r="AJ815" s="102"/>
    </row>
    <row r="816" ht="15.75" customHeight="1">
      <c r="C816" s="166"/>
      <c r="D816" s="166"/>
      <c r="G816" s="312"/>
      <c r="AJ816" s="102"/>
    </row>
    <row r="817" ht="15.75" customHeight="1">
      <c r="C817" s="166"/>
      <c r="D817" s="166"/>
      <c r="G817" s="312"/>
      <c r="AJ817" s="102"/>
    </row>
    <row r="818" ht="15.75" customHeight="1">
      <c r="C818" s="166"/>
      <c r="D818" s="166"/>
      <c r="G818" s="312"/>
      <c r="AJ818" s="102"/>
    </row>
    <row r="819" ht="15.75" customHeight="1">
      <c r="C819" s="166"/>
      <c r="D819" s="166"/>
      <c r="G819" s="312"/>
      <c r="AJ819" s="102"/>
    </row>
    <row r="820" ht="15.75" customHeight="1">
      <c r="C820" s="166"/>
      <c r="D820" s="166"/>
      <c r="G820" s="312"/>
      <c r="AJ820" s="102"/>
    </row>
    <row r="821" ht="15.75" customHeight="1">
      <c r="C821" s="166"/>
      <c r="D821" s="166"/>
      <c r="G821" s="312"/>
      <c r="AJ821" s="102"/>
    </row>
    <row r="822" ht="15.75" customHeight="1">
      <c r="C822" s="166"/>
      <c r="D822" s="166"/>
      <c r="G822" s="312"/>
      <c r="AJ822" s="102"/>
    </row>
    <row r="823" ht="15.75" customHeight="1">
      <c r="C823" s="166"/>
      <c r="D823" s="166"/>
      <c r="G823" s="312"/>
      <c r="AJ823" s="102"/>
    </row>
    <row r="824" ht="15.75" customHeight="1">
      <c r="C824" s="166"/>
      <c r="D824" s="166"/>
      <c r="G824" s="312"/>
      <c r="AJ824" s="102"/>
    </row>
    <row r="825" ht="15.75" customHeight="1">
      <c r="C825" s="166"/>
      <c r="D825" s="166"/>
      <c r="G825" s="312"/>
      <c r="AJ825" s="102"/>
    </row>
    <row r="826" ht="15.75" customHeight="1">
      <c r="C826" s="166"/>
      <c r="D826" s="166"/>
      <c r="G826" s="312"/>
      <c r="AJ826" s="102"/>
    </row>
    <row r="827" ht="15.75" customHeight="1">
      <c r="C827" s="166"/>
      <c r="D827" s="166"/>
      <c r="G827" s="312"/>
      <c r="AJ827" s="102"/>
    </row>
    <row r="828" ht="15.75" customHeight="1">
      <c r="C828" s="166"/>
      <c r="D828" s="166"/>
      <c r="G828" s="312"/>
      <c r="AJ828" s="102"/>
    </row>
    <row r="829" ht="15.75" customHeight="1">
      <c r="C829" s="166"/>
      <c r="D829" s="166"/>
      <c r="G829" s="312"/>
      <c r="AJ829" s="102"/>
    </row>
    <row r="830" ht="15.75" customHeight="1">
      <c r="C830" s="166"/>
      <c r="D830" s="166"/>
      <c r="G830" s="312"/>
      <c r="AJ830" s="102"/>
    </row>
    <row r="831" ht="15.75" customHeight="1">
      <c r="C831" s="166"/>
      <c r="D831" s="166"/>
      <c r="G831" s="312"/>
      <c r="AJ831" s="102"/>
    </row>
    <row r="832" ht="15.75" customHeight="1">
      <c r="C832" s="166"/>
      <c r="D832" s="166"/>
      <c r="G832" s="312"/>
      <c r="AJ832" s="102"/>
    </row>
    <row r="833" ht="15.75" customHeight="1">
      <c r="C833" s="166"/>
      <c r="D833" s="166"/>
      <c r="G833" s="312"/>
      <c r="AJ833" s="102"/>
    </row>
    <row r="834" ht="15.75" customHeight="1">
      <c r="C834" s="166"/>
      <c r="D834" s="166"/>
      <c r="G834" s="312"/>
      <c r="AJ834" s="102"/>
    </row>
    <row r="835" ht="15.75" customHeight="1">
      <c r="C835" s="166"/>
      <c r="D835" s="166"/>
      <c r="G835" s="312"/>
      <c r="AJ835" s="102"/>
    </row>
    <row r="836" ht="15.75" customHeight="1">
      <c r="C836" s="166"/>
      <c r="D836" s="166"/>
      <c r="G836" s="312"/>
      <c r="AJ836" s="102"/>
    </row>
    <row r="837" ht="15.75" customHeight="1">
      <c r="C837" s="166"/>
      <c r="D837" s="166"/>
      <c r="G837" s="312"/>
      <c r="AJ837" s="102"/>
    </row>
    <row r="838" ht="15.75" customHeight="1">
      <c r="C838" s="166"/>
      <c r="D838" s="166"/>
      <c r="G838" s="312"/>
      <c r="AJ838" s="102"/>
    </row>
    <row r="839" ht="15.75" customHeight="1">
      <c r="C839" s="166"/>
      <c r="D839" s="166"/>
      <c r="G839" s="312"/>
      <c r="AJ839" s="102"/>
    </row>
    <row r="840" ht="15.75" customHeight="1">
      <c r="C840" s="166"/>
      <c r="D840" s="166"/>
      <c r="G840" s="312"/>
      <c r="AJ840" s="102"/>
    </row>
    <row r="841" ht="15.75" customHeight="1">
      <c r="C841" s="166"/>
      <c r="D841" s="166"/>
      <c r="G841" s="312"/>
      <c r="AJ841" s="102"/>
    </row>
    <row r="842" ht="15.75" customHeight="1">
      <c r="C842" s="166"/>
      <c r="D842" s="166"/>
      <c r="G842" s="312"/>
      <c r="AJ842" s="102"/>
    </row>
    <row r="843" ht="15.75" customHeight="1">
      <c r="C843" s="166"/>
      <c r="D843" s="166"/>
      <c r="G843" s="312"/>
      <c r="AJ843" s="102"/>
    </row>
    <row r="844" ht="15.75" customHeight="1">
      <c r="C844" s="166"/>
      <c r="D844" s="166"/>
      <c r="G844" s="312"/>
      <c r="AJ844" s="102"/>
    </row>
    <row r="845" ht="15.75" customHeight="1">
      <c r="C845" s="166"/>
      <c r="D845" s="166"/>
      <c r="G845" s="312"/>
      <c r="AJ845" s="102"/>
    </row>
    <row r="846" ht="15.75" customHeight="1">
      <c r="C846" s="166"/>
      <c r="D846" s="166"/>
      <c r="G846" s="312"/>
      <c r="AJ846" s="102"/>
    </row>
    <row r="847" ht="15.75" customHeight="1">
      <c r="C847" s="166"/>
      <c r="D847" s="166"/>
      <c r="G847" s="312"/>
      <c r="AJ847" s="102"/>
    </row>
    <row r="848" ht="15.75" customHeight="1">
      <c r="C848" s="166"/>
      <c r="D848" s="166"/>
      <c r="G848" s="312"/>
      <c r="AJ848" s="102"/>
    </row>
    <row r="849" ht="15.75" customHeight="1">
      <c r="C849" s="166"/>
      <c r="D849" s="166"/>
      <c r="G849" s="312"/>
      <c r="AJ849" s="102"/>
    </row>
    <row r="850" ht="15.75" customHeight="1">
      <c r="C850" s="166"/>
      <c r="D850" s="166"/>
      <c r="G850" s="312"/>
      <c r="AJ850" s="102"/>
    </row>
    <row r="851" ht="15.75" customHeight="1">
      <c r="C851" s="166"/>
      <c r="D851" s="166"/>
      <c r="G851" s="312"/>
      <c r="AJ851" s="102"/>
    </row>
    <row r="852" ht="15.75" customHeight="1">
      <c r="C852" s="166"/>
      <c r="D852" s="166"/>
      <c r="G852" s="312"/>
      <c r="AJ852" s="102"/>
    </row>
    <row r="853" ht="15.75" customHeight="1">
      <c r="C853" s="166"/>
      <c r="D853" s="166"/>
      <c r="G853" s="312"/>
      <c r="AJ853" s="102"/>
    </row>
    <row r="854" ht="15.75" customHeight="1">
      <c r="C854" s="166"/>
      <c r="D854" s="166"/>
      <c r="G854" s="312"/>
      <c r="AJ854" s="102"/>
    </row>
    <row r="855" ht="15.75" customHeight="1">
      <c r="C855" s="166"/>
      <c r="D855" s="166"/>
      <c r="G855" s="312"/>
      <c r="AJ855" s="102"/>
    </row>
    <row r="856" ht="15.75" customHeight="1">
      <c r="C856" s="166"/>
      <c r="D856" s="166"/>
      <c r="G856" s="312"/>
      <c r="AJ856" s="102"/>
    </row>
    <row r="857" ht="15.75" customHeight="1">
      <c r="C857" s="166"/>
      <c r="D857" s="166"/>
      <c r="G857" s="312"/>
      <c r="AJ857" s="102"/>
    </row>
    <row r="858" ht="15.75" customHeight="1">
      <c r="C858" s="166"/>
      <c r="D858" s="166"/>
      <c r="G858" s="312"/>
      <c r="AJ858" s="102"/>
    </row>
    <row r="859" ht="15.75" customHeight="1">
      <c r="C859" s="166"/>
      <c r="D859" s="166"/>
      <c r="G859" s="312"/>
      <c r="AJ859" s="102"/>
    </row>
    <row r="860" ht="15.75" customHeight="1">
      <c r="C860" s="166"/>
      <c r="D860" s="166"/>
      <c r="G860" s="312"/>
      <c r="AJ860" s="102"/>
    </row>
    <row r="861" ht="15.75" customHeight="1">
      <c r="C861" s="166"/>
      <c r="D861" s="166"/>
      <c r="G861" s="312"/>
      <c r="AJ861" s="102"/>
    </row>
    <row r="862" ht="15.75" customHeight="1">
      <c r="C862" s="166"/>
      <c r="D862" s="166"/>
      <c r="G862" s="312"/>
      <c r="AJ862" s="102"/>
    </row>
    <row r="863" ht="15.75" customHeight="1">
      <c r="C863" s="166"/>
      <c r="D863" s="166"/>
      <c r="G863" s="312"/>
      <c r="AJ863" s="102"/>
    </row>
    <row r="864" ht="15.75" customHeight="1">
      <c r="C864" s="166"/>
      <c r="D864" s="166"/>
      <c r="G864" s="312"/>
      <c r="AJ864" s="102"/>
    </row>
    <row r="865" ht="15.75" customHeight="1">
      <c r="C865" s="166"/>
      <c r="D865" s="166"/>
      <c r="G865" s="312"/>
      <c r="AJ865" s="102"/>
    </row>
    <row r="866" ht="15.75" customHeight="1">
      <c r="C866" s="166"/>
      <c r="D866" s="166"/>
      <c r="G866" s="312"/>
      <c r="AJ866" s="102"/>
    </row>
    <row r="867" ht="15.75" customHeight="1">
      <c r="C867" s="166"/>
      <c r="D867" s="166"/>
      <c r="G867" s="312"/>
      <c r="AJ867" s="102"/>
    </row>
    <row r="868" ht="15.75" customHeight="1">
      <c r="C868" s="166"/>
      <c r="D868" s="166"/>
      <c r="G868" s="312"/>
      <c r="AJ868" s="102"/>
    </row>
    <row r="869" ht="15.75" customHeight="1">
      <c r="C869" s="166"/>
      <c r="D869" s="166"/>
      <c r="G869" s="312"/>
      <c r="AJ869" s="102"/>
    </row>
    <row r="870" ht="15.75" customHeight="1">
      <c r="C870" s="166"/>
      <c r="D870" s="166"/>
      <c r="G870" s="312"/>
      <c r="AJ870" s="102"/>
    </row>
    <row r="871" ht="15.75" customHeight="1">
      <c r="C871" s="166"/>
      <c r="D871" s="166"/>
      <c r="G871" s="312"/>
      <c r="AJ871" s="102"/>
    </row>
    <row r="872" ht="15.75" customHeight="1">
      <c r="C872" s="166"/>
      <c r="D872" s="166"/>
      <c r="G872" s="312"/>
      <c r="AJ872" s="102"/>
    </row>
    <row r="873" ht="15.75" customHeight="1">
      <c r="C873" s="166"/>
      <c r="D873" s="166"/>
      <c r="G873" s="312"/>
      <c r="AJ873" s="102"/>
    </row>
    <row r="874" ht="15.75" customHeight="1">
      <c r="C874" s="166"/>
      <c r="D874" s="166"/>
      <c r="G874" s="312"/>
      <c r="AJ874" s="102"/>
    </row>
    <row r="875" ht="15.75" customHeight="1">
      <c r="C875" s="166"/>
      <c r="D875" s="166"/>
      <c r="G875" s="312"/>
      <c r="AJ875" s="102"/>
    </row>
    <row r="876" ht="15.75" customHeight="1">
      <c r="C876" s="166"/>
      <c r="D876" s="166"/>
      <c r="G876" s="312"/>
      <c r="AJ876" s="102"/>
    </row>
    <row r="877" ht="15.75" customHeight="1">
      <c r="C877" s="166"/>
      <c r="D877" s="166"/>
      <c r="G877" s="312"/>
      <c r="AJ877" s="102"/>
    </row>
    <row r="878" ht="15.75" customHeight="1">
      <c r="C878" s="166"/>
      <c r="D878" s="166"/>
      <c r="G878" s="312"/>
      <c r="AJ878" s="102"/>
    </row>
    <row r="879" ht="15.75" customHeight="1">
      <c r="C879" s="166"/>
      <c r="D879" s="166"/>
      <c r="G879" s="312"/>
      <c r="AJ879" s="102"/>
    </row>
    <row r="880" ht="15.75" customHeight="1">
      <c r="C880" s="166"/>
      <c r="D880" s="166"/>
      <c r="G880" s="312"/>
      <c r="AJ880" s="102"/>
    </row>
    <row r="881" ht="15.75" customHeight="1">
      <c r="C881" s="166"/>
      <c r="D881" s="166"/>
      <c r="G881" s="312"/>
      <c r="AJ881" s="102"/>
    </row>
    <row r="882" ht="15.75" customHeight="1">
      <c r="C882" s="166"/>
      <c r="D882" s="166"/>
      <c r="G882" s="312"/>
      <c r="AJ882" s="102"/>
    </row>
    <row r="883" ht="15.75" customHeight="1">
      <c r="C883" s="166"/>
      <c r="D883" s="166"/>
      <c r="G883" s="312"/>
      <c r="AJ883" s="102"/>
    </row>
    <row r="884" ht="15.75" customHeight="1">
      <c r="C884" s="166"/>
      <c r="D884" s="166"/>
      <c r="G884" s="312"/>
      <c r="AJ884" s="102"/>
    </row>
    <row r="885" ht="15.75" customHeight="1">
      <c r="C885" s="166"/>
      <c r="D885" s="166"/>
      <c r="G885" s="312"/>
      <c r="AJ885" s="102"/>
    </row>
    <row r="886" ht="15.75" customHeight="1">
      <c r="C886" s="166"/>
      <c r="D886" s="166"/>
      <c r="G886" s="312"/>
      <c r="AJ886" s="102"/>
    </row>
    <row r="887" ht="15.75" customHeight="1">
      <c r="C887" s="166"/>
      <c r="D887" s="166"/>
      <c r="G887" s="312"/>
      <c r="AJ887" s="102"/>
    </row>
    <row r="888" ht="15.75" customHeight="1">
      <c r="C888" s="166"/>
      <c r="D888" s="166"/>
      <c r="G888" s="312"/>
      <c r="AJ888" s="102"/>
    </row>
    <row r="889" ht="15.75" customHeight="1">
      <c r="C889" s="166"/>
      <c r="D889" s="166"/>
      <c r="G889" s="312"/>
      <c r="AJ889" s="102"/>
    </row>
    <row r="890" ht="15.75" customHeight="1">
      <c r="C890" s="166"/>
      <c r="D890" s="166"/>
      <c r="G890" s="312"/>
      <c r="AJ890" s="102"/>
    </row>
    <row r="891" ht="15.75" customHeight="1">
      <c r="C891" s="166"/>
      <c r="D891" s="166"/>
      <c r="G891" s="312"/>
      <c r="AJ891" s="102"/>
    </row>
    <row r="892" ht="15.75" customHeight="1">
      <c r="C892" s="166"/>
      <c r="D892" s="166"/>
      <c r="G892" s="312"/>
      <c r="AJ892" s="102"/>
    </row>
    <row r="893" ht="15.75" customHeight="1">
      <c r="C893" s="166"/>
      <c r="D893" s="166"/>
      <c r="G893" s="312"/>
      <c r="AJ893" s="102"/>
    </row>
    <row r="894" ht="15.75" customHeight="1">
      <c r="C894" s="166"/>
      <c r="D894" s="166"/>
      <c r="G894" s="312"/>
      <c r="AJ894" s="102"/>
    </row>
    <row r="895" ht="15.75" customHeight="1">
      <c r="C895" s="166"/>
      <c r="D895" s="166"/>
      <c r="G895" s="312"/>
      <c r="AJ895" s="102"/>
    </row>
    <row r="896" ht="15.75" customHeight="1">
      <c r="C896" s="166"/>
      <c r="D896" s="166"/>
      <c r="G896" s="312"/>
      <c r="AJ896" s="102"/>
    </row>
    <row r="897" ht="15.75" customHeight="1">
      <c r="C897" s="166"/>
      <c r="D897" s="166"/>
      <c r="G897" s="312"/>
      <c r="AJ897" s="102"/>
    </row>
    <row r="898" ht="15.75" customHeight="1">
      <c r="C898" s="166"/>
      <c r="D898" s="166"/>
      <c r="G898" s="312"/>
      <c r="AJ898" s="102"/>
    </row>
    <row r="899" ht="15.75" customHeight="1">
      <c r="C899" s="166"/>
      <c r="D899" s="166"/>
      <c r="G899" s="312"/>
      <c r="AJ899" s="102"/>
    </row>
    <row r="900" ht="15.75" customHeight="1">
      <c r="C900" s="166"/>
      <c r="D900" s="166"/>
      <c r="G900" s="312"/>
      <c r="AJ900" s="102"/>
    </row>
    <row r="901" ht="15.75" customHeight="1">
      <c r="C901" s="166"/>
      <c r="D901" s="166"/>
      <c r="G901" s="312"/>
      <c r="AJ901" s="102"/>
    </row>
    <row r="902" ht="15.75" customHeight="1">
      <c r="C902" s="166"/>
      <c r="D902" s="166"/>
      <c r="G902" s="312"/>
      <c r="AJ902" s="102"/>
    </row>
    <row r="903" ht="15.75" customHeight="1">
      <c r="C903" s="166"/>
      <c r="D903" s="166"/>
      <c r="G903" s="312"/>
      <c r="AJ903" s="102"/>
    </row>
    <row r="904" ht="15.75" customHeight="1">
      <c r="C904" s="166"/>
      <c r="D904" s="166"/>
      <c r="G904" s="312"/>
      <c r="AJ904" s="102"/>
    </row>
    <row r="905" ht="15.75" customHeight="1">
      <c r="C905" s="166"/>
      <c r="D905" s="166"/>
      <c r="G905" s="312"/>
      <c r="AJ905" s="102"/>
    </row>
    <row r="906" ht="15.75" customHeight="1">
      <c r="C906" s="166"/>
      <c r="D906" s="166"/>
      <c r="G906" s="312"/>
      <c r="AJ906" s="102"/>
    </row>
    <row r="907" ht="15.75" customHeight="1">
      <c r="C907" s="166"/>
      <c r="D907" s="166"/>
      <c r="G907" s="312"/>
      <c r="AJ907" s="102"/>
    </row>
    <row r="908" ht="15.75" customHeight="1">
      <c r="C908" s="166"/>
      <c r="D908" s="166"/>
      <c r="G908" s="312"/>
      <c r="AJ908" s="102"/>
    </row>
    <row r="909" ht="15.75" customHeight="1">
      <c r="C909" s="166"/>
      <c r="D909" s="166"/>
      <c r="G909" s="312"/>
      <c r="AJ909" s="102"/>
    </row>
    <row r="910" ht="15.75" customHeight="1">
      <c r="C910" s="166"/>
      <c r="D910" s="166"/>
      <c r="G910" s="312"/>
      <c r="AJ910" s="102"/>
    </row>
    <row r="911" ht="15.75" customHeight="1">
      <c r="C911" s="166"/>
      <c r="D911" s="166"/>
      <c r="G911" s="312"/>
      <c r="AJ911" s="102"/>
    </row>
    <row r="912" ht="15.75" customHeight="1">
      <c r="C912" s="166"/>
      <c r="D912" s="166"/>
      <c r="G912" s="312"/>
      <c r="AJ912" s="102"/>
    </row>
    <row r="913" ht="15.75" customHeight="1">
      <c r="C913" s="166"/>
      <c r="D913" s="166"/>
      <c r="G913" s="312"/>
      <c r="AJ913" s="102"/>
    </row>
    <row r="914" ht="15.75" customHeight="1">
      <c r="C914" s="166"/>
      <c r="D914" s="166"/>
      <c r="G914" s="312"/>
      <c r="AJ914" s="102"/>
    </row>
    <row r="915" ht="15.75" customHeight="1">
      <c r="C915" s="166"/>
      <c r="D915" s="166"/>
      <c r="G915" s="312"/>
      <c r="AJ915" s="102"/>
    </row>
    <row r="916" ht="15.75" customHeight="1">
      <c r="C916" s="166"/>
      <c r="D916" s="166"/>
      <c r="G916" s="312"/>
      <c r="AJ916" s="102"/>
    </row>
    <row r="917" ht="15.75" customHeight="1">
      <c r="C917" s="166"/>
      <c r="D917" s="166"/>
      <c r="G917" s="312"/>
      <c r="AJ917" s="102"/>
    </row>
    <row r="918" ht="15.75" customHeight="1">
      <c r="C918" s="166"/>
      <c r="D918" s="166"/>
      <c r="G918" s="312"/>
      <c r="AJ918" s="102"/>
    </row>
    <row r="919" ht="15.75" customHeight="1">
      <c r="C919" s="166"/>
      <c r="D919" s="166"/>
      <c r="G919" s="312"/>
      <c r="AJ919" s="102"/>
    </row>
    <row r="920" ht="15.75" customHeight="1">
      <c r="C920" s="166"/>
      <c r="D920" s="166"/>
      <c r="G920" s="312"/>
      <c r="AJ920" s="102"/>
    </row>
    <row r="921" ht="15.75" customHeight="1">
      <c r="C921" s="166"/>
      <c r="D921" s="166"/>
      <c r="G921" s="312"/>
      <c r="AJ921" s="102"/>
    </row>
    <row r="922" ht="15.75" customHeight="1">
      <c r="C922" s="166"/>
      <c r="D922" s="166"/>
      <c r="G922" s="312"/>
      <c r="AJ922" s="102"/>
    </row>
    <row r="923" ht="15.75" customHeight="1">
      <c r="C923" s="166"/>
      <c r="D923" s="166"/>
      <c r="G923" s="312"/>
      <c r="AJ923" s="102"/>
    </row>
    <row r="924" ht="15.75" customHeight="1">
      <c r="C924" s="166"/>
      <c r="D924" s="166"/>
      <c r="G924" s="312"/>
      <c r="AJ924" s="102"/>
    </row>
    <row r="925" ht="15.75" customHeight="1">
      <c r="C925" s="166"/>
      <c r="D925" s="166"/>
      <c r="G925" s="312"/>
      <c r="AJ925" s="102"/>
    </row>
    <row r="926" ht="15.75" customHeight="1">
      <c r="C926" s="166"/>
      <c r="D926" s="166"/>
      <c r="G926" s="312"/>
      <c r="AJ926" s="102"/>
    </row>
    <row r="927" ht="15.75" customHeight="1">
      <c r="C927" s="166"/>
      <c r="D927" s="166"/>
      <c r="G927" s="312"/>
      <c r="AJ927" s="102"/>
    </row>
    <row r="928" ht="15.75" customHeight="1">
      <c r="C928" s="166"/>
      <c r="D928" s="166"/>
      <c r="G928" s="312"/>
      <c r="AJ928" s="102"/>
    </row>
    <row r="929" ht="15.75" customHeight="1">
      <c r="C929" s="166"/>
      <c r="D929" s="166"/>
      <c r="G929" s="312"/>
      <c r="AJ929" s="102"/>
    </row>
    <row r="930" ht="15.75" customHeight="1">
      <c r="C930" s="166"/>
      <c r="D930" s="166"/>
      <c r="G930" s="312"/>
      <c r="AJ930" s="102"/>
    </row>
    <row r="931" ht="15.75" customHeight="1">
      <c r="C931" s="166"/>
      <c r="D931" s="166"/>
      <c r="G931" s="312"/>
      <c r="AJ931" s="102"/>
    </row>
    <row r="932" ht="15.75" customHeight="1">
      <c r="C932" s="166"/>
      <c r="D932" s="166"/>
      <c r="G932" s="312"/>
      <c r="AJ932" s="102"/>
    </row>
    <row r="933" ht="15.75" customHeight="1">
      <c r="C933" s="166"/>
      <c r="D933" s="166"/>
      <c r="G933" s="312"/>
      <c r="AJ933" s="102"/>
    </row>
    <row r="934" ht="15.75" customHeight="1">
      <c r="C934" s="166"/>
      <c r="D934" s="166"/>
      <c r="G934" s="312"/>
      <c r="AJ934" s="102"/>
    </row>
    <row r="935" ht="15.75" customHeight="1">
      <c r="C935" s="166"/>
      <c r="D935" s="166"/>
      <c r="G935" s="312"/>
      <c r="AJ935" s="102"/>
    </row>
    <row r="936" ht="15.75" customHeight="1">
      <c r="C936" s="166"/>
      <c r="D936" s="166"/>
      <c r="G936" s="312"/>
      <c r="AJ936" s="102"/>
    </row>
    <row r="937" ht="15.75" customHeight="1">
      <c r="C937" s="166"/>
      <c r="D937" s="166"/>
      <c r="G937" s="312"/>
      <c r="AJ937" s="102"/>
    </row>
    <row r="938" ht="15.75" customHeight="1">
      <c r="C938" s="166"/>
      <c r="D938" s="166"/>
      <c r="G938" s="312"/>
      <c r="AJ938" s="102"/>
    </row>
    <row r="939" ht="15.75" customHeight="1">
      <c r="C939" s="166"/>
      <c r="D939" s="166"/>
      <c r="G939" s="312"/>
      <c r="AJ939" s="102"/>
    </row>
    <row r="940" ht="15.75" customHeight="1">
      <c r="C940" s="166"/>
      <c r="D940" s="166"/>
      <c r="G940" s="312"/>
      <c r="AJ940" s="102"/>
    </row>
    <row r="941" ht="15.75" customHeight="1">
      <c r="C941" s="166"/>
      <c r="D941" s="166"/>
      <c r="G941" s="312"/>
      <c r="AJ941" s="102"/>
    </row>
    <row r="942" ht="15.75" customHeight="1">
      <c r="C942" s="166"/>
      <c r="D942" s="166"/>
      <c r="G942" s="312"/>
      <c r="AJ942" s="102"/>
    </row>
    <row r="943" ht="15.75" customHeight="1">
      <c r="C943" s="166"/>
      <c r="D943" s="166"/>
      <c r="G943" s="312"/>
      <c r="AJ943" s="102"/>
    </row>
    <row r="944" ht="15.75" customHeight="1">
      <c r="C944" s="166"/>
      <c r="D944" s="166"/>
      <c r="G944" s="312"/>
      <c r="AJ944" s="102"/>
    </row>
    <row r="945" ht="15.75" customHeight="1">
      <c r="C945" s="166"/>
      <c r="D945" s="166"/>
      <c r="G945" s="312"/>
      <c r="AJ945" s="102"/>
    </row>
    <row r="946" ht="15.75" customHeight="1">
      <c r="C946" s="166"/>
      <c r="D946" s="166"/>
      <c r="G946" s="312"/>
      <c r="AJ946" s="102"/>
    </row>
    <row r="947" ht="15.75" customHeight="1">
      <c r="C947" s="166"/>
      <c r="D947" s="166"/>
      <c r="G947" s="312"/>
      <c r="AJ947" s="102"/>
    </row>
    <row r="948" ht="15.75" customHeight="1">
      <c r="C948" s="166"/>
      <c r="D948" s="166"/>
      <c r="G948" s="312"/>
      <c r="AJ948" s="102"/>
    </row>
    <row r="949" ht="15.75" customHeight="1">
      <c r="C949" s="166"/>
      <c r="D949" s="166"/>
      <c r="G949" s="312"/>
      <c r="AJ949" s="102"/>
    </row>
    <row r="950" ht="15.75" customHeight="1">
      <c r="C950" s="166"/>
      <c r="D950" s="166"/>
      <c r="G950" s="312"/>
      <c r="AJ950" s="102"/>
    </row>
    <row r="951" ht="15.75" customHeight="1">
      <c r="C951" s="166"/>
      <c r="D951" s="166"/>
      <c r="G951" s="312"/>
      <c r="AJ951" s="102"/>
    </row>
    <row r="952" ht="15.75" customHeight="1">
      <c r="C952" s="166"/>
      <c r="D952" s="166"/>
      <c r="G952" s="312"/>
      <c r="AJ952" s="102"/>
    </row>
    <row r="953" ht="15.75" customHeight="1">
      <c r="C953" s="166"/>
      <c r="D953" s="166"/>
      <c r="G953" s="312"/>
      <c r="AJ953" s="102"/>
    </row>
    <row r="954" ht="15.75" customHeight="1">
      <c r="C954" s="166"/>
      <c r="D954" s="166"/>
      <c r="G954" s="312"/>
      <c r="AJ954" s="102"/>
    </row>
    <row r="955" ht="15.75" customHeight="1">
      <c r="C955" s="166"/>
      <c r="D955" s="166"/>
      <c r="G955" s="312"/>
      <c r="AJ955" s="102"/>
    </row>
    <row r="956" ht="15.75" customHeight="1">
      <c r="C956" s="166"/>
      <c r="D956" s="166"/>
      <c r="G956" s="312"/>
      <c r="AJ956" s="102"/>
    </row>
    <row r="957" ht="15.75" customHeight="1">
      <c r="C957" s="166"/>
      <c r="D957" s="166"/>
      <c r="G957" s="312"/>
      <c r="AJ957" s="102"/>
    </row>
    <row r="958" ht="15.75" customHeight="1">
      <c r="C958" s="166"/>
      <c r="D958" s="166"/>
      <c r="G958" s="312"/>
      <c r="AJ958" s="102"/>
    </row>
    <row r="959" ht="15.75" customHeight="1">
      <c r="C959" s="166"/>
      <c r="D959" s="166"/>
      <c r="G959" s="312"/>
      <c r="AJ959" s="102"/>
    </row>
    <row r="960" ht="15.75" customHeight="1">
      <c r="C960" s="166"/>
      <c r="D960" s="166"/>
      <c r="G960" s="312"/>
      <c r="AJ960" s="102"/>
    </row>
    <row r="961" ht="15.75" customHeight="1">
      <c r="C961" s="166"/>
      <c r="D961" s="166"/>
      <c r="G961" s="312"/>
      <c r="AJ961" s="102"/>
    </row>
    <row r="962" ht="15.75" customHeight="1">
      <c r="C962" s="166"/>
      <c r="D962" s="166"/>
      <c r="G962" s="312"/>
      <c r="AJ962" s="102"/>
    </row>
    <row r="963" ht="15.75" customHeight="1">
      <c r="C963" s="166"/>
      <c r="D963" s="166"/>
      <c r="G963" s="312"/>
      <c r="AJ963" s="102"/>
    </row>
    <row r="964" ht="15.75" customHeight="1">
      <c r="C964" s="166"/>
      <c r="D964" s="166"/>
      <c r="G964" s="312"/>
      <c r="AJ964" s="102"/>
    </row>
    <row r="965" ht="15.75" customHeight="1">
      <c r="C965" s="166"/>
      <c r="D965" s="166"/>
      <c r="G965" s="312"/>
      <c r="AJ965" s="102"/>
    </row>
    <row r="966" ht="15.75" customHeight="1">
      <c r="C966" s="166"/>
      <c r="D966" s="166"/>
      <c r="G966" s="312"/>
      <c r="AJ966" s="102"/>
    </row>
    <row r="967" ht="15.75" customHeight="1">
      <c r="C967" s="166"/>
      <c r="D967" s="166"/>
      <c r="G967" s="312"/>
      <c r="AJ967" s="102"/>
    </row>
    <row r="968" ht="15.75" customHeight="1">
      <c r="C968" s="166"/>
      <c r="D968" s="166"/>
      <c r="G968" s="312"/>
      <c r="AJ968" s="102"/>
    </row>
    <row r="969" ht="15.75" customHeight="1">
      <c r="C969" s="166"/>
      <c r="D969" s="166"/>
      <c r="G969" s="312"/>
      <c r="AJ969" s="102"/>
    </row>
    <row r="970" ht="15.75" customHeight="1">
      <c r="C970" s="166"/>
      <c r="D970" s="166"/>
      <c r="G970" s="312"/>
      <c r="AJ970" s="102"/>
    </row>
    <row r="971" ht="15.75" customHeight="1">
      <c r="C971" s="166"/>
      <c r="D971" s="166"/>
      <c r="G971" s="312"/>
      <c r="AJ971" s="102"/>
    </row>
    <row r="972" ht="15.75" customHeight="1">
      <c r="C972" s="166"/>
      <c r="D972" s="166"/>
      <c r="G972" s="312"/>
      <c r="AJ972" s="102"/>
    </row>
    <row r="973" ht="15.75" customHeight="1">
      <c r="C973" s="166"/>
      <c r="D973" s="166"/>
      <c r="G973" s="312"/>
      <c r="AJ973" s="102"/>
    </row>
    <row r="974" ht="15.75" customHeight="1">
      <c r="C974" s="166"/>
      <c r="D974" s="166"/>
      <c r="G974" s="312"/>
      <c r="AJ974" s="102"/>
    </row>
    <row r="975" ht="15.75" customHeight="1">
      <c r="C975" s="166"/>
      <c r="D975" s="166"/>
      <c r="G975" s="312"/>
      <c r="AJ975" s="102"/>
    </row>
    <row r="976" ht="15.75" customHeight="1">
      <c r="C976" s="166"/>
      <c r="D976" s="166"/>
      <c r="G976" s="312"/>
      <c r="AJ976" s="102"/>
    </row>
    <row r="977" ht="15.75" customHeight="1">
      <c r="C977" s="166"/>
      <c r="D977" s="166"/>
      <c r="G977" s="312"/>
      <c r="AJ977" s="102"/>
    </row>
    <row r="978" ht="15.75" customHeight="1">
      <c r="C978" s="166"/>
      <c r="D978" s="166"/>
      <c r="G978" s="312"/>
      <c r="AJ978" s="102"/>
    </row>
    <row r="979" ht="15.75" customHeight="1">
      <c r="C979" s="166"/>
      <c r="D979" s="166"/>
      <c r="G979" s="312"/>
      <c r="AJ979" s="102"/>
    </row>
    <row r="980" ht="15.75" customHeight="1">
      <c r="C980" s="166"/>
      <c r="D980" s="166"/>
      <c r="G980" s="312"/>
      <c r="AJ980" s="102"/>
    </row>
    <row r="981" ht="15.75" customHeight="1">
      <c r="C981" s="166"/>
      <c r="D981" s="166"/>
      <c r="G981" s="312"/>
      <c r="AJ981" s="102"/>
    </row>
    <row r="982" ht="15.75" customHeight="1">
      <c r="C982" s="166"/>
      <c r="D982" s="166"/>
      <c r="G982" s="312"/>
      <c r="AJ982" s="102"/>
    </row>
    <row r="983" ht="15.75" customHeight="1">
      <c r="C983" s="166"/>
      <c r="D983" s="166"/>
      <c r="G983" s="312"/>
      <c r="AJ983" s="102"/>
    </row>
    <row r="984" ht="15.75" customHeight="1">
      <c r="C984" s="166"/>
      <c r="D984" s="166"/>
      <c r="G984" s="312"/>
      <c r="AJ984" s="102"/>
    </row>
    <row r="985" ht="15.75" customHeight="1">
      <c r="C985" s="166"/>
      <c r="D985" s="166"/>
      <c r="G985" s="312"/>
      <c r="AJ985" s="102"/>
    </row>
    <row r="986" ht="15.75" customHeight="1">
      <c r="C986" s="166"/>
      <c r="D986" s="166"/>
      <c r="G986" s="312"/>
      <c r="AJ986" s="102"/>
    </row>
    <row r="987" ht="15.75" customHeight="1">
      <c r="C987" s="166"/>
      <c r="D987" s="166"/>
      <c r="G987" s="312"/>
      <c r="AJ987" s="102"/>
    </row>
    <row r="988" ht="15.75" customHeight="1">
      <c r="C988" s="166"/>
      <c r="D988" s="166"/>
      <c r="G988" s="312"/>
      <c r="AJ988" s="102"/>
    </row>
    <row r="989" ht="15.75" customHeight="1">
      <c r="C989" s="166"/>
      <c r="D989" s="166"/>
      <c r="G989" s="312"/>
      <c r="AJ989" s="102"/>
    </row>
    <row r="990" ht="15.75" customHeight="1">
      <c r="C990" s="166"/>
      <c r="D990" s="166"/>
      <c r="G990" s="312"/>
      <c r="AJ990" s="102"/>
    </row>
    <row r="991" ht="15.75" customHeight="1">
      <c r="C991" s="166"/>
      <c r="D991" s="166"/>
      <c r="G991" s="312"/>
      <c r="AJ991" s="102"/>
    </row>
    <row r="992" ht="15.75" customHeight="1">
      <c r="C992" s="166"/>
      <c r="D992" s="166"/>
      <c r="G992" s="312"/>
      <c r="AJ992" s="102"/>
    </row>
    <row r="993" ht="15.75" customHeight="1">
      <c r="C993" s="166"/>
      <c r="D993" s="166"/>
      <c r="G993" s="312"/>
      <c r="AJ993" s="102"/>
    </row>
    <row r="994" ht="15.75" customHeight="1">
      <c r="C994" s="166"/>
      <c r="D994" s="166"/>
      <c r="G994" s="312"/>
      <c r="AJ994" s="102"/>
    </row>
    <row r="995" ht="15.75" customHeight="1">
      <c r="C995" s="166"/>
      <c r="D995" s="166"/>
      <c r="G995" s="312"/>
      <c r="AJ995" s="102"/>
    </row>
    <row r="996" ht="15.75" customHeight="1">
      <c r="C996" s="166"/>
      <c r="D996" s="166"/>
      <c r="G996" s="312"/>
      <c r="AJ996" s="102"/>
    </row>
    <row r="997" ht="15.75" customHeight="1">
      <c r="C997" s="166"/>
      <c r="D997" s="166"/>
      <c r="G997" s="312"/>
      <c r="AJ997" s="102"/>
    </row>
    <row r="998" ht="15.75" customHeight="1">
      <c r="C998" s="166"/>
      <c r="D998" s="166"/>
      <c r="G998" s="312"/>
      <c r="AJ998" s="102"/>
    </row>
    <row r="999" ht="15.75" customHeight="1">
      <c r="C999" s="166"/>
      <c r="D999" s="166"/>
      <c r="G999" s="312"/>
      <c r="AJ999" s="102"/>
    </row>
    <row r="1000" ht="15.75" customHeight="1">
      <c r="C1000" s="166"/>
      <c r="D1000" s="166"/>
      <c r="G1000" s="312"/>
      <c r="AJ1000" s="102"/>
    </row>
    <row r="1001" ht="15.75" customHeight="1">
      <c r="C1001" s="166"/>
      <c r="D1001" s="166"/>
      <c r="G1001" s="312"/>
      <c r="AJ1001" s="102"/>
    </row>
    <row r="1002" ht="15.75" customHeight="1">
      <c r="C1002" s="166"/>
      <c r="D1002" s="166"/>
      <c r="G1002" s="312"/>
      <c r="AJ1002" s="102"/>
    </row>
    <row r="1003" ht="15.75" customHeight="1">
      <c r="C1003" s="166"/>
      <c r="D1003" s="166"/>
      <c r="G1003" s="312"/>
      <c r="AJ1003" s="102"/>
    </row>
    <row r="1004" ht="15.75" customHeight="1">
      <c r="C1004" s="166"/>
      <c r="D1004" s="166"/>
      <c r="G1004" s="312"/>
      <c r="AJ1004" s="102"/>
    </row>
    <row r="1005" ht="15.75" customHeight="1">
      <c r="C1005" s="166"/>
      <c r="D1005" s="166"/>
      <c r="G1005" s="312"/>
      <c r="AJ1005" s="102"/>
    </row>
    <row r="1006" ht="15.75" customHeight="1">
      <c r="C1006" s="166"/>
      <c r="D1006" s="166"/>
      <c r="G1006" s="312"/>
      <c r="AJ1006" s="102"/>
    </row>
    <row r="1007" ht="15.75" customHeight="1">
      <c r="C1007" s="166"/>
      <c r="D1007" s="166"/>
      <c r="G1007" s="312"/>
      <c r="AJ1007" s="102"/>
    </row>
    <row r="1008" ht="15.75" customHeight="1">
      <c r="C1008" s="166"/>
      <c r="D1008" s="166"/>
      <c r="G1008" s="312"/>
      <c r="AJ1008" s="102"/>
    </row>
    <row r="1009" ht="15.75" customHeight="1">
      <c r="C1009" s="166"/>
      <c r="D1009" s="166"/>
      <c r="G1009" s="312"/>
      <c r="AJ1009" s="102"/>
    </row>
    <row r="1010" ht="15.75" customHeight="1">
      <c r="C1010" s="166"/>
      <c r="D1010" s="166"/>
      <c r="G1010" s="312"/>
      <c r="AJ1010" s="102"/>
    </row>
    <row r="1011" ht="15.75" customHeight="1">
      <c r="C1011" s="166"/>
      <c r="D1011" s="166"/>
      <c r="G1011" s="312"/>
      <c r="AJ1011" s="102"/>
    </row>
    <row r="1012" ht="15.75" customHeight="1">
      <c r="C1012" s="166"/>
      <c r="D1012" s="166"/>
      <c r="G1012" s="312"/>
      <c r="AJ1012" s="102"/>
    </row>
    <row r="1013" ht="15.75" customHeight="1">
      <c r="C1013" s="166"/>
      <c r="D1013" s="166"/>
      <c r="G1013" s="312"/>
      <c r="AJ1013" s="102"/>
    </row>
    <row r="1014" ht="15.75" customHeight="1">
      <c r="C1014" s="166"/>
      <c r="D1014" s="166"/>
      <c r="G1014" s="312"/>
      <c r="AJ1014" s="102"/>
    </row>
    <row r="1015" ht="15.75" customHeight="1">
      <c r="C1015" s="166"/>
      <c r="D1015" s="166"/>
      <c r="G1015" s="312"/>
      <c r="AJ1015" s="102"/>
    </row>
    <row r="1016" ht="15.75" customHeight="1">
      <c r="C1016" s="166"/>
      <c r="D1016" s="166"/>
      <c r="G1016" s="312"/>
      <c r="AJ1016" s="102"/>
    </row>
    <row r="1017" ht="15.75" customHeight="1">
      <c r="C1017" s="166"/>
      <c r="D1017" s="166"/>
      <c r="G1017" s="312"/>
      <c r="AJ1017" s="102"/>
    </row>
    <row r="1018" ht="15.75" customHeight="1">
      <c r="C1018" s="166"/>
      <c r="D1018" s="166"/>
      <c r="G1018" s="312"/>
      <c r="AJ1018" s="102"/>
    </row>
    <row r="1019" ht="15.75" customHeight="1">
      <c r="C1019" s="166"/>
      <c r="D1019" s="166"/>
      <c r="G1019" s="312"/>
      <c r="AJ1019" s="102"/>
    </row>
    <row r="1020" ht="15.75" customHeight="1">
      <c r="C1020" s="166"/>
      <c r="D1020" s="166"/>
      <c r="G1020" s="312"/>
      <c r="AJ1020" s="102"/>
    </row>
    <row r="1021" ht="15.75" customHeight="1">
      <c r="C1021" s="166"/>
      <c r="D1021" s="166"/>
      <c r="G1021" s="312"/>
      <c r="AJ1021" s="102"/>
    </row>
    <row r="1022" ht="15.75" customHeight="1">
      <c r="C1022" s="166"/>
      <c r="D1022" s="166"/>
      <c r="G1022" s="312"/>
      <c r="AJ1022" s="102"/>
    </row>
    <row r="1023" ht="15.75" customHeight="1">
      <c r="C1023" s="166"/>
      <c r="D1023" s="166"/>
      <c r="G1023" s="312"/>
      <c r="AJ1023" s="102"/>
    </row>
    <row r="1024" ht="15.75" customHeight="1">
      <c r="C1024" s="166"/>
      <c r="D1024" s="166"/>
      <c r="G1024" s="312"/>
      <c r="AJ1024" s="102"/>
    </row>
    <row r="1025" ht="15.75" customHeight="1">
      <c r="C1025" s="166"/>
      <c r="D1025" s="166"/>
      <c r="G1025" s="312"/>
      <c r="AJ1025" s="102"/>
    </row>
    <row r="1026" ht="15.75" customHeight="1">
      <c r="C1026" s="166"/>
      <c r="D1026" s="166"/>
      <c r="G1026" s="312"/>
      <c r="AJ1026" s="102"/>
    </row>
    <row r="1027" ht="15.75" customHeight="1">
      <c r="C1027" s="166"/>
      <c r="D1027" s="166"/>
      <c r="G1027" s="312"/>
      <c r="AJ1027" s="102"/>
    </row>
    <row r="1028" ht="15.75" customHeight="1">
      <c r="C1028" s="166"/>
      <c r="D1028" s="166"/>
      <c r="G1028" s="312"/>
      <c r="AJ1028" s="102"/>
    </row>
    <row r="1029" ht="15.75" customHeight="1">
      <c r="C1029" s="166"/>
      <c r="D1029" s="166"/>
      <c r="G1029" s="312"/>
      <c r="AJ1029" s="102"/>
    </row>
    <row r="1030" ht="15.75" customHeight="1">
      <c r="C1030" s="166"/>
      <c r="D1030" s="166"/>
      <c r="G1030" s="312"/>
      <c r="AJ1030" s="102"/>
    </row>
    <row r="1031" ht="15.75" customHeight="1">
      <c r="C1031" s="166"/>
      <c r="D1031" s="166"/>
      <c r="G1031" s="312"/>
      <c r="AJ1031" s="102"/>
    </row>
    <row r="1032" ht="15.75" customHeight="1">
      <c r="C1032" s="166"/>
      <c r="D1032" s="166"/>
      <c r="G1032" s="312"/>
      <c r="AJ1032" s="102"/>
    </row>
    <row r="1033" ht="15.75" customHeight="1">
      <c r="C1033" s="166"/>
      <c r="D1033" s="166"/>
      <c r="G1033" s="312"/>
      <c r="AJ1033" s="102"/>
    </row>
    <row r="1034" ht="15.75" customHeight="1">
      <c r="C1034" s="166"/>
      <c r="D1034" s="166"/>
      <c r="G1034" s="312"/>
      <c r="AJ1034" s="102"/>
    </row>
    <row r="1035" ht="15.75" customHeight="1">
      <c r="C1035" s="166"/>
      <c r="D1035" s="166"/>
      <c r="G1035" s="312"/>
      <c r="AJ1035" s="102"/>
    </row>
    <row r="1036" ht="15.75" customHeight="1">
      <c r="C1036" s="166"/>
      <c r="D1036" s="166"/>
      <c r="G1036" s="312"/>
      <c r="AJ1036" s="102"/>
    </row>
    <row r="1037" ht="15.75" customHeight="1">
      <c r="C1037" s="166"/>
      <c r="D1037" s="166"/>
      <c r="G1037" s="312"/>
      <c r="AJ1037" s="102"/>
    </row>
    <row r="1038" ht="15.75" customHeight="1">
      <c r="C1038" s="166"/>
      <c r="D1038" s="166"/>
      <c r="G1038" s="312"/>
      <c r="AJ1038" s="102"/>
    </row>
    <row r="1039" ht="15.75" customHeight="1">
      <c r="C1039" s="166"/>
      <c r="D1039" s="166"/>
      <c r="G1039" s="312"/>
      <c r="AJ1039" s="102"/>
    </row>
    <row r="1040" ht="15.75" customHeight="1">
      <c r="C1040" s="166"/>
      <c r="D1040" s="166"/>
      <c r="G1040" s="312"/>
      <c r="AJ1040" s="102"/>
    </row>
    <row r="1041" ht="15.75" customHeight="1">
      <c r="C1041" s="166"/>
      <c r="D1041" s="166"/>
      <c r="G1041" s="312"/>
      <c r="AJ1041" s="102"/>
    </row>
    <row r="1042" ht="15.75" customHeight="1">
      <c r="C1042" s="166"/>
      <c r="D1042" s="166"/>
      <c r="G1042" s="312"/>
      <c r="AJ1042" s="102"/>
    </row>
    <row r="1043" ht="15.75" customHeight="1">
      <c r="C1043" s="166"/>
      <c r="D1043" s="166"/>
      <c r="G1043" s="312"/>
      <c r="AJ1043" s="102"/>
    </row>
    <row r="1044" ht="15.75" customHeight="1">
      <c r="C1044" s="166"/>
      <c r="D1044" s="166"/>
      <c r="G1044" s="312"/>
      <c r="AJ1044" s="102"/>
    </row>
    <row r="1045" ht="15.75" customHeight="1">
      <c r="C1045" s="166"/>
      <c r="D1045" s="166"/>
      <c r="G1045" s="312"/>
      <c r="AJ1045" s="102"/>
    </row>
    <row r="1046" ht="15.75" customHeight="1">
      <c r="C1046" s="166"/>
      <c r="D1046" s="166"/>
      <c r="G1046" s="312"/>
      <c r="AJ1046" s="102"/>
    </row>
    <row r="1047" ht="15.75" customHeight="1">
      <c r="C1047" s="166"/>
      <c r="D1047" s="166"/>
      <c r="G1047" s="312"/>
      <c r="AJ1047" s="102"/>
    </row>
    <row r="1048" ht="15.75" customHeight="1">
      <c r="C1048" s="166"/>
      <c r="D1048" s="166"/>
      <c r="G1048" s="312"/>
      <c r="AJ1048" s="102"/>
    </row>
    <row r="1049" ht="15.75" customHeight="1">
      <c r="C1049" s="166"/>
      <c r="D1049" s="166"/>
      <c r="G1049" s="312"/>
      <c r="AJ1049" s="102"/>
    </row>
    <row r="1050" ht="15.75" customHeight="1">
      <c r="C1050" s="166"/>
      <c r="D1050" s="166"/>
      <c r="G1050" s="312"/>
      <c r="AJ1050" s="102"/>
    </row>
    <row r="1051" ht="15.75" customHeight="1">
      <c r="C1051" s="166"/>
      <c r="D1051" s="166"/>
      <c r="G1051" s="312"/>
      <c r="AJ1051" s="102"/>
    </row>
    <row r="1052" ht="15.75" customHeight="1">
      <c r="C1052" s="166"/>
      <c r="D1052" s="166"/>
      <c r="G1052" s="312"/>
      <c r="AJ1052" s="102"/>
    </row>
    <row r="1053" ht="15.75" customHeight="1">
      <c r="C1053" s="166"/>
      <c r="D1053" s="166"/>
      <c r="G1053" s="312"/>
      <c r="AJ1053" s="102"/>
    </row>
    <row r="1054" ht="15.75" customHeight="1">
      <c r="C1054" s="166"/>
      <c r="D1054" s="166"/>
      <c r="G1054" s="312"/>
      <c r="AJ1054" s="102"/>
    </row>
    <row r="1055" ht="15.75" customHeight="1">
      <c r="C1055" s="166"/>
      <c r="D1055" s="166"/>
      <c r="G1055" s="312"/>
      <c r="AJ1055" s="102"/>
    </row>
    <row r="1056" ht="15.75" customHeight="1">
      <c r="C1056" s="166"/>
      <c r="D1056" s="166"/>
      <c r="G1056" s="312"/>
      <c r="AJ1056" s="102"/>
    </row>
    <row r="1057" ht="15.75" customHeight="1">
      <c r="C1057" s="166"/>
      <c r="D1057" s="166"/>
      <c r="G1057" s="312"/>
      <c r="AJ1057" s="102"/>
    </row>
    <row r="1058" ht="15.75" customHeight="1">
      <c r="C1058" s="166"/>
      <c r="D1058" s="166"/>
      <c r="G1058" s="312"/>
      <c r="AJ1058" s="102"/>
    </row>
  </sheetData>
  <mergeCells count="53">
    <mergeCell ref="D44:D50"/>
    <mergeCell ref="D51:D59"/>
    <mergeCell ref="F8:F9"/>
    <mergeCell ref="G8:G9"/>
    <mergeCell ref="D12:D22"/>
    <mergeCell ref="D26:D27"/>
    <mergeCell ref="D31:D35"/>
    <mergeCell ref="G31:G35"/>
    <mergeCell ref="D40:D43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2:F99"/>
    <mergeCell ref="D104:D106"/>
    <mergeCell ref="F104:F106"/>
    <mergeCell ref="G104:G106"/>
    <mergeCell ref="H104:H106"/>
    <mergeCell ref="D107:D110"/>
    <mergeCell ref="G107:G110"/>
    <mergeCell ref="D82:D99"/>
    <mergeCell ref="D140:F140"/>
    <mergeCell ref="D141:F141"/>
    <mergeCell ref="I141:J141"/>
    <mergeCell ref="K141:AG141"/>
    <mergeCell ref="D142:F142"/>
    <mergeCell ref="K142:AG142"/>
    <mergeCell ref="D143:F143"/>
    <mergeCell ref="K143:AG143"/>
    <mergeCell ref="A150:C150"/>
    <mergeCell ref="A151:C151"/>
    <mergeCell ref="F107:F110"/>
    <mergeCell ref="F111:F112"/>
    <mergeCell ref="G111:G112"/>
    <mergeCell ref="D117:D122"/>
    <mergeCell ref="F117:F122"/>
    <mergeCell ref="G117:G122"/>
    <mergeCell ref="D126:D129"/>
    <mergeCell ref="D111:D112"/>
    <mergeCell ref="D60:D65"/>
    <mergeCell ref="D66:D78"/>
    <mergeCell ref="F40:F43"/>
    <mergeCell ref="G40:G43"/>
    <mergeCell ref="F44:F50"/>
    <mergeCell ref="G44:G50"/>
    <mergeCell ref="F51:F59"/>
    <mergeCell ref="F60:F65"/>
    <mergeCell ref="F66:F78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9.75"/>
  </cols>
  <sheetData>
    <row r="1">
      <c r="A1" s="1" t="s">
        <v>0</v>
      </c>
      <c r="AJ1" s="101"/>
      <c r="AK1" s="2"/>
    </row>
    <row r="2">
      <c r="A2" s="168" t="s">
        <v>370</v>
      </c>
      <c r="AJ2" s="101"/>
      <c r="AK2" s="2"/>
    </row>
    <row r="3">
      <c r="A3" s="4"/>
      <c r="AJ3" s="101"/>
      <c r="AK3" s="2"/>
    </row>
    <row r="4">
      <c r="A4" s="5" t="s">
        <v>2</v>
      </c>
      <c r="B4" s="6"/>
      <c r="C4" s="6"/>
      <c r="D4" s="6"/>
      <c r="E4" s="7"/>
      <c r="F4" s="6"/>
      <c r="G4" s="16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101"/>
      <c r="AK4" s="2"/>
    </row>
    <row r="5">
      <c r="A5" s="8"/>
      <c r="B5" s="6"/>
      <c r="C5" s="6"/>
      <c r="D5" s="6"/>
      <c r="E5" s="9"/>
      <c r="F5" s="10"/>
      <c r="G5" s="14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01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101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101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170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313" t="s">
        <v>17</v>
      </c>
      <c r="J9" s="313" t="s">
        <v>235</v>
      </c>
      <c r="K9" s="313" t="s">
        <v>371</v>
      </c>
      <c r="L9" s="29" t="s">
        <v>18</v>
      </c>
      <c r="M9" s="29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30" t="s">
        <v>41</v>
      </c>
      <c r="AJ9" s="170"/>
      <c r="AK9" s="23"/>
      <c r="AL9" s="24"/>
      <c r="AM9" s="24"/>
    </row>
    <row r="10">
      <c r="A10" s="32" t="s">
        <v>42</v>
      </c>
      <c r="B10" s="32" t="s">
        <v>43</v>
      </c>
      <c r="C10" s="32" t="s">
        <v>44</v>
      </c>
      <c r="D10" s="32" t="s">
        <v>45</v>
      </c>
      <c r="E10" s="33" t="s">
        <v>46</v>
      </c>
      <c r="F10" s="34" t="s">
        <v>47</v>
      </c>
      <c r="G10" s="32" t="s">
        <v>48</v>
      </c>
      <c r="H10" s="32" t="s">
        <v>49</v>
      </c>
      <c r="I10" s="32" t="s">
        <v>50</v>
      </c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5" t="s">
        <v>76</v>
      </c>
      <c r="AJ10" s="170"/>
      <c r="AK10" s="37"/>
    </row>
    <row r="11">
      <c r="A11" s="38" t="s">
        <v>77</v>
      </c>
      <c r="B11" s="39"/>
      <c r="C11" s="39" t="s">
        <v>78</v>
      </c>
      <c r="D11" s="40"/>
      <c r="E11" s="41"/>
      <c r="F11" s="271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38"/>
      <c r="AI11" s="43"/>
      <c r="AJ11" s="170"/>
      <c r="AK11" s="37"/>
    </row>
    <row r="12">
      <c r="A12" s="58"/>
      <c r="B12" s="59"/>
      <c r="C12" s="59"/>
      <c r="D12" s="68"/>
      <c r="E12" s="92"/>
      <c r="F12" s="314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58"/>
      <c r="AI12" s="315"/>
      <c r="AJ12" s="170"/>
      <c r="AK12" s="37"/>
      <c r="AL12" s="2"/>
      <c r="AM12" s="2"/>
    </row>
    <row r="13">
      <c r="A13" s="58"/>
      <c r="B13" s="59"/>
      <c r="C13" s="59"/>
      <c r="D13" s="68"/>
      <c r="E13" s="92"/>
      <c r="F13" s="314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58"/>
      <c r="AI13" s="316"/>
      <c r="AJ13" s="101"/>
      <c r="AK13" s="317"/>
      <c r="AL13" s="318"/>
      <c r="AM13" s="318"/>
    </row>
    <row r="14">
      <c r="A14" s="58"/>
      <c r="B14" s="59"/>
      <c r="C14" s="59"/>
      <c r="D14" s="68"/>
      <c r="E14" s="92"/>
      <c r="F14" s="314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58"/>
      <c r="AI14" s="316"/>
      <c r="AJ14" s="101"/>
      <c r="AK14" s="317"/>
      <c r="AL14" s="318"/>
      <c r="AM14" s="318"/>
    </row>
    <row r="15">
      <c r="A15" s="38" t="s">
        <v>87</v>
      </c>
      <c r="B15" s="39"/>
      <c r="C15" s="171" t="s">
        <v>88</v>
      </c>
      <c r="D15" s="172"/>
      <c r="E15" s="173"/>
      <c r="F15" s="174"/>
      <c r="G15" s="172"/>
      <c r="H15" s="172"/>
      <c r="I15" s="172"/>
      <c r="J15" s="172"/>
      <c r="K15" s="172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175"/>
      <c r="AJ15" s="176">
        <f>SUM(F16:F31)</f>
        <v>145420</v>
      </c>
      <c r="AK15" s="177">
        <v>147686.0</v>
      </c>
    </row>
    <row r="16">
      <c r="A16" s="58"/>
      <c r="B16" s="59"/>
      <c r="C16" s="319" t="s">
        <v>236</v>
      </c>
      <c r="D16" s="320" t="s">
        <v>372</v>
      </c>
      <c r="E16" s="191">
        <v>80.0</v>
      </c>
      <c r="F16" s="321">
        <f>(E16*J16)+(E17*J17)+(E18*J18)+(E19*J19)+(E20*J20)+(E21*J21)+(E22*J22)+(E23*J23)+(E24*J24)+(E25*J25)+(E26*J26)</f>
        <v>41440</v>
      </c>
      <c r="G16" s="322" t="s">
        <v>90</v>
      </c>
      <c r="H16" s="195"/>
      <c r="I16" s="195"/>
      <c r="J16" s="196">
        <v>50.0</v>
      </c>
      <c r="K16" s="187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188"/>
      <c r="AJ16" s="101"/>
      <c r="AK16" s="37"/>
    </row>
    <row r="17">
      <c r="A17" s="58"/>
      <c r="B17" s="59"/>
      <c r="C17" s="319" t="s">
        <v>239</v>
      </c>
      <c r="D17" s="320" t="s">
        <v>314</v>
      </c>
      <c r="E17" s="191">
        <v>850.0</v>
      </c>
      <c r="F17" s="190"/>
      <c r="G17" s="190"/>
      <c r="H17" s="195"/>
      <c r="I17" s="195"/>
      <c r="J17" s="196">
        <v>5.0</v>
      </c>
      <c r="K17" s="187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188"/>
      <c r="AJ17" s="101"/>
      <c r="AK17" s="37"/>
    </row>
    <row r="18">
      <c r="A18" s="58"/>
      <c r="B18" s="68"/>
      <c r="C18" s="319" t="s">
        <v>240</v>
      </c>
      <c r="D18" s="320" t="s">
        <v>314</v>
      </c>
      <c r="E18" s="191">
        <v>450.0</v>
      </c>
      <c r="F18" s="190"/>
      <c r="G18" s="190"/>
      <c r="H18" s="195"/>
      <c r="I18" s="195"/>
      <c r="J18" s="196">
        <v>5.0</v>
      </c>
      <c r="K18" s="187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188"/>
      <c r="AJ18" s="101"/>
      <c r="AK18" s="37"/>
    </row>
    <row r="19">
      <c r="A19" s="58"/>
      <c r="B19" s="68"/>
      <c r="C19" s="323" t="s">
        <v>373</v>
      </c>
      <c r="D19" s="208" t="s">
        <v>374</v>
      </c>
      <c r="E19" s="324">
        <v>300.0</v>
      </c>
      <c r="F19" s="190"/>
      <c r="G19" s="190"/>
      <c r="H19" s="195"/>
      <c r="I19" s="195"/>
      <c r="J19" s="325">
        <v>10.0</v>
      </c>
      <c r="K19" s="187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188"/>
      <c r="AJ19" s="101"/>
      <c r="AK19" s="37"/>
    </row>
    <row r="20">
      <c r="A20" s="58"/>
      <c r="B20" s="68"/>
      <c r="C20" s="323" t="s">
        <v>375</v>
      </c>
      <c r="D20" s="208" t="s">
        <v>376</v>
      </c>
      <c r="E20" s="324">
        <v>2000.0</v>
      </c>
      <c r="F20" s="190"/>
      <c r="G20" s="190"/>
      <c r="H20" s="195"/>
      <c r="I20" s="195"/>
      <c r="J20" s="325">
        <v>2.0</v>
      </c>
      <c r="K20" s="187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188"/>
      <c r="AJ20" s="101"/>
      <c r="AK20" s="37"/>
    </row>
    <row r="21">
      <c r="A21" s="58"/>
      <c r="B21" s="68"/>
      <c r="C21" s="323" t="s">
        <v>377</v>
      </c>
      <c r="D21" s="208" t="s">
        <v>376</v>
      </c>
      <c r="E21" s="324">
        <v>2500.0</v>
      </c>
      <c r="F21" s="190"/>
      <c r="G21" s="190"/>
      <c r="H21" s="195"/>
      <c r="I21" s="195"/>
      <c r="J21" s="325">
        <v>2.0</v>
      </c>
      <c r="K21" s="187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188"/>
      <c r="AJ21" s="101"/>
      <c r="AK21" s="37"/>
    </row>
    <row r="22">
      <c r="A22" s="58"/>
      <c r="B22" s="68"/>
      <c r="C22" s="323" t="s">
        <v>244</v>
      </c>
      <c r="D22" s="208" t="s">
        <v>378</v>
      </c>
      <c r="E22" s="191">
        <v>500.0</v>
      </c>
      <c r="F22" s="190"/>
      <c r="G22" s="190"/>
      <c r="H22" s="195"/>
      <c r="I22" s="195"/>
      <c r="J22" s="325">
        <v>15.0</v>
      </c>
      <c r="K22" s="187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188"/>
      <c r="AJ22" s="101"/>
      <c r="AK22" s="37"/>
    </row>
    <row r="23" ht="15.75" customHeight="1">
      <c r="A23" s="58"/>
      <c r="B23" s="68"/>
      <c r="C23" s="319" t="s">
        <v>245</v>
      </c>
      <c r="D23" s="320" t="s">
        <v>252</v>
      </c>
      <c r="E23" s="191">
        <v>350.0</v>
      </c>
      <c r="F23" s="190"/>
      <c r="G23" s="190"/>
      <c r="H23" s="195"/>
      <c r="I23" s="195"/>
      <c r="J23" s="196">
        <v>8.0</v>
      </c>
      <c r="K23" s="187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188"/>
      <c r="AJ23" s="101"/>
      <c r="AK23" s="37"/>
    </row>
    <row r="24" ht="15.75" customHeight="1">
      <c r="A24" s="58"/>
      <c r="B24" s="68"/>
      <c r="C24" s="319" t="s">
        <v>246</v>
      </c>
      <c r="D24" s="320" t="s">
        <v>379</v>
      </c>
      <c r="E24" s="191">
        <v>2000.0</v>
      </c>
      <c r="F24" s="190"/>
      <c r="G24" s="190"/>
      <c r="H24" s="195"/>
      <c r="I24" s="195"/>
      <c r="J24" s="196">
        <v>4.0</v>
      </c>
      <c r="K24" s="187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188"/>
      <c r="AJ24" s="101"/>
      <c r="AK24" s="37"/>
    </row>
    <row r="25" ht="15.75" customHeight="1">
      <c r="A25" s="58"/>
      <c r="B25" s="68"/>
      <c r="C25" s="319" t="s">
        <v>247</v>
      </c>
      <c r="D25" s="320" t="s">
        <v>252</v>
      </c>
      <c r="E25" s="191">
        <v>50.0</v>
      </c>
      <c r="F25" s="190"/>
      <c r="G25" s="190"/>
      <c r="H25" s="195"/>
      <c r="I25" s="195"/>
      <c r="J25" s="196">
        <v>8.0</v>
      </c>
      <c r="K25" s="187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188"/>
      <c r="AJ25" s="101"/>
      <c r="AK25" s="37"/>
    </row>
    <row r="26" ht="15.75" customHeight="1">
      <c r="A26" s="58"/>
      <c r="B26" s="68"/>
      <c r="C26" s="323" t="s">
        <v>248</v>
      </c>
      <c r="D26" s="208" t="s">
        <v>252</v>
      </c>
      <c r="E26" s="324">
        <v>30.0</v>
      </c>
      <c r="F26" s="147"/>
      <c r="G26" s="147"/>
      <c r="H26" s="195"/>
      <c r="I26" s="195"/>
      <c r="J26" s="325">
        <v>8.0</v>
      </c>
      <c r="K26" s="187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188"/>
      <c r="AJ26" s="101"/>
      <c r="AK26" s="37"/>
    </row>
    <row r="27">
      <c r="A27" s="197"/>
      <c r="B27" s="178"/>
      <c r="C27" s="198" t="s">
        <v>249</v>
      </c>
      <c r="D27" s="199" t="s">
        <v>250</v>
      </c>
      <c r="E27" s="200">
        <v>120.0</v>
      </c>
      <c r="F27" s="192">
        <f t="shared" ref="F27:F30" si="1">E27*I27</f>
        <v>3000</v>
      </c>
      <c r="G27" s="193" t="s">
        <v>90</v>
      </c>
      <c r="H27" s="201"/>
      <c r="I27" s="202">
        <v>25.0</v>
      </c>
      <c r="J27" s="203"/>
      <c r="K27" s="204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205"/>
      <c r="AJ27" s="101"/>
      <c r="AK27" s="101"/>
    </row>
    <row r="28" ht="15.75" customHeight="1">
      <c r="A28" s="206"/>
      <c r="B28" s="290"/>
      <c r="C28" s="326" t="s">
        <v>380</v>
      </c>
      <c r="D28" s="327" t="s">
        <v>381</v>
      </c>
      <c r="E28" s="192">
        <v>11000.0</v>
      </c>
      <c r="F28" s="192">
        <f t="shared" si="1"/>
        <v>88000</v>
      </c>
      <c r="G28" s="193" t="s">
        <v>90</v>
      </c>
      <c r="H28" s="195"/>
      <c r="I28" s="328">
        <v>8.0</v>
      </c>
      <c r="J28" s="187"/>
      <c r="K28" s="187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187"/>
      <c r="AI28" s="188"/>
      <c r="AJ28" s="101"/>
      <c r="AK28" s="101"/>
      <c r="AL28" s="102"/>
      <c r="AM28" s="102"/>
    </row>
    <row r="29" ht="15.75" customHeight="1">
      <c r="A29" s="206"/>
      <c r="B29" s="329"/>
      <c r="C29" s="207" t="s">
        <v>251</v>
      </c>
      <c r="D29" s="208" t="s">
        <v>252</v>
      </c>
      <c r="E29" s="191">
        <v>60.0</v>
      </c>
      <c r="F29" s="192">
        <f t="shared" si="1"/>
        <v>480</v>
      </c>
      <c r="G29" s="193" t="s">
        <v>90</v>
      </c>
      <c r="H29" s="195"/>
      <c r="I29" s="209">
        <v>8.0</v>
      </c>
      <c r="J29" s="187"/>
      <c r="K29" s="187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188"/>
      <c r="AJ29" s="101"/>
      <c r="AK29" s="101"/>
      <c r="AL29" s="102"/>
      <c r="AM29" s="102"/>
    </row>
    <row r="30" ht="15.75" customHeight="1">
      <c r="A30" s="216"/>
      <c r="B30" s="329"/>
      <c r="C30" s="330" t="s">
        <v>382</v>
      </c>
      <c r="D30" s="212" t="s">
        <v>214</v>
      </c>
      <c r="E30" s="221">
        <v>3500.0</v>
      </c>
      <c r="F30" s="192">
        <f t="shared" si="1"/>
        <v>10500</v>
      </c>
      <c r="G30" s="193" t="s">
        <v>90</v>
      </c>
      <c r="H30" s="195"/>
      <c r="I30" s="209">
        <v>3.0</v>
      </c>
      <c r="J30" s="187"/>
      <c r="K30" s="187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188"/>
      <c r="AJ30" s="101"/>
      <c r="AK30" s="101"/>
      <c r="AL30" s="102"/>
      <c r="AM30" s="102"/>
    </row>
    <row r="31" ht="15.75" customHeight="1">
      <c r="A31" s="206"/>
      <c r="B31" s="290"/>
      <c r="C31" s="211" t="s">
        <v>253</v>
      </c>
      <c r="D31" s="212" t="s">
        <v>254</v>
      </c>
      <c r="E31" s="213">
        <v>200.0</v>
      </c>
      <c r="F31" s="192">
        <f>E31*J31</f>
        <v>2000</v>
      </c>
      <c r="G31" s="193" t="s">
        <v>90</v>
      </c>
      <c r="H31" s="214"/>
      <c r="I31" s="185"/>
      <c r="J31" s="215">
        <v>10.0</v>
      </c>
      <c r="K31" s="216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7"/>
      <c r="AJ31" s="101"/>
      <c r="AK31" s="101"/>
      <c r="AL31" s="102"/>
      <c r="AM31" s="102"/>
    </row>
    <row r="32" ht="15.75" customHeight="1">
      <c r="A32" s="38" t="s">
        <v>114</v>
      </c>
      <c r="B32" s="74"/>
      <c r="C32" s="74" t="s">
        <v>115</v>
      </c>
      <c r="D32" s="75"/>
      <c r="E32" s="76"/>
      <c r="F32" s="222"/>
      <c r="G32" s="77"/>
      <c r="H32" s="75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223"/>
      <c r="AJ32" s="224">
        <f>SUM(F33:F117)</f>
        <v>1193120</v>
      </c>
      <c r="AK32" s="225">
        <v>3000000.0</v>
      </c>
    </row>
    <row r="33">
      <c r="A33" s="226"/>
      <c r="B33" s="216"/>
      <c r="C33" s="227" t="s">
        <v>383</v>
      </c>
      <c r="D33" s="228" t="s">
        <v>258</v>
      </c>
      <c r="E33" s="229">
        <v>40000.0</v>
      </c>
      <c r="F33" s="229">
        <f>E33*I33</f>
        <v>80000</v>
      </c>
      <c r="G33" s="230" t="s">
        <v>81</v>
      </c>
      <c r="H33" s="231" t="s">
        <v>259</v>
      </c>
      <c r="I33" s="228">
        <v>2.0</v>
      </c>
      <c r="J33" s="232"/>
      <c r="K33" s="232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33"/>
      <c r="AJ33" s="101"/>
      <c r="AK33" s="2"/>
      <c r="AL33" s="234"/>
      <c r="AM33" s="234"/>
    </row>
    <row r="34" ht="27.75" customHeight="1">
      <c r="A34" s="226"/>
      <c r="B34" s="216"/>
      <c r="C34" s="227" t="s">
        <v>384</v>
      </c>
      <c r="D34" s="228" t="s">
        <v>214</v>
      </c>
      <c r="E34" s="229">
        <v>5000.0</v>
      </c>
      <c r="F34" s="235">
        <f t="shared" ref="F34:F36" si="2">E34*J34</f>
        <v>15000</v>
      </c>
      <c r="G34" s="236" t="s">
        <v>90</v>
      </c>
      <c r="H34" s="231" t="s">
        <v>259</v>
      </c>
      <c r="I34" s="232"/>
      <c r="J34" s="237">
        <v>3.0</v>
      </c>
      <c r="K34" s="232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33"/>
      <c r="AJ34" s="101"/>
      <c r="AK34" s="2"/>
      <c r="AL34" s="234"/>
      <c r="AM34" s="234"/>
    </row>
    <row r="35" ht="27.75" customHeight="1">
      <c r="A35" s="226"/>
      <c r="B35" s="216"/>
      <c r="C35" s="227" t="s">
        <v>385</v>
      </c>
      <c r="D35" s="228" t="s">
        <v>386</v>
      </c>
      <c r="E35" s="229">
        <v>2500.0</v>
      </c>
      <c r="F35" s="235">
        <f t="shared" si="2"/>
        <v>12500</v>
      </c>
      <c r="G35" s="236" t="s">
        <v>90</v>
      </c>
      <c r="H35" s="201"/>
      <c r="I35" s="232"/>
      <c r="J35" s="236">
        <v>5.0</v>
      </c>
      <c r="K35" s="232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33"/>
      <c r="AJ35" s="101"/>
      <c r="AK35" s="2"/>
      <c r="AL35" s="234"/>
      <c r="AM35" s="234"/>
    </row>
    <row r="36">
      <c r="A36" s="226"/>
      <c r="B36" s="231"/>
      <c r="C36" s="240" t="s">
        <v>266</v>
      </c>
      <c r="D36" s="202" t="s">
        <v>267</v>
      </c>
      <c r="E36" s="235">
        <v>15000.0</v>
      </c>
      <c r="F36" s="229">
        <f t="shared" si="2"/>
        <v>15000</v>
      </c>
      <c r="G36" s="230" t="s">
        <v>81</v>
      </c>
      <c r="H36" s="231" t="s">
        <v>259</v>
      </c>
      <c r="I36" s="228"/>
      <c r="J36" s="241">
        <v>1.0</v>
      </c>
      <c r="K36" s="232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33"/>
      <c r="AJ36" s="101"/>
      <c r="AK36" s="2"/>
      <c r="AL36" s="234"/>
      <c r="AM36" s="234"/>
    </row>
    <row r="37" ht="27.75" customHeight="1">
      <c r="A37" s="242"/>
      <c r="B37" s="201"/>
      <c r="C37" s="331" t="s">
        <v>387</v>
      </c>
      <c r="D37" s="202"/>
      <c r="E37" s="244"/>
      <c r="F37" s="244"/>
      <c r="G37" s="244"/>
      <c r="H37" s="216"/>
      <c r="I37" s="199"/>
      <c r="J37" s="204"/>
      <c r="K37" s="204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47"/>
      <c r="AJ37" s="101"/>
      <c r="AK37" s="2"/>
      <c r="AL37" s="234"/>
      <c r="AM37" s="234"/>
    </row>
    <row r="38">
      <c r="A38" s="242"/>
      <c r="B38" s="201"/>
      <c r="C38" s="331" t="s">
        <v>388</v>
      </c>
      <c r="D38" s="202" t="s">
        <v>267</v>
      </c>
      <c r="E38" s="245">
        <v>17000.0</v>
      </c>
      <c r="F38" s="245"/>
      <c r="G38" s="246"/>
      <c r="H38" s="178"/>
      <c r="I38" s="202"/>
      <c r="J38" s="204"/>
      <c r="K38" s="204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47"/>
      <c r="AJ38" s="101"/>
      <c r="AK38" s="2"/>
      <c r="AL38" s="234"/>
      <c r="AM38" s="234"/>
    </row>
    <row r="39">
      <c r="A39" s="242"/>
      <c r="B39" s="178"/>
      <c r="C39" s="331" t="s">
        <v>389</v>
      </c>
      <c r="D39" s="199"/>
      <c r="E39" s="244"/>
      <c r="F39" s="245"/>
      <c r="G39" s="246"/>
      <c r="H39" s="178"/>
      <c r="I39" s="202"/>
      <c r="J39" s="204"/>
      <c r="K39" s="204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47"/>
      <c r="AJ39" s="101"/>
      <c r="AK39" s="2"/>
      <c r="AL39" s="234"/>
      <c r="AM39" s="234"/>
    </row>
    <row r="40">
      <c r="A40" s="242"/>
      <c r="B40" s="201"/>
      <c r="C40" s="331" t="s">
        <v>390</v>
      </c>
      <c r="D40" s="199"/>
      <c r="E40" s="244"/>
      <c r="F40" s="245"/>
      <c r="G40" s="246"/>
      <c r="H40" s="178"/>
      <c r="I40" s="202"/>
      <c r="J40" s="204"/>
      <c r="K40" s="204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47"/>
      <c r="AJ40" s="101"/>
      <c r="AK40" s="2"/>
      <c r="AL40" s="234"/>
      <c r="AM40" s="234"/>
    </row>
    <row r="41" ht="27.75" customHeight="1">
      <c r="A41" s="242"/>
      <c r="B41" s="201"/>
      <c r="C41" s="331" t="s">
        <v>391</v>
      </c>
      <c r="D41" s="199"/>
      <c r="E41" s="244"/>
      <c r="F41" s="245"/>
      <c r="G41" s="246"/>
      <c r="H41" s="178"/>
      <c r="I41" s="202"/>
      <c r="J41" s="204"/>
      <c r="K41" s="204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47"/>
      <c r="AJ41" s="101"/>
      <c r="AK41" s="2"/>
      <c r="AL41" s="234"/>
      <c r="AM41" s="234"/>
    </row>
    <row r="42" ht="27.75" customHeight="1">
      <c r="A42" s="242"/>
      <c r="B42" s="201"/>
      <c r="C42" s="331" t="s">
        <v>392</v>
      </c>
      <c r="D42" s="199"/>
      <c r="E42" s="332"/>
      <c r="F42" s="245"/>
      <c r="G42" s="246"/>
      <c r="H42" s="178"/>
      <c r="I42" s="202"/>
      <c r="J42" s="204"/>
      <c r="K42" s="204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47"/>
      <c r="AJ42" s="101"/>
      <c r="AK42" s="2"/>
      <c r="AL42" s="234"/>
      <c r="AM42" s="234"/>
    </row>
    <row r="43" ht="27.75" customHeight="1">
      <c r="A43" s="242"/>
      <c r="B43" s="201"/>
      <c r="C43" s="331" t="s">
        <v>393</v>
      </c>
      <c r="D43" s="199"/>
      <c r="E43" s="244"/>
      <c r="F43" s="245"/>
      <c r="G43" s="246"/>
      <c r="H43" s="178"/>
      <c r="I43" s="202"/>
      <c r="J43" s="204"/>
      <c r="K43" s="204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47"/>
      <c r="AJ43" s="101"/>
      <c r="AK43" s="2"/>
      <c r="AL43" s="234"/>
      <c r="AM43" s="234"/>
    </row>
    <row r="44">
      <c r="A44" s="242"/>
      <c r="B44" s="178"/>
      <c r="C44" s="243" t="s">
        <v>394</v>
      </c>
      <c r="D44" s="199" t="s">
        <v>269</v>
      </c>
      <c r="E44" s="244">
        <v>2500.0</v>
      </c>
      <c r="F44" s="245">
        <f>E44*I44</f>
        <v>12500</v>
      </c>
      <c r="G44" s="246" t="s">
        <v>81</v>
      </c>
      <c r="H44" s="178" t="s">
        <v>270</v>
      </c>
      <c r="I44" s="246">
        <v>5.0</v>
      </c>
      <c r="J44" s="204"/>
      <c r="K44" s="204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47"/>
      <c r="AJ44" s="101"/>
      <c r="AK44" s="2"/>
      <c r="AL44" s="234"/>
      <c r="AM44" s="234"/>
    </row>
    <row r="45" ht="27.75" customHeight="1">
      <c r="A45" s="226"/>
      <c r="B45" s="216"/>
      <c r="C45" s="248" t="s">
        <v>271</v>
      </c>
      <c r="D45" s="199" t="s">
        <v>272</v>
      </c>
      <c r="E45" s="249">
        <v>1000.0</v>
      </c>
      <c r="F45" s="245">
        <f t="shared" ref="F45:F46" si="3">E45*J45</f>
        <v>8000</v>
      </c>
      <c r="G45" s="203" t="s">
        <v>90</v>
      </c>
      <c r="H45" s="201"/>
      <c r="I45" s="202"/>
      <c r="J45" s="237">
        <v>8.0</v>
      </c>
      <c r="K45" s="232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  <c r="AI45" s="233"/>
      <c r="AJ45" s="101"/>
      <c r="AK45" s="2"/>
      <c r="AL45" s="234"/>
      <c r="AM45" s="234"/>
    </row>
    <row r="46" ht="27.75" customHeight="1">
      <c r="A46" s="242"/>
      <c r="B46" s="201"/>
      <c r="C46" s="250" t="s">
        <v>273</v>
      </c>
      <c r="D46" s="199" t="s">
        <v>252</v>
      </c>
      <c r="E46" s="251">
        <v>90.0</v>
      </c>
      <c r="F46" s="245">
        <f t="shared" si="3"/>
        <v>720</v>
      </c>
      <c r="G46" s="203" t="s">
        <v>90</v>
      </c>
      <c r="H46" s="178" t="s">
        <v>259</v>
      </c>
      <c r="I46" s="202"/>
      <c r="J46" s="199">
        <v>8.0</v>
      </c>
      <c r="K46" s="204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47"/>
      <c r="AJ46" s="101"/>
      <c r="AK46" s="2"/>
      <c r="AL46" s="234"/>
      <c r="AM46" s="234"/>
    </row>
    <row r="47" ht="27.75" customHeight="1">
      <c r="A47" s="226"/>
      <c r="B47" s="216"/>
      <c r="C47" s="248" t="s">
        <v>395</v>
      </c>
      <c r="D47" s="199" t="s">
        <v>396</v>
      </c>
      <c r="E47" s="333">
        <v>210.0</v>
      </c>
      <c r="F47" s="334">
        <f>(E47*K47)+(E48*K48)</f>
        <v>3900</v>
      </c>
      <c r="G47" s="335" t="s">
        <v>90</v>
      </c>
      <c r="H47" s="273"/>
      <c r="I47" s="202"/>
      <c r="J47" s="232"/>
      <c r="K47" s="236">
        <v>10.0</v>
      </c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  <c r="AI47" s="233"/>
      <c r="AJ47" s="101"/>
      <c r="AK47" s="2"/>
      <c r="AL47" s="234"/>
      <c r="AM47" s="234"/>
    </row>
    <row r="48" ht="29.25" customHeight="1">
      <c r="A48" s="242"/>
      <c r="B48" s="201"/>
      <c r="C48" s="250" t="s">
        <v>397</v>
      </c>
      <c r="D48" s="199" t="s">
        <v>396</v>
      </c>
      <c r="E48" s="251">
        <v>180.0</v>
      </c>
      <c r="F48" s="147"/>
      <c r="G48" s="147"/>
      <c r="H48" s="147"/>
      <c r="I48" s="202"/>
      <c r="J48" s="204"/>
      <c r="K48" s="199">
        <v>10.0</v>
      </c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47"/>
      <c r="AJ48" s="101"/>
      <c r="AK48" s="2"/>
      <c r="AL48" s="234"/>
      <c r="AM48" s="234"/>
    </row>
    <row r="49" ht="27.75" customHeight="1">
      <c r="A49" s="206"/>
      <c r="B49" s="231"/>
      <c r="C49" s="252" t="s">
        <v>274</v>
      </c>
      <c r="D49" s="199" t="s">
        <v>374</v>
      </c>
      <c r="E49" s="254">
        <v>300.0</v>
      </c>
      <c r="F49" s="255">
        <f>(E49*J49)+(E50*J50)+(E51*J51)+(E52*J52)</f>
        <v>8000</v>
      </c>
      <c r="G49" s="256" t="s">
        <v>90</v>
      </c>
      <c r="H49" s="210"/>
      <c r="I49" s="202"/>
      <c r="J49" s="236">
        <v>10.0</v>
      </c>
      <c r="K49" s="232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7"/>
      <c r="AJ49" s="101"/>
      <c r="AK49" s="101"/>
    </row>
    <row r="50" ht="27.75" customHeight="1">
      <c r="A50" s="197"/>
      <c r="B50" s="178"/>
      <c r="C50" s="257" t="s">
        <v>275</v>
      </c>
      <c r="D50" s="199" t="s">
        <v>374</v>
      </c>
      <c r="E50" s="258">
        <v>300.0</v>
      </c>
      <c r="F50" s="190"/>
      <c r="G50" s="190"/>
      <c r="H50" s="187"/>
      <c r="I50" s="202"/>
      <c r="J50" s="203">
        <v>10.0</v>
      </c>
      <c r="K50" s="204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205"/>
      <c r="AJ50" s="101"/>
      <c r="AK50" s="101"/>
    </row>
    <row r="51" ht="27.75" customHeight="1">
      <c r="A51" s="197"/>
      <c r="B51" s="201"/>
      <c r="C51" s="257" t="s">
        <v>276</v>
      </c>
      <c r="D51" s="199" t="s">
        <v>398</v>
      </c>
      <c r="E51" s="258">
        <v>500.0</v>
      </c>
      <c r="F51" s="190"/>
      <c r="G51" s="190"/>
      <c r="H51" s="187"/>
      <c r="I51" s="202"/>
      <c r="J51" s="203">
        <v>2.0</v>
      </c>
      <c r="K51" s="204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205"/>
      <c r="AJ51" s="101"/>
      <c r="AK51" s="101"/>
    </row>
    <row r="52" ht="27.75" customHeight="1">
      <c r="A52" s="197"/>
      <c r="B52" s="201"/>
      <c r="C52" s="257" t="s">
        <v>277</v>
      </c>
      <c r="D52" s="199" t="s">
        <v>398</v>
      </c>
      <c r="E52" s="258">
        <v>500.0</v>
      </c>
      <c r="F52" s="147"/>
      <c r="G52" s="147"/>
      <c r="H52" s="187"/>
      <c r="I52" s="202"/>
      <c r="J52" s="203">
        <v>2.0</v>
      </c>
      <c r="K52" s="204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205"/>
      <c r="AJ52" s="101"/>
      <c r="AK52" s="101"/>
    </row>
    <row r="53" ht="27.75" customHeight="1">
      <c r="A53" s="197"/>
      <c r="B53" s="201"/>
      <c r="C53" s="257" t="s">
        <v>278</v>
      </c>
      <c r="D53" s="199" t="s">
        <v>399</v>
      </c>
      <c r="E53" s="259">
        <v>1300.0</v>
      </c>
      <c r="F53" s="62">
        <f>(E53*J53)+(E54*J54)+(E55*J55)+(E56*J56)+(E57*J57)+(E58*J58)+(E59*J59)</f>
        <v>155750</v>
      </c>
      <c r="G53" s="239" t="s">
        <v>81</v>
      </c>
      <c r="H53" s="201"/>
      <c r="I53" s="202"/>
      <c r="J53" s="203">
        <v>20.0</v>
      </c>
      <c r="K53" s="204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205"/>
      <c r="AJ53" s="101"/>
      <c r="AK53" s="101"/>
    </row>
    <row r="54" ht="27.75" customHeight="1">
      <c r="A54" s="197"/>
      <c r="B54" s="201"/>
      <c r="C54" s="257" t="s">
        <v>279</v>
      </c>
      <c r="D54" s="199" t="s">
        <v>400</v>
      </c>
      <c r="E54" s="259">
        <v>800.0</v>
      </c>
      <c r="F54" s="67"/>
      <c r="G54" s="190"/>
      <c r="H54" s="201"/>
      <c r="I54" s="202"/>
      <c r="J54" s="203">
        <v>15.0</v>
      </c>
      <c r="K54" s="204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205"/>
      <c r="AJ54" s="101"/>
      <c r="AK54" s="101"/>
    </row>
    <row r="55" ht="27.75" customHeight="1">
      <c r="A55" s="197"/>
      <c r="B55" s="201"/>
      <c r="C55" s="257" t="s">
        <v>280</v>
      </c>
      <c r="D55" s="199" t="s">
        <v>400</v>
      </c>
      <c r="E55" s="259">
        <v>250.0</v>
      </c>
      <c r="F55" s="67"/>
      <c r="G55" s="190"/>
      <c r="H55" s="201"/>
      <c r="I55" s="202"/>
      <c r="J55" s="203">
        <v>15.0</v>
      </c>
      <c r="K55" s="204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205"/>
      <c r="AJ55" s="101"/>
      <c r="AK55" s="101"/>
    </row>
    <row r="56" ht="27.75" customHeight="1">
      <c r="A56" s="197"/>
      <c r="B56" s="178"/>
      <c r="C56" s="257" t="s">
        <v>281</v>
      </c>
      <c r="D56" s="199" t="s">
        <v>396</v>
      </c>
      <c r="E56" s="259">
        <v>2400.0</v>
      </c>
      <c r="F56" s="67"/>
      <c r="G56" s="190"/>
      <c r="H56" s="201"/>
      <c r="I56" s="202"/>
      <c r="J56" s="203">
        <v>10.0</v>
      </c>
      <c r="K56" s="204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205"/>
      <c r="AJ56" s="101"/>
      <c r="AK56" s="101"/>
    </row>
    <row r="57" ht="27.75" customHeight="1">
      <c r="A57" s="197"/>
      <c r="B57" s="178"/>
      <c r="C57" s="257" t="s">
        <v>282</v>
      </c>
      <c r="D57" s="199" t="s">
        <v>396</v>
      </c>
      <c r="E57" s="259">
        <v>2000.0</v>
      </c>
      <c r="F57" s="67"/>
      <c r="G57" s="190"/>
      <c r="H57" s="201"/>
      <c r="I57" s="202"/>
      <c r="J57" s="203">
        <v>10.0</v>
      </c>
      <c r="K57" s="204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205"/>
      <c r="AJ57" s="101"/>
      <c r="AK57" s="101"/>
    </row>
    <row r="58" ht="27.75" customHeight="1">
      <c r="A58" s="197"/>
      <c r="B58" s="178"/>
      <c r="C58" s="257" t="s">
        <v>283</v>
      </c>
      <c r="D58" s="199" t="s">
        <v>396</v>
      </c>
      <c r="E58" s="259">
        <v>1000.0</v>
      </c>
      <c r="F58" s="67"/>
      <c r="G58" s="190"/>
      <c r="H58" s="201"/>
      <c r="I58" s="202"/>
      <c r="J58" s="203">
        <v>10.0</v>
      </c>
      <c r="K58" s="204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205"/>
      <c r="AJ58" s="101"/>
      <c r="AK58" s="101"/>
    </row>
    <row r="59" ht="27.75" customHeight="1">
      <c r="A59" s="197"/>
      <c r="B59" s="201"/>
      <c r="C59" s="260" t="s">
        <v>284</v>
      </c>
      <c r="D59" s="199" t="s">
        <v>401</v>
      </c>
      <c r="E59" s="261">
        <v>2500.0</v>
      </c>
      <c r="F59" s="70"/>
      <c r="G59" s="147"/>
      <c r="H59" s="201"/>
      <c r="I59" s="202"/>
      <c r="J59" s="203">
        <v>24.0</v>
      </c>
      <c r="K59" s="204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205"/>
      <c r="AJ59" s="101"/>
      <c r="AK59" s="101"/>
    </row>
    <row r="60" ht="27.75" customHeight="1">
      <c r="A60" s="58"/>
      <c r="B60" s="336"/>
      <c r="C60" s="337" t="s">
        <v>402</v>
      </c>
      <c r="D60" s="199"/>
      <c r="E60" s="61"/>
      <c r="F60" s="338"/>
      <c r="G60" s="339"/>
      <c r="H60" s="73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188"/>
      <c r="AJ60" s="101"/>
      <c r="AK60" s="37"/>
    </row>
    <row r="61" ht="27.75" customHeight="1">
      <c r="A61" s="58"/>
      <c r="B61" s="262"/>
      <c r="C61" s="337" t="s">
        <v>403</v>
      </c>
      <c r="D61" s="68"/>
      <c r="E61" s="61"/>
      <c r="F61" s="314"/>
      <c r="G61" s="68"/>
      <c r="H61" s="7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188"/>
      <c r="AJ61" s="101"/>
      <c r="AK61" s="37"/>
    </row>
    <row r="62" ht="27.75" customHeight="1">
      <c r="A62" s="58"/>
      <c r="B62" s="262"/>
      <c r="C62" s="337" t="s">
        <v>404</v>
      </c>
      <c r="D62" s="68"/>
      <c r="E62" s="61"/>
      <c r="F62" s="314"/>
      <c r="G62" s="68"/>
      <c r="H62" s="7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188"/>
      <c r="AJ62" s="101"/>
      <c r="AK62" s="37"/>
    </row>
    <row r="63" ht="27.75" customHeight="1">
      <c r="A63" s="58"/>
      <c r="B63" s="262"/>
      <c r="C63" s="337" t="s">
        <v>405</v>
      </c>
      <c r="D63" s="68"/>
      <c r="E63" s="61"/>
      <c r="F63" s="314"/>
      <c r="G63" s="68"/>
      <c r="H63" s="73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188"/>
      <c r="AJ63" s="101"/>
      <c r="AK63" s="37"/>
    </row>
    <row r="64" ht="27.75" customHeight="1">
      <c r="A64" s="58"/>
      <c r="B64" s="262"/>
      <c r="C64" s="337" t="s">
        <v>406</v>
      </c>
      <c r="D64" s="68"/>
      <c r="E64" s="61"/>
      <c r="F64" s="314"/>
      <c r="G64" s="68"/>
      <c r="H64" s="73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188"/>
      <c r="AJ64" s="101"/>
      <c r="AK64" s="37"/>
    </row>
    <row r="65" ht="27.75" customHeight="1">
      <c r="A65" s="58"/>
      <c r="B65" s="262"/>
      <c r="C65" s="263" t="s">
        <v>285</v>
      </c>
      <c r="D65" s="127" t="s">
        <v>407</v>
      </c>
      <c r="E65" s="265">
        <v>7000.0</v>
      </c>
      <c r="F65" s="266">
        <v>352000.0</v>
      </c>
      <c r="G65" s="68"/>
      <c r="H65" s="73"/>
      <c r="I65" s="127">
        <v>6.0</v>
      </c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188"/>
      <c r="AJ65" s="101"/>
      <c r="AK65" s="37"/>
    </row>
    <row r="66" ht="27.75" customHeight="1">
      <c r="A66" s="58"/>
      <c r="B66" s="262"/>
      <c r="C66" s="263" t="s">
        <v>286</v>
      </c>
      <c r="D66" s="127" t="s">
        <v>408</v>
      </c>
      <c r="E66" s="265">
        <v>24000.0</v>
      </c>
      <c r="F66" s="67"/>
      <c r="G66" s="68"/>
      <c r="H66" s="73"/>
      <c r="I66" s="127">
        <v>2.0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188"/>
      <c r="AJ66" s="101"/>
      <c r="AK66" s="37"/>
    </row>
    <row r="67" ht="27.75" customHeight="1">
      <c r="A67" s="58"/>
      <c r="B67" s="262"/>
      <c r="C67" s="263" t="s">
        <v>287</v>
      </c>
      <c r="D67" s="127" t="s">
        <v>408</v>
      </c>
      <c r="E67" s="265">
        <v>21000.0</v>
      </c>
      <c r="F67" s="67"/>
      <c r="G67" s="68"/>
      <c r="H67" s="73"/>
      <c r="I67" s="127">
        <v>2.0</v>
      </c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188"/>
      <c r="AJ67" s="101"/>
      <c r="AK67" s="37"/>
    </row>
    <row r="68" ht="27.75" customHeight="1">
      <c r="A68" s="58"/>
      <c r="B68" s="262"/>
      <c r="C68" s="263" t="s">
        <v>288</v>
      </c>
      <c r="D68" s="127" t="s">
        <v>80</v>
      </c>
      <c r="E68" s="265">
        <v>50000.0</v>
      </c>
      <c r="F68" s="67"/>
      <c r="G68" s="68"/>
      <c r="H68" s="73"/>
      <c r="I68" s="127">
        <v>1.0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188"/>
      <c r="AJ68" s="101"/>
      <c r="AK68" s="37"/>
    </row>
    <row r="69" ht="27.75" customHeight="1">
      <c r="A69" s="58"/>
      <c r="B69" s="262"/>
      <c r="C69" s="263" t="s">
        <v>289</v>
      </c>
      <c r="D69" s="127" t="s">
        <v>409</v>
      </c>
      <c r="E69" s="265">
        <v>20000.0</v>
      </c>
      <c r="F69" s="67"/>
      <c r="G69" s="68"/>
      <c r="H69" s="73"/>
      <c r="I69" s="127">
        <v>2.0</v>
      </c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188"/>
      <c r="AJ69" s="101"/>
      <c r="AK69" s="37"/>
    </row>
    <row r="70" ht="27.75" customHeight="1">
      <c r="A70" s="58"/>
      <c r="B70" s="262"/>
      <c r="C70" s="263" t="s">
        <v>290</v>
      </c>
      <c r="D70" s="127" t="s">
        <v>408</v>
      </c>
      <c r="E70" s="265">
        <v>24000.0</v>
      </c>
      <c r="F70" s="67"/>
      <c r="G70" s="68"/>
      <c r="H70" s="73"/>
      <c r="I70" s="127">
        <v>2.0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188"/>
      <c r="AJ70" s="101"/>
      <c r="AK70" s="37"/>
    </row>
    <row r="71" ht="27.75" customHeight="1">
      <c r="A71" s="58"/>
      <c r="B71" s="262"/>
      <c r="C71" s="263" t="s">
        <v>291</v>
      </c>
      <c r="D71" s="127" t="s">
        <v>410</v>
      </c>
      <c r="E71" s="265">
        <v>2300.0</v>
      </c>
      <c r="F71" s="67"/>
      <c r="G71" s="68"/>
      <c r="H71" s="73"/>
      <c r="I71" s="127">
        <v>20.0</v>
      </c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188"/>
      <c r="AJ71" s="101"/>
      <c r="AK71" s="37"/>
    </row>
    <row r="72" ht="27.75" customHeight="1">
      <c r="A72" s="58"/>
      <c r="B72" s="262"/>
      <c r="C72" s="263" t="s">
        <v>292</v>
      </c>
      <c r="D72" s="127" t="s">
        <v>411</v>
      </c>
      <c r="E72" s="265">
        <v>30.0</v>
      </c>
      <c r="F72" s="67"/>
      <c r="G72" s="68"/>
      <c r="H72" s="73"/>
      <c r="I72" s="127">
        <v>200.0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188"/>
      <c r="AJ72" s="101"/>
      <c r="AK72" s="37"/>
    </row>
    <row r="73" ht="27.75" customHeight="1">
      <c r="A73" s="58"/>
      <c r="B73" s="262"/>
      <c r="C73" s="263" t="s">
        <v>293</v>
      </c>
      <c r="D73" s="127" t="s">
        <v>408</v>
      </c>
      <c r="E73" s="265">
        <v>15000.0</v>
      </c>
      <c r="F73" s="70"/>
      <c r="G73" s="68"/>
      <c r="H73" s="73"/>
      <c r="I73" s="127">
        <v>2.0</v>
      </c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188"/>
      <c r="AJ73" s="101"/>
      <c r="AK73" s="37"/>
    </row>
    <row r="74" ht="27.75" customHeight="1">
      <c r="A74" s="58"/>
      <c r="B74" s="262"/>
      <c r="C74" s="263" t="s">
        <v>294</v>
      </c>
      <c r="D74" s="127" t="s">
        <v>412</v>
      </c>
      <c r="E74" s="265">
        <v>9000.0</v>
      </c>
      <c r="F74" s="266">
        <v>84500.0</v>
      </c>
      <c r="G74" s="68"/>
      <c r="H74" s="73"/>
      <c r="I74" s="127">
        <v>4.0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188"/>
      <c r="AJ74" s="101"/>
      <c r="AK74" s="37"/>
    </row>
    <row r="75" ht="27.75" customHeight="1">
      <c r="A75" s="58"/>
      <c r="B75" s="262"/>
      <c r="C75" s="263" t="s">
        <v>295</v>
      </c>
      <c r="D75" s="127" t="s">
        <v>413</v>
      </c>
      <c r="E75" s="265">
        <v>7500.0</v>
      </c>
      <c r="F75" s="67"/>
      <c r="G75" s="68"/>
      <c r="H75" s="73"/>
      <c r="I75" s="127">
        <v>4.0</v>
      </c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188"/>
      <c r="AJ75" s="101"/>
      <c r="AK75" s="37"/>
    </row>
    <row r="76" ht="27.75" customHeight="1">
      <c r="A76" s="58"/>
      <c r="B76" s="262"/>
      <c r="C76" s="263" t="s">
        <v>296</v>
      </c>
      <c r="D76" s="127" t="s">
        <v>214</v>
      </c>
      <c r="E76" s="265">
        <v>2000.0</v>
      </c>
      <c r="F76" s="67"/>
      <c r="G76" s="68"/>
      <c r="H76" s="73"/>
      <c r="I76" s="127">
        <v>3.0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188"/>
      <c r="AJ76" s="101"/>
      <c r="AK76" s="37"/>
    </row>
    <row r="77" ht="27.75" customHeight="1">
      <c r="A77" s="58"/>
      <c r="B77" s="262"/>
      <c r="C77" s="263" t="s">
        <v>297</v>
      </c>
      <c r="D77" s="127" t="s">
        <v>414</v>
      </c>
      <c r="E77" s="265">
        <v>1000.0</v>
      </c>
      <c r="F77" s="67"/>
      <c r="G77" s="68"/>
      <c r="H77" s="73"/>
      <c r="I77" s="73"/>
      <c r="J77" s="127">
        <v>5.0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188"/>
      <c r="AJ77" s="101"/>
      <c r="AK77" s="37"/>
    </row>
    <row r="78" ht="27.75" customHeight="1">
      <c r="A78" s="58"/>
      <c r="B78" s="262"/>
      <c r="C78" s="263" t="s">
        <v>298</v>
      </c>
      <c r="D78" s="127" t="s">
        <v>414</v>
      </c>
      <c r="E78" s="265">
        <v>750.0</v>
      </c>
      <c r="F78" s="67"/>
      <c r="G78" s="68"/>
      <c r="H78" s="73"/>
      <c r="I78" s="73"/>
      <c r="J78" s="127">
        <v>5.0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188"/>
      <c r="AJ78" s="101"/>
      <c r="AK78" s="37"/>
    </row>
    <row r="79" ht="27.75" customHeight="1">
      <c r="A79" s="58"/>
      <c r="B79" s="262"/>
      <c r="C79" s="263" t="s">
        <v>299</v>
      </c>
      <c r="D79" s="127" t="s">
        <v>415</v>
      </c>
      <c r="E79" s="265">
        <v>750.0</v>
      </c>
      <c r="F79" s="70"/>
      <c r="G79" s="68"/>
      <c r="H79" s="73"/>
      <c r="I79" s="73"/>
      <c r="J79" s="127">
        <v>5.0</v>
      </c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188"/>
      <c r="AJ79" s="101"/>
      <c r="AK79" s="37"/>
    </row>
    <row r="80" ht="27.75" customHeight="1">
      <c r="A80" s="58"/>
      <c r="B80" s="262"/>
      <c r="C80" s="263" t="s">
        <v>300</v>
      </c>
      <c r="D80" s="127" t="s">
        <v>416</v>
      </c>
      <c r="E80" s="265">
        <v>13000.0</v>
      </c>
      <c r="F80" s="266">
        <v>219000.0</v>
      </c>
      <c r="G80" s="68"/>
      <c r="H80" s="73"/>
      <c r="I80" s="73"/>
      <c r="J80" s="127">
        <v>1.0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188"/>
      <c r="AJ80" s="101"/>
      <c r="AK80" s="37"/>
    </row>
    <row r="81" ht="27.75" customHeight="1">
      <c r="A81" s="58"/>
      <c r="B81" s="262"/>
      <c r="C81" s="263" t="s">
        <v>301</v>
      </c>
      <c r="D81" s="127" t="s">
        <v>416</v>
      </c>
      <c r="E81" s="265">
        <v>13000.0</v>
      </c>
      <c r="F81" s="67"/>
      <c r="G81" s="68"/>
      <c r="H81" s="73"/>
      <c r="I81" s="73"/>
      <c r="J81" s="127">
        <v>1.0</v>
      </c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188"/>
      <c r="AJ81" s="101"/>
      <c r="AK81" s="37"/>
    </row>
    <row r="82" ht="27.75" customHeight="1">
      <c r="A82" s="58"/>
      <c r="B82" s="262"/>
      <c r="C82" s="263" t="s">
        <v>302</v>
      </c>
      <c r="D82" s="127" t="s">
        <v>416</v>
      </c>
      <c r="E82" s="265">
        <v>13000.0</v>
      </c>
      <c r="F82" s="67"/>
      <c r="G82" s="68"/>
      <c r="H82" s="73"/>
      <c r="I82" s="73"/>
      <c r="J82" s="127">
        <v>1.0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188"/>
      <c r="AJ82" s="101"/>
      <c r="AK82" s="37"/>
    </row>
    <row r="83" ht="27.75" customHeight="1">
      <c r="A83" s="58"/>
      <c r="B83" s="262"/>
      <c r="C83" s="263" t="s">
        <v>303</v>
      </c>
      <c r="D83" s="127" t="s">
        <v>416</v>
      </c>
      <c r="E83" s="265">
        <v>13000.0</v>
      </c>
      <c r="F83" s="67"/>
      <c r="G83" s="68"/>
      <c r="H83" s="73"/>
      <c r="I83" s="73"/>
      <c r="J83" s="127">
        <v>1.0</v>
      </c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188"/>
      <c r="AJ83" s="101"/>
      <c r="AK83" s="37"/>
    </row>
    <row r="84" ht="27.75" customHeight="1">
      <c r="A84" s="58"/>
      <c r="B84" s="262"/>
      <c r="C84" s="263" t="s">
        <v>304</v>
      </c>
      <c r="D84" s="127" t="s">
        <v>416</v>
      </c>
      <c r="E84" s="265">
        <v>13000.0</v>
      </c>
      <c r="F84" s="67"/>
      <c r="G84" s="68"/>
      <c r="H84" s="73"/>
      <c r="I84" s="73"/>
      <c r="J84" s="127">
        <v>1.0</v>
      </c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188"/>
      <c r="AJ84" s="101"/>
      <c r="AK84" s="37"/>
    </row>
    <row r="85" ht="27.75" customHeight="1">
      <c r="A85" s="58"/>
      <c r="B85" s="262"/>
      <c r="C85" s="263" t="s">
        <v>305</v>
      </c>
      <c r="D85" s="127" t="s">
        <v>416</v>
      </c>
      <c r="E85" s="265">
        <v>13000.0</v>
      </c>
      <c r="F85" s="67"/>
      <c r="G85" s="68"/>
      <c r="H85" s="73"/>
      <c r="I85" s="73"/>
      <c r="J85" s="127">
        <v>1.0</v>
      </c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188"/>
      <c r="AJ85" s="101"/>
      <c r="AK85" s="37"/>
    </row>
    <row r="86" ht="27.75" customHeight="1">
      <c r="A86" s="58"/>
      <c r="B86" s="262"/>
      <c r="C86" s="263" t="s">
        <v>306</v>
      </c>
      <c r="D86" s="127" t="s">
        <v>396</v>
      </c>
      <c r="E86" s="265">
        <v>2000.0</v>
      </c>
      <c r="F86" s="67"/>
      <c r="G86" s="68"/>
      <c r="H86" s="73"/>
      <c r="I86" s="73"/>
      <c r="J86" s="127">
        <v>10.0</v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188"/>
      <c r="AJ86" s="101"/>
      <c r="AK86" s="37"/>
    </row>
    <row r="87" ht="27.75" customHeight="1">
      <c r="A87" s="58"/>
      <c r="B87" s="262"/>
      <c r="C87" s="263" t="s">
        <v>307</v>
      </c>
      <c r="D87" s="127" t="s">
        <v>396</v>
      </c>
      <c r="E87" s="265">
        <v>2000.0</v>
      </c>
      <c r="F87" s="67"/>
      <c r="G87" s="68"/>
      <c r="H87" s="73"/>
      <c r="I87" s="73"/>
      <c r="J87" s="127">
        <v>10.0</v>
      </c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188"/>
      <c r="AJ87" s="101"/>
      <c r="AK87" s="37"/>
    </row>
    <row r="88" ht="27.75" customHeight="1">
      <c r="A88" s="58"/>
      <c r="B88" s="262"/>
      <c r="C88" s="263" t="s">
        <v>308</v>
      </c>
      <c r="D88" s="127" t="s">
        <v>396</v>
      </c>
      <c r="E88" s="265">
        <v>2000.0</v>
      </c>
      <c r="F88" s="67"/>
      <c r="G88" s="68"/>
      <c r="H88" s="73"/>
      <c r="I88" s="73"/>
      <c r="J88" s="127">
        <v>10.0</v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188"/>
      <c r="AJ88" s="101"/>
      <c r="AK88" s="37"/>
    </row>
    <row r="89" ht="27.75" customHeight="1">
      <c r="A89" s="58"/>
      <c r="B89" s="262"/>
      <c r="C89" s="263" t="s">
        <v>309</v>
      </c>
      <c r="D89" s="127" t="s">
        <v>396</v>
      </c>
      <c r="E89" s="265">
        <v>2000.0</v>
      </c>
      <c r="F89" s="67"/>
      <c r="G89" s="68"/>
      <c r="H89" s="73"/>
      <c r="I89" s="73"/>
      <c r="J89" s="127">
        <v>10.0</v>
      </c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188"/>
      <c r="AJ89" s="101"/>
      <c r="AK89" s="37"/>
    </row>
    <row r="90" ht="27.75" customHeight="1">
      <c r="A90" s="58"/>
      <c r="B90" s="262"/>
      <c r="C90" s="263" t="s">
        <v>310</v>
      </c>
      <c r="D90" s="127" t="s">
        <v>396</v>
      </c>
      <c r="E90" s="265">
        <v>2000.0</v>
      </c>
      <c r="F90" s="67"/>
      <c r="G90" s="68"/>
      <c r="H90" s="73"/>
      <c r="I90" s="73"/>
      <c r="J90" s="127">
        <v>10.0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188"/>
      <c r="AJ90" s="101"/>
      <c r="AK90" s="37"/>
    </row>
    <row r="91" ht="27.75" customHeight="1">
      <c r="A91" s="58"/>
      <c r="B91" s="262"/>
      <c r="C91" s="263" t="s">
        <v>311</v>
      </c>
      <c r="D91" s="127" t="s">
        <v>416</v>
      </c>
      <c r="E91" s="265">
        <v>35000.0</v>
      </c>
      <c r="F91" s="67"/>
      <c r="G91" s="68"/>
      <c r="H91" s="73"/>
      <c r="I91" s="73"/>
      <c r="J91" s="127">
        <v>1.0</v>
      </c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188"/>
      <c r="AJ91" s="101"/>
      <c r="AK91" s="37"/>
    </row>
    <row r="92" ht="27.75" customHeight="1">
      <c r="A92" s="58"/>
      <c r="B92" s="262"/>
      <c r="C92" s="263" t="s">
        <v>312</v>
      </c>
      <c r="D92" s="127" t="s">
        <v>417</v>
      </c>
      <c r="E92" s="265">
        <v>6000.0</v>
      </c>
      <c r="F92" s="70"/>
      <c r="G92" s="68"/>
      <c r="H92" s="73"/>
      <c r="I92" s="73"/>
      <c r="J92" s="127">
        <v>1.0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188"/>
      <c r="AJ92" s="101"/>
      <c r="AK92" s="37"/>
    </row>
    <row r="93" ht="27.75" customHeight="1">
      <c r="A93" s="58"/>
      <c r="B93" s="262"/>
      <c r="C93" s="263" t="s">
        <v>313</v>
      </c>
      <c r="D93" s="127" t="s">
        <v>314</v>
      </c>
      <c r="E93" s="265">
        <v>1200.0</v>
      </c>
      <c r="F93" s="267">
        <v>6000.0</v>
      </c>
      <c r="G93" s="68"/>
      <c r="H93" s="73"/>
      <c r="I93" s="73"/>
      <c r="J93" s="127">
        <v>5.0</v>
      </c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188"/>
      <c r="AJ93" s="101"/>
      <c r="AK93" s="37"/>
    </row>
    <row r="94" ht="27.75" customHeight="1">
      <c r="A94" s="58"/>
      <c r="B94" s="262"/>
      <c r="C94" s="263" t="s">
        <v>315</v>
      </c>
      <c r="D94" s="127" t="s">
        <v>314</v>
      </c>
      <c r="E94" s="265">
        <v>1000.0</v>
      </c>
      <c r="F94" s="267">
        <v>5000.0</v>
      </c>
      <c r="G94" s="68"/>
      <c r="H94" s="73"/>
      <c r="I94" s="73"/>
      <c r="J94" s="127">
        <v>5.0</v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188"/>
      <c r="AJ94" s="101"/>
      <c r="AK94" s="37"/>
    </row>
    <row r="95" ht="27.75" customHeight="1">
      <c r="A95" s="58"/>
      <c r="B95" s="262"/>
      <c r="C95" s="263" t="s">
        <v>316</v>
      </c>
      <c r="D95" s="127" t="s">
        <v>314</v>
      </c>
      <c r="E95" s="265">
        <v>1000.0</v>
      </c>
      <c r="F95" s="267">
        <v>5000.0</v>
      </c>
      <c r="G95" s="68"/>
      <c r="H95" s="73"/>
      <c r="I95" s="73"/>
      <c r="J95" s="127">
        <v>5.0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188"/>
      <c r="AJ95" s="101"/>
      <c r="AK95" s="37"/>
    </row>
    <row r="96" ht="27.75" customHeight="1">
      <c r="A96" s="58"/>
      <c r="B96" s="262"/>
      <c r="C96" s="263" t="s">
        <v>317</v>
      </c>
      <c r="D96" s="127" t="s">
        <v>408</v>
      </c>
      <c r="E96" s="265">
        <v>7000.0</v>
      </c>
      <c r="F96" s="266">
        <v>100250.0</v>
      </c>
      <c r="G96" s="68"/>
      <c r="H96" s="73"/>
      <c r="I96" s="73"/>
      <c r="J96" s="65"/>
      <c r="K96" s="127">
        <v>2.0</v>
      </c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188"/>
      <c r="AJ96" s="101"/>
      <c r="AK96" s="37"/>
    </row>
    <row r="97" ht="27.75" customHeight="1">
      <c r="A97" s="58"/>
      <c r="B97" s="262"/>
      <c r="C97" s="263" t="s">
        <v>318</v>
      </c>
      <c r="D97" s="127" t="s">
        <v>418</v>
      </c>
      <c r="E97" s="265">
        <v>3000.0</v>
      </c>
      <c r="F97" s="67"/>
      <c r="G97" s="68"/>
      <c r="H97" s="73"/>
      <c r="I97" s="73"/>
      <c r="J97" s="65"/>
      <c r="K97" s="127">
        <v>10.0</v>
      </c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188"/>
      <c r="AJ97" s="101"/>
      <c r="AK97" s="37"/>
    </row>
    <row r="98" ht="27.75" customHeight="1">
      <c r="A98" s="58"/>
      <c r="B98" s="262"/>
      <c r="C98" s="263" t="s">
        <v>319</v>
      </c>
      <c r="D98" s="127" t="s">
        <v>415</v>
      </c>
      <c r="E98" s="265">
        <v>1000.0</v>
      </c>
      <c r="F98" s="67"/>
      <c r="G98" s="68"/>
      <c r="H98" s="73"/>
      <c r="I98" s="73"/>
      <c r="J98" s="65"/>
      <c r="K98" s="127">
        <v>5.0</v>
      </c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188"/>
      <c r="AJ98" s="101"/>
      <c r="AK98" s="37"/>
    </row>
    <row r="99" ht="27.75" customHeight="1">
      <c r="A99" s="58"/>
      <c r="B99" s="262"/>
      <c r="C99" s="263" t="s">
        <v>320</v>
      </c>
      <c r="D99" s="127" t="s">
        <v>419</v>
      </c>
      <c r="E99" s="265">
        <v>1500.0</v>
      </c>
      <c r="F99" s="67"/>
      <c r="G99" s="68"/>
      <c r="H99" s="73"/>
      <c r="I99" s="73"/>
      <c r="J99" s="65"/>
      <c r="K99" s="127">
        <v>10.0</v>
      </c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188"/>
      <c r="AJ99" s="101"/>
      <c r="AK99" s="37"/>
    </row>
    <row r="100" ht="27.75" customHeight="1">
      <c r="A100" s="58"/>
      <c r="B100" s="262"/>
      <c r="C100" s="263" t="s">
        <v>321</v>
      </c>
      <c r="D100" s="127" t="s">
        <v>386</v>
      </c>
      <c r="E100" s="265">
        <v>170.0</v>
      </c>
      <c r="F100" s="67"/>
      <c r="G100" s="68"/>
      <c r="H100" s="73"/>
      <c r="I100" s="73"/>
      <c r="J100" s="65"/>
      <c r="K100" s="127">
        <v>5.0</v>
      </c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188"/>
      <c r="AJ100" s="101"/>
      <c r="AK100" s="37"/>
    </row>
    <row r="101" ht="27.75" customHeight="1">
      <c r="A101" s="58"/>
      <c r="B101" s="262"/>
      <c r="C101" s="263" t="s">
        <v>322</v>
      </c>
      <c r="D101" s="127" t="s">
        <v>250</v>
      </c>
      <c r="E101" s="265">
        <v>180.0</v>
      </c>
      <c r="F101" s="67"/>
      <c r="G101" s="68"/>
      <c r="H101" s="73"/>
      <c r="I101" s="73"/>
      <c r="J101" s="65"/>
      <c r="K101" s="127">
        <v>25.0</v>
      </c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188"/>
      <c r="AJ101" s="101"/>
      <c r="AK101" s="37"/>
    </row>
    <row r="102" ht="27.75" customHeight="1">
      <c r="A102" s="58"/>
      <c r="B102" s="262"/>
      <c r="C102" s="263" t="s">
        <v>323</v>
      </c>
      <c r="D102" s="127" t="s">
        <v>250</v>
      </c>
      <c r="E102" s="265">
        <v>250.0</v>
      </c>
      <c r="F102" s="67"/>
      <c r="G102" s="68"/>
      <c r="H102" s="73"/>
      <c r="I102" s="73"/>
      <c r="J102" s="65"/>
      <c r="K102" s="127">
        <v>25.0</v>
      </c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188"/>
      <c r="AJ102" s="101"/>
      <c r="AK102" s="37"/>
    </row>
    <row r="103" ht="27.75" customHeight="1">
      <c r="A103" s="58"/>
      <c r="B103" s="262"/>
      <c r="C103" s="263" t="s">
        <v>324</v>
      </c>
      <c r="D103" s="127" t="s">
        <v>398</v>
      </c>
      <c r="E103" s="265">
        <v>950.0</v>
      </c>
      <c r="F103" s="67"/>
      <c r="G103" s="68"/>
      <c r="H103" s="73"/>
      <c r="I103" s="73"/>
      <c r="J103" s="65"/>
      <c r="K103" s="127">
        <v>6.0</v>
      </c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188"/>
      <c r="AJ103" s="101"/>
      <c r="AK103" s="37"/>
    </row>
    <row r="104" ht="27.75" customHeight="1">
      <c r="A104" s="58"/>
      <c r="B104" s="262"/>
      <c r="C104" s="263" t="s">
        <v>325</v>
      </c>
      <c r="D104" s="127" t="s">
        <v>398</v>
      </c>
      <c r="E104" s="265">
        <v>600.0</v>
      </c>
      <c r="F104" s="67"/>
      <c r="G104" s="68"/>
      <c r="H104" s="73"/>
      <c r="I104" s="73"/>
      <c r="J104" s="65"/>
      <c r="K104" s="127">
        <v>6.0</v>
      </c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188"/>
      <c r="AJ104" s="101"/>
      <c r="AK104" s="37"/>
    </row>
    <row r="105" ht="27.75" customHeight="1">
      <c r="A105" s="58"/>
      <c r="B105" s="262"/>
      <c r="C105" s="263" t="s">
        <v>326</v>
      </c>
      <c r="D105" s="127" t="s">
        <v>386</v>
      </c>
      <c r="E105" s="265">
        <v>150.0</v>
      </c>
      <c r="F105" s="67"/>
      <c r="G105" s="68"/>
      <c r="H105" s="73"/>
      <c r="I105" s="73"/>
      <c r="J105" s="65"/>
      <c r="K105" s="127">
        <v>5.0</v>
      </c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188"/>
      <c r="AJ105" s="101"/>
      <c r="AK105" s="37"/>
    </row>
    <row r="106" ht="27.75" customHeight="1">
      <c r="A106" s="58"/>
      <c r="B106" s="262"/>
      <c r="C106" s="263" t="s">
        <v>327</v>
      </c>
      <c r="D106" s="127" t="s">
        <v>420</v>
      </c>
      <c r="E106" s="265">
        <v>100.0</v>
      </c>
      <c r="F106" s="67"/>
      <c r="G106" s="68"/>
      <c r="H106" s="73"/>
      <c r="I106" s="73"/>
      <c r="J106" s="65"/>
      <c r="K106" s="127">
        <v>15.0</v>
      </c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188"/>
      <c r="AJ106" s="101"/>
      <c r="AK106" s="37"/>
    </row>
    <row r="107" ht="27.75" customHeight="1">
      <c r="A107" s="58"/>
      <c r="B107" s="262"/>
      <c r="C107" s="263" t="s">
        <v>328</v>
      </c>
      <c r="D107" s="127" t="s">
        <v>420</v>
      </c>
      <c r="E107" s="265">
        <v>100.0</v>
      </c>
      <c r="F107" s="67"/>
      <c r="G107" s="68"/>
      <c r="H107" s="73"/>
      <c r="I107" s="73"/>
      <c r="J107" s="65"/>
      <c r="K107" s="127">
        <v>15.0</v>
      </c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188"/>
      <c r="AJ107" s="101"/>
      <c r="AK107" s="37"/>
    </row>
    <row r="108" ht="27.75" customHeight="1">
      <c r="A108" s="58"/>
      <c r="B108" s="262"/>
      <c r="C108" s="263" t="s">
        <v>329</v>
      </c>
      <c r="D108" s="127" t="s">
        <v>420</v>
      </c>
      <c r="E108" s="265">
        <v>100.0</v>
      </c>
      <c r="F108" s="67"/>
      <c r="G108" s="68"/>
      <c r="H108" s="73"/>
      <c r="I108" s="73"/>
      <c r="J108" s="65"/>
      <c r="K108" s="127">
        <v>15.0</v>
      </c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188"/>
      <c r="AJ108" s="101"/>
      <c r="AK108" s="37"/>
    </row>
    <row r="109" ht="27.75" customHeight="1">
      <c r="A109" s="58"/>
      <c r="B109" s="262"/>
      <c r="C109" s="263" t="s">
        <v>330</v>
      </c>
      <c r="D109" s="127" t="s">
        <v>416</v>
      </c>
      <c r="E109" s="265">
        <v>1800.0</v>
      </c>
      <c r="F109" s="67"/>
      <c r="G109" s="68"/>
      <c r="H109" s="73"/>
      <c r="I109" s="73"/>
      <c r="J109" s="65"/>
      <c r="K109" s="127">
        <v>1.0</v>
      </c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188"/>
      <c r="AJ109" s="101"/>
      <c r="AK109" s="37"/>
    </row>
    <row r="110" ht="27.75" customHeight="1">
      <c r="A110" s="58"/>
      <c r="B110" s="262"/>
      <c r="C110" s="263" t="s">
        <v>331</v>
      </c>
      <c r="D110" s="127" t="s">
        <v>416</v>
      </c>
      <c r="E110" s="265">
        <v>2000.0</v>
      </c>
      <c r="F110" s="67"/>
      <c r="G110" s="68"/>
      <c r="H110" s="73"/>
      <c r="I110" s="73"/>
      <c r="J110" s="65"/>
      <c r="K110" s="127">
        <v>1.0</v>
      </c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188"/>
      <c r="AJ110" s="101"/>
      <c r="AK110" s="37"/>
    </row>
    <row r="111" ht="27.75" customHeight="1">
      <c r="A111" s="58"/>
      <c r="B111" s="262"/>
      <c r="C111" s="263" t="s">
        <v>332</v>
      </c>
      <c r="D111" s="127" t="s">
        <v>386</v>
      </c>
      <c r="E111" s="265">
        <v>300.0</v>
      </c>
      <c r="F111" s="67"/>
      <c r="G111" s="68"/>
      <c r="H111" s="73"/>
      <c r="I111" s="73"/>
      <c r="J111" s="65"/>
      <c r="K111" s="127">
        <v>5.0</v>
      </c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188"/>
      <c r="AJ111" s="101"/>
      <c r="AK111" s="37"/>
    </row>
    <row r="112" ht="27.75" customHeight="1">
      <c r="A112" s="58"/>
      <c r="B112" s="262"/>
      <c r="C112" s="263" t="s">
        <v>333</v>
      </c>
      <c r="D112" s="127" t="s">
        <v>421</v>
      </c>
      <c r="E112" s="265">
        <v>300.0</v>
      </c>
      <c r="F112" s="67"/>
      <c r="G112" s="68"/>
      <c r="H112" s="73"/>
      <c r="I112" s="73"/>
      <c r="J112" s="65"/>
      <c r="K112" s="127">
        <v>12.0</v>
      </c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188"/>
      <c r="AJ112" s="101"/>
      <c r="AK112" s="37"/>
    </row>
    <row r="113" ht="27.75" customHeight="1">
      <c r="A113" s="58"/>
      <c r="B113" s="262"/>
      <c r="C113" s="263" t="s">
        <v>334</v>
      </c>
      <c r="D113" s="127" t="s">
        <v>416</v>
      </c>
      <c r="E113" s="265">
        <v>1200.0</v>
      </c>
      <c r="F113" s="70"/>
      <c r="G113" s="68"/>
      <c r="H113" s="73"/>
      <c r="I113" s="73"/>
      <c r="J113" s="65"/>
      <c r="K113" s="127">
        <v>1.0</v>
      </c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188"/>
      <c r="AJ113" s="101"/>
      <c r="AK113" s="37"/>
    </row>
    <row r="114" ht="27.75" customHeight="1">
      <c r="A114" s="58"/>
      <c r="B114" s="262"/>
      <c r="C114" s="268" t="s">
        <v>335</v>
      </c>
      <c r="D114" s="208" t="s">
        <v>80</v>
      </c>
      <c r="E114" s="269">
        <v>45000.0</v>
      </c>
      <c r="F114" s="270">
        <v>45000.0</v>
      </c>
      <c r="G114" s="68"/>
      <c r="H114" s="73"/>
      <c r="I114" s="73"/>
      <c r="J114" s="65"/>
      <c r="K114" s="208">
        <v>1.0</v>
      </c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188"/>
      <c r="AJ114" s="101"/>
      <c r="AK114" s="37"/>
    </row>
    <row r="115" ht="27.75" customHeight="1">
      <c r="A115" s="58"/>
      <c r="B115" s="262"/>
      <c r="C115" s="268" t="s">
        <v>336</v>
      </c>
      <c r="D115" s="208" t="s">
        <v>80</v>
      </c>
      <c r="E115" s="269">
        <v>35000.0</v>
      </c>
      <c r="F115" s="270">
        <v>35000.0</v>
      </c>
      <c r="G115" s="68"/>
      <c r="H115" s="73"/>
      <c r="I115" s="73"/>
      <c r="J115" s="65"/>
      <c r="K115" s="208">
        <v>1.0</v>
      </c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188"/>
      <c r="AJ115" s="101"/>
      <c r="AK115" s="37"/>
    </row>
    <row r="116" ht="27.75" customHeight="1">
      <c r="A116" s="58"/>
      <c r="B116" s="262"/>
      <c r="C116" s="268" t="s">
        <v>337</v>
      </c>
      <c r="D116" s="208" t="s">
        <v>80</v>
      </c>
      <c r="E116" s="269">
        <v>30000.0</v>
      </c>
      <c r="F116" s="270">
        <v>30000.0</v>
      </c>
      <c r="G116" s="68"/>
      <c r="H116" s="73"/>
      <c r="I116" s="73"/>
      <c r="J116" s="65"/>
      <c r="K116" s="208">
        <v>1.0</v>
      </c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188"/>
      <c r="AJ116" s="101"/>
      <c r="AK116" s="37"/>
    </row>
    <row r="117" ht="27.75" customHeight="1">
      <c r="A117" s="58"/>
      <c r="B117" s="262"/>
      <c r="C117" s="262"/>
      <c r="D117" s="68"/>
      <c r="E117" s="61"/>
      <c r="F117" s="314"/>
      <c r="G117" s="68"/>
      <c r="H117" s="73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188"/>
      <c r="AJ117" s="101"/>
      <c r="AK117" s="37"/>
    </row>
    <row r="118" ht="15.75" customHeight="1">
      <c r="A118" s="38" t="s">
        <v>151</v>
      </c>
      <c r="B118" s="74"/>
      <c r="C118" s="74" t="s">
        <v>152</v>
      </c>
      <c r="D118" s="40"/>
      <c r="E118" s="41"/>
      <c r="F118" s="271"/>
      <c r="G118" s="77"/>
      <c r="H118" s="75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223"/>
      <c r="AJ118" s="272">
        <f>SUM(F119:F143)</f>
        <v>222740</v>
      </c>
      <c r="AK118" s="225">
        <v>250000.0</v>
      </c>
    </row>
    <row r="119">
      <c r="A119" s="226"/>
      <c r="B119" s="216"/>
      <c r="C119" s="240" t="s">
        <v>338</v>
      </c>
      <c r="D119" s="72" t="s">
        <v>80</v>
      </c>
      <c r="E119" s="229">
        <v>3000.0</v>
      </c>
      <c r="F119" s="266">
        <f>(E119*J119)+(E120*J120)+(E121*J121)</f>
        <v>31000</v>
      </c>
      <c r="G119" s="72" t="s">
        <v>90</v>
      </c>
      <c r="H119" s="273"/>
      <c r="I119" s="232"/>
      <c r="J119" s="228">
        <v>4.0</v>
      </c>
      <c r="K119" s="232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  <c r="AD119" s="216"/>
      <c r="AE119" s="216"/>
      <c r="AF119" s="216"/>
      <c r="AG119" s="216"/>
      <c r="AH119" s="216"/>
      <c r="AI119" s="188"/>
      <c r="AJ119" s="101"/>
      <c r="AK119" s="2"/>
      <c r="AL119" s="234"/>
      <c r="AM119" s="234"/>
    </row>
    <row r="120">
      <c r="A120" s="242"/>
      <c r="B120" s="274"/>
      <c r="C120" s="275" t="s">
        <v>339</v>
      </c>
      <c r="D120" s="67"/>
      <c r="E120" s="244">
        <v>5000.0</v>
      </c>
      <c r="F120" s="67"/>
      <c r="G120" s="67"/>
      <c r="H120" s="190"/>
      <c r="I120" s="204"/>
      <c r="J120" s="199">
        <v>3.0</v>
      </c>
      <c r="K120" s="204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188"/>
      <c r="AJ120" s="101"/>
      <c r="AK120" s="2"/>
      <c r="AL120" s="234"/>
      <c r="AM120" s="234"/>
    </row>
    <row r="121">
      <c r="A121" s="242"/>
      <c r="B121" s="274"/>
      <c r="C121" s="275" t="s">
        <v>340</v>
      </c>
      <c r="D121" s="67"/>
      <c r="E121" s="244">
        <v>1000.0</v>
      </c>
      <c r="F121" s="70"/>
      <c r="G121" s="70"/>
      <c r="H121" s="147"/>
      <c r="I121" s="204"/>
      <c r="J121" s="199">
        <v>4.0</v>
      </c>
      <c r="K121" s="204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188"/>
      <c r="AJ121" s="101"/>
      <c r="AK121" s="2"/>
      <c r="AL121" s="234"/>
      <c r="AM121" s="234"/>
    </row>
    <row r="122" ht="29.25" customHeight="1">
      <c r="A122" s="58"/>
      <c r="B122" s="69"/>
      <c r="C122" s="268" t="s">
        <v>341</v>
      </c>
      <c r="D122" s="72" t="s">
        <v>80</v>
      </c>
      <c r="E122" s="124">
        <v>900.0</v>
      </c>
      <c r="F122" s="266">
        <f>(E122*J122)+(E123*J123)+(E124*J124)+(E125*J125)</f>
        <v>35200</v>
      </c>
      <c r="G122" s="72" t="s">
        <v>90</v>
      </c>
      <c r="H122" s="73"/>
      <c r="I122" s="65"/>
      <c r="J122" s="128">
        <v>16.0</v>
      </c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188"/>
      <c r="AJ122" s="101"/>
      <c r="AK122" s="37"/>
    </row>
    <row r="123" ht="15.75" customHeight="1">
      <c r="A123" s="58"/>
      <c r="B123" s="73"/>
      <c r="C123" s="276" t="s">
        <v>342</v>
      </c>
      <c r="D123" s="67"/>
      <c r="E123" s="124">
        <v>500.0</v>
      </c>
      <c r="F123" s="67"/>
      <c r="G123" s="67"/>
      <c r="H123" s="73"/>
      <c r="I123" s="65"/>
      <c r="J123" s="128">
        <v>16.0</v>
      </c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188"/>
      <c r="AJ123" s="101"/>
      <c r="AK123" s="37"/>
    </row>
    <row r="124" ht="15.75" customHeight="1">
      <c r="A124" s="58"/>
      <c r="B124" s="73"/>
      <c r="C124" s="276" t="s">
        <v>343</v>
      </c>
      <c r="D124" s="67"/>
      <c r="E124" s="92">
        <v>300.0</v>
      </c>
      <c r="F124" s="67"/>
      <c r="G124" s="67"/>
      <c r="H124" s="73"/>
      <c r="I124" s="65"/>
      <c r="J124" s="128">
        <v>16.0</v>
      </c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188"/>
      <c r="AJ124" s="101"/>
      <c r="AK124" s="37"/>
    </row>
    <row r="125" ht="27.75" customHeight="1">
      <c r="A125" s="58"/>
      <c r="B125" s="59"/>
      <c r="C125" s="277" t="s">
        <v>344</v>
      </c>
      <c r="D125" s="67"/>
      <c r="E125" s="92">
        <v>500.0</v>
      </c>
      <c r="F125" s="70"/>
      <c r="G125" s="70"/>
      <c r="H125" s="73"/>
      <c r="I125" s="65"/>
      <c r="J125" s="128">
        <v>16.0</v>
      </c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188"/>
      <c r="AJ125" s="101"/>
      <c r="AK125" s="37"/>
    </row>
    <row r="126" ht="15.75" customHeight="1">
      <c r="A126" s="58"/>
      <c r="B126" s="278"/>
      <c r="C126" s="279" t="s">
        <v>162</v>
      </c>
      <c r="D126" s="264" t="s">
        <v>396</v>
      </c>
      <c r="E126" s="124">
        <v>800.0</v>
      </c>
      <c r="F126" s="266">
        <f>(E126*K126)+(E127*K127)</f>
        <v>8300</v>
      </c>
      <c r="G126" s="72" t="s">
        <v>90</v>
      </c>
      <c r="H126" s="73"/>
      <c r="I126" s="65"/>
      <c r="J126" s="65"/>
      <c r="K126" s="128">
        <v>1.0</v>
      </c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188"/>
      <c r="AJ126" s="101"/>
      <c r="AK126" s="37"/>
    </row>
    <row r="127" ht="26.25" customHeight="1">
      <c r="A127" s="58"/>
      <c r="B127" s="278"/>
      <c r="C127" s="279" t="s">
        <v>422</v>
      </c>
      <c r="D127" s="264" t="s">
        <v>396</v>
      </c>
      <c r="E127" s="124">
        <v>750.0</v>
      </c>
      <c r="F127" s="70"/>
      <c r="G127" s="70"/>
      <c r="H127" s="73"/>
      <c r="I127" s="65"/>
      <c r="J127" s="65"/>
      <c r="K127" s="128">
        <v>10.0</v>
      </c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188"/>
      <c r="AJ127" s="101"/>
      <c r="AK127" s="37"/>
    </row>
    <row r="128">
      <c r="A128" s="226"/>
      <c r="B128" s="216"/>
      <c r="C128" s="280" t="s">
        <v>346</v>
      </c>
      <c r="D128" s="228" t="s">
        <v>423</v>
      </c>
      <c r="E128" s="254">
        <v>4500.0</v>
      </c>
      <c r="F128" s="281">
        <f t="shared" ref="F128:F131" si="4">E128*I128</f>
        <v>31500</v>
      </c>
      <c r="G128" s="230" t="s">
        <v>237</v>
      </c>
      <c r="H128" s="183" t="s">
        <v>238</v>
      </c>
      <c r="I128" s="237">
        <v>7.0</v>
      </c>
      <c r="J128" s="232"/>
      <c r="K128" s="232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  <c r="AG128" s="210"/>
      <c r="AH128" s="210"/>
      <c r="AI128" s="188"/>
      <c r="AJ128" s="101"/>
      <c r="AK128" s="101"/>
      <c r="AL128" s="101"/>
      <c r="AM128" s="101"/>
    </row>
    <row r="129">
      <c r="A129" s="226"/>
      <c r="B129" s="216"/>
      <c r="C129" s="282" t="s">
        <v>348</v>
      </c>
      <c r="D129" s="237" t="s">
        <v>258</v>
      </c>
      <c r="E129" s="283">
        <v>1500.0</v>
      </c>
      <c r="F129" s="284">
        <f t="shared" si="4"/>
        <v>3000</v>
      </c>
      <c r="G129" s="230" t="s">
        <v>90</v>
      </c>
      <c r="H129" s="210"/>
      <c r="I129" s="237">
        <v>2.0</v>
      </c>
      <c r="J129" s="232"/>
      <c r="K129" s="232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  <c r="AH129" s="210"/>
      <c r="AI129" s="188"/>
      <c r="AJ129" s="101"/>
      <c r="AK129" s="101"/>
      <c r="AL129" s="101"/>
      <c r="AM129" s="101"/>
    </row>
    <row r="130">
      <c r="A130" s="242"/>
      <c r="B130" s="274"/>
      <c r="C130" s="285" t="s">
        <v>424</v>
      </c>
      <c r="D130" s="246" t="s">
        <v>258</v>
      </c>
      <c r="E130" s="286">
        <v>10000.0</v>
      </c>
      <c r="F130" s="261">
        <f t="shared" si="4"/>
        <v>20000</v>
      </c>
      <c r="G130" s="246" t="s">
        <v>90</v>
      </c>
      <c r="H130" s="187"/>
      <c r="I130" s="203">
        <v>2.0</v>
      </c>
      <c r="J130" s="204"/>
      <c r="K130" s="204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8"/>
      <c r="AJ130" s="101"/>
      <c r="AK130" s="101"/>
      <c r="AL130" s="101"/>
      <c r="AM130" s="101"/>
    </row>
    <row r="131">
      <c r="A131" s="206"/>
      <c r="B131" s="287"/>
      <c r="C131" s="252" t="s">
        <v>350</v>
      </c>
      <c r="D131" s="288" t="s">
        <v>80</v>
      </c>
      <c r="E131" s="284">
        <v>500.0</v>
      </c>
      <c r="F131" s="261">
        <f t="shared" si="4"/>
        <v>10000</v>
      </c>
      <c r="G131" s="236" t="s">
        <v>90</v>
      </c>
      <c r="H131" s="210"/>
      <c r="I131" s="236">
        <v>20.0</v>
      </c>
      <c r="J131" s="232"/>
      <c r="K131" s="232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89"/>
      <c r="AI131" s="217"/>
      <c r="AJ131" s="101"/>
      <c r="AK131" s="101"/>
      <c r="AL131" s="101"/>
      <c r="AM131" s="101"/>
    </row>
    <row r="132">
      <c r="A132" s="206"/>
      <c r="B132" s="290"/>
      <c r="C132" s="252" t="s">
        <v>351</v>
      </c>
      <c r="D132" s="291" t="s">
        <v>80</v>
      </c>
      <c r="E132" s="254">
        <v>200.0</v>
      </c>
      <c r="F132" s="62">
        <f>(E132*I132)+(E133*I133)+(E134*I134)+(E135*I135)+(E136*I136)+(E137*I137)</f>
        <v>32500</v>
      </c>
      <c r="G132" s="256" t="s">
        <v>90</v>
      </c>
      <c r="H132" s="210"/>
      <c r="I132" s="236">
        <v>10.0</v>
      </c>
      <c r="J132" s="232"/>
      <c r="K132" s="232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0"/>
      <c r="AI132" s="217"/>
      <c r="AJ132" s="101"/>
      <c r="AK132" s="101"/>
      <c r="AL132" s="101"/>
      <c r="AM132" s="101"/>
    </row>
    <row r="133">
      <c r="A133" s="197"/>
      <c r="B133" s="292"/>
      <c r="C133" s="198" t="s">
        <v>352</v>
      </c>
      <c r="D133" s="190"/>
      <c r="E133" s="286">
        <v>2000.0</v>
      </c>
      <c r="F133" s="67"/>
      <c r="G133" s="190"/>
      <c r="H133" s="187"/>
      <c r="I133" s="203">
        <v>10.0</v>
      </c>
      <c r="J133" s="204"/>
      <c r="K133" s="204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205"/>
      <c r="AJ133" s="101"/>
      <c r="AK133" s="101"/>
      <c r="AL133" s="101"/>
      <c r="AM133" s="101"/>
    </row>
    <row r="134">
      <c r="A134" s="197"/>
      <c r="B134" s="274"/>
      <c r="C134" s="257" t="s">
        <v>353</v>
      </c>
      <c r="D134" s="190"/>
      <c r="E134" s="286">
        <v>150.0</v>
      </c>
      <c r="F134" s="67"/>
      <c r="G134" s="190"/>
      <c r="H134" s="187"/>
      <c r="I134" s="203">
        <v>10.0</v>
      </c>
      <c r="J134" s="204"/>
      <c r="K134" s="204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205"/>
      <c r="AJ134" s="101"/>
      <c r="AK134" s="101"/>
      <c r="AL134" s="101"/>
      <c r="AM134" s="101"/>
    </row>
    <row r="135">
      <c r="A135" s="197"/>
      <c r="B135" s="274"/>
      <c r="C135" s="257" t="s">
        <v>354</v>
      </c>
      <c r="D135" s="190"/>
      <c r="E135" s="286">
        <v>200.0</v>
      </c>
      <c r="F135" s="67"/>
      <c r="G135" s="190"/>
      <c r="H135" s="187"/>
      <c r="I135" s="203">
        <v>10.0</v>
      </c>
      <c r="J135" s="204"/>
      <c r="K135" s="204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205"/>
      <c r="AJ135" s="101"/>
      <c r="AK135" s="101"/>
      <c r="AL135" s="101"/>
      <c r="AM135" s="101"/>
    </row>
    <row r="136">
      <c r="A136" s="197"/>
      <c r="B136" s="274"/>
      <c r="C136" s="257" t="s">
        <v>355</v>
      </c>
      <c r="D136" s="190"/>
      <c r="E136" s="293">
        <v>300.0</v>
      </c>
      <c r="F136" s="67"/>
      <c r="G136" s="190"/>
      <c r="H136" s="187"/>
      <c r="I136" s="203">
        <v>10.0</v>
      </c>
      <c r="J136" s="204"/>
      <c r="K136" s="204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205"/>
      <c r="AJ136" s="101"/>
      <c r="AK136" s="101"/>
      <c r="AL136" s="101"/>
      <c r="AM136" s="101"/>
    </row>
    <row r="137">
      <c r="A137" s="197"/>
      <c r="B137" s="274"/>
      <c r="C137" s="257" t="s">
        <v>356</v>
      </c>
      <c r="D137" s="147"/>
      <c r="E137" s="261">
        <v>400.0</v>
      </c>
      <c r="F137" s="70"/>
      <c r="G137" s="147"/>
      <c r="H137" s="187"/>
      <c r="I137" s="203">
        <v>10.0</v>
      </c>
      <c r="J137" s="204"/>
      <c r="K137" s="204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205"/>
      <c r="AJ137" s="101"/>
      <c r="AK137" s="101"/>
      <c r="AL137" s="101"/>
      <c r="AM137" s="101"/>
    </row>
    <row r="138" ht="15.75" customHeight="1">
      <c r="A138" s="216"/>
      <c r="B138" s="329"/>
      <c r="C138" s="330" t="s">
        <v>382</v>
      </c>
      <c r="D138" s="212" t="s">
        <v>214</v>
      </c>
      <c r="E138" s="221">
        <v>3500.0</v>
      </c>
      <c r="F138" s="192">
        <f>E138*I138</f>
        <v>10500</v>
      </c>
      <c r="G138" s="193" t="s">
        <v>90</v>
      </c>
      <c r="H138" s="195"/>
      <c r="I138" s="209">
        <v>3.0</v>
      </c>
      <c r="J138" s="187"/>
      <c r="K138" s="187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  <c r="AH138" s="210"/>
      <c r="AI138" s="205"/>
      <c r="AJ138" s="101"/>
      <c r="AK138" s="101"/>
      <c r="AL138" s="102"/>
      <c r="AM138" s="102"/>
    </row>
    <row r="139">
      <c r="A139" s="206"/>
      <c r="B139" s="287"/>
      <c r="C139" s="211" t="s">
        <v>357</v>
      </c>
      <c r="D139" s="294" t="s">
        <v>358</v>
      </c>
      <c r="E139" s="295">
        <v>280.0</v>
      </c>
      <c r="F139" s="281">
        <f t="shared" ref="F139:F140" si="5">E139*J139</f>
        <v>5040</v>
      </c>
      <c r="G139" s="236"/>
      <c r="H139" s="210"/>
      <c r="I139" s="216"/>
      <c r="J139" s="215">
        <v>18.0</v>
      </c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  <c r="AD139" s="216"/>
      <c r="AE139" s="216"/>
      <c r="AF139" s="216"/>
      <c r="AG139" s="216"/>
      <c r="AH139" s="216"/>
      <c r="AI139" s="205"/>
      <c r="AJ139" s="101"/>
      <c r="AK139" s="101"/>
      <c r="AL139" s="101"/>
      <c r="AM139" s="101"/>
    </row>
    <row r="140">
      <c r="A140" s="197"/>
      <c r="B140" s="292"/>
      <c r="C140" s="296" t="s">
        <v>359</v>
      </c>
      <c r="D140" s="294" t="s">
        <v>360</v>
      </c>
      <c r="E140" s="297">
        <v>950.0</v>
      </c>
      <c r="F140" s="281">
        <f t="shared" si="5"/>
        <v>2850</v>
      </c>
      <c r="G140" s="236"/>
      <c r="H140" s="210"/>
      <c r="I140" s="201"/>
      <c r="J140" s="298">
        <v>3.0</v>
      </c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1"/>
      <c r="AD140" s="201"/>
      <c r="AE140" s="201"/>
      <c r="AF140" s="201"/>
      <c r="AG140" s="201"/>
      <c r="AH140" s="201"/>
      <c r="AI140" s="205"/>
      <c r="AJ140" s="101"/>
      <c r="AK140" s="101"/>
      <c r="AL140" s="101"/>
      <c r="AM140" s="101"/>
    </row>
    <row r="141">
      <c r="A141" s="340"/>
      <c r="B141" s="341"/>
      <c r="C141" s="342" t="s">
        <v>425</v>
      </c>
      <c r="D141" s="343" t="s">
        <v>381</v>
      </c>
      <c r="E141" s="182">
        <v>3500.0</v>
      </c>
      <c r="F141" s="182">
        <f>E141*I141</f>
        <v>28000</v>
      </c>
      <c r="G141" s="183" t="s">
        <v>90</v>
      </c>
      <c r="H141" s="185"/>
      <c r="I141" s="344">
        <v>8.0</v>
      </c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  <c r="AH141" s="210"/>
      <c r="AI141" s="217"/>
      <c r="AJ141" s="101"/>
      <c r="AK141" s="101"/>
      <c r="AL141" s="101"/>
      <c r="AM141" s="101"/>
    </row>
    <row r="142" ht="15.75" customHeight="1">
      <c r="A142" s="242"/>
      <c r="B142" s="274"/>
      <c r="C142" s="330" t="s">
        <v>426</v>
      </c>
      <c r="D142" s="208" t="s">
        <v>314</v>
      </c>
      <c r="E142" s="345">
        <v>650.0</v>
      </c>
      <c r="F142" s="192">
        <f t="shared" ref="F142:F143" si="6">E142*J142</f>
        <v>3250</v>
      </c>
      <c r="G142" s="193" t="s">
        <v>90</v>
      </c>
      <c r="H142" s="195"/>
      <c r="I142" s="195"/>
      <c r="J142" s="325">
        <v>5.0</v>
      </c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8"/>
      <c r="AJ142" s="101"/>
      <c r="AK142" s="101"/>
      <c r="AL142" s="102"/>
      <c r="AM142" s="102"/>
    </row>
    <row r="143" ht="15.75" customHeight="1">
      <c r="A143" s="242"/>
      <c r="B143" s="274"/>
      <c r="C143" s="330" t="s">
        <v>427</v>
      </c>
      <c r="D143" s="320" t="s">
        <v>376</v>
      </c>
      <c r="E143" s="345">
        <v>800.0</v>
      </c>
      <c r="F143" s="192">
        <f t="shared" si="6"/>
        <v>1600</v>
      </c>
      <c r="G143" s="193" t="s">
        <v>428</v>
      </c>
      <c r="H143" s="195"/>
      <c r="I143" s="195"/>
      <c r="J143" s="196">
        <v>2.0</v>
      </c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8"/>
      <c r="AJ143" s="101"/>
      <c r="AK143" s="101"/>
      <c r="AL143" s="102"/>
      <c r="AM143" s="102"/>
    </row>
    <row r="144" ht="15.75" customHeight="1">
      <c r="A144" s="38" t="s">
        <v>188</v>
      </c>
      <c r="B144" s="74"/>
      <c r="C144" s="74" t="s">
        <v>189</v>
      </c>
      <c r="D144" s="40"/>
      <c r="E144" s="41"/>
      <c r="F144" s="271"/>
      <c r="G144" s="77"/>
      <c r="H144" s="75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223"/>
      <c r="AJ144" s="176">
        <f>SUM(F145:F156)</f>
        <v>458550</v>
      </c>
      <c r="AK144" s="225">
        <v>600000.0</v>
      </c>
    </row>
    <row r="145">
      <c r="A145" s="206"/>
      <c r="B145" s="231"/>
      <c r="C145" s="248" t="s">
        <v>366</v>
      </c>
      <c r="D145" s="303" t="s">
        <v>400</v>
      </c>
      <c r="E145" s="304">
        <v>900.0</v>
      </c>
      <c r="F145" s="284">
        <f t="shared" ref="F145:F146" si="7">E145*I145</f>
        <v>13500</v>
      </c>
      <c r="G145" s="236" t="s">
        <v>90</v>
      </c>
      <c r="H145" s="210"/>
      <c r="I145" s="237">
        <v>15.0</v>
      </c>
      <c r="J145" s="232"/>
      <c r="K145" s="232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0"/>
      <c r="AI145" s="217"/>
      <c r="AJ145" s="101"/>
      <c r="AK145" s="101"/>
    </row>
    <row r="146">
      <c r="A146" s="206"/>
      <c r="B146" s="231"/>
      <c r="C146" s="248" t="s">
        <v>368</v>
      </c>
      <c r="D146" s="303" t="s">
        <v>400</v>
      </c>
      <c r="E146" s="304">
        <v>2950.0</v>
      </c>
      <c r="F146" s="284">
        <f t="shared" si="7"/>
        <v>50150</v>
      </c>
      <c r="G146" s="236" t="s">
        <v>90</v>
      </c>
      <c r="H146" s="210"/>
      <c r="I146" s="237">
        <v>17.0</v>
      </c>
      <c r="J146" s="232"/>
      <c r="K146" s="232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  <c r="AH146" s="210"/>
      <c r="AI146" s="217"/>
      <c r="AJ146" s="101"/>
      <c r="AK146" s="101"/>
    </row>
    <row r="147">
      <c r="A147" s="346"/>
      <c r="B147" s="347"/>
      <c r="C147" s="348" t="s">
        <v>429</v>
      </c>
      <c r="D147" s="349" t="s">
        <v>430</v>
      </c>
      <c r="E147" s="350">
        <v>8000.0</v>
      </c>
      <c r="F147" s="350">
        <f t="shared" ref="F147:F149" si="8">E147*J147</f>
        <v>200000</v>
      </c>
      <c r="G147" s="351" t="s">
        <v>431</v>
      </c>
      <c r="H147" s="352"/>
      <c r="I147" s="353"/>
      <c r="J147" s="351">
        <v>25.0</v>
      </c>
      <c r="K147" s="353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352"/>
      <c r="AB147" s="352"/>
      <c r="AC147" s="352"/>
      <c r="AD147" s="352"/>
      <c r="AE147" s="352"/>
      <c r="AF147" s="352"/>
      <c r="AG147" s="352"/>
      <c r="AH147" s="354"/>
      <c r="AI147" s="355"/>
      <c r="AJ147" s="356"/>
      <c r="AK147" s="356"/>
      <c r="AL147" s="357"/>
      <c r="AM147" s="357"/>
    </row>
    <row r="148">
      <c r="A148" s="358"/>
      <c r="B148" s="359"/>
      <c r="C148" s="360" t="s">
        <v>432</v>
      </c>
      <c r="D148" s="361" t="s">
        <v>430</v>
      </c>
      <c r="E148" s="362">
        <v>3500.0</v>
      </c>
      <c r="F148" s="350">
        <f t="shared" si="8"/>
        <v>87500</v>
      </c>
      <c r="G148" s="363" t="s">
        <v>431</v>
      </c>
      <c r="H148" s="364"/>
      <c r="I148" s="365"/>
      <c r="J148" s="363">
        <v>25.0</v>
      </c>
      <c r="K148" s="365"/>
      <c r="L148" s="364"/>
      <c r="M148" s="364"/>
      <c r="N148" s="364"/>
      <c r="O148" s="364"/>
      <c r="P148" s="364"/>
      <c r="Q148" s="364"/>
      <c r="R148" s="364"/>
      <c r="S148" s="364"/>
      <c r="T148" s="364"/>
      <c r="U148" s="364"/>
      <c r="V148" s="364"/>
      <c r="W148" s="364"/>
      <c r="X148" s="364"/>
      <c r="Y148" s="364"/>
      <c r="Z148" s="364"/>
      <c r="AA148" s="364"/>
      <c r="AB148" s="364"/>
      <c r="AC148" s="364"/>
      <c r="AD148" s="364"/>
      <c r="AE148" s="364"/>
      <c r="AF148" s="364"/>
      <c r="AG148" s="364"/>
      <c r="AH148" s="366"/>
      <c r="AI148" s="367"/>
      <c r="AJ148" s="356"/>
      <c r="AK148" s="356"/>
      <c r="AL148" s="357"/>
      <c r="AM148" s="357"/>
    </row>
    <row r="149">
      <c r="A149" s="358"/>
      <c r="B149" s="359"/>
      <c r="C149" s="360" t="s">
        <v>433</v>
      </c>
      <c r="D149" s="361" t="s">
        <v>430</v>
      </c>
      <c r="E149" s="362">
        <v>3000.0</v>
      </c>
      <c r="F149" s="350">
        <f t="shared" si="8"/>
        <v>75000</v>
      </c>
      <c r="G149" s="363" t="s">
        <v>431</v>
      </c>
      <c r="H149" s="364"/>
      <c r="I149" s="365"/>
      <c r="J149" s="363">
        <v>25.0</v>
      </c>
      <c r="K149" s="365"/>
      <c r="L149" s="364"/>
      <c r="M149" s="364"/>
      <c r="N149" s="364"/>
      <c r="O149" s="364"/>
      <c r="P149" s="364"/>
      <c r="Q149" s="364"/>
      <c r="R149" s="364"/>
      <c r="S149" s="364"/>
      <c r="T149" s="364"/>
      <c r="U149" s="364"/>
      <c r="V149" s="364"/>
      <c r="W149" s="364"/>
      <c r="X149" s="364"/>
      <c r="Y149" s="364"/>
      <c r="Z149" s="364"/>
      <c r="AA149" s="364"/>
      <c r="AB149" s="364"/>
      <c r="AC149" s="364"/>
      <c r="AD149" s="364"/>
      <c r="AE149" s="364"/>
      <c r="AF149" s="364"/>
      <c r="AG149" s="364"/>
      <c r="AH149" s="366"/>
      <c r="AI149" s="367"/>
      <c r="AJ149" s="356"/>
      <c r="AK149" s="356"/>
      <c r="AL149" s="357"/>
      <c r="AM149" s="357"/>
    </row>
    <row r="150">
      <c r="A150" s="368"/>
      <c r="B150" s="369"/>
      <c r="C150" s="370" t="s">
        <v>434</v>
      </c>
      <c r="D150" s="371" t="s">
        <v>435</v>
      </c>
      <c r="E150" s="372">
        <v>2000.0</v>
      </c>
      <c r="F150" s="373">
        <v>12000.0</v>
      </c>
      <c r="G150" s="371" t="s">
        <v>436</v>
      </c>
      <c r="H150" s="371" t="s">
        <v>437</v>
      </c>
      <c r="I150" s="352"/>
      <c r="J150" s="352"/>
      <c r="K150" s="374">
        <v>6.0</v>
      </c>
      <c r="L150" s="352"/>
      <c r="M150" s="352"/>
      <c r="N150" s="352"/>
      <c r="O150" s="352"/>
      <c r="P150" s="352"/>
      <c r="Q150" s="352"/>
      <c r="R150" s="352"/>
      <c r="S150" s="352"/>
      <c r="T150" s="352"/>
      <c r="U150" s="352"/>
      <c r="V150" s="352"/>
      <c r="W150" s="352"/>
      <c r="X150" s="352"/>
      <c r="Y150" s="352"/>
      <c r="Z150" s="352"/>
      <c r="AA150" s="352"/>
      <c r="AB150" s="352"/>
      <c r="AC150" s="352"/>
      <c r="AD150" s="352"/>
      <c r="AE150" s="352"/>
      <c r="AF150" s="352"/>
      <c r="AG150" s="352"/>
      <c r="AH150" s="352"/>
      <c r="AI150" s="367"/>
      <c r="AJ150" s="356"/>
      <c r="AK150" s="356"/>
      <c r="AL150" s="375"/>
      <c r="AM150" s="375"/>
    </row>
    <row r="151">
      <c r="A151" s="376"/>
      <c r="B151" s="377"/>
      <c r="C151" s="378" t="s">
        <v>438</v>
      </c>
      <c r="D151" s="379" t="s">
        <v>435</v>
      </c>
      <c r="E151" s="380">
        <v>1700.0</v>
      </c>
      <c r="F151" s="381">
        <v>10200.0</v>
      </c>
      <c r="G151" s="379" t="s">
        <v>436</v>
      </c>
      <c r="H151" s="379" t="s">
        <v>437</v>
      </c>
      <c r="I151" s="364"/>
      <c r="J151" s="364"/>
      <c r="K151" s="382">
        <v>6.0</v>
      </c>
      <c r="L151" s="364"/>
      <c r="M151" s="364"/>
      <c r="N151" s="364"/>
      <c r="O151" s="364"/>
      <c r="P151" s="364"/>
      <c r="Q151" s="364"/>
      <c r="R151" s="364"/>
      <c r="S151" s="364"/>
      <c r="T151" s="364"/>
      <c r="U151" s="364"/>
      <c r="V151" s="364"/>
      <c r="W151" s="364"/>
      <c r="X151" s="364"/>
      <c r="Y151" s="364"/>
      <c r="Z151" s="364"/>
      <c r="AA151" s="364"/>
      <c r="AB151" s="364"/>
      <c r="AC151" s="364"/>
      <c r="AD151" s="364"/>
      <c r="AE151" s="364"/>
      <c r="AF151" s="364"/>
      <c r="AG151" s="364"/>
      <c r="AH151" s="364"/>
      <c r="AI151" s="367"/>
      <c r="AJ151" s="356"/>
      <c r="AK151" s="356"/>
      <c r="AL151" s="375"/>
      <c r="AM151" s="375"/>
    </row>
    <row r="152">
      <c r="A152" s="58"/>
      <c r="B152" s="121"/>
      <c r="C152" s="268" t="s">
        <v>439</v>
      </c>
      <c r="D152" s="208" t="s">
        <v>440</v>
      </c>
      <c r="E152" s="269">
        <v>300.0</v>
      </c>
      <c r="F152" s="383">
        <v>10200.0</v>
      </c>
      <c r="G152" s="193" t="s">
        <v>436</v>
      </c>
      <c r="H152" s="193" t="s">
        <v>437</v>
      </c>
      <c r="I152" s="187"/>
      <c r="J152" s="187"/>
      <c r="K152" s="325">
        <v>3.0</v>
      </c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6"/>
      <c r="AJ152" s="170"/>
      <c r="AK152" s="37"/>
    </row>
    <row r="153">
      <c r="A153" s="58"/>
      <c r="B153" s="121"/>
      <c r="C153" s="121"/>
      <c r="D153" s="121"/>
      <c r="E153" s="121"/>
      <c r="F153" s="121"/>
      <c r="G153" s="193"/>
      <c r="H153" s="193"/>
      <c r="I153" s="187"/>
      <c r="J153" s="187"/>
      <c r="K153" s="384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6"/>
      <c r="AJ153" s="170"/>
      <c r="AK153" s="37"/>
    </row>
    <row r="154">
      <c r="A154" s="58"/>
      <c r="B154" s="121"/>
      <c r="C154" s="121"/>
      <c r="D154" s="121"/>
      <c r="E154" s="121"/>
      <c r="F154" s="121"/>
      <c r="G154" s="193"/>
      <c r="H154" s="193"/>
      <c r="I154" s="187"/>
      <c r="J154" s="187"/>
      <c r="K154" s="384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6"/>
      <c r="AJ154" s="170"/>
      <c r="AK154" s="37"/>
    </row>
    <row r="155">
      <c r="A155" s="58"/>
      <c r="B155" s="121"/>
      <c r="C155" s="121"/>
      <c r="D155" s="121"/>
      <c r="E155" s="121"/>
      <c r="F155" s="121"/>
      <c r="G155" s="193"/>
      <c r="H155" s="193"/>
      <c r="I155" s="187"/>
      <c r="J155" s="187"/>
      <c r="K155" s="384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6"/>
      <c r="AJ155" s="170"/>
      <c r="AK155" s="37"/>
    </row>
    <row r="156">
      <c r="A156" s="58"/>
      <c r="B156" s="121"/>
      <c r="C156" s="268"/>
      <c r="D156" s="193"/>
      <c r="E156" s="345"/>
      <c r="F156" s="383"/>
      <c r="G156" s="193"/>
      <c r="H156" s="193"/>
      <c r="I156" s="187"/>
      <c r="J156" s="187"/>
      <c r="K156" s="384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6"/>
      <c r="AJ156" s="170"/>
      <c r="AK156" s="37"/>
    </row>
    <row r="157" ht="15.75" customHeight="1">
      <c r="A157" s="38" t="s">
        <v>193</v>
      </c>
      <c r="B157" s="74"/>
      <c r="C157" s="74" t="s">
        <v>194</v>
      </c>
      <c r="D157" s="40"/>
      <c r="E157" s="41"/>
      <c r="F157" s="271"/>
      <c r="G157" s="77"/>
      <c r="H157" s="75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8"/>
      <c r="AJ157" s="385">
        <f>SUM(F158)</f>
        <v>20000</v>
      </c>
      <c r="AK157" s="225">
        <v>20000.0</v>
      </c>
    </row>
    <row r="158" ht="38.25" customHeight="1">
      <c r="A158" s="58"/>
      <c r="B158" s="69"/>
      <c r="C158" s="69" t="s">
        <v>195</v>
      </c>
      <c r="D158" s="68" t="s">
        <v>196</v>
      </c>
      <c r="E158" s="124">
        <v>20000.0</v>
      </c>
      <c r="F158" s="92">
        <f>E158*I158</f>
        <v>20000</v>
      </c>
      <c r="G158" s="120" t="s">
        <v>155</v>
      </c>
      <c r="H158" s="69"/>
      <c r="I158" s="68">
        <v>1.0</v>
      </c>
      <c r="J158" s="68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6"/>
      <c r="AJ158" s="170"/>
      <c r="AK158" s="37"/>
    </row>
    <row r="159" ht="15.75" customHeight="1">
      <c r="A159" s="38" t="s">
        <v>197</v>
      </c>
      <c r="B159" s="74"/>
      <c r="C159" s="74" t="s">
        <v>198</v>
      </c>
      <c r="D159" s="40"/>
      <c r="E159" s="41"/>
      <c r="F159" s="271"/>
      <c r="G159" s="77"/>
      <c r="H159" s="75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8"/>
      <c r="AJ159" s="170"/>
      <c r="AK159" s="37"/>
    </row>
    <row r="160" ht="15.75" customHeight="1">
      <c r="A160" s="58"/>
      <c r="B160" s="59"/>
      <c r="C160" s="59" t="s">
        <v>199</v>
      </c>
      <c r="D160" s="68" t="s">
        <v>200</v>
      </c>
      <c r="E160" s="92">
        <v>150.0</v>
      </c>
      <c r="F160" s="92">
        <f>(E160*(J160+K160))</f>
        <v>3900</v>
      </c>
      <c r="G160" s="120" t="s">
        <v>90</v>
      </c>
      <c r="H160" s="69"/>
      <c r="I160" s="68"/>
      <c r="J160" s="68">
        <v>13.0</v>
      </c>
      <c r="K160" s="65">
        <v>13.0</v>
      </c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6"/>
      <c r="AJ160" s="170"/>
      <c r="AK160" s="37"/>
    </row>
    <row r="161" ht="15.75" customHeight="1">
      <c r="A161" s="38" t="s">
        <v>201</v>
      </c>
      <c r="B161" s="74"/>
      <c r="C161" s="74" t="s">
        <v>205</v>
      </c>
      <c r="D161" s="40"/>
      <c r="E161" s="41"/>
      <c r="F161" s="271"/>
      <c r="G161" s="77"/>
      <c r="H161" s="75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8"/>
      <c r="AJ161" s="170"/>
      <c r="AK161" s="37"/>
    </row>
    <row r="162" ht="15.75" customHeight="1">
      <c r="A162" s="58"/>
      <c r="B162" s="121"/>
      <c r="C162" s="71" t="s">
        <v>206</v>
      </c>
      <c r="D162" s="68" t="s">
        <v>207</v>
      </c>
      <c r="E162" s="92">
        <v>4850.0</v>
      </c>
      <c r="F162" s="314">
        <f>E162*K162</f>
        <v>4850</v>
      </c>
      <c r="G162" s="65" t="s">
        <v>208</v>
      </c>
      <c r="H162" s="73"/>
      <c r="I162" s="65"/>
      <c r="J162" s="65"/>
      <c r="K162" s="65">
        <v>1.0</v>
      </c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6"/>
      <c r="AJ162" s="170"/>
      <c r="AK162" s="37"/>
    </row>
    <row r="163" ht="15.75" customHeight="1">
      <c r="A163" s="38" t="s">
        <v>209</v>
      </c>
      <c r="B163" s="74"/>
      <c r="C163" s="74" t="s">
        <v>210</v>
      </c>
      <c r="D163" s="40"/>
      <c r="E163" s="41"/>
      <c r="F163" s="271"/>
      <c r="G163" s="77"/>
      <c r="H163" s="75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8"/>
      <c r="AJ163" s="305">
        <f>SUM(F164:F166)</f>
        <v>4875000</v>
      </c>
      <c r="AK163" s="37"/>
    </row>
    <row r="164" ht="15.75" customHeight="1">
      <c r="A164" s="58"/>
      <c r="B164" s="121"/>
      <c r="C164" s="123" t="s">
        <v>211</v>
      </c>
      <c r="D164" s="68" t="s">
        <v>80</v>
      </c>
      <c r="E164" s="124">
        <v>3500000.0</v>
      </c>
      <c r="F164" s="267">
        <f t="shared" ref="F164:F165" si="9">E164*J164</f>
        <v>3500000</v>
      </c>
      <c r="G164" s="126" t="s">
        <v>212</v>
      </c>
      <c r="H164" s="73"/>
      <c r="I164" s="65"/>
      <c r="J164" s="65">
        <v>1.0</v>
      </c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6"/>
      <c r="AJ164" s="170"/>
      <c r="AK164" s="37"/>
    </row>
    <row r="165">
      <c r="A165" s="58"/>
      <c r="B165" s="121"/>
      <c r="C165" s="123" t="s">
        <v>213</v>
      </c>
      <c r="D165" s="127" t="s">
        <v>214</v>
      </c>
      <c r="E165" s="124">
        <v>125000.0</v>
      </c>
      <c r="F165" s="267">
        <f t="shared" si="9"/>
        <v>375000</v>
      </c>
      <c r="G165" s="126" t="s">
        <v>155</v>
      </c>
      <c r="H165" s="73"/>
      <c r="I165" s="65"/>
      <c r="J165" s="128">
        <v>3.0</v>
      </c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6"/>
      <c r="AJ165" s="170"/>
      <c r="AK165" s="37"/>
    </row>
    <row r="166" ht="15.75" customHeight="1">
      <c r="A166" s="129"/>
      <c r="B166" s="130"/>
      <c r="C166" s="131" t="s">
        <v>215</v>
      </c>
      <c r="D166" s="132" t="s">
        <v>80</v>
      </c>
      <c r="E166" s="133">
        <v>1000000.0</v>
      </c>
      <c r="F166" s="133">
        <f>E166*K166</f>
        <v>1000000</v>
      </c>
      <c r="G166" s="134" t="s">
        <v>212</v>
      </c>
      <c r="H166" s="135"/>
      <c r="I166" s="132"/>
      <c r="J166" s="132"/>
      <c r="K166" s="136">
        <v>1.0</v>
      </c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7"/>
      <c r="AJ166" s="170"/>
      <c r="AK166" s="37"/>
    </row>
    <row r="167" ht="15.75" customHeight="1">
      <c r="A167" s="138"/>
      <c r="B167" s="139"/>
      <c r="C167" s="139"/>
      <c r="D167" s="6"/>
      <c r="E167" s="9"/>
      <c r="F167" s="10"/>
      <c r="G167" s="14"/>
      <c r="H167" s="1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101"/>
      <c r="AK167" s="2"/>
    </row>
    <row r="168" ht="15.75" customHeight="1">
      <c r="A168" s="140" t="s">
        <v>216</v>
      </c>
      <c r="B168" s="6"/>
      <c r="C168" s="6"/>
      <c r="D168" s="306">
        <f>SUM(F12:F166)</f>
        <v>6923580</v>
      </c>
      <c r="E168" s="142"/>
      <c r="F168" s="142"/>
      <c r="G168" s="14"/>
      <c r="H168" s="1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101"/>
      <c r="AK168" s="2"/>
    </row>
    <row r="169" ht="15.75" hidden="1" customHeight="1">
      <c r="A169" s="143" t="s">
        <v>217</v>
      </c>
      <c r="B169" s="144"/>
      <c r="C169" s="144"/>
      <c r="D169" s="307">
        <f>PRODUCT(D168,0.1)</f>
        <v>692358</v>
      </c>
      <c r="E169" s="146"/>
      <c r="F169" s="147"/>
      <c r="G169" s="14"/>
      <c r="H169" s="11"/>
      <c r="I169" s="148"/>
      <c r="K169" s="148"/>
      <c r="AH169" s="148"/>
      <c r="AI169" s="2"/>
      <c r="AJ169" s="101"/>
      <c r="AK169" s="2"/>
    </row>
    <row r="170" ht="15.75" hidden="1" customHeight="1">
      <c r="A170" s="149" t="s">
        <v>218</v>
      </c>
      <c r="B170" s="150"/>
      <c r="C170" s="150"/>
      <c r="D170" s="308">
        <f>PRODUCT(D168,0.1)</f>
        <v>692358</v>
      </c>
      <c r="E170" s="152"/>
      <c r="F170" s="153"/>
      <c r="G170" s="14"/>
      <c r="H170" s="11"/>
      <c r="I170" s="154"/>
      <c r="J170" s="154"/>
      <c r="K170" s="155"/>
      <c r="AH170" s="155"/>
      <c r="AI170" s="2"/>
      <c r="AJ170" s="101"/>
      <c r="AK170" s="2"/>
    </row>
    <row r="171" ht="15.75" hidden="1" customHeight="1">
      <c r="A171" s="149" t="s">
        <v>219</v>
      </c>
      <c r="B171" s="150"/>
      <c r="C171" s="150"/>
      <c r="D171" s="308">
        <f>SUM(D168:F170)</f>
        <v>8308296</v>
      </c>
      <c r="E171" s="152"/>
      <c r="F171" s="153"/>
      <c r="G171" s="14"/>
      <c r="H171" s="11"/>
      <c r="I171" s="154"/>
      <c r="J171" s="154"/>
      <c r="K171" s="155"/>
      <c r="AH171" s="155"/>
      <c r="AI171" s="2"/>
      <c r="AJ171" s="101"/>
      <c r="AK171" s="2"/>
    </row>
    <row r="172" ht="15.75" customHeight="1">
      <c r="A172" s="156"/>
      <c r="B172" s="6"/>
      <c r="C172" s="6"/>
      <c r="D172" s="6"/>
      <c r="E172" s="9"/>
      <c r="F172" s="10"/>
      <c r="G172" s="14"/>
      <c r="H172" s="11"/>
      <c r="I172" s="154"/>
      <c r="J172" s="154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2"/>
      <c r="AJ172" s="101"/>
      <c r="AK172" s="2"/>
    </row>
    <row r="173" ht="15.75" customHeight="1">
      <c r="A173" s="157" t="s">
        <v>220</v>
      </c>
      <c r="B173" s="6"/>
      <c r="C173" s="6"/>
      <c r="D173" s="6"/>
      <c r="E173" s="9"/>
      <c r="F173" s="10"/>
      <c r="G173" s="14"/>
      <c r="H173" s="1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101"/>
      <c r="AK173" s="2"/>
    </row>
    <row r="174" ht="15.75" customHeight="1">
      <c r="A174" s="23"/>
      <c r="B174" s="6"/>
      <c r="C174" s="6"/>
      <c r="D174" s="6"/>
      <c r="E174" s="9"/>
      <c r="F174" s="10"/>
      <c r="G174" s="14"/>
      <c r="H174" s="1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101"/>
      <c r="AK174" s="2"/>
    </row>
    <row r="175" ht="15.75" customHeight="1">
      <c r="A175" s="158" t="s">
        <v>221</v>
      </c>
      <c r="B175" s="6"/>
      <c r="C175" s="6"/>
      <c r="D175" s="309" t="s">
        <v>222</v>
      </c>
      <c r="E175" s="160"/>
      <c r="F175" s="161"/>
      <c r="G175" s="310" t="s">
        <v>223</v>
      </c>
      <c r="H175" s="101"/>
      <c r="I175" s="101"/>
      <c r="J175" s="159" t="s">
        <v>224</v>
      </c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54"/>
    </row>
    <row r="176" ht="15.75" customHeight="1">
      <c r="A176" s="158"/>
      <c r="B176" s="6"/>
      <c r="C176" s="6"/>
      <c r="D176" s="6"/>
      <c r="E176" s="160"/>
      <c r="F176" s="161"/>
      <c r="G176" s="169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54"/>
    </row>
    <row r="177" ht="15.75" customHeight="1">
      <c r="A177" s="6"/>
      <c r="B177" s="6"/>
      <c r="C177" s="6"/>
      <c r="D177" s="6"/>
      <c r="E177" s="160"/>
      <c r="F177" s="161"/>
      <c r="G177" s="169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54"/>
    </row>
    <row r="178" ht="15.75" customHeight="1">
      <c r="A178" s="163" t="s">
        <v>225</v>
      </c>
      <c r="D178" s="309" t="s">
        <v>226</v>
      </c>
      <c r="E178" s="160"/>
      <c r="F178" s="161"/>
      <c r="G178" s="310" t="s">
        <v>227</v>
      </c>
      <c r="H178" s="101"/>
      <c r="I178" s="101"/>
      <c r="J178" s="159" t="s">
        <v>225</v>
      </c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2"/>
    </row>
    <row r="179" ht="15.0" customHeight="1">
      <c r="A179" s="164" t="s">
        <v>228</v>
      </c>
      <c r="D179" s="311" t="s">
        <v>229</v>
      </c>
      <c r="E179" s="160"/>
      <c r="F179" s="161"/>
      <c r="G179" s="169" t="s">
        <v>230</v>
      </c>
      <c r="H179" s="101"/>
      <c r="I179" s="101"/>
      <c r="J179" s="165" t="s">
        <v>231</v>
      </c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54"/>
    </row>
    <row r="180" ht="15.75" customHeight="1">
      <c r="A180" s="2"/>
      <c r="B180" s="2"/>
      <c r="C180" s="6"/>
      <c r="D180" s="6"/>
      <c r="E180" s="160"/>
      <c r="F180" s="161"/>
      <c r="G180" s="169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2"/>
    </row>
    <row r="181" ht="15.75" customHeight="1">
      <c r="A181" s="2" t="s">
        <v>232</v>
      </c>
      <c r="B181" s="2"/>
      <c r="C181" s="6"/>
      <c r="D181" s="311" t="s">
        <v>233</v>
      </c>
      <c r="E181" s="160"/>
      <c r="F181" s="161"/>
      <c r="G181" s="169" t="s">
        <v>233</v>
      </c>
      <c r="H181" s="101"/>
      <c r="I181" s="101"/>
      <c r="J181" s="165" t="s">
        <v>233</v>
      </c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2"/>
    </row>
    <row r="182" ht="15.75" customHeight="1">
      <c r="C182" s="166"/>
      <c r="D182" s="6"/>
      <c r="E182" s="9"/>
      <c r="F182" s="10"/>
      <c r="G182" s="14"/>
      <c r="H182" s="1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102"/>
    </row>
    <row r="183" ht="15.75" customHeight="1">
      <c r="C183" s="166"/>
      <c r="D183" s="6"/>
      <c r="E183" s="9"/>
      <c r="F183" s="10"/>
      <c r="G183" s="14"/>
      <c r="H183" s="1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102"/>
    </row>
    <row r="184" ht="15.75" customHeight="1">
      <c r="C184" s="166"/>
      <c r="D184" s="6"/>
      <c r="E184" s="9"/>
      <c r="F184" s="10"/>
      <c r="G184" s="14"/>
      <c r="H184" s="1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102"/>
    </row>
    <row r="185" ht="15.75" customHeight="1">
      <c r="C185" s="166"/>
      <c r="D185" s="6"/>
      <c r="E185" s="9"/>
      <c r="F185" s="10"/>
      <c r="G185" s="14"/>
      <c r="H185" s="1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102"/>
    </row>
    <row r="186" ht="15.75" customHeight="1">
      <c r="C186" s="166"/>
      <c r="D186" s="6"/>
      <c r="E186" s="9"/>
      <c r="F186" s="10"/>
      <c r="G186" s="14"/>
      <c r="H186" s="1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102"/>
    </row>
    <row r="187" ht="15.75" customHeight="1">
      <c r="C187" s="166"/>
      <c r="D187" s="166"/>
      <c r="E187" s="167"/>
      <c r="G187" s="312"/>
      <c r="AJ187" s="102"/>
    </row>
    <row r="188" ht="15.75" customHeight="1">
      <c r="C188" s="166"/>
      <c r="D188" s="166"/>
      <c r="E188" s="167"/>
      <c r="G188" s="312"/>
      <c r="AJ188" s="102"/>
    </row>
    <row r="189" ht="15.75" customHeight="1">
      <c r="C189" s="166"/>
      <c r="D189" s="166"/>
      <c r="E189" s="167"/>
      <c r="G189" s="312"/>
      <c r="AJ189" s="102"/>
    </row>
    <row r="190" ht="15.75" customHeight="1">
      <c r="C190" s="166"/>
      <c r="D190" s="166"/>
      <c r="E190" s="167"/>
      <c r="G190" s="312"/>
      <c r="AJ190" s="102"/>
    </row>
    <row r="191" ht="15.75" customHeight="1">
      <c r="C191" s="166"/>
      <c r="D191" s="166"/>
      <c r="E191" s="167"/>
      <c r="G191" s="312"/>
      <c r="AJ191" s="102"/>
    </row>
    <row r="192" ht="15.75" customHeight="1">
      <c r="C192" s="166"/>
      <c r="D192" s="166"/>
      <c r="E192" s="167"/>
      <c r="G192" s="312"/>
      <c r="AJ192" s="102"/>
    </row>
    <row r="193" ht="15.75" customHeight="1">
      <c r="C193" s="166"/>
      <c r="D193" s="166"/>
      <c r="E193" s="167"/>
      <c r="G193" s="312"/>
      <c r="AJ193" s="102"/>
    </row>
    <row r="194" ht="15.75" customHeight="1">
      <c r="C194" s="166"/>
      <c r="D194" s="166"/>
      <c r="E194" s="167"/>
      <c r="G194" s="312"/>
      <c r="AJ194" s="102"/>
    </row>
    <row r="195" ht="15.75" customHeight="1">
      <c r="C195" s="166"/>
      <c r="D195" s="166"/>
      <c r="E195" s="167"/>
      <c r="G195" s="312"/>
      <c r="AJ195" s="102"/>
    </row>
    <row r="196" ht="15.75" customHeight="1">
      <c r="C196" s="166"/>
      <c r="D196" s="166"/>
      <c r="E196" s="167"/>
      <c r="G196" s="312"/>
      <c r="AJ196" s="102"/>
    </row>
    <row r="197" ht="15.75" customHeight="1">
      <c r="C197" s="166"/>
      <c r="D197" s="166"/>
      <c r="E197" s="167"/>
      <c r="G197" s="312"/>
      <c r="AJ197" s="102"/>
    </row>
    <row r="198" ht="15.75" customHeight="1">
      <c r="C198" s="166"/>
      <c r="D198" s="166"/>
      <c r="E198" s="167"/>
      <c r="G198" s="312"/>
      <c r="AJ198" s="102"/>
    </row>
    <row r="199" ht="15.75" customHeight="1">
      <c r="C199" s="166"/>
      <c r="D199" s="166"/>
      <c r="E199" s="167"/>
      <c r="G199" s="312"/>
      <c r="AJ199" s="102"/>
    </row>
    <row r="200" ht="15.75" customHeight="1">
      <c r="C200" s="166"/>
      <c r="D200" s="166"/>
      <c r="E200" s="167"/>
      <c r="G200" s="312"/>
      <c r="AJ200" s="102"/>
    </row>
    <row r="201" ht="15.75" customHeight="1">
      <c r="C201" s="166"/>
      <c r="D201" s="166"/>
      <c r="E201" s="167"/>
      <c r="G201" s="312"/>
      <c r="AJ201" s="102"/>
    </row>
    <row r="202" ht="15.75" customHeight="1">
      <c r="C202" s="166"/>
      <c r="D202" s="166"/>
      <c r="E202" s="167"/>
      <c r="G202" s="312"/>
      <c r="AJ202" s="102"/>
    </row>
    <row r="203" ht="15.75" customHeight="1">
      <c r="C203" s="166"/>
      <c r="D203" s="166"/>
      <c r="E203" s="167"/>
      <c r="G203" s="312"/>
      <c r="AJ203" s="102"/>
    </row>
    <row r="204" ht="15.75" customHeight="1">
      <c r="C204" s="166"/>
      <c r="D204" s="166"/>
      <c r="E204" s="167"/>
      <c r="G204" s="312"/>
      <c r="AJ204" s="102"/>
    </row>
    <row r="205" ht="15.75" customHeight="1">
      <c r="C205" s="166"/>
      <c r="D205" s="166"/>
      <c r="E205" s="167"/>
      <c r="G205" s="312"/>
      <c r="AJ205" s="102"/>
    </row>
    <row r="206" ht="15.75" customHeight="1">
      <c r="C206" s="166"/>
      <c r="D206" s="166"/>
      <c r="E206" s="167"/>
      <c r="G206" s="312"/>
      <c r="AJ206" s="102"/>
    </row>
    <row r="207" ht="15.75" customHeight="1">
      <c r="C207" s="166"/>
      <c r="D207" s="166"/>
      <c r="E207" s="167"/>
      <c r="G207" s="312"/>
      <c r="AJ207" s="102"/>
    </row>
    <row r="208" ht="15.75" customHeight="1">
      <c r="C208" s="166"/>
      <c r="D208" s="166"/>
      <c r="E208" s="167"/>
      <c r="G208" s="312"/>
      <c r="AJ208" s="102"/>
    </row>
    <row r="209" ht="15.75" customHeight="1">
      <c r="C209" s="166"/>
      <c r="D209" s="166"/>
      <c r="E209" s="167"/>
      <c r="G209" s="312"/>
      <c r="AJ209" s="102"/>
    </row>
    <row r="210" ht="15.75" customHeight="1">
      <c r="C210" s="166"/>
      <c r="D210" s="166"/>
      <c r="E210" s="167"/>
      <c r="G210" s="312"/>
      <c r="AJ210" s="102"/>
    </row>
    <row r="211" ht="15.75" customHeight="1">
      <c r="C211" s="166"/>
      <c r="D211" s="166"/>
      <c r="E211" s="167"/>
      <c r="G211" s="312"/>
      <c r="AJ211" s="102"/>
    </row>
    <row r="212" ht="15.75" customHeight="1">
      <c r="C212" s="166"/>
      <c r="D212" s="166"/>
      <c r="E212" s="167"/>
      <c r="G212" s="312"/>
      <c r="AJ212" s="102"/>
    </row>
    <row r="213" ht="15.75" customHeight="1">
      <c r="C213" s="166"/>
      <c r="D213" s="166"/>
      <c r="E213" s="167"/>
      <c r="G213" s="312"/>
      <c r="AJ213" s="102"/>
    </row>
    <row r="214" ht="15.75" customHeight="1">
      <c r="C214" s="166"/>
      <c r="D214" s="166"/>
      <c r="E214" s="167"/>
      <c r="G214" s="312"/>
      <c r="AJ214" s="102"/>
    </row>
    <row r="215" ht="15.75" customHeight="1">
      <c r="C215" s="166"/>
      <c r="D215" s="166"/>
      <c r="E215" s="167"/>
      <c r="G215" s="312"/>
      <c r="AJ215" s="102"/>
    </row>
    <row r="216" ht="15.75" customHeight="1">
      <c r="C216" s="166"/>
      <c r="D216" s="166"/>
      <c r="E216" s="167"/>
      <c r="G216" s="312"/>
      <c r="AJ216" s="102"/>
    </row>
    <row r="217" ht="15.75" customHeight="1">
      <c r="C217" s="166"/>
      <c r="D217" s="166"/>
      <c r="E217" s="167"/>
      <c r="G217" s="312"/>
      <c r="AJ217" s="102"/>
    </row>
    <row r="218" ht="15.75" customHeight="1">
      <c r="C218" s="166"/>
      <c r="D218" s="166"/>
      <c r="E218" s="167"/>
      <c r="G218" s="312"/>
      <c r="AJ218" s="102"/>
    </row>
    <row r="219" ht="15.75" customHeight="1">
      <c r="C219" s="166"/>
      <c r="D219" s="166"/>
      <c r="E219" s="167"/>
      <c r="G219" s="312"/>
      <c r="AJ219" s="102"/>
    </row>
    <row r="220" ht="15.75" customHeight="1">
      <c r="C220" s="166"/>
      <c r="D220" s="166"/>
      <c r="E220" s="167"/>
      <c r="G220" s="312"/>
      <c r="AJ220" s="102"/>
    </row>
    <row r="221" ht="15.75" customHeight="1">
      <c r="C221" s="166"/>
      <c r="D221" s="166"/>
      <c r="E221" s="167"/>
      <c r="G221" s="312"/>
      <c r="AJ221" s="102"/>
    </row>
    <row r="222" ht="15.75" customHeight="1">
      <c r="C222" s="166"/>
      <c r="D222" s="166"/>
      <c r="E222" s="167"/>
      <c r="G222" s="312"/>
      <c r="AJ222" s="102"/>
    </row>
    <row r="223" ht="15.75" customHeight="1">
      <c r="C223" s="166"/>
      <c r="D223" s="166"/>
      <c r="E223" s="167"/>
      <c r="G223" s="312"/>
      <c r="AJ223" s="102"/>
    </row>
    <row r="224" ht="15.75" customHeight="1">
      <c r="C224" s="166"/>
      <c r="D224" s="166"/>
      <c r="E224" s="167"/>
      <c r="G224" s="312"/>
      <c r="AJ224" s="102"/>
    </row>
    <row r="225" ht="15.75" customHeight="1">
      <c r="C225" s="166"/>
      <c r="D225" s="166"/>
      <c r="E225" s="167"/>
      <c r="G225" s="312"/>
      <c r="AJ225" s="102"/>
    </row>
    <row r="226" ht="15.75" customHeight="1">
      <c r="C226" s="166"/>
      <c r="D226" s="166"/>
      <c r="E226" s="167"/>
      <c r="G226" s="312"/>
      <c r="AJ226" s="102"/>
    </row>
    <row r="227" ht="15.75" customHeight="1">
      <c r="C227" s="166"/>
      <c r="D227" s="166"/>
      <c r="E227" s="167"/>
      <c r="G227" s="312"/>
      <c r="AJ227" s="102"/>
    </row>
    <row r="228" ht="15.75" customHeight="1">
      <c r="C228" s="166"/>
      <c r="D228" s="166"/>
      <c r="E228" s="167"/>
      <c r="G228" s="312"/>
      <c r="AJ228" s="102"/>
    </row>
    <row r="229" ht="15.75" customHeight="1">
      <c r="C229" s="166"/>
      <c r="D229" s="166"/>
      <c r="E229" s="167"/>
      <c r="G229" s="312"/>
      <c r="AJ229" s="102"/>
    </row>
    <row r="230" ht="15.75" customHeight="1">
      <c r="C230" s="166"/>
      <c r="D230" s="166"/>
      <c r="E230" s="167"/>
      <c r="G230" s="312"/>
      <c r="AJ230" s="102"/>
    </row>
    <row r="231" ht="15.75" customHeight="1">
      <c r="C231" s="166"/>
      <c r="D231" s="166"/>
      <c r="E231" s="167"/>
      <c r="G231" s="312"/>
      <c r="AJ231" s="102"/>
    </row>
    <row r="232" ht="15.75" customHeight="1">
      <c r="C232" s="166"/>
      <c r="D232" s="166"/>
      <c r="E232" s="167"/>
      <c r="G232" s="312"/>
      <c r="AJ232" s="102"/>
    </row>
    <row r="233" ht="15.75" customHeight="1">
      <c r="C233" s="166"/>
      <c r="D233" s="166"/>
      <c r="E233" s="167"/>
      <c r="G233" s="312"/>
      <c r="AJ233" s="102"/>
    </row>
    <row r="234" ht="15.75" customHeight="1">
      <c r="C234" s="166"/>
      <c r="D234" s="166"/>
      <c r="E234" s="167"/>
      <c r="G234" s="312"/>
      <c r="AJ234" s="102"/>
    </row>
    <row r="235" ht="15.75" customHeight="1">
      <c r="C235" s="166"/>
      <c r="D235" s="166"/>
      <c r="E235" s="167"/>
      <c r="G235" s="312"/>
      <c r="AJ235" s="102"/>
    </row>
    <row r="236" ht="15.75" customHeight="1">
      <c r="C236" s="166"/>
      <c r="D236" s="166"/>
      <c r="E236" s="167"/>
      <c r="G236" s="312"/>
      <c r="AJ236" s="102"/>
    </row>
    <row r="237" ht="15.75" customHeight="1">
      <c r="C237" s="166"/>
      <c r="D237" s="166"/>
      <c r="E237" s="167"/>
      <c r="G237" s="312"/>
      <c r="AJ237" s="102"/>
    </row>
    <row r="238" ht="15.75" customHeight="1">
      <c r="C238" s="166"/>
      <c r="D238" s="166"/>
      <c r="E238" s="167"/>
      <c r="G238" s="312"/>
      <c r="AJ238" s="102"/>
    </row>
    <row r="239" ht="15.75" customHeight="1">
      <c r="C239" s="166"/>
      <c r="D239" s="166"/>
      <c r="E239" s="167"/>
      <c r="G239" s="312"/>
      <c r="AJ239" s="102"/>
    </row>
    <row r="240" ht="15.75" customHeight="1">
      <c r="C240" s="166"/>
      <c r="D240" s="166"/>
      <c r="E240" s="167"/>
      <c r="G240" s="312"/>
      <c r="AJ240" s="102"/>
    </row>
    <row r="241" ht="15.75" customHeight="1">
      <c r="C241" s="166"/>
      <c r="D241" s="166"/>
      <c r="E241" s="167"/>
      <c r="G241" s="312"/>
      <c r="AJ241" s="102"/>
    </row>
    <row r="242" ht="15.75" customHeight="1">
      <c r="C242" s="166"/>
      <c r="D242" s="166"/>
      <c r="E242" s="167"/>
      <c r="G242" s="312"/>
      <c r="AJ242" s="102"/>
    </row>
    <row r="243" ht="15.75" customHeight="1">
      <c r="C243" s="166"/>
      <c r="D243" s="166"/>
      <c r="E243" s="167"/>
      <c r="G243" s="312"/>
      <c r="AJ243" s="102"/>
    </row>
    <row r="244" ht="15.75" customHeight="1">
      <c r="C244" s="166"/>
      <c r="D244" s="166"/>
      <c r="E244" s="167"/>
      <c r="G244" s="312"/>
      <c r="AJ244" s="102"/>
    </row>
    <row r="245" ht="15.75" customHeight="1">
      <c r="C245" s="166"/>
      <c r="D245" s="166"/>
      <c r="E245" s="167"/>
      <c r="G245" s="312"/>
      <c r="AJ245" s="102"/>
    </row>
    <row r="246" ht="15.75" customHeight="1">
      <c r="C246" s="166"/>
      <c r="D246" s="166"/>
      <c r="E246" s="167"/>
      <c r="G246" s="312"/>
      <c r="AJ246" s="102"/>
    </row>
    <row r="247" ht="15.75" customHeight="1">
      <c r="C247" s="166"/>
      <c r="D247" s="166"/>
      <c r="E247" s="167"/>
      <c r="G247" s="312"/>
      <c r="AJ247" s="102"/>
    </row>
    <row r="248" ht="15.75" customHeight="1">
      <c r="C248" s="166"/>
      <c r="D248" s="166"/>
      <c r="E248" s="167"/>
      <c r="G248" s="312"/>
      <c r="AJ248" s="102"/>
    </row>
    <row r="249" ht="15.75" customHeight="1">
      <c r="C249" s="166"/>
      <c r="D249" s="166"/>
      <c r="E249" s="167"/>
      <c r="G249" s="312"/>
      <c r="AJ249" s="102"/>
    </row>
    <row r="250" ht="15.75" customHeight="1">
      <c r="C250" s="166"/>
      <c r="D250" s="166"/>
      <c r="E250" s="167"/>
      <c r="G250" s="312"/>
      <c r="AJ250" s="102"/>
    </row>
    <row r="251" ht="15.75" customHeight="1">
      <c r="C251" s="166"/>
      <c r="D251" s="166"/>
      <c r="E251" s="167"/>
      <c r="G251" s="312"/>
      <c r="AJ251" s="102"/>
    </row>
    <row r="252" ht="15.75" customHeight="1">
      <c r="C252" s="166"/>
      <c r="D252" s="166"/>
      <c r="E252" s="167"/>
      <c r="G252" s="312"/>
      <c r="AJ252" s="102"/>
    </row>
    <row r="253" ht="15.75" customHeight="1">
      <c r="C253" s="166"/>
      <c r="D253" s="166"/>
      <c r="E253" s="167"/>
      <c r="G253" s="312"/>
      <c r="AJ253" s="102"/>
    </row>
    <row r="254" ht="15.75" customHeight="1">
      <c r="C254" s="166"/>
      <c r="D254" s="166"/>
      <c r="E254" s="167"/>
      <c r="G254" s="312"/>
      <c r="AJ254" s="102"/>
    </row>
    <row r="255" ht="15.75" customHeight="1">
      <c r="C255" s="166"/>
      <c r="D255" s="166"/>
      <c r="E255" s="167"/>
      <c r="G255" s="312"/>
      <c r="AJ255" s="102"/>
    </row>
    <row r="256" ht="15.75" customHeight="1">
      <c r="C256" s="166"/>
      <c r="D256" s="166"/>
      <c r="E256" s="167"/>
      <c r="G256" s="312"/>
      <c r="AJ256" s="102"/>
    </row>
    <row r="257" ht="15.75" customHeight="1">
      <c r="C257" s="166"/>
      <c r="D257" s="166"/>
      <c r="E257" s="167"/>
      <c r="G257" s="312"/>
      <c r="AJ257" s="102"/>
    </row>
    <row r="258" ht="15.75" customHeight="1">
      <c r="C258" s="166"/>
      <c r="D258" s="166"/>
      <c r="E258" s="167"/>
      <c r="G258" s="312"/>
      <c r="AJ258" s="102"/>
    </row>
    <row r="259" ht="15.75" customHeight="1">
      <c r="C259" s="166"/>
      <c r="D259" s="166"/>
      <c r="E259" s="167"/>
      <c r="G259" s="312"/>
      <c r="AJ259" s="102"/>
    </row>
    <row r="260" ht="15.75" customHeight="1">
      <c r="C260" s="166"/>
      <c r="D260" s="166"/>
      <c r="E260" s="167"/>
      <c r="G260" s="312"/>
      <c r="AJ260" s="102"/>
    </row>
    <row r="261" ht="15.75" customHeight="1">
      <c r="C261" s="166"/>
      <c r="D261" s="166"/>
      <c r="E261" s="167"/>
      <c r="G261" s="312"/>
      <c r="AJ261" s="102"/>
    </row>
    <row r="262" ht="15.75" customHeight="1">
      <c r="C262" s="166"/>
      <c r="D262" s="166"/>
      <c r="E262" s="167"/>
      <c r="G262" s="312"/>
      <c r="AJ262" s="102"/>
    </row>
    <row r="263" ht="15.75" customHeight="1">
      <c r="C263" s="166"/>
      <c r="D263" s="166"/>
      <c r="E263" s="167"/>
      <c r="G263" s="312"/>
      <c r="AJ263" s="102"/>
    </row>
    <row r="264" ht="15.75" customHeight="1">
      <c r="C264" s="166"/>
      <c r="D264" s="166"/>
      <c r="E264" s="167"/>
      <c r="G264" s="312"/>
      <c r="AJ264" s="102"/>
    </row>
    <row r="265" ht="15.75" customHeight="1">
      <c r="C265" s="166"/>
      <c r="D265" s="166"/>
      <c r="E265" s="167"/>
      <c r="G265" s="312"/>
      <c r="AJ265" s="102"/>
    </row>
    <row r="266" ht="15.75" customHeight="1">
      <c r="C266" s="166"/>
      <c r="D266" s="166"/>
      <c r="E266" s="167"/>
      <c r="G266" s="312"/>
      <c r="AJ266" s="102"/>
    </row>
    <row r="267" ht="15.75" customHeight="1">
      <c r="C267" s="166"/>
      <c r="D267" s="166"/>
      <c r="E267" s="167"/>
      <c r="G267" s="312"/>
      <c r="AJ267" s="102"/>
    </row>
    <row r="268" ht="15.75" customHeight="1">
      <c r="C268" s="166"/>
      <c r="D268" s="166"/>
      <c r="E268" s="167"/>
      <c r="G268" s="312"/>
      <c r="AJ268" s="102"/>
    </row>
    <row r="269" ht="15.75" customHeight="1">
      <c r="C269" s="166"/>
      <c r="D269" s="166"/>
      <c r="E269" s="167"/>
      <c r="G269" s="312"/>
      <c r="AJ269" s="102"/>
    </row>
    <row r="270" ht="15.75" customHeight="1">
      <c r="C270" s="166"/>
      <c r="D270" s="166"/>
      <c r="E270" s="167"/>
      <c r="G270" s="312"/>
      <c r="AJ270" s="102"/>
    </row>
    <row r="271" ht="15.75" customHeight="1">
      <c r="C271" s="166"/>
      <c r="D271" s="166"/>
      <c r="E271" s="167"/>
      <c r="G271" s="312"/>
      <c r="AJ271" s="102"/>
    </row>
    <row r="272" ht="15.75" customHeight="1">
      <c r="C272" s="166"/>
      <c r="D272" s="166"/>
      <c r="E272" s="167"/>
      <c r="G272" s="312"/>
      <c r="AJ272" s="102"/>
    </row>
    <row r="273" ht="15.75" customHeight="1">
      <c r="C273" s="166"/>
      <c r="D273" s="166"/>
      <c r="E273" s="167"/>
      <c r="G273" s="312"/>
      <c r="AJ273" s="102"/>
    </row>
    <row r="274" ht="15.75" customHeight="1">
      <c r="C274" s="166"/>
      <c r="D274" s="166"/>
      <c r="E274" s="167"/>
      <c r="G274" s="312"/>
      <c r="AJ274" s="102"/>
    </row>
    <row r="275" ht="15.75" customHeight="1">
      <c r="C275" s="166"/>
      <c r="D275" s="166"/>
      <c r="E275" s="167"/>
      <c r="G275" s="312"/>
      <c r="AJ275" s="102"/>
    </row>
    <row r="276" ht="15.75" customHeight="1">
      <c r="C276" s="166"/>
      <c r="D276" s="166"/>
      <c r="E276" s="167"/>
      <c r="G276" s="312"/>
      <c r="AJ276" s="102"/>
    </row>
    <row r="277" ht="15.75" customHeight="1">
      <c r="C277" s="166"/>
      <c r="D277" s="166"/>
      <c r="E277" s="167"/>
      <c r="G277" s="312"/>
      <c r="AJ277" s="102"/>
    </row>
    <row r="278" ht="15.75" customHeight="1">
      <c r="C278" s="166"/>
      <c r="D278" s="166"/>
      <c r="E278" s="167"/>
      <c r="G278" s="312"/>
      <c r="AJ278" s="102"/>
    </row>
    <row r="279" ht="15.75" customHeight="1">
      <c r="C279" s="166"/>
      <c r="D279" s="166"/>
      <c r="E279" s="167"/>
      <c r="G279" s="312"/>
      <c r="AJ279" s="102"/>
    </row>
    <row r="280" ht="15.75" customHeight="1">
      <c r="C280" s="166"/>
      <c r="D280" s="166"/>
      <c r="E280" s="167"/>
      <c r="G280" s="312"/>
      <c r="AJ280" s="102"/>
    </row>
    <row r="281" ht="15.75" customHeight="1">
      <c r="C281" s="166"/>
      <c r="D281" s="166"/>
      <c r="E281" s="167"/>
      <c r="G281" s="312"/>
      <c r="AJ281" s="102"/>
    </row>
    <row r="282" ht="15.75" customHeight="1">
      <c r="C282" s="166"/>
      <c r="D282" s="166"/>
      <c r="E282" s="167"/>
      <c r="G282" s="312"/>
      <c r="AJ282" s="102"/>
    </row>
    <row r="283" ht="15.75" customHeight="1">
      <c r="C283" s="166"/>
      <c r="D283" s="166"/>
      <c r="E283" s="167"/>
      <c r="G283" s="312"/>
      <c r="AJ283" s="102"/>
    </row>
    <row r="284" ht="15.75" customHeight="1">
      <c r="C284" s="166"/>
      <c r="D284" s="166"/>
      <c r="E284" s="167"/>
      <c r="G284" s="312"/>
      <c r="AJ284" s="102"/>
    </row>
    <row r="285" ht="15.75" customHeight="1">
      <c r="C285" s="166"/>
      <c r="D285" s="166"/>
      <c r="E285" s="167"/>
      <c r="G285" s="312"/>
      <c r="AJ285" s="102"/>
    </row>
    <row r="286" ht="15.75" customHeight="1">
      <c r="C286" s="166"/>
      <c r="D286" s="166"/>
      <c r="E286" s="167"/>
      <c r="G286" s="312"/>
      <c r="AJ286" s="102"/>
    </row>
    <row r="287" ht="15.75" customHeight="1">
      <c r="C287" s="166"/>
      <c r="D287" s="166"/>
      <c r="E287" s="167"/>
      <c r="G287" s="312"/>
      <c r="AJ287" s="102"/>
    </row>
    <row r="288" ht="15.75" customHeight="1">
      <c r="C288" s="166"/>
      <c r="D288" s="166"/>
      <c r="E288" s="167"/>
      <c r="G288" s="312"/>
      <c r="AJ288" s="102"/>
    </row>
    <row r="289" ht="15.75" customHeight="1">
      <c r="C289" s="166"/>
      <c r="D289" s="166"/>
      <c r="E289" s="167"/>
      <c r="G289" s="312"/>
      <c r="AJ289" s="102"/>
    </row>
    <row r="290" ht="15.75" customHeight="1">
      <c r="C290" s="166"/>
      <c r="D290" s="166"/>
      <c r="E290" s="167"/>
      <c r="G290" s="312"/>
      <c r="AJ290" s="102"/>
    </row>
    <row r="291" ht="15.75" customHeight="1">
      <c r="C291" s="166"/>
      <c r="D291" s="166"/>
      <c r="E291" s="167"/>
      <c r="G291" s="312"/>
      <c r="AJ291" s="102"/>
    </row>
    <row r="292" ht="15.75" customHeight="1">
      <c r="C292" s="166"/>
      <c r="D292" s="166"/>
      <c r="E292" s="167"/>
      <c r="G292" s="312"/>
      <c r="AJ292" s="102"/>
    </row>
    <row r="293" ht="15.75" customHeight="1">
      <c r="C293" s="166"/>
      <c r="D293" s="166"/>
      <c r="E293" s="167"/>
      <c r="G293" s="312"/>
      <c r="AJ293" s="102"/>
    </row>
    <row r="294" ht="15.75" customHeight="1">
      <c r="C294" s="166"/>
      <c r="D294" s="166"/>
      <c r="E294" s="167"/>
      <c r="G294" s="312"/>
      <c r="AJ294" s="102"/>
    </row>
    <row r="295" ht="15.75" customHeight="1">
      <c r="C295" s="166"/>
      <c r="D295" s="166"/>
      <c r="E295" s="167"/>
      <c r="G295" s="312"/>
      <c r="AJ295" s="102"/>
    </row>
    <row r="296" ht="15.75" customHeight="1">
      <c r="C296" s="166"/>
      <c r="D296" s="166"/>
      <c r="E296" s="167"/>
      <c r="G296" s="312"/>
      <c r="AJ296" s="102"/>
    </row>
    <row r="297" ht="15.75" customHeight="1">
      <c r="C297" s="166"/>
      <c r="D297" s="166"/>
      <c r="E297" s="167"/>
      <c r="G297" s="312"/>
      <c r="AJ297" s="102"/>
    </row>
    <row r="298" ht="15.75" customHeight="1">
      <c r="C298" s="166"/>
      <c r="D298" s="166"/>
      <c r="E298" s="167"/>
      <c r="G298" s="312"/>
      <c r="AJ298" s="102"/>
    </row>
    <row r="299" ht="15.75" customHeight="1">
      <c r="C299" s="166"/>
      <c r="D299" s="166"/>
      <c r="E299" s="167"/>
      <c r="G299" s="312"/>
      <c r="AJ299" s="102"/>
    </row>
    <row r="300" ht="15.75" customHeight="1">
      <c r="C300" s="166"/>
      <c r="D300" s="166"/>
      <c r="E300" s="167"/>
      <c r="G300" s="312"/>
      <c r="AJ300" s="102"/>
    </row>
    <row r="301" ht="15.75" customHeight="1">
      <c r="C301" s="166"/>
      <c r="D301" s="166"/>
      <c r="E301" s="167"/>
      <c r="G301" s="312"/>
      <c r="AJ301" s="102"/>
    </row>
    <row r="302" ht="15.75" customHeight="1">
      <c r="C302" s="166"/>
      <c r="D302" s="166"/>
      <c r="E302" s="167"/>
      <c r="G302" s="312"/>
      <c r="AJ302" s="102"/>
    </row>
    <row r="303" ht="15.75" customHeight="1">
      <c r="C303" s="166"/>
      <c r="D303" s="166"/>
      <c r="E303" s="167"/>
      <c r="G303" s="312"/>
      <c r="AJ303" s="102"/>
    </row>
    <row r="304" ht="15.75" customHeight="1">
      <c r="C304" s="166"/>
      <c r="D304" s="166"/>
      <c r="E304" s="167"/>
      <c r="G304" s="312"/>
      <c r="AJ304" s="102"/>
    </row>
    <row r="305" ht="15.75" customHeight="1">
      <c r="C305" s="166"/>
      <c r="D305" s="166"/>
      <c r="E305" s="167"/>
      <c r="G305" s="312"/>
      <c r="AJ305" s="102"/>
    </row>
    <row r="306" ht="15.75" customHeight="1">
      <c r="C306" s="166"/>
      <c r="D306" s="166"/>
      <c r="E306" s="167"/>
      <c r="G306" s="312"/>
      <c r="AJ306" s="102"/>
    </row>
    <row r="307" ht="15.75" customHeight="1">
      <c r="C307" s="166"/>
      <c r="D307" s="166"/>
      <c r="E307" s="167"/>
      <c r="G307" s="312"/>
      <c r="AJ307" s="102"/>
    </row>
    <row r="308" ht="15.75" customHeight="1">
      <c r="C308" s="166"/>
      <c r="D308" s="166"/>
      <c r="E308" s="167"/>
      <c r="G308" s="312"/>
      <c r="AJ308" s="102"/>
    </row>
    <row r="309" ht="15.75" customHeight="1">
      <c r="C309" s="166"/>
      <c r="D309" s="166"/>
      <c r="E309" s="167"/>
      <c r="G309" s="312"/>
      <c r="AJ309" s="102"/>
    </row>
    <row r="310" ht="15.75" customHeight="1">
      <c r="C310" s="166"/>
      <c r="D310" s="166"/>
      <c r="E310" s="167"/>
      <c r="G310" s="312"/>
      <c r="AJ310" s="102"/>
    </row>
    <row r="311" ht="15.75" customHeight="1">
      <c r="C311" s="166"/>
      <c r="D311" s="166"/>
      <c r="E311" s="167"/>
      <c r="G311" s="312"/>
      <c r="AJ311" s="102"/>
    </row>
    <row r="312" ht="15.75" customHeight="1">
      <c r="C312" s="166"/>
      <c r="D312" s="166"/>
      <c r="E312" s="167"/>
      <c r="G312" s="312"/>
      <c r="AJ312" s="102"/>
    </row>
    <row r="313" ht="15.75" customHeight="1">
      <c r="C313" s="166"/>
      <c r="D313" s="166"/>
      <c r="E313" s="167"/>
      <c r="G313" s="312"/>
      <c r="AJ313" s="102"/>
    </row>
    <row r="314" ht="15.75" customHeight="1">
      <c r="C314" s="166"/>
      <c r="D314" s="166"/>
      <c r="E314" s="167"/>
      <c r="G314" s="312"/>
      <c r="AJ314" s="102"/>
    </row>
    <row r="315" ht="15.75" customHeight="1">
      <c r="C315" s="166"/>
      <c r="D315" s="166"/>
      <c r="E315" s="167"/>
      <c r="G315" s="312"/>
      <c r="AJ315" s="102"/>
    </row>
    <row r="316" ht="15.75" customHeight="1">
      <c r="C316" s="166"/>
      <c r="D316" s="166"/>
      <c r="E316" s="167"/>
      <c r="G316" s="312"/>
      <c r="AJ316" s="102"/>
    </row>
    <row r="317" ht="15.75" customHeight="1">
      <c r="C317" s="166"/>
      <c r="D317" s="166"/>
      <c r="E317" s="167"/>
      <c r="G317" s="312"/>
      <c r="AJ317" s="102"/>
    </row>
    <row r="318" ht="15.75" customHeight="1">
      <c r="C318" s="166"/>
      <c r="D318" s="166"/>
      <c r="E318" s="167"/>
      <c r="G318" s="312"/>
      <c r="AJ318" s="102"/>
    </row>
    <row r="319" ht="15.75" customHeight="1">
      <c r="C319" s="166"/>
      <c r="D319" s="166"/>
      <c r="E319" s="167"/>
      <c r="G319" s="312"/>
      <c r="AJ319" s="102"/>
    </row>
    <row r="320" ht="15.75" customHeight="1">
      <c r="C320" s="166"/>
      <c r="D320" s="166"/>
      <c r="E320" s="167"/>
      <c r="G320" s="312"/>
      <c r="AJ320" s="102"/>
    </row>
    <row r="321" ht="15.75" customHeight="1">
      <c r="C321" s="166"/>
      <c r="D321" s="166"/>
      <c r="E321" s="167"/>
      <c r="G321" s="312"/>
      <c r="AJ321" s="102"/>
    </row>
    <row r="322" ht="15.75" customHeight="1">
      <c r="C322" s="166"/>
      <c r="D322" s="166"/>
      <c r="E322" s="167"/>
      <c r="G322" s="312"/>
      <c r="AJ322" s="102"/>
    </row>
    <row r="323" ht="15.75" customHeight="1">
      <c r="C323" s="166"/>
      <c r="D323" s="166"/>
      <c r="E323" s="167"/>
      <c r="G323" s="312"/>
      <c r="AJ323" s="102"/>
    </row>
    <row r="324" ht="15.75" customHeight="1">
      <c r="C324" s="166"/>
      <c r="D324" s="166"/>
      <c r="E324" s="167"/>
      <c r="G324" s="312"/>
      <c r="AJ324" s="102"/>
    </row>
    <row r="325" ht="15.75" customHeight="1">
      <c r="C325" s="166"/>
      <c r="D325" s="166"/>
      <c r="E325" s="167"/>
      <c r="G325" s="312"/>
      <c r="AJ325" s="102"/>
    </row>
    <row r="326" ht="15.75" customHeight="1">
      <c r="C326" s="166"/>
      <c r="D326" s="166"/>
      <c r="E326" s="167"/>
      <c r="G326" s="312"/>
      <c r="AJ326" s="102"/>
    </row>
    <row r="327" ht="15.75" customHeight="1">
      <c r="C327" s="166"/>
      <c r="D327" s="166"/>
      <c r="E327" s="167"/>
      <c r="G327" s="312"/>
      <c r="AJ327" s="102"/>
    </row>
    <row r="328" ht="15.75" customHeight="1">
      <c r="C328" s="166"/>
      <c r="D328" s="166"/>
      <c r="E328" s="167"/>
      <c r="G328" s="312"/>
      <c r="AJ328" s="102"/>
    </row>
    <row r="329" ht="15.75" customHeight="1">
      <c r="C329" s="166"/>
      <c r="D329" s="166"/>
      <c r="E329" s="167"/>
      <c r="G329" s="312"/>
      <c r="AJ329" s="102"/>
    </row>
    <row r="330" ht="15.75" customHeight="1">
      <c r="C330" s="166"/>
      <c r="D330" s="166"/>
      <c r="E330" s="167"/>
      <c r="G330" s="312"/>
      <c r="AJ330" s="102"/>
    </row>
    <row r="331" ht="15.75" customHeight="1">
      <c r="C331" s="166"/>
      <c r="D331" s="166"/>
      <c r="E331" s="167"/>
      <c r="G331" s="312"/>
      <c r="AJ331" s="102"/>
    </row>
    <row r="332" ht="15.75" customHeight="1">
      <c r="C332" s="166"/>
      <c r="D332" s="166"/>
      <c r="E332" s="167"/>
      <c r="G332" s="312"/>
      <c r="AJ332" s="102"/>
    </row>
    <row r="333" ht="15.75" customHeight="1">
      <c r="C333" s="166"/>
      <c r="D333" s="166"/>
      <c r="E333" s="167"/>
      <c r="G333" s="312"/>
      <c r="AJ333" s="102"/>
    </row>
    <row r="334" ht="15.75" customHeight="1">
      <c r="C334" s="166"/>
      <c r="D334" s="166"/>
      <c r="E334" s="167"/>
      <c r="G334" s="312"/>
      <c r="AJ334" s="102"/>
    </row>
    <row r="335" ht="15.75" customHeight="1">
      <c r="C335" s="166"/>
      <c r="D335" s="166"/>
      <c r="E335" s="167"/>
      <c r="G335" s="312"/>
      <c r="AJ335" s="102"/>
    </row>
    <row r="336" ht="15.75" customHeight="1">
      <c r="C336" s="166"/>
      <c r="D336" s="166"/>
      <c r="E336" s="167"/>
      <c r="G336" s="312"/>
      <c r="AJ336" s="102"/>
    </row>
    <row r="337" ht="15.75" customHeight="1">
      <c r="C337" s="166"/>
      <c r="D337" s="166"/>
      <c r="E337" s="167"/>
      <c r="G337" s="312"/>
      <c r="AJ337" s="102"/>
    </row>
    <row r="338" ht="15.75" customHeight="1">
      <c r="C338" s="166"/>
      <c r="D338" s="166"/>
      <c r="E338" s="167"/>
      <c r="G338" s="312"/>
      <c r="AJ338" s="102"/>
    </row>
    <row r="339" ht="15.75" customHeight="1">
      <c r="C339" s="166"/>
      <c r="D339" s="166"/>
      <c r="E339" s="167"/>
      <c r="G339" s="312"/>
      <c r="AJ339" s="102"/>
    </row>
    <row r="340" ht="15.75" customHeight="1">
      <c r="C340" s="166"/>
      <c r="D340" s="166"/>
      <c r="E340" s="167"/>
      <c r="G340" s="312"/>
      <c r="AJ340" s="102"/>
    </row>
    <row r="341" ht="15.75" customHeight="1">
      <c r="C341" s="166"/>
      <c r="D341" s="166"/>
      <c r="E341" s="167"/>
      <c r="G341" s="312"/>
      <c r="AJ341" s="102"/>
    </row>
    <row r="342" ht="15.75" customHeight="1">
      <c r="C342" s="166"/>
      <c r="D342" s="166"/>
      <c r="E342" s="167"/>
      <c r="G342" s="312"/>
      <c r="AJ342" s="102"/>
    </row>
    <row r="343" ht="15.75" customHeight="1">
      <c r="C343" s="166"/>
      <c r="D343" s="166"/>
      <c r="E343" s="167"/>
      <c r="G343" s="312"/>
      <c r="AJ343" s="102"/>
    </row>
    <row r="344" ht="15.75" customHeight="1">
      <c r="C344" s="166"/>
      <c r="D344" s="166"/>
      <c r="E344" s="167"/>
      <c r="G344" s="312"/>
      <c r="AJ344" s="102"/>
    </row>
    <row r="345" ht="15.75" customHeight="1">
      <c r="C345" s="166"/>
      <c r="D345" s="166"/>
      <c r="E345" s="167"/>
      <c r="G345" s="312"/>
      <c r="AJ345" s="102"/>
    </row>
    <row r="346" ht="15.75" customHeight="1">
      <c r="C346" s="166"/>
      <c r="D346" s="166"/>
      <c r="E346" s="167"/>
      <c r="G346" s="312"/>
      <c r="AJ346" s="102"/>
    </row>
    <row r="347" ht="15.75" customHeight="1">
      <c r="C347" s="166"/>
      <c r="D347" s="166"/>
      <c r="E347" s="167"/>
      <c r="G347" s="312"/>
      <c r="AJ347" s="102"/>
    </row>
    <row r="348" ht="15.75" customHeight="1">
      <c r="C348" s="166"/>
      <c r="D348" s="166"/>
      <c r="E348" s="167"/>
      <c r="G348" s="312"/>
      <c r="AJ348" s="102"/>
    </row>
    <row r="349" ht="15.75" customHeight="1">
      <c r="C349" s="166"/>
      <c r="D349" s="166"/>
      <c r="E349" s="167"/>
      <c r="G349" s="312"/>
      <c r="AJ349" s="102"/>
    </row>
    <row r="350" ht="15.75" customHeight="1">
      <c r="C350" s="166"/>
      <c r="D350" s="166"/>
      <c r="E350" s="167"/>
      <c r="G350" s="312"/>
      <c r="AJ350" s="102"/>
    </row>
    <row r="351" ht="15.75" customHeight="1">
      <c r="C351" s="166"/>
      <c r="D351" s="166"/>
      <c r="E351" s="167"/>
      <c r="G351" s="312"/>
      <c r="AJ351" s="102"/>
    </row>
    <row r="352" ht="15.75" customHeight="1">
      <c r="C352" s="166"/>
      <c r="D352" s="166"/>
      <c r="E352" s="167"/>
      <c r="G352" s="312"/>
      <c r="AJ352" s="102"/>
    </row>
    <row r="353" ht="15.75" customHeight="1">
      <c r="C353" s="166"/>
      <c r="D353" s="166"/>
      <c r="E353" s="167"/>
      <c r="G353" s="312"/>
      <c r="AJ353" s="102"/>
    </row>
    <row r="354" ht="15.75" customHeight="1">
      <c r="C354" s="166"/>
      <c r="D354" s="166"/>
      <c r="E354" s="167"/>
      <c r="G354" s="312"/>
      <c r="AJ354" s="102"/>
    </row>
    <row r="355" ht="15.75" customHeight="1">
      <c r="C355" s="166"/>
      <c r="D355" s="166"/>
      <c r="E355" s="167"/>
      <c r="G355" s="312"/>
      <c r="AJ355" s="102"/>
    </row>
    <row r="356" ht="15.75" customHeight="1">
      <c r="C356" s="166"/>
      <c r="D356" s="166"/>
      <c r="E356" s="167"/>
      <c r="G356" s="312"/>
      <c r="AJ356" s="102"/>
    </row>
    <row r="357" ht="15.75" customHeight="1">
      <c r="C357" s="166"/>
      <c r="D357" s="166"/>
      <c r="E357" s="167"/>
      <c r="G357" s="312"/>
      <c r="AJ357" s="102"/>
    </row>
    <row r="358" ht="15.75" customHeight="1">
      <c r="C358" s="166"/>
      <c r="D358" s="166"/>
      <c r="E358" s="167"/>
      <c r="G358" s="312"/>
      <c r="AJ358" s="102"/>
    </row>
    <row r="359" ht="15.75" customHeight="1">
      <c r="C359" s="166"/>
      <c r="D359" s="166"/>
      <c r="E359" s="167"/>
      <c r="G359" s="312"/>
      <c r="AJ359" s="102"/>
    </row>
    <row r="360" ht="15.75" customHeight="1">
      <c r="C360" s="166"/>
      <c r="D360" s="166"/>
      <c r="E360" s="167"/>
      <c r="G360" s="312"/>
      <c r="AJ360" s="102"/>
    </row>
    <row r="361" ht="15.75" customHeight="1">
      <c r="C361" s="166"/>
      <c r="D361" s="166"/>
      <c r="E361" s="167"/>
      <c r="G361" s="312"/>
      <c r="AJ361" s="102"/>
    </row>
    <row r="362" ht="15.75" customHeight="1">
      <c r="C362" s="166"/>
      <c r="D362" s="166"/>
      <c r="E362" s="167"/>
      <c r="G362" s="312"/>
      <c r="AJ362" s="102"/>
    </row>
    <row r="363" ht="15.75" customHeight="1">
      <c r="C363" s="166"/>
      <c r="D363" s="166"/>
      <c r="E363" s="167"/>
      <c r="G363" s="312"/>
      <c r="AJ363" s="102"/>
    </row>
    <row r="364" ht="15.75" customHeight="1">
      <c r="C364" s="166"/>
      <c r="D364" s="166"/>
      <c r="E364" s="167"/>
      <c r="G364" s="312"/>
      <c r="AJ364" s="102"/>
    </row>
    <row r="365" ht="15.75" customHeight="1">
      <c r="C365" s="166"/>
      <c r="D365" s="166"/>
      <c r="E365" s="167"/>
      <c r="G365" s="312"/>
      <c r="AJ365" s="102"/>
    </row>
    <row r="366" ht="15.75" customHeight="1">
      <c r="C366" s="166"/>
      <c r="D366" s="166"/>
      <c r="E366" s="167"/>
      <c r="G366" s="312"/>
      <c r="AJ366" s="102"/>
    </row>
    <row r="367" ht="15.75" customHeight="1">
      <c r="C367" s="166"/>
      <c r="D367" s="166"/>
      <c r="E367" s="167"/>
      <c r="G367" s="312"/>
      <c r="AJ367" s="102"/>
    </row>
    <row r="368" ht="15.75" customHeight="1">
      <c r="C368" s="166"/>
      <c r="D368" s="166"/>
      <c r="E368" s="167"/>
      <c r="G368" s="312"/>
      <c r="AJ368" s="102"/>
    </row>
    <row r="369" ht="15.75" customHeight="1">
      <c r="C369" s="166"/>
      <c r="D369" s="166"/>
      <c r="E369" s="167"/>
      <c r="G369" s="312"/>
      <c r="AJ369" s="102"/>
    </row>
    <row r="370" ht="15.75" customHeight="1">
      <c r="C370" s="166"/>
      <c r="D370" s="166"/>
      <c r="E370" s="167"/>
      <c r="G370" s="312"/>
      <c r="AJ370" s="102"/>
    </row>
    <row r="371" ht="15.75" customHeight="1">
      <c r="C371" s="166"/>
      <c r="D371" s="166"/>
      <c r="E371" s="167"/>
      <c r="G371" s="312"/>
      <c r="AJ371" s="102"/>
    </row>
    <row r="372" ht="15.75" customHeight="1">
      <c r="C372" s="166"/>
      <c r="D372" s="166"/>
      <c r="E372" s="167"/>
      <c r="G372" s="312"/>
      <c r="AJ372" s="102"/>
    </row>
    <row r="373" ht="15.75" customHeight="1">
      <c r="C373" s="166"/>
      <c r="D373" s="166"/>
      <c r="E373" s="167"/>
      <c r="G373" s="312"/>
      <c r="AJ373" s="102"/>
    </row>
    <row r="374" ht="15.75" customHeight="1">
      <c r="C374" s="166"/>
      <c r="D374" s="166"/>
      <c r="E374" s="167"/>
      <c r="G374" s="312"/>
      <c r="AJ374" s="102"/>
    </row>
    <row r="375" ht="15.75" customHeight="1">
      <c r="C375" s="166"/>
      <c r="D375" s="166"/>
      <c r="E375" s="167"/>
      <c r="G375" s="312"/>
      <c r="AJ375" s="102"/>
    </row>
    <row r="376" ht="15.75" customHeight="1">
      <c r="C376" s="166"/>
      <c r="D376" s="166"/>
      <c r="E376" s="167"/>
      <c r="G376" s="312"/>
      <c r="AJ376" s="102"/>
    </row>
    <row r="377" ht="15.75" customHeight="1">
      <c r="C377" s="166"/>
      <c r="D377" s="166"/>
      <c r="E377" s="167"/>
      <c r="G377" s="312"/>
      <c r="AJ377" s="102"/>
    </row>
    <row r="378" ht="15.75" customHeight="1">
      <c r="C378" s="166"/>
      <c r="D378" s="166"/>
      <c r="E378" s="167"/>
      <c r="G378" s="312"/>
      <c r="AJ378" s="102"/>
    </row>
    <row r="379" ht="15.75" customHeight="1">
      <c r="C379" s="166"/>
      <c r="D379" s="166"/>
      <c r="E379" s="167"/>
      <c r="G379" s="312"/>
      <c r="AJ379" s="102"/>
    </row>
    <row r="380" ht="15.75" customHeight="1">
      <c r="C380" s="166"/>
      <c r="D380" s="166"/>
      <c r="E380" s="167"/>
      <c r="G380" s="312"/>
      <c r="AJ380" s="102"/>
    </row>
    <row r="381" ht="15.75" customHeight="1">
      <c r="C381" s="166"/>
      <c r="D381" s="166"/>
      <c r="E381" s="167"/>
      <c r="G381" s="312"/>
      <c r="AJ381" s="102"/>
    </row>
    <row r="382" ht="15.75" customHeight="1">
      <c r="C382" s="166"/>
      <c r="D382" s="166"/>
      <c r="G382" s="312"/>
      <c r="AJ382" s="102"/>
    </row>
    <row r="383" ht="15.75" customHeight="1">
      <c r="C383" s="166"/>
      <c r="D383" s="166"/>
      <c r="G383" s="312"/>
      <c r="AJ383" s="102"/>
    </row>
    <row r="384" ht="15.75" customHeight="1">
      <c r="C384" s="166"/>
      <c r="D384" s="166"/>
      <c r="G384" s="312"/>
      <c r="AJ384" s="102"/>
    </row>
    <row r="385" ht="15.75" customHeight="1">
      <c r="C385" s="166"/>
      <c r="D385" s="166"/>
      <c r="G385" s="312"/>
      <c r="AJ385" s="102"/>
    </row>
    <row r="386" ht="15.75" customHeight="1">
      <c r="C386" s="166"/>
      <c r="D386" s="166"/>
      <c r="G386" s="312"/>
      <c r="AJ386" s="102"/>
    </row>
    <row r="387" ht="15.75" customHeight="1">
      <c r="C387" s="166"/>
      <c r="D387" s="166"/>
      <c r="G387" s="312"/>
      <c r="AJ387" s="102"/>
    </row>
    <row r="388" ht="15.75" customHeight="1">
      <c r="C388" s="166"/>
      <c r="D388" s="166"/>
      <c r="G388" s="312"/>
      <c r="AJ388" s="102"/>
    </row>
    <row r="389" ht="15.75" customHeight="1">
      <c r="C389" s="166"/>
      <c r="D389" s="166"/>
      <c r="G389" s="312"/>
      <c r="AJ389" s="102"/>
    </row>
    <row r="390" ht="15.75" customHeight="1">
      <c r="C390" s="166"/>
      <c r="D390" s="166"/>
      <c r="G390" s="312"/>
      <c r="AJ390" s="102"/>
    </row>
    <row r="391" ht="15.75" customHeight="1">
      <c r="C391" s="166"/>
      <c r="D391" s="166"/>
      <c r="G391" s="312"/>
      <c r="AJ391" s="102"/>
    </row>
    <row r="392" ht="15.75" customHeight="1">
      <c r="C392" s="166"/>
      <c r="D392" s="166"/>
      <c r="G392" s="312"/>
      <c r="AJ392" s="102"/>
    </row>
    <row r="393" ht="15.75" customHeight="1">
      <c r="C393" s="166"/>
      <c r="D393" s="166"/>
      <c r="G393" s="312"/>
      <c r="AJ393" s="102"/>
    </row>
    <row r="394" ht="15.75" customHeight="1">
      <c r="C394" s="166"/>
      <c r="D394" s="166"/>
      <c r="G394" s="312"/>
      <c r="AJ394" s="102"/>
    </row>
    <row r="395" ht="15.75" customHeight="1">
      <c r="C395" s="166"/>
      <c r="D395" s="166"/>
      <c r="G395" s="312"/>
      <c r="AJ395" s="102"/>
    </row>
    <row r="396" ht="15.75" customHeight="1">
      <c r="C396" s="166"/>
      <c r="D396" s="166"/>
      <c r="G396" s="312"/>
      <c r="AJ396" s="102"/>
    </row>
    <row r="397" ht="15.75" customHeight="1">
      <c r="C397" s="166"/>
      <c r="D397" s="166"/>
      <c r="G397" s="312"/>
      <c r="AJ397" s="102"/>
    </row>
    <row r="398" ht="15.75" customHeight="1">
      <c r="C398" s="166"/>
      <c r="D398" s="166"/>
      <c r="G398" s="312"/>
      <c r="AJ398" s="102"/>
    </row>
    <row r="399" ht="15.75" customHeight="1">
      <c r="C399" s="166"/>
      <c r="D399" s="166"/>
      <c r="G399" s="312"/>
      <c r="AJ399" s="102"/>
    </row>
    <row r="400" ht="15.75" customHeight="1">
      <c r="C400" s="166"/>
      <c r="D400" s="166"/>
      <c r="G400" s="312"/>
      <c r="AJ400" s="102"/>
    </row>
    <row r="401" ht="15.75" customHeight="1">
      <c r="C401" s="166"/>
      <c r="D401" s="166"/>
      <c r="G401" s="312"/>
      <c r="AJ401" s="102"/>
    </row>
    <row r="402" ht="15.75" customHeight="1">
      <c r="C402" s="166"/>
      <c r="D402" s="166"/>
      <c r="G402" s="312"/>
      <c r="AJ402" s="102"/>
    </row>
    <row r="403" ht="15.75" customHeight="1">
      <c r="C403" s="166"/>
      <c r="D403" s="166"/>
      <c r="G403" s="312"/>
      <c r="AJ403" s="102"/>
    </row>
    <row r="404" ht="15.75" customHeight="1">
      <c r="C404" s="166"/>
      <c r="D404" s="166"/>
      <c r="G404" s="312"/>
      <c r="AJ404" s="102"/>
    </row>
    <row r="405" ht="15.75" customHeight="1">
      <c r="C405" s="166"/>
      <c r="D405" s="166"/>
      <c r="G405" s="312"/>
      <c r="AJ405" s="102"/>
    </row>
    <row r="406" ht="15.75" customHeight="1">
      <c r="C406" s="166"/>
      <c r="D406" s="166"/>
      <c r="G406" s="312"/>
      <c r="AJ406" s="102"/>
    </row>
    <row r="407" ht="15.75" customHeight="1">
      <c r="C407" s="166"/>
      <c r="D407" s="166"/>
      <c r="G407" s="312"/>
      <c r="AJ407" s="102"/>
    </row>
    <row r="408" ht="15.75" customHeight="1">
      <c r="C408" s="166"/>
      <c r="D408" s="166"/>
      <c r="G408" s="312"/>
      <c r="AJ408" s="102"/>
    </row>
    <row r="409" ht="15.75" customHeight="1">
      <c r="C409" s="166"/>
      <c r="D409" s="166"/>
      <c r="G409" s="312"/>
      <c r="AJ409" s="102"/>
    </row>
    <row r="410" ht="15.75" customHeight="1">
      <c r="C410" s="166"/>
      <c r="D410" s="166"/>
      <c r="G410" s="312"/>
      <c r="AJ410" s="102"/>
    </row>
    <row r="411" ht="15.75" customHeight="1">
      <c r="C411" s="166"/>
      <c r="D411" s="166"/>
      <c r="G411" s="312"/>
      <c r="AJ411" s="102"/>
    </row>
    <row r="412" ht="15.75" customHeight="1">
      <c r="C412" s="166"/>
      <c r="D412" s="166"/>
      <c r="G412" s="312"/>
      <c r="AJ412" s="102"/>
    </row>
    <row r="413" ht="15.75" customHeight="1">
      <c r="C413" s="166"/>
      <c r="D413" s="166"/>
      <c r="G413" s="312"/>
      <c r="AJ413" s="102"/>
    </row>
    <row r="414" ht="15.75" customHeight="1">
      <c r="C414" s="166"/>
      <c r="D414" s="166"/>
      <c r="G414" s="312"/>
      <c r="AJ414" s="102"/>
    </row>
    <row r="415" ht="15.75" customHeight="1">
      <c r="C415" s="166"/>
      <c r="D415" s="166"/>
      <c r="G415" s="312"/>
      <c r="AJ415" s="102"/>
    </row>
    <row r="416" ht="15.75" customHeight="1">
      <c r="C416" s="166"/>
      <c r="D416" s="166"/>
      <c r="G416" s="312"/>
      <c r="AJ416" s="102"/>
    </row>
    <row r="417" ht="15.75" customHeight="1">
      <c r="C417" s="166"/>
      <c r="D417" s="166"/>
      <c r="G417" s="312"/>
      <c r="AJ417" s="102"/>
    </row>
    <row r="418" ht="15.75" customHeight="1">
      <c r="C418" s="166"/>
      <c r="D418" s="166"/>
      <c r="G418" s="312"/>
      <c r="AJ418" s="102"/>
    </row>
    <row r="419" ht="15.75" customHeight="1">
      <c r="C419" s="166"/>
      <c r="D419" s="166"/>
      <c r="G419" s="312"/>
      <c r="AJ419" s="102"/>
    </row>
    <row r="420" ht="15.75" customHeight="1">
      <c r="C420" s="166"/>
      <c r="D420" s="166"/>
      <c r="G420" s="312"/>
      <c r="AJ420" s="102"/>
    </row>
    <row r="421" ht="15.75" customHeight="1">
      <c r="C421" s="166"/>
      <c r="D421" s="166"/>
      <c r="G421" s="312"/>
      <c r="AJ421" s="102"/>
    </row>
    <row r="422" ht="15.75" customHeight="1">
      <c r="C422" s="166"/>
      <c r="D422" s="166"/>
      <c r="G422" s="312"/>
      <c r="AJ422" s="102"/>
    </row>
    <row r="423" ht="15.75" customHeight="1">
      <c r="C423" s="166"/>
      <c r="D423" s="166"/>
      <c r="G423" s="312"/>
      <c r="AJ423" s="102"/>
    </row>
    <row r="424" ht="15.75" customHeight="1">
      <c r="C424" s="166"/>
      <c r="D424" s="166"/>
      <c r="G424" s="312"/>
      <c r="AJ424" s="102"/>
    </row>
    <row r="425" ht="15.75" customHeight="1">
      <c r="C425" s="166"/>
      <c r="D425" s="166"/>
      <c r="G425" s="312"/>
      <c r="AJ425" s="102"/>
    </row>
    <row r="426" ht="15.75" customHeight="1">
      <c r="C426" s="166"/>
      <c r="D426" s="166"/>
      <c r="G426" s="312"/>
      <c r="AJ426" s="102"/>
    </row>
    <row r="427" ht="15.75" customHeight="1">
      <c r="C427" s="166"/>
      <c r="D427" s="166"/>
      <c r="G427" s="312"/>
      <c r="AJ427" s="102"/>
    </row>
    <row r="428" ht="15.75" customHeight="1">
      <c r="C428" s="166"/>
      <c r="D428" s="166"/>
      <c r="G428" s="312"/>
      <c r="AJ428" s="102"/>
    </row>
    <row r="429" ht="15.75" customHeight="1">
      <c r="C429" s="166"/>
      <c r="D429" s="166"/>
      <c r="G429" s="312"/>
      <c r="AJ429" s="102"/>
    </row>
    <row r="430" ht="15.75" customHeight="1">
      <c r="C430" s="166"/>
      <c r="D430" s="166"/>
      <c r="G430" s="312"/>
      <c r="AJ430" s="102"/>
    </row>
    <row r="431" ht="15.75" customHeight="1">
      <c r="C431" s="166"/>
      <c r="D431" s="166"/>
      <c r="G431" s="312"/>
      <c r="AJ431" s="102"/>
    </row>
    <row r="432" ht="15.75" customHeight="1">
      <c r="C432" s="166"/>
      <c r="D432" s="166"/>
      <c r="G432" s="312"/>
      <c r="AJ432" s="102"/>
    </row>
    <row r="433" ht="15.75" customHeight="1">
      <c r="C433" s="166"/>
      <c r="D433" s="166"/>
      <c r="G433" s="312"/>
      <c r="AJ433" s="102"/>
    </row>
    <row r="434" ht="15.75" customHeight="1">
      <c r="C434" s="166"/>
      <c r="D434" s="166"/>
      <c r="G434" s="312"/>
      <c r="AJ434" s="102"/>
    </row>
    <row r="435" ht="15.75" customHeight="1">
      <c r="C435" s="166"/>
      <c r="D435" s="166"/>
      <c r="G435" s="312"/>
      <c r="AJ435" s="102"/>
    </row>
    <row r="436" ht="15.75" customHeight="1">
      <c r="C436" s="166"/>
      <c r="D436" s="166"/>
      <c r="G436" s="312"/>
      <c r="AJ436" s="102"/>
    </row>
    <row r="437" ht="15.75" customHeight="1">
      <c r="C437" s="166"/>
      <c r="D437" s="166"/>
      <c r="G437" s="312"/>
      <c r="AJ437" s="102"/>
    </row>
    <row r="438" ht="15.75" customHeight="1">
      <c r="C438" s="166"/>
      <c r="D438" s="166"/>
      <c r="G438" s="312"/>
      <c r="AJ438" s="102"/>
    </row>
    <row r="439" ht="15.75" customHeight="1">
      <c r="C439" s="166"/>
      <c r="D439" s="166"/>
      <c r="G439" s="312"/>
      <c r="AJ439" s="102"/>
    </row>
    <row r="440" ht="15.75" customHeight="1">
      <c r="C440" s="166"/>
      <c r="D440" s="166"/>
      <c r="G440" s="312"/>
      <c r="AJ440" s="102"/>
    </row>
    <row r="441" ht="15.75" customHeight="1">
      <c r="C441" s="166"/>
      <c r="D441" s="166"/>
      <c r="G441" s="312"/>
      <c r="AJ441" s="102"/>
    </row>
    <row r="442" ht="15.75" customHeight="1">
      <c r="C442" s="166"/>
      <c r="D442" s="166"/>
      <c r="G442" s="312"/>
      <c r="AJ442" s="102"/>
    </row>
    <row r="443" ht="15.75" customHeight="1">
      <c r="C443" s="166"/>
      <c r="D443" s="166"/>
      <c r="G443" s="312"/>
      <c r="AJ443" s="102"/>
    </row>
    <row r="444" ht="15.75" customHeight="1">
      <c r="C444" s="166"/>
      <c r="D444" s="166"/>
      <c r="G444" s="312"/>
      <c r="AJ444" s="102"/>
    </row>
    <row r="445" ht="15.75" customHeight="1">
      <c r="C445" s="166"/>
      <c r="D445" s="166"/>
      <c r="G445" s="312"/>
      <c r="AJ445" s="102"/>
    </row>
    <row r="446" ht="15.75" customHeight="1">
      <c r="C446" s="166"/>
      <c r="D446" s="166"/>
      <c r="G446" s="312"/>
      <c r="AJ446" s="102"/>
    </row>
    <row r="447" ht="15.75" customHeight="1">
      <c r="C447" s="166"/>
      <c r="D447" s="166"/>
      <c r="G447" s="312"/>
      <c r="AJ447" s="102"/>
    </row>
    <row r="448" ht="15.75" customHeight="1">
      <c r="C448" s="166"/>
      <c r="D448" s="166"/>
      <c r="G448" s="312"/>
      <c r="AJ448" s="102"/>
    </row>
    <row r="449" ht="15.75" customHeight="1">
      <c r="C449" s="166"/>
      <c r="D449" s="166"/>
      <c r="G449" s="312"/>
      <c r="AJ449" s="102"/>
    </row>
    <row r="450" ht="15.75" customHeight="1">
      <c r="C450" s="166"/>
      <c r="D450" s="166"/>
      <c r="G450" s="312"/>
      <c r="AJ450" s="102"/>
    </row>
    <row r="451" ht="15.75" customHeight="1">
      <c r="C451" s="166"/>
      <c r="D451" s="166"/>
      <c r="G451" s="312"/>
      <c r="AJ451" s="102"/>
    </row>
    <row r="452" ht="15.75" customHeight="1">
      <c r="C452" s="166"/>
      <c r="D452" s="166"/>
      <c r="G452" s="312"/>
      <c r="AJ452" s="102"/>
    </row>
    <row r="453" ht="15.75" customHeight="1">
      <c r="C453" s="166"/>
      <c r="D453" s="166"/>
      <c r="G453" s="312"/>
      <c r="AJ453" s="102"/>
    </row>
    <row r="454" ht="15.75" customHeight="1">
      <c r="C454" s="166"/>
      <c r="D454" s="166"/>
      <c r="G454" s="312"/>
      <c r="AJ454" s="102"/>
    </row>
    <row r="455" ht="15.75" customHeight="1">
      <c r="C455" s="166"/>
      <c r="D455" s="166"/>
      <c r="G455" s="312"/>
      <c r="AJ455" s="102"/>
    </row>
    <row r="456" ht="15.75" customHeight="1">
      <c r="C456" s="166"/>
      <c r="D456" s="166"/>
      <c r="G456" s="312"/>
      <c r="AJ456" s="102"/>
    </row>
    <row r="457" ht="15.75" customHeight="1">
      <c r="C457" s="166"/>
      <c r="D457" s="166"/>
      <c r="G457" s="312"/>
      <c r="AJ457" s="102"/>
    </row>
    <row r="458" ht="15.75" customHeight="1">
      <c r="C458" s="166"/>
      <c r="D458" s="166"/>
      <c r="G458" s="312"/>
      <c r="AJ458" s="102"/>
    </row>
    <row r="459" ht="15.75" customHeight="1">
      <c r="C459" s="166"/>
      <c r="D459" s="166"/>
      <c r="G459" s="312"/>
      <c r="AJ459" s="102"/>
    </row>
    <row r="460" ht="15.75" customHeight="1">
      <c r="C460" s="166"/>
      <c r="D460" s="166"/>
      <c r="G460" s="312"/>
      <c r="AJ460" s="102"/>
    </row>
    <row r="461" ht="15.75" customHeight="1">
      <c r="C461" s="166"/>
      <c r="D461" s="166"/>
      <c r="G461" s="312"/>
      <c r="AJ461" s="102"/>
    </row>
    <row r="462" ht="15.75" customHeight="1">
      <c r="C462" s="166"/>
      <c r="D462" s="166"/>
      <c r="G462" s="312"/>
      <c r="AJ462" s="102"/>
    </row>
    <row r="463" ht="15.75" customHeight="1">
      <c r="C463" s="166"/>
      <c r="D463" s="166"/>
      <c r="G463" s="312"/>
      <c r="AJ463" s="102"/>
    </row>
    <row r="464" ht="15.75" customHeight="1">
      <c r="C464" s="166"/>
      <c r="D464" s="166"/>
      <c r="G464" s="312"/>
      <c r="AJ464" s="102"/>
    </row>
    <row r="465" ht="15.75" customHeight="1">
      <c r="C465" s="166"/>
      <c r="D465" s="166"/>
      <c r="G465" s="312"/>
      <c r="AJ465" s="102"/>
    </row>
    <row r="466" ht="15.75" customHeight="1">
      <c r="C466" s="166"/>
      <c r="D466" s="166"/>
      <c r="G466" s="312"/>
      <c r="AJ466" s="102"/>
    </row>
    <row r="467" ht="15.75" customHeight="1">
      <c r="C467" s="166"/>
      <c r="D467" s="166"/>
      <c r="G467" s="312"/>
      <c r="AJ467" s="102"/>
    </row>
    <row r="468" ht="15.75" customHeight="1">
      <c r="C468" s="166"/>
      <c r="D468" s="166"/>
      <c r="G468" s="312"/>
      <c r="AJ468" s="102"/>
    </row>
    <row r="469" ht="15.75" customHeight="1">
      <c r="C469" s="166"/>
      <c r="D469" s="166"/>
      <c r="G469" s="312"/>
      <c r="AJ469" s="102"/>
    </row>
    <row r="470" ht="15.75" customHeight="1">
      <c r="C470" s="166"/>
      <c r="D470" s="166"/>
      <c r="G470" s="312"/>
      <c r="AJ470" s="102"/>
    </row>
    <row r="471" ht="15.75" customHeight="1">
      <c r="C471" s="166"/>
      <c r="D471" s="166"/>
      <c r="G471" s="312"/>
      <c r="AJ471" s="102"/>
    </row>
    <row r="472" ht="15.75" customHeight="1">
      <c r="C472" s="166"/>
      <c r="D472" s="166"/>
      <c r="G472" s="312"/>
      <c r="AJ472" s="102"/>
    </row>
    <row r="473" ht="15.75" customHeight="1">
      <c r="C473" s="166"/>
      <c r="D473" s="166"/>
      <c r="G473" s="312"/>
      <c r="AJ473" s="102"/>
    </row>
    <row r="474" ht="15.75" customHeight="1">
      <c r="C474" s="166"/>
      <c r="D474" s="166"/>
      <c r="G474" s="312"/>
      <c r="AJ474" s="102"/>
    </row>
    <row r="475" ht="15.75" customHeight="1">
      <c r="C475" s="166"/>
      <c r="D475" s="166"/>
      <c r="G475" s="312"/>
      <c r="AJ475" s="102"/>
    </row>
    <row r="476" ht="15.75" customHeight="1">
      <c r="C476" s="166"/>
      <c r="D476" s="166"/>
      <c r="G476" s="312"/>
      <c r="AJ476" s="102"/>
    </row>
    <row r="477" ht="15.75" customHeight="1">
      <c r="C477" s="166"/>
      <c r="D477" s="166"/>
      <c r="G477" s="312"/>
      <c r="AJ477" s="102"/>
    </row>
    <row r="478" ht="15.75" customHeight="1">
      <c r="C478" s="166"/>
      <c r="D478" s="166"/>
      <c r="G478" s="312"/>
      <c r="AJ478" s="102"/>
    </row>
    <row r="479" ht="15.75" customHeight="1">
      <c r="C479" s="166"/>
      <c r="D479" s="166"/>
      <c r="G479" s="312"/>
      <c r="AJ479" s="102"/>
    </row>
    <row r="480" ht="15.75" customHeight="1">
      <c r="C480" s="166"/>
      <c r="D480" s="166"/>
      <c r="G480" s="312"/>
      <c r="AJ480" s="102"/>
    </row>
    <row r="481" ht="15.75" customHeight="1">
      <c r="C481" s="166"/>
      <c r="D481" s="166"/>
      <c r="G481" s="312"/>
      <c r="AJ481" s="102"/>
    </row>
    <row r="482" ht="15.75" customHeight="1">
      <c r="C482" s="166"/>
      <c r="D482" s="166"/>
      <c r="G482" s="312"/>
      <c r="AJ482" s="102"/>
    </row>
    <row r="483" ht="15.75" customHeight="1">
      <c r="C483" s="166"/>
      <c r="D483" s="166"/>
      <c r="G483" s="312"/>
      <c r="AJ483" s="102"/>
    </row>
    <row r="484" ht="15.75" customHeight="1">
      <c r="C484" s="166"/>
      <c r="D484" s="166"/>
      <c r="G484" s="312"/>
      <c r="AJ484" s="102"/>
    </row>
    <row r="485" ht="15.75" customHeight="1">
      <c r="C485" s="166"/>
      <c r="D485" s="166"/>
      <c r="G485" s="312"/>
      <c r="AJ485" s="102"/>
    </row>
    <row r="486" ht="15.75" customHeight="1">
      <c r="C486" s="166"/>
      <c r="D486" s="166"/>
      <c r="G486" s="312"/>
      <c r="AJ486" s="102"/>
    </row>
    <row r="487" ht="15.75" customHeight="1">
      <c r="C487" s="166"/>
      <c r="D487" s="166"/>
      <c r="G487" s="312"/>
      <c r="AJ487" s="102"/>
    </row>
    <row r="488" ht="15.75" customHeight="1">
      <c r="C488" s="166"/>
      <c r="D488" s="166"/>
      <c r="G488" s="312"/>
      <c r="AJ488" s="102"/>
    </row>
    <row r="489" ht="15.75" customHeight="1">
      <c r="C489" s="166"/>
      <c r="D489" s="166"/>
      <c r="G489" s="312"/>
      <c r="AJ489" s="102"/>
    </row>
    <row r="490" ht="15.75" customHeight="1">
      <c r="C490" s="166"/>
      <c r="D490" s="166"/>
      <c r="G490" s="312"/>
      <c r="AJ490" s="102"/>
    </row>
    <row r="491" ht="15.75" customHeight="1">
      <c r="C491" s="166"/>
      <c r="D491" s="166"/>
      <c r="G491" s="312"/>
      <c r="AJ491" s="102"/>
    </row>
    <row r="492" ht="15.75" customHeight="1">
      <c r="C492" s="166"/>
      <c r="D492" s="166"/>
      <c r="G492" s="312"/>
      <c r="AJ492" s="102"/>
    </row>
    <row r="493" ht="15.75" customHeight="1">
      <c r="C493" s="166"/>
      <c r="D493" s="166"/>
      <c r="G493" s="312"/>
      <c r="AJ493" s="102"/>
    </row>
    <row r="494" ht="15.75" customHeight="1">
      <c r="C494" s="166"/>
      <c r="D494" s="166"/>
      <c r="G494" s="312"/>
      <c r="AJ494" s="102"/>
    </row>
    <row r="495" ht="15.75" customHeight="1">
      <c r="C495" s="166"/>
      <c r="D495" s="166"/>
      <c r="G495" s="312"/>
      <c r="AJ495" s="102"/>
    </row>
    <row r="496" ht="15.75" customHeight="1">
      <c r="C496" s="166"/>
      <c r="D496" s="166"/>
      <c r="G496" s="312"/>
      <c r="AJ496" s="102"/>
    </row>
    <row r="497" ht="15.75" customHeight="1">
      <c r="C497" s="166"/>
      <c r="D497" s="166"/>
      <c r="G497" s="312"/>
      <c r="AJ497" s="102"/>
    </row>
    <row r="498" ht="15.75" customHeight="1">
      <c r="C498" s="166"/>
      <c r="D498" s="166"/>
      <c r="G498" s="312"/>
      <c r="AJ498" s="102"/>
    </row>
    <row r="499" ht="15.75" customHeight="1">
      <c r="C499" s="166"/>
      <c r="D499" s="166"/>
      <c r="G499" s="312"/>
      <c r="AJ499" s="102"/>
    </row>
    <row r="500" ht="15.75" customHeight="1">
      <c r="C500" s="166"/>
      <c r="D500" s="166"/>
      <c r="G500" s="312"/>
      <c r="AJ500" s="102"/>
    </row>
    <row r="501" ht="15.75" customHeight="1">
      <c r="C501" s="166"/>
      <c r="D501" s="166"/>
      <c r="G501" s="312"/>
      <c r="AJ501" s="102"/>
    </row>
    <row r="502" ht="15.75" customHeight="1">
      <c r="C502" s="166"/>
      <c r="D502" s="166"/>
      <c r="G502" s="312"/>
      <c r="AJ502" s="102"/>
    </row>
    <row r="503" ht="15.75" customHeight="1">
      <c r="C503" s="166"/>
      <c r="D503" s="166"/>
      <c r="G503" s="312"/>
      <c r="AJ503" s="102"/>
    </row>
    <row r="504" ht="15.75" customHeight="1">
      <c r="C504" s="166"/>
      <c r="D504" s="166"/>
      <c r="G504" s="312"/>
      <c r="AJ504" s="102"/>
    </row>
    <row r="505" ht="15.75" customHeight="1">
      <c r="C505" s="166"/>
      <c r="D505" s="166"/>
      <c r="G505" s="312"/>
      <c r="AJ505" s="102"/>
    </row>
    <row r="506" ht="15.75" customHeight="1">
      <c r="C506" s="166"/>
      <c r="D506" s="166"/>
      <c r="G506" s="312"/>
      <c r="AJ506" s="102"/>
    </row>
    <row r="507" ht="15.75" customHeight="1">
      <c r="C507" s="166"/>
      <c r="D507" s="166"/>
      <c r="G507" s="312"/>
      <c r="AJ507" s="102"/>
    </row>
    <row r="508" ht="15.75" customHeight="1">
      <c r="C508" s="166"/>
      <c r="D508" s="166"/>
      <c r="G508" s="312"/>
      <c r="AJ508" s="102"/>
    </row>
    <row r="509" ht="15.75" customHeight="1">
      <c r="C509" s="166"/>
      <c r="D509" s="166"/>
      <c r="G509" s="312"/>
      <c r="AJ509" s="102"/>
    </row>
    <row r="510" ht="15.75" customHeight="1">
      <c r="C510" s="166"/>
      <c r="D510" s="166"/>
      <c r="G510" s="312"/>
      <c r="AJ510" s="102"/>
    </row>
    <row r="511" ht="15.75" customHeight="1">
      <c r="C511" s="166"/>
      <c r="D511" s="166"/>
      <c r="G511" s="312"/>
      <c r="AJ511" s="102"/>
    </row>
    <row r="512" ht="15.75" customHeight="1">
      <c r="C512" s="166"/>
      <c r="D512" s="166"/>
      <c r="G512" s="312"/>
      <c r="AJ512" s="102"/>
    </row>
    <row r="513" ht="15.75" customHeight="1">
      <c r="C513" s="166"/>
      <c r="D513" s="166"/>
      <c r="G513" s="312"/>
      <c r="AJ513" s="102"/>
    </row>
    <row r="514" ht="15.75" customHeight="1">
      <c r="C514" s="166"/>
      <c r="D514" s="166"/>
      <c r="G514" s="312"/>
      <c r="AJ514" s="102"/>
    </row>
    <row r="515" ht="15.75" customHeight="1">
      <c r="C515" s="166"/>
      <c r="D515" s="166"/>
      <c r="G515" s="312"/>
      <c r="AJ515" s="102"/>
    </row>
    <row r="516" ht="15.75" customHeight="1">
      <c r="C516" s="166"/>
      <c r="D516" s="166"/>
      <c r="G516" s="312"/>
      <c r="AJ516" s="102"/>
    </row>
    <row r="517" ht="15.75" customHeight="1">
      <c r="C517" s="166"/>
      <c r="D517" s="166"/>
      <c r="G517" s="312"/>
      <c r="AJ517" s="102"/>
    </row>
    <row r="518" ht="15.75" customHeight="1">
      <c r="C518" s="166"/>
      <c r="D518" s="166"/>
      <c r="G518" s="312"/>
      <c r="AJ518" s="102"/>
    </row>
    <row r="519" ht="15.75" customHeight="1">
      <c r="C519" s="166"/>
      <c r="D519" s="166"/>
      <c r="G519" s="312"/>
      <c r="AJ519" s="102"/>
    </row>
    <row r="520" ht="15.75" customHeight="1">
      <c r="C520" s="166"/>
      <c r="D520" s="166"/>
      <c r="G520" s="312"/>
      <c r="AJ520" s="102"/>
    </row>
    <row r="521" ht="15.75" customHeight="1">
      <c r="C521" s="166"/>
      <c r="D521" s="166"/>
      <c r="G521" s="312"/>
      <c r="AJ521" s="102"/>
    </row>
    <row r="522" ht="15.75" customHeight="1">
      <c r="C522" s="166"/>
      <c r="D522" s="166"/>
      <c r="G522" s="312"/>
      <c r="AJ522" s="102"/>
    </row>
    <row r="523" ht="15.75" customHeight="1">
      <c r="C523" s="166"/>
      <c r="D523" s="166"/>
      <c r="G523" s="312"/>
      <c r="AJ523" s="102"/>
    </row>
    <row r="524" ht="15.75" customHeight="1">
      <c r="C524" s="166"/>
      <c r="D524" s="166"/>
      <c r="G524" s="312"/>
      <c r="AJ524" s="102"/>
    </row>
    <row r="525" ht="15.75" customHeight="1">
      <c r="C525" s="166"/>
      <c r="D525" s="166"/>
      <c r="G525" s="312"/>
      <c r="AJ525" s="102"/>
    </row>
    <row r="526" ht="15.75" customHeight="1">
      <c r="C526" s="166"/>
      <c r="D526" s="166"/>
      <c r="G526" s="312"/>
      <c r="AJ526" s="102"/>
    </row>
    <row r="527" ht="15.75" customHeight="1">
      <c r="C527" s="166"/>
      <c r="D527" s="166"/>
      <c r="G527" s="312"/>
      <c r="AJ527" s="102"/>
    </row>
    <row r="528" ht="15.75" customHeight="1">
      <c r="C528" s="166"/>
      <c r="D528" s="166"/>
      <c r="G528" s="312"/>
      <c r="AJ528" s="102"/>
    </row>
    <row r="529" ht="15.75" customHeight="1">
      <c r="C529" s="166"/>
      <c r="D529" s="166"/>
      <c r="G529" s="312"/>
      <c r="AJ529" s="102"/>
    </row>
    <row r="530" ht="15.75" customHeight="1">
      <c r="C530" s="166"/>
      <c r="D530" s="166"/>
      <c r="G530" s="312"/>
      <c r="AJ530" s="102"/>
    </row>
    <row r="531" ht="15.75" customHeight="1">
      <c r="C531" s="166"/>
      <c r="D531" s="166"/>
      <c r="G531" s="312"/>
      <c r="AJ531" s="102"/>
    </row>
    <row r="532" ht="15.75" customHeight="1">
      <c r="C532" s="166"/>
      <c r="D532" s="166"/>
      <c r="G532" s="312"/>
      <c r="AJ532" s="102"/>
    </row>
    <row r="533" ht="15.75" customHeight="1">
      <c r="C533" s="166"/>
      <c r="D533" s="166"/>
      <c r="G533" s="312"/>
      <c r="AJ533" s="102"/>
    </row>
    <row r="534" ht="15.75" customHeight="1">
      <c r="C534" s="166"/>
      <c r="D534" s="166"/>
      <c r="G534" s="312"/>
      <c r="AJ534" s="102"/>
    </row>
    <row r="535" ht="15.75" customHeight="1">
      <c r="C535" s="166"/>
      <c r="D535" s="166"/>
      <c r="G535" s="312"/>
      <c r="AJ535" s="102"/>
    </row>
    <row r="536" ht="15.75" customHeight="1">
      <c r="C536" s="166"/>
      <c r="D536" s="166"/>
      <c r="G536" s="312"/>
      <c r="AJ536" s="102"/>
    </row>
    <row r="537" ht="15.75" customHeight="1">
      <c r="C537" s="166"/>
      <c r="D537" s="166"/>
      <c r="G537" s="312"/>
      <c r="AJ537" s="102"/>
    </row>
    <row r="538" ht="15.75" customHeight="1">
      <c r="C538" s="166"/>
      <c r="D538" s="166"/>
      <c r="G538" s="312"/>
      <c r="AJ538" s="102"/>
    </row>
    <row r="539" ht="15.75" customHeight="1">
      <c r="C539" s="166"/>
      <c r="D539" s="166"/>
      <c r="G539" s="312"/>
      <c r="AJ539" s="102"/>
    </row>
    <row r="540" ht="15.75" customHeight="1">
      <c r="C540" s="166"/>
      <c r="D540" s="166"/>
      <c r="G540" s="312"/>
      <c r="AJ540" s="102"/>
    </row>
    <row r="541" ht="15.75" customHeight="1">
      <c r="C541" s="166"/>
      <c r="D541" s="166"/>
      <c r="G541" s="312"/>
      <c r="AJ541" s="102"/>
    </row>
    <row r="542" ht="15.75" customHeight="1">
      <c r="C542" s="166"/>
      <c r="D542" s="166"/>
      <c r="G542" s="312"/>
      <c r="AJ542" s="102"/>
    </row>
    <row r="543" ht="15.75" customHeight="1">
      <c r="C543" s="166"/>
      <c r="D543" s="166"/>
      <c r="G543" s="312"/>
      <c r="AJ543" s="102"/>
    </row>
    <row r="544" ht="15.75" customHeight="1">
      <c r="C544" s="166"/>
      <c r="D544" s="166"/>
      <c r="G544" s="312"/>
      <c r="AJ544" s="102"/>
    </row>
    <row r="545" ht="15.75" customHeight="1">
      <c r="C545" s="166"/>
      <c r="D545" s="166"/>
      <c r="G545" s="312"/>
      <c r="AJ545" s="102"/>
    </row>
    <row r="546" ht="15.75" customHeight="1">
      <c r="C546" s="166"/>
      <c r="D546" s="166"/>
      <c r="G546" s="312"/>
      <c r="AJ546" s="102"/>
    </row>
    <row r="547" ht="15.75" customHeight="1">
      <c r="C547" s="166"/>
      <c r="D547" s="166"/>
      <c r="G547" s="312"/>
      <c r="AJ547" s="102"/>
    </row>
    <row r="548" ht="15.75" customHeight="1">
      <c r="C548" s="166"/>
      <c r="D548" s="166"/>
      <c r="G548" s="312"/>
      <c r="AJ548" s="102"/>
    </row>
    <row r="549" ht="15.75" customHeight="1">
      <c r="C549" s="166"/>
      <c r="D549" s="166"/>
      <c r="G549" s="312"/>
      <c r="AJ549" s="102"/>
    </row>
    <row r="550" ht="15.75" customHeight="1">
      <c r="C550" s="166"/>
      <c r="D550" s="166"/>
      <c r="G550" s="312"/>
      <c r="AJ550" s="102"/>
    </row>
    <row r="551" ht="15.75" customHeight="1">
      <c r="C551" s="166"/>
      <c r="D551" s="166"/>
      <c r="G551" s="312"/>
      <c r="AJ551" s="102"/>
    </row>
    <row r="552" ht="15.75" customHeight="1">
      <c r="C552" s="166"/>
      <c r="D552" s="166"/>
      <c r="G552" s="312"/>
      <c r="AJ552" s="102"/>
    </row>
    <row r="553" ht="15.75" customHeight="1">
      <c r="C553" s="166"/>
      <c r="D553" s="166"/>
      <c r="G553" s="312"/>
      <c r="AJ553" s="102"/>
    </row>
    <row r="554" ht="15.75" customHeight="1">
      <c r="C554" s="166"/>
      <c r="D554" s="166"/>
      <c r="G554" s="312"/>
      <c r="AJ554" s="102"/>
    </row>
    <row r="555" ht="15.75" customHeight="1">
      <c r="C555" s="166"/>
      <c r="D555" s="166"/>
      <c r="G555" s="312"/>
      <c r="AJ555" s="102"/>
    </row>
    <row r="556" ht="15.75" customHeight="1">
      <c r="C556" s="166"/>
      <c r="D556" s="166"/>
      <c r="G556" s="312"/>
      <c r="AJ556" s="102"/>
    </row>
    <row r="557" ht="15.75" customHeight="1">
      <c r="C557" s="166"/>
      <c r="D557" s="166"/>
      <c r="G557" s="312"/>
      <c r="AJ557" s="102"/>
    </row>
    <row r="558" ht="15.75" customHeight="1">
      <c r="C558" s="166"/>
      <c r="D558" s="166"/>
      <c r="G558" s="312"/>
      <c r="AJ558" s="102"/>
    </row>
    <row r="559" ht="15.75" customHeight="1">
      <c r="C559" s="166"/>
      <c r="D559" s="166"/>
      <c r="G559" s="312"/>
      <c r="AJ559" s="102"/>
    </row>
    <row r="560" ht="15.75" customHeight="1">
      <c r="C560" s="166"/>
      <c r="D560" s="166"/>
      <c r="G560" s="312"/>
      <c r="AJ560" s="102"/>
    </row>
    <row r="561" ht="15.75" customHeight="1">
      <c r="C561" s="166"/>
      <c r="D561" s="166"/>
      <c r="G561" s="312"/>
      <c r="AJ561" s="102"/>
    </row>
    <row r="562" ht="15.75" customHeight="1">
      <c r="C562" s="166"/>
      <c r="D562" s="166"/>
      <c r="G562" s="312"/>
      <c r="AJ562" s="102"/>
    </row>
    <row r="563" ht="15.75" customHeight="1">
      <c r="C563" s="166"/>
      <c r="D563" s="166"/>
      <c r="G563" s="312"/>
      <c r="AJ563" s="102"/>
    </row>
    <row r="564" ht="15.75" customHeight="1">
      <c r="C564" s="166"/>
      <c r="D564" s="166"/>
      <c r="G564" s="312"/>
      <c r="AJ564" s="102"/>
    </row>
    <row r="565" ht="15.75" customHeight="1">
      <c r="C565" s="166"/>
      <c r="D565" s="166"/>
      <c r="G565" s="312"/>
      <c r="AJ565" s="102"/>
    </row>
    <row r="566" ht="15.75" customHeight="1">
      <c r="C566" s="166"/>
      <c r="D566" s="166"/>
      <c r="G566" s="312"/>
      <c r="AJ566" s="102"/>
    </row>
    <row r="567" ht="15.75" customHeight="1">
      <c r="C567" s="166"/>
      <c r="D567" s="166"/>
      <c r="G567" s="312"/>
      <c r="AJ567" s="102"/>
    </row>
    <row r="568" ht="15.75" customHeight="1">
      <c r="C568" s="166"/>
      <c r="D568" s="166"/>
      <c r="G568" s="312"/>
      <c r="AJ568" s="102"/>
    </row>
    <row r="569" ht="15.75" customHeight="1">
      <c r="C569" s="166"/>
      <c r="D569" s="166"/>
      <c r="G569" s="312"/>
      <c r="AJ569" s="102"/>
    </row>
    <row r="570" ht="15.75" customHeight="1">
      <c r="C570" s="166"/>
      <c r="D570" s="166"/>
      <c r="G570" s="312"/>
      <c r="AJ570" s="102"/>
    </row>
    <row r="571" ht="15.75" customHeight="1">
      <c r="C571" s="166"/>
      <c r="D571" s="166"/>
      <c r="G571" s="312"/>
      <c r="AJ571" s="102"/>
    </row>
    <row r="572" ht="15.75" customHeight="1">
      <c r="C572" s="166"/>
      <c r="D572" s="166"/>
      <c r="G572" s="312"/>
      <c r="AJ572" s="102"/>
    </row>
    <row r="573" ht="15.75" customHeight="1">
      <c r="C573" s="166"/>
      <c r="D573" s="166"/>
      <c r="G573" s="312"/>
      <c r="AJ573" s="102"/>
    </row>
    <row r="574" ht="15.75" customHeight="1">
      <c r="C574" s="166"/>
      <c r="D574" s="166"/>
      <c r="G574" s="312"/>
      <c r="AJ574" s="102"/>
    </row>
    <row r="575" ht="15.75" customHeight="1">
      <c r="C575" s="166"/>
      <c r="D575" s="166"/>
      <c r="G575" s="312"/>
      <c r="AJ575" s="102"/>
    </row>
    <row r="576" ht="15.75" customHeight="1">
      <c r="C576" s="166"/>
      <c r="D576" s="166"/>
      <c r="G576" s="312"/>
      <c r="AJ576" s="102"/>
    </row>
    <row r="577" ht="15.75" customHeight="1">
      <c r="C577" s="166"/>
      <c r="D577" s="166"/>
      <c r="G577" s="312"/>
      <c r="AJ577" s="102"/>
    </row>
    <row r="578" ht="15.75" customHeight="1">
      <c r="C578" s="166"/>
      <c r="D578" s="166"/>
      <c r="G578" s="312"/>
      <c r="AJ578" s="102"/>
    </row>
    <row r="579" ht="15.75" customHeight="1">
      <c r="C579" s="166"/>
      <c r="D579" s="166"/>
      <c r="G579" s="312"/>
      <c r="AJ579" s="102"/>
    </row>
    <row r="580" ht="15.75" customHeight="1">
      <c r="C580" s="166"/>
      <c r="D580" s="166"/>
      <c r="G580" s="312"/>
      <c r="AJ580" s="102"/>
    </row>
    <row r="581" ht="15.75" customHeight="1">
      <c r="C581" s="166"/>
      <c r="D581" s="166"/>
      <c r="G581" s="312"/>
      <c r="AJ581" s="102"/>
    </row>
    <row r="582" ht="15.75" customHeight="1">
      <c r="C582" s="166"/>
      <c r="D582" s="166"/>
      <c r="G582" s="312"/>
      <c r="AJ582" s="102"/>
    </row>
    <row r="583" ht="15.75" customHeight="1">
      <c r="C583" s="166"/>
      <c r="D583" s="166"/>
      <c r="G583" s="312"/>
      <c r="AJ583" s="102"/>
    </row>
    <row r="584" ht="15.75" customHeight="1">
      <c r="C584" s="166"/>
      <c r="D584" s="166"/>
      <c r="G584" s="312"/>
      <c r="AJ584" s="102"/>
    </row>
    <row r="585" ht="15.75" customHeight="1">
      <c r="C585" s="166"/>
      <c r="D585" s="166"/>
      <c r="G585" s="312"/>
      <c r="AJ585" s="102"/>
    </row>
    <row r="586" ht="15.75" customHeight="1">
      <c r="C586" s="166"/>
      <c r="D586" s="166"/>
      <c r="G586" s="312"/>
      <c r="AJ586" s="102"/>
    </row>
    <row r="587" ht="15.75" customHeight="1">
      <c r="C587" s="166"/>
      <c r="D587" s="166"/>
      <c r="G587" s="312"/>
      <c r="AJ587" s="102"/>
    </row>
    <row r="588" ht="15.75" customHeight="1">
      <c r="C588" s="166"/>
      <c r="D588" s="166"/>
      <c r="G588" s="312"/>
      <c r="AJ588" s="102"/>
    </row>
    <row r="589" ht="15.75" customHeight="1">
      <c r="C589" s="166"/>
      <c r="D589" s="166"/>
      <c r="G589" s="312"/>
      <c r="AJ589" s="102"/>
    </row>
    <row r="590" ht="15.75" customHeight="1">
      <c r="C590" s="166"/>
      <c r="D590" s="166"/>
      <c r="G590" s="312"/>
      <c r="AJ590" s="102"/>
    </row>
    <row r="591" ht="15.75" customHeight="1">
      <c r="C591" s="166"/>
      <c r="D591" s="166"/>
      <c r="G591" s="312"/>
      <c r="AJ591" s="102"/>
    </row>
    <row r="592" ht="15.75" customHeight="1">
      <c r="C592" s="166"/>
      <c r="D592" s="166"/>
      <c r="G592" s="312"/>
      <c r="AJ592" s="102"/>
    </row>
    <row r="593" ht="15.75" customHeight="1">
      <c r="C593" s="166"/>
      <c r="D593" s="166"/>
      <c r="G593" s="312"/>
      <c r="AJ593" s="102"/>
    </row>
    <row r="594" ht="15.75" customHeight="1">
      <c r="C594" s="166"/>
      <c r="D594" s="166"/>
      <c r="G594" s="312"/>
      <c r="AJ594" s="102"/>
    </row>
    <row r="595" ht="15.75" customHeight="1">
      <c r="C595" s="166"/>
      <c r="D595" s="166"/>
      <c r="G595" s="312"/>
      <c r="AJ595" s="102"/>
    </row>
    <row r="596" ht="15.75" customHeight="1">
      <c r="C596" s="166"/>
      <c r="D596" s="166"/>
      <c r="G596" s="312"/>
      <c r="AJ596" s="102"/>
    </row>
    <row r="597" ht="15.75" customHeight="1">
      <c r="C597" s="166"/>
      <c r="D597" s="166"/>
      <c r="G597" s="312"/>
      <c r="AJ597" s="102"/>
    </row>
    <row r="598" ht="15.75" customHeight="1">
      <c r="C598" s="166"/>
      <c r="D598" s="166"/>
      <c r="G598" s="312"/>
      <c r="AJ598" s="102"/>
    </row>
    <row r="599" ht="15.75" customHeight="1">
      <c r="C599" s="166"/>
      <c r="D599" s="166"/>
      <c r="G599" s="312"/>
      <c r="AJ599" s="102"/>
    </row>
    <row r="600" ht="15.75" customHeight="1">
      <c r="C600" s="166"/>
      <c r="D600" s="166"/>
      <c r="G600" s="312"/>
      <c r="AJ600" s="102"/>
    </row>
    <row r="601" ht="15.75" customHeight="1">
      <c r="C601" s="166"/>
      <c r="D601" s="166"/>
      <c r="G601" s="312"/>
      <c r="AJ601" s="102"/>
    </row>
    <row r="602" ht="15.75" customHeight="1">
      <c r="C602" s="166"/>
      <c r="D602" s="166"/>
      <c r="G602" s="312"/>
      <c r="AJ602" s="102"/>
    </row>
    <row r="603" ht="15.75" customHeight="1">
      <c r="C603" s="166"/>
      <c r="D603" s="166"/>
      <c r="G603" s="312"/>
      <c r="AJ603" s="102"/>
    </row>
    <row r="604" ht="15.75" customHeight="1">
      <c r="C604" s="166"/>
      <c r="D604" s="166"/>
      <c r="G604" s="312"/>
      <c r="AJ604" s="102"/>
    </row>
    <row r="605" ht="15.75" customHeight="1">
      <c r="C605" s="166"/>
      <c r="D605" s="166"/>
      <c r="G605" s="312"/>
      <c r="AJ605" s="102"/>
    </row>
    <row r="606" ht="15.75" customHeight="1">
      <c r="C606" s="166"/>
      <c r="D606" s="166"/>
      <c r="G606" s="312"/>
      <c r="AJ606" s="102"/>
    </row>
    <row r="607" ht="15.75" customHeight="1">
      <c r="C607" s="166"/>
      <c r="D607" s="166"/>
      <c r="G607" s="312"/>
      <c r="AJ607" s="102"/>
    </row>
    <row r="608" ht="15.75" customHeight="1">
      <c r="C608" s="166"/>
      <c r="D608" s="166"/>
      <c r="G608" s="312"/>
      <c r="AJ608" s="102"/>
    </row>
    <row r="609" ht="15.75" customHeight="1">
      <c r="C609" s="166"/>
      <c r="D609" s="166"/>
      <c r="G609" s="312"/>
      <c r="AJ609" s="102"/>
    </row>
    <row r="610" ht="15.75" customHeight="1">
      <c r="C610" s="166"/>
      <c r="D610" s="166"/>
      <c r="G610" s="312"/>
      <c r="AJ610" s="102"/>
    </row>
    <row r="611" ht="15.75" customHeight="1">
      <c r="C611" s="166"/>
      <c r="D611" s="166"/>
      <c r="G611" s="312"/>
      <c r="AJ611" s="102"/>
    </row>
    <row r="612" ht="15.75" customHeight="1">
      <c r="C612" s="166"/>
      <c r="D612" s="166"/>
      <c r="G612" s="312"/>
      <c r="AJ612" s="102"/>
    </row>
    <row r="613" ht="15.75" customHeight="1">
      <c r="C613" s="166"/>
      <c r="D613" s="166"/>
      <c r="G613" s="312"/>
      <c r="AJ613" s="102"/>
    </row>
    <row r="614" ht="15.75" customHeight="1">
      <c r="C614" s="166"/>
      <c r="D614" s="166"/>
      <c r="G614" s="312"/>
      <c r="AJ614" s="102"/>
    </row>
    <row r="615" ht="15.75" customHeight="1">
      <c r="C615" s="166"/>
      <c r="D615" s="166"/>
      <c r="G615" s="312"/>
      <c r="AJ615" s="102"/>
    </row>
    <row r="616" ht="15.75" customHeight="1">
      <c r="C616" s="166"/>
      <c r="D616" s="166"/>
      <c r="G616" s="312"/>
      <c r="AJ616" s="102"/>
    </row>
    <row r="617" ht="15.75" customHeight="1">
      <c r="C617" s="166"/>
      <c r="D617" s="166"/>
      <c r="G617" s="312"/>
      <c r="AJ617" s="102"/>
    </row>
    <row r="618" ht="15.75" customHeight="1">
      <c r="C618" s="166"/>
      <c r="D618" s="166"/>
      <c r="G618" s="312"/>
      <c r="AJ618" s="102"/>
    </row>
    <row r="619" ht="15.75" customHeight="1">
      <c r="C619" s="166"/>
      <c r="D619" s="166"/>
      <c r="G619" s="312"/>
      <c r="AJ619" s="102"/>
    </row>
    <row r="620" ht="15.75" customHeight="1">
      <c r="C620" s="166"/>
      <c r="D620" s="166"/>
      <c r="G620" s="312"/>
      <c r="AJ620" s="102"/>
    </row>
    <row r="621" ht="15.75" customHeight="1">
      <c r="C621" s="166"/>
      <c r="D621" s="166"/>
      <c r="G621" s="312"/>
      <c r="AJ621" s="102"/>
    </row>
    <row r="622" ht="15.75" customHeight="1">
      <c r="C622" s="166"/>
      <c r="D622" s="166"/>
      <c r="G622" s="312"/>
      <c r="AJ622" s="102"/>
    </row>
    <row r="623" ht="15.75" customHeight="1">
      <c r="C623" s="166"/>
      <c r="D623" s="166"/>
      <c r="G623" s="312"/>
      <c r="AJ623" s="102"/>
    </row>
    <row r="624" ht="15.75" customHeight="1">
      <c r="C624" s="166"/>
      <c r="D624" s="166"/>
      <c r="G624" s="312"/>
      <c r="AJ624" s="102"/>
    </row>
    <row r="625" ht="15.75" customHeight="1">
      <c r="C625" s="166"/>
      <c r="D625" s="166"/>
      <c r="G625" s="312"/>
      <c r="AJ625" s="102"/>
    </row>
    <row r="626" ht="15.75" customHeight="1">
      <c r="C626" s="166"/>
      <c r="D626" s="166"/>
      <c r="G626" s="312"/>
      <c r="AJ626" s="102"/>
    </row>
    <row r="627" ht="15.75" customHeight="1">
      <c r="C627" s="166"/>
      <c r="D627" s="166"/>
      <c r="G627" s="312"/>
      <c r="AJ627" s="102"/>
    </row>
    <row r="628" ht="15.75" customHeight="1">
      <c r="C628" s="166"/>
      <c r="D628" s="166"/>
      <c r="G628" s="312"/>
      <c r="AJ628" s="102"/>
    </row>
    <row r="629" ht="15.75" customHeight="1">
      <c r="C629" s="166"/>
      <c r="D629" s="166"/>
      <c r="G629" s="312"/>
      <c r="AJ629" s="102"/>
    </row>
    <row r="630" ht="15.75" customHeight="1">
      <c r="C630" s="166"/>
      <c r="D630" s="166"/>
      <c r="G630" s="312"/>
      <c r="AJ630" s="102"/>
    </row>
    <row r="631" ht="15.75" customHeight="1">
      <c r="C631" s="166"/>
      <c r="D631" s="166"/>
      <c r="G631" s="312"/>
      <c r="AJ631" s="102"/>
    </row>
    <row r="632" ht="15.75" customHeight="1">
      <c r="C632" s="166"/>
      <c r="D632" s="166"/>
      <c r="G632" s="312"/>
      <c r="AJ632" s="102"/>
    </row>
    <row r="633" ht="15.75" customHeight="1">
      <c r="C633" s="166"/>
      <c r="D633" s="166"/>
      <c r="G633" s="312"/>
      <c r="AJ633" s="102"/>
    </row>
    <row r="634" ht="15.75" customHeight="1">
      <c r="C634" s="166"/>
      <c r="D634" s="166"/>
      <c r="G634" s="312"/>
      <c r="AJ634" s="102"/>
    </row>
    <row r="635" ht="15.75" customHeight="1">
      <c r="C635" s="166"/>
      <c r="D635" s="166"/>
      <c r="G635" s="312"/>
      <c r="AJ635" s="102"/>
    </row>
    <row r="636" ht="15.75" customHeight="1">
      <c r="C636" s="166"/>
      <c r="D636" s="166"/>
      <c r="G636" s="312"/>
      <c r="AJ636" s="102"/>
    </row>
    <row r="637" ht="15.75" customHeight="1">
      <c r="C637" s="166"/>
      <c r="D637" s="166"/>
      <c r="G637" s="312"/>
      <c r="AJ637" s="102"/>
    </row>
    <row r="638" ht="15.75" customHeight="1">
      <c r="C638" s="166"/>
      <c r="D638" s="166"/>
      <c r="G638" s="312"/>
      <c r="AJ638" s="102"/>
    </row>
    <row r="639" ht="15.75" customHeight="1">
      <c r="C639" s="166"/>
      <c r="D639" s="166"/>
      <c r="G639" s="312"/>
      <c r="AJ639" s="102"/>
    </row>
    <row r="640" ht="15.75" customHeight="1">
      <c r="C640" s="166"/>
      <c r="D640" s="166"/>
      <c r="G640" s="312"/>
      <c r="AJ640" s="102"/>
    </row>
    <row r="641" ht="15.75" customHeight="1">
      <c r="C641" s="166"/>
      <c r="D641" s="166"/>
      <c r="G641" s="312"/>
      <c r="AJ641" s="102"/>
    </row>
    <row r="642" ht="15.75" customHeight="1">
      <c r="C642" s="166"/>
      <c r="D642" s="166"/>
      <c r="G642" s="312"/>
      <c r="AJ642" s="102"/>
    </row>
    <row r="643" ht="15.75" customHeight="1">
      <c r="C643" s="166"/>
      <c r="D643" s="166"/>
      <c r="G643" s="312"/>
      <c r="AJ643" s="102"/>
    </row>
    <row r="644" ht="15.75" customHeight="1">
      <c r="C644" s="166"/>
      <c r="D644" s="166"/>
      <c r="G644" s="312"/>
      <c r="AJ644" s="102"/>
    </row>
    <row r="645" ht="15.75" customHeight="1">
      <c r="C645" s="166"/>
      <c r="D645" s="166"/>
      <c r="G645" s="312"/>
      <c r="AJ645" s="102"/>
    </row>
    <row r="646" ht="15.75" customHeight="1">
      <c r="C646" s="166"/>
      <c r="D646" s="166"/>
      <c r="G646" s="312"/>
      <c r="AJ646" s="102"/>
    </row>
    <row r="647" ht="15.75" customHeight="1">
      <c r="C647" s="166"/>
      <c r="D647" s="166"/>
      <c r="G647" s="312"/>
      <c r="AJ647" s="102"/>
    </row>
    <row r="648" ht="15.75" customHeight="1">
      <c r="C648" s="166"/>
      <c r="D648" s="166"/>
      <c r="G648" s="312"/>
      <c r="AJ648" s="102"/>
    </row>
    <row r="649" ht="15.75" customHeight="1">
      <c r="C649" s="166"/>
      <c r="D649" s="166"/>
      <c r="G649" s="312"/>
      <c r="AJ649" s="102"/>
    </row>
    <row r="650" ht="15.75" customHeight="1">
      <c r="C650" s="166"/>
      <c r="D650" s="166"/>
      <c r="G650" s="312"/>
      <c r="AJ650" s="102"/>
    </row>
    <row r="651" ht="15.75" customHeight="1">
      <c r="C651" s="166"/>
      <c r="D651" s="166"/>
      <c r="G651" s="312"/>
      <c r="AJ651" s="102"/>
    </row>
    <row r="652" ht="15.75" customHeight="1">
      <c r="C652" s="166"/>
      <c r="D652" s="166"/>
      <c r="G652" s="312"/>
      <c r="AJ652" s="102"/>
    </row>
    <row r="653" ht="15.75" customHeight="1">
      <c r="C653" s="166"/>
      <c r="D653" s="166"/>
      <c r="G653" s="312"/>
      <c r="AJ653" s="102"/>
    </row>
    <row r="654" ht="15.75" customHeight="1">
      <c r="C654" s="166"/>
      <c r="D654" s="166"/>
      <c r="G654" s="312"/>
      <c r="AJ654" s="102"/>
    </row>
    <row r="655" ht="15.75" customHeight="1">
      <c r="C655" s="166"/>
      <c r="D655" s="166"/>
      <c r="G655" s="312"/>
      <c r="AJ655" s="102"/>
    </row>
    <row r="656" ht="15.75" customHeight="1">
      <c r="C656" s="166"/>
      <c r="D656" s="166"/>
      <c r="G656" s="312"/>
      <c r="AJ656" s="102"/>
    </row>
    <row r="657" ht="15.75" customHeight="1">
      <c r="C657" s="166"/>
      <c r="D657" s="166"/>
      <c r="G657" s="312"/>
      <c r="AJ657" s="102"/>
    </row>
    <row r="658" ht="15.75" customHeight="1">
      <c r="C658" s="166"/>
      <c r="D658" s="166"/>
      <c r="G658" s="312"/>
      <c r="AJ658" s="102"/>
    </row>
    <row r="659" ht="15.75" customHeight="1">
      <c r="C659" s="166"/>
      <c r="D659" s="166"/>
      <c r="G659" s="312"/>
      <c r="AJ659" s="102"/>
    </row>
    <row r="660" ht="15.75" customHeight="1">
      <c r="C660" s="166"/>
      <c r="D660" s="166"/>
      <c r="G660" s="312"/>
      <c r="AJ660" s="102"/>
    </row>
    <row r="661" ht="15.75" customHeight="1">
      <c r="C661" s="166"/>
      <c r="D661" s="166"/>
      <c r="G661" s="312"/>
      <c r="AJ661" s="102"/>
    </row>
    <row r="662" ht="15.75" customHeight="1">
      <c r="C662" s="166"/>
      <c r="D662" s="166"/>
      <c r="G662" s="312"/>
      <c r="AJ662" s="102"/>
    </row>
    <row r="663" ht="15.75" customHeight="1">
      <c r="C663" s="166"/>
      <c r="D663" s="166"/>
      <c r="G663" s="312"/>
      <c r="AJ663" s="102"/>
    </row>
    <row r="664" ht="15.75" customHeight="1">
      <c r="C664" s="166"/>
      <c r="D664" s="166"/>
      <c r="G664" s="312"/>
      <c r="AJ664" s="102"/>
    </row>
    <row r="665" ht="15.75" customHeight="1">
      <c r="C665" s="166"/>
      <c r="D665" s="166"/>
      <c r="G665" s="312"/>
      <c r="AJ665" s="102"/>
    </row>
    <row r="666" ht="15.75" customHeight="1">
      <c r="C666" s="166"/>
      <c r="D666" s="166"/>
      <c r="G666" s="312"/>
      <c r="AJ666" s="102"/>
    </row>
    <row r="667" ht="15.75" customHeight="1">
      <c r="C667" s="166"/>
      <c r="D667" s="166"/>
      <c r="G667" s="312"/>
      <c r="AJ667" s="102"/>
    </row>
    <row r="668" ht="15.75" customHeight="1">
      <c r="C668" s="166"/>
      <c r="D668" s="166"/>
      <c r="G668" s="312"/>
      <c r="AJ668" s="102"/>
    </row>
    <row r="669" ht="15.75" customHeight="1">
      <c r="C669" s="166"/>
      <c r="D669" s="166"/>
      <c r="G669" s="312"/>
      <c r="AJ669" s="102"/>
    </row>
    <row r="670" ht="15.75" customHeight="1">
      <c r="C670" s="166"/>
      <c r="D670" s="166"/>
      <c r="G670" s="312"/>
      <c r="AJ670" s="102"/>
    </row>
    <row r="671" ht="15.75" customHeight="1">
      <c r="C671" s="166"/>
      <c r="D671" s="166"/>
      <c r="G671" s="312"/>
      <c r="AJ671" s="102"/>
    </row>
    <row r="672" ht="15.75" customHeight="1">
      <c r="C672" s="166"/>
      <c r="D672" s="166"/>
      <c r="G672" s="312"/>
      <c r="AJ672" s="102"/>
    </row>
    <row r="673" ht="15.75" customHeight="1">
      <c r="C673" s="166"/>
      <c r="D673" s="166"/>
      <c r="G673" s="312"/>
      <c r="AJ673" s="102"/>
    </row>
    <row r="674" ht="15.75" customHeight="1">
      <c r="C674" s="166"/>
      <c r="D674" s="166"/>
      <c r="G674" s="312"/>
      <c r="AJ674" s="102"/>
    </row>
    <row r="675" ht="15.75" customHeight="1">
      <c r="C675" s="166"/>
      <c r="D675" s="166"/>
      <c r="G675" s="312"/>
      <c r="AJ675" s="102"/>
    </row>
    <row r="676" ht="15.75" customHeight="1">
      <c r="C676" s="166"/>
      <c r="D676" s="166"/>
      <c r="G676" s="312"/>
      <c r="AJ676" s="102"/>
    </row>
    <row r="677" ht="15.75" customHeight="1">
      <c r="C677" s="166"/>
      <c r="D677" s="166"/>
      <c r="G677" s="312"/>
      <c r="AJ677" s="102"/>
    </row>
    <row r="678" ht="15.75" customHeight="1">
      <c r="C678" s="166"/>
      <c r="D678" s="166"/>
      <c r="G678" s="312"/>
      <c r="AJ678" s="102"/>
    </row>
    <row r="679" ht="15.75" customHeight="1">
      <c r="C679" s="166"/>
      <c r="D679" s="166"/>
      <c r="G679" s="312"/>
      <c r="AJ679" s="102"/>
    </row>
    <row r="680" ht="15.75" customHeight="1">
      <c r="C680" s="166"/>
      <c r="D680" s="166"/>
      <c r="G680" s="312"/>
      <c r="AJ680" s="102"/>
    </row>
    <row r="681" ht="15.75" customHeight="1">
      <c r="C681" s="166"/>
      <c r="D681" s="166"/>
      <c r="G681" s="312"/>
      <c r="AJ681" s="102"/>
    </row>
    <row r="682" ht="15.75" customHeight="1">
      <c r="C682" s="166"/>
      <c r="D682" s="166"/>
      <c r="G682" s="312"/>
      <c r="AJ682" s="102"/>
    </row>
    <row r="683" ht="15.75" customHeight="1">
      <c r="C683" s="166"/>
      <c r="D683" s="166"/>
      <c r="G683" s="312"/>
      <c r="AJ683" s="102"/>
    </row>
    <row r="684" ht="15.75" customHeight="1">
      <c r="C684" s="166"/>
      <c r="D684" s="166"/>
      <c r="G684" s="312"/>
      <c r="AJ684" s="102"/>
    </row>
    <row r="685" ht="15.75" customHeight="1">
      <c r="C685" s="166"/>
      <c r="D685" s="166"/>
      <c r="G685" s="312"/>
      <c r="AJ685" s="102"/>
    </row>
    <row r="686" ht="15.75" customHeight="1">
      <c r="C686" s="166"/>
      <c r="D686" s="166"/>
      <c r="G686" s="312"/>
      <c r="AJ686" s="102"/>
    </row>
    <row r="687" ht="15.75" customHeight="1">
      <c r="C687" s="166"/>
      <c r="D687" s="166"/>
      <c r="G687" s="312"/>
      <c r="AJ687" s="102"/>
    </row>
    <row r="688" ht="15.75" customHeight="1">
      <c r="C688" s="166"/>
      <c r="D688" s="166"/>
      <c r="G688" s="312"/>
      <c r="AJ688" s="102"/>
    </row>
    <row r="689" ht="15.75" customHeight="1">
      <c r="C689" s="166"/>
      <c r="D689" s="166"/>
      <c r="G689" s="312"/>
      <c r="AJ689" s="102"/>
    </row>
    <row r="690" ht="15.75" customHeight="1">
      <c r="C690" s="166"/>
      <c r="D690" s="166"/>
      <c r="G690" s="312"/>
      <c r="AJ690" s="102"/>
    </row>
    <row r="691" ht="15.75" customHeight="1">
      <c r="C691" s="166"/>
      <c r="D691" s="166"/>
      <c r="G691" s="312"/>
      <c r="AJ691" s="102"/>
    </row>
    <row r="692" ht="15.75" customHeight="1">
      <c r="C692" s="166"/>
      <c r="D692" s="166"/>
      <c r="G692" s="312"/>
      <c r="AJ692" s="102"/>
    </row>
    <row r="693" ht="15.75" customHeight="1">
      <c r="C693" s="166"/>
      <c r="D693" s="166"/>
      <c r="G693" s="312"/>
      <c r="AJ693" s="102"/>
    </row>
    <row r="694" ht="15.75" customHeight="1">
      <c r="C694" s="166"/>
      <c r="D694" s="166"/>
      <c r="G694" s="312"/>
      <c r="AJ694" s="102"/>
    </row>
    <row r="695" ht="15.75" customHeight="1">
      <c r="C695" s="166"/>
      <c r="D695" s="166"/>
      <c r="G695" s="312"/>
      <c r="AJ695" s="102"/>
    </row>
    <row r="696" ht="15.75" customHeight="1">
      <c r="C696" s="166"/>
      <c r="D696" s="166"/>
      <c r="G696" s="312"/>
      <c r="AJ696" s="102"/>
    </row>
    <row r="697" ht="15.75" customHeight="1">
      <c r="C697" s="166"/>
      <c r="D697" s="166"/>
      <c r="G697" s="312"/>
      <c r="AJ697" s="102"/>
    </row>
    <row r="698" ht="15.75" customHeight="1">
      <c r="C698" s="166"/>
      <c r="D698" s="166"/>
      <c r="G698" s="312"/>
      <c r="AJ698" s="102"/>
    </row>
    <row r="699" ht="15.75" customHeight="1">
      <c r="C699" s="166"/>
      <c r="D699" s="166"/>
      <c r="G699" s="312"/>
      <c r="AJ699" s="102"/>
    </row>
    <row r="700" ht="15.75" customHeight="1">
      <c r="C700" s="166"/>
      <c r="D700" s="166"/>
      <c r="G700" s="312"/>
      <c r="AJ700" s="102"/>
    </row>
    <row r="701" ht="15.75" customHeight="1">
      <c r="C701" s="166"/>
      <c r="D701" s="166"/>
      <c r="G701" s="312"/>
      <c r="AJ701" s="102"/>
    </row>
    <row r="702" ht="15.75" customHeight="1">
      <c r="C702" s="166"/>
      <c r="D702" s="166"/>
      <c r="G702" s="312"/>
      <c r="AJ702" s="102"/>
    </row>
    <row r="703" ht="15.75" customHeight="1">
      <c r="C703" s="166"/>
      <c r="D703" s="166"/>
      <c r="G703" s="312"/>
      <c r="AJ703" s="102"/>
    </row>
    <row r="704" ht="15.75" customHeight="1">
      <c r="C704" s="166"/>
      <c r="D704" s="166"/>
      <c r="G704" s="312"/>
      <c r="AJ704" s="102"/>
    </row>
    <row r="705" ht="15.75" customHeight="1">
      <c r="C705" s="166"/>
      <c r="D705" s="166"/>
      <c r="G705" s="312"/>
      <c r="AJ705" s="102"/>
    </row>
    <row r="706" ht="15.75" customHeight="1">
      <c r="C706" s="166"/>
      <c r="D706" s="166"/>
      <c r="G706" s="312"/>
      <c r="AJ706" s="102"/>
    </row>
    <row r="707" ht="15.75" customHeight="1">
      <c r="C707" s="166"/>
      <c r="D707" s="166"/>
      <c r="G707" s="312"/>
      <c r="AJ707" s="102"/>
    </row>
    <row r="708" ht="15.75" customHeight="1">
      <c r="C708" s="166"/>
      <c r="D708" s="166"/>
      <c r="G708" s="312"/>
      <c r="AJ708" s="102"/>
    </row>
    <row r="709" ht="15.75" customHeight="1">
      <c r="C709" s="166"/>
      <c r="D709" s="166"/>
      <c r="G709" s="312"/>
      <c r="AJ709" s="102"/>
    </row>
    <row r="710" ht="15.75" customHeight="1">
      <c r="C710" s="166"/>
      <c r="D710" s="166"/>
      <c r="G710" s="312"/>
      <c r="AJ710" s="102"/>
    </row>
    <row r="711" ht="15.75" customHeight="1">
      <c r="C711" s="166"/>
      <c r="D711" s="166"/>
      <c r="G711" s="312"/>
      <c r="AJ711" s="102"/>
    </row>
    <row r="712" ht="15.75" customHeight="1">
      <c r="C712" s="166"/>
      <c r="D712" s="166"/>
      <c r="G712" s="312"/>
      <c r="AJ712" s="102"/>
    </row>
    <row r="713" ht="15.75" customHeight="1">
      <c r="C713" s="166"/>
      <c r="D713" s="166"/>
      <c r="G713" s="312"/>
      <c r="AJ713" s="102"/>
    </row>
    <row r="714" ht="15.75" customHeight="1">
      <c r="C714" s="166"/>
      <c r="D714" s="166"/>
      <c r="G714" s="312"/>
      <c r="AJ714" s="102"/>
    </row>
    <row r="715" ht="15.75" customHeight="1">
      <c r="C715" s="166"/>
      <c r="D715" s="166"/>
      <c r="G715" s="312"/>
      <c r="AJ715" s="102"/>
    </row>
    <row r="716" ht="15.75" customHeight="1">
      <c r="C716" s="166"/>
      <c r="D716" s="166"/>
      <c r="G716" s="312"/>
      <c r="AJ716" s="102"/>
    </row>
    <row r="717" ht="15.75" customHeight="1">
      <c r="C717" s="166"/>
      <c r="D717" s="166"/>
      <c r="G717" s="312"/>
      <c r="AJ717" s="102"/>
    </row>
    <row r="718" ht="15.75" customHeight="1">
      <c r="C718" s="166"/>
      <c r="D718" s="166"/>
      <c r="G718" s="312"/>
      <c r="AJ718" s="102"/>
    </row>
    <row r="719" ht="15.75" customHeight="1">
      <c r="C719" s="166"/>
      <c r="D719" s="166"/>
      <c r="G719" s="312"/>
      <c r="AJ719" s="102"/>
    </row>
    <row r="720" ht="15.75" customHeight="1">
      <c r="C720" s="166"/>
      <c r="D720" s="166"/>
      <c r="G720" s="312"/>
      <c r="AJ720" s="102"/>
    </row>
    <row r="721" ht="15.75" customHeight="1">
      <c r="C721" s="166"/>
      <c r="D721" s="166"/>
      <c r="G721" s="312"/>
      <c r="AJ721" s="102"/>
    </row>
    <row r="722" ht="15.75" customHeight="1">
      <c r="C722" s="166"/>
      <c r="D722" s="166"/>
      <c r="G722" s="312"/>
      <c r="AJ722" s="102"/>
    </row>
    <row r="723" ht="15.75" customHeight="1">
      <c r="C723" s="166"/>
      <c r="D723" s="166"/>
      <c r="G723" s="312"/>
      <c r="AJ723" s="102"/>
    </row>
    <row r="724" ht="15.75" customHeight="1">
      <c r="C724" s="166"/>
      <c r="D724" s="166"/>
      <c r="G724" s="312"/>
      <c r="AJ724" s="102"/>
    </row>
    <row r="725" ht="15.75" customHeight="1">
      <c r="C725" s="166"/>
      <c r="D725" s="166"/>
      <c r="G725" s="312"/>
      <c r="AJ725" s="102"/>
    </row>
    <row r="726" ht="15.75" customHeight="1">
      <c r="C726" s="166"/>
      <c r="D726" s="166"/>
      <c r="G726" s="312"/>
      <c r="AJ726" s="102"/>
    </row>
    <row r="727" ht="15.75" customHeight="1">
      <c r="C727" s="166"/>
      <c r="D727" s="166"/>
      <c r="G727" s="312"/>
      <c r="AJ727" s="102"/>
    </row>
    <row r="728" ht="15.75" customHeight="1">
      <c r="C728" s="166"/>
      <c r="D728" s="166"/>
      <c r="G728" s="312"/>
      <c r="AJ728" s="102"/>
    </row>
    <row r="729" ht="15.75" customHeight="1">
      <c r="C729" s="166"/>
      <c r="D729" s="166"/>
      <c r="G729" s="312"/>
      <c r="AJ729" s="102"/>
    </row>
    <row r="730" ht="15.75" customHeight="1">
      <c r="C730" s="166"/>
      <c r="D730" s="166"/>
      <c r="G730" s="312"/>
      <c r="AJ730" s="102"/>
    </row>
    <row r="731" ht="15.75" customHeight="1">
      <c r="C731" s="166"/>
      <c r="D731" s="166"/>
      <c r="G731" s="312"/>
      <c r="AJ731" s="102"/>
    </row>
    <row r="732" ht="15.75" customHeight="1">
      <c r="C732" s="166"/>
      <c r="D732" s="166"/>
      <c r="G732" s="312"/>
      <c r="AJ732" s="102"/>
    </row>
    <row r="733" ht="15.75" customHeight="1">
      <c r="C733" s="166"/>
      <c r="D733" s="166"/>
      <c r="G733" s="312"/>
      <c r="AJ733" s="102"/>
    </row>
    <row r="734" ht="15.75" customHeight="1">
      <c r="C734" s="166"/>
      <c r="D734" s="166"/>
      <c r="G734" s="312"/>
      <c r="AJ734" s="102"/>
    </row>
    <row r="735" ht="15.75" customHeight="1">
      <c r="C735" s="166"/>
      <c r="D735" s="166"/>
      <c r="G735" s="312"/>
      <c r="AJ735" s="102"/>
    </row>
    <row r="736" ht="15.75" customHeight="1">
      <c r="C736" s="166"/>
      <c r="D736" s="166"/>
      <c r="G736" s="312"/>
      <c r="AJ736" s="102"/>
    </row>
    <row r="737" ht="15.75" customHeight="1">
      <c r="C737" s="166"/>
      <c r="D737" s="166"/>
      <c r="G737" s="312"/>
      <c r="AJ737" s="102"/>
    </row>
    <row r="738" ht="15.75" customHeight="1">
      <c r="C738" s="166"/>
      <c r="D738" s="166"/>
      <c r="G738" s="312"/>
      <c r="AJ738" s="102"/>
    </row>
    <row r="739" ht="15.75" customHeight="1">
      <c r="C739" s="166"/>
      <c r="D739" s="166"/>
      <c r="G739" s="312"/>
      <c r="AJ739" s="102"/>
    </row>
    <row r="740" ht="15.75" customHeight="1">
      <c r="C740" s="166"/>
      <c r="D740" s="166"/>
      <c r="G740" s="312"/>
      <c r="AJ740" s="102"/>
    </row>
    <row r="741" ht="15.75" customHeight="1">
      <c r="C741" s="166"/>
      <c r="D741" s="166"/>
      <c r="G741" s="312"/>
      <c r="AJ741" s="102"/>
    </row>
    <row r="742" ht="15.75" customHeight="1">
      <c r="C742" s="166"/>
      <c r="D742" s="166"/>
      <c r="G742" s="312"/>
      <c r="AJ742" s="102"/>
    </row>
    <row r="743" ht="15.75" customHeight="1">
      <c r="C743" s="166"/>
      <c r="D743" s="166"/>
      <c r="G743" s="312"/>
      <c r="AJ743" s="102"/>
    </row>
    <row r="744" ht="15.75" customHeight="1">
      <c r="C744" s="166"/>
      <c r="D744" s="166"/>
      <c r="G744" s="312"/>
      <c r="AJ744" s="102"/>
    </row>
    <row r="745" ht="15.75" customHeight="1">
      <c r="C745" s="166"/>
      <c r="D745" s="166"/>
      <c r="G745" s="312"/>
      <c r="AJ745" s="102"/>
    </row>
    <row r="746" ht="15.75" customHeight="1">
      <c r="C746" s="166"/>
      <c r="D746" s="166"/>
      <c r="G746" s="312"/>
      <c r="AJ746" s="102"/>
    </row>
    <row r="747" ht="15.75" customHeight="1">
      <c r="C747" s="166"/>
      <c r="D747" s="166"/>
      <c r="G747" s="312"/>
      <c r="AJ747" s="102"/>
    </row>
    <row r="748" ht="15.75" customHeight="1">
      <c r="C748" s="166"/>
      <c r="D748" s="166"/>
      <c r="G748" s="312"/>
      <c r="AJ748" s="102"/>
    </row>
    <row r="749" ht="15.75" customHeight="1">
      <c r="C749" s="166"/>
      <c r="D749" s="166"/>
      <c r="G749" s="312"/>
      <c r="AJ749" s="102"/>
    </row>
    <row r="750" ht="15.75" customHeight="1">
      <c r="C750" s="166"/>
      <c r="D750" s="166"/>
      <c r="G750" s="312"/>
      <c r="AJ750" s="102"/>
    </row>
    <row r="751" ht="15.75" customHeight="1">
      <c r="C751" s="166"/>
      <c r="D751" s="166"/>
      <c r="G751" s="312"/>
      <c r="AJ751" s="102"/>
    </row>
    <row r="752" ht="15.75" customHeight="1">
      <c r="C752" s="166"/>
      <c r="D752" s="166"/>
      <c r="G752" s="312"/>
      <c r="AJ752" s="102"/>
    </row>
    <row r="753" ht="15.75" customHeight="1">
      <c r="C753" s="166"/>
      <c r="D753" s="166"/>
      <c r="G753" s="312"/>
      <c r="AJ753" s="102"/>
    </row>
    <row r="754" ht="15.75" customHeight="1">
      <c r="C754" s="166"/>
      <c r="D754" s="166"/>
      <c r="G754" s="312"/>
      <c r="AJ754" s="102"/>
    </row>
    <row r="755" ht="15.75" customHeight="1">
      <c r="C755" s="166"/>
      <c r="D755" s="166"/>
      <c r="G755" s="312"/>
      <c r="AJ755" s="102"/>
    </row>
    <row r="756" ht="15.75" customHeight="1">
      <c r="C756" s="166"/>
      <c r="D756" s="166"/>
      <c r="G756" s="312"/>
      <c r="AJ756" s="102"/>
    </row>
    <row r="757" ht="15.75" customHeight="1">
      <c r="C757" s="166"/>
      <c r="D757" s="166"/>
      <c r="G757" s="312"/>
      <c r="AJ757" s="102"/>
    </row>
    <row r="758" ht="15.75" customHeight="1">
      <c r="C758" s="166"/>
      <c r="D758" s="166"/>
      <c r="G758" s="312"/>
      <c r="AJ758" s="102"/>
    </row>
    <row r="759" ht="15.75" customHeight="1">
      <c r="C759" s="166"/>
      <c r="D759" s="166"/>
      <c r="G759" s="312"/>
      <c r="AJ759" s="102"/>
    </row>
    <row r="760" ht="15.75" customHeight="1">
      <c r="C760" s="166"/>
      <c r="D760" s="166"/>
      <c r="G760" s="312"/>
      <c r="AJ760" s="102"/>
    </row>
    <row r="761" ht="15.75" customHeight="1">
      <c r="C761" s="166"/>
      <c r="D761" s="166"/>
      <c r="G761" s="312"/>
      <c r="AJ761" s="102"/>
    </row>
    <row r="762" ht="15.75" customHeight="1">
      <c r="C762" s="166"/>
      <c r="D762" s="166"/>
      <c r="G762" s="312"/>
      <c r="AJ762" s="102"/>
    </row>
    <row r="763" ht="15.75" customHeight="1">
      <c r="C763" s="166"/>
      <c r="D763" s="166"/>
      <c r="G763" s="312"/>
      <c r="AJ763" s="102"/>
    </row>
    <row r="764" ht="15.75" customHeight="1">
      <c r="C764" s="166"/>
      <c r="D764" s="166"/>
      <c r="G764" s="312"/>
      <c r="AJ764" s="102"/>
    </row>
    <row r="765" ht="15.75" customHeight="1">
      <c r="C765" s="166"/>
      <c r="D765" s="166"/>
      <c r="G765" s="312"/>
      <c r="AJ765" s="102"/>
    </row>
    <row r="766" ht="15.75" customHeight="1">
      <c r="C766" s="166"/>
      <c r="D766" s="166"/>
      <c r="G766" s="312"/>
      <c r="AJ766" s="102"/>
    </row>
    <row r="767" ht="15.75" customHeight="1">
      <c r="C767" s="166"/>
      <c r="D767" s="166"/>
      <c r="G767" s="312"/>
      <c r="AJ767" s="102"/>
    </row>
    <row r="768" ht="15.75" customHeight="1">
      <c r="C768" s="166"/>
      <c r="D768" s="166"/>
      <c r="G768" s="312"/>
      <c r="AJ768" s="102"/>
    </row>
    <row r="769" ht="15.75" customHeight="1">
      <c r="C769" s="166"/>
      <c r="D769" s="166"/>
      <c r="G769" s="312"/>
      <c r="AJ769" s="102"/>
    </row>
    <row r="770" ht="15.75" customHeight="1">
      <c r="C770" s="166"/>
      <c r="D770" s="166"/>
      <c r="G770" s="312"/>
      <c r="AJ770" s="102"/>
    </row>
    <row r="771" ht="15.75" customHeight="1">
      <c r="C771" s="166"/>
      <c r="D771" s="166"/>
      <c r="G771" s="312"/>
      <c r="AJ771" s="102"/>
    </row>
    <row r="772" ht="15.75" customHeight="1">
      <c r="C772" s="166"/>
      <c r="D772" s="166"/>
      <c r="G772" s="312"/>
      <c r="AJ772" s="102"/>
    </row>
    <row r="773" ht="15.75" customHeight="1">
      <c r="C773" s="166"/>
      <c r="D773" s="166"/>
      <c r="G773" s="312"/>
      <c r="AJ773" s="102"/>
    </row>
    <row r="774" ht="15.75" customHeight="1">
      <c r="C774" s="166"/>
      <c r="D774" s="166"/>
      <c r="G774" s="312"/>
      <c r="AJ774" s="102"/>
    </row>
    <row r="775" ht="15.75" customHeight="1">
      <c r="C775" s="166"/>
      <c r="D775" s="166"/>
      <c r="G775" s="312"/>
      <c r="AJ775" s="102"/>
    </row>
    <row r="776" ht="15.75" customHeight="1">
      <c r="C776" s="166"/>
      <c r="D776" s="166"/>
      <c r="G776" s="312"/>
      <c r="AJ776" s="102"/>
    </row>
    <row r="777" ht="15.75" customHeight="1">
      <c r="C777" s="166"/>
      <c r="D777" s="166"/>
      <c r="G777" s="312"/>
      <c r="AJ777" s="102"/>
    </row>
    <row r="778" ht="15.75" customHeight="1">
      <c r="C778" s="166"/>
      <c r="D778" s="166"/>
      <c r="G778" s="312"/>
      <c r="AJ778" s="102"/>
    </row>
    <row r="779" ht="15.75" customHeight="1">
      <c r="C779" s="166"/>
      <c r="D779" s="166"/>
      <c r="G779" s="312"/>
      <c r="AJ779" s="102"/>
    </row>
    <row r="780" ht="15.75" customHeight="1">
      <c r="C780" s="166"/>
      <c r="D780" s="166"/>
      <c r="G780" s="312"/>
      <c r="AJ780" s="102"/>
    </row>
    <row r="781" ht="15.75" customHeight="1">
      <c r="C781" s="166"/>
      <c r="D781" s="166"/>
      <c r="G781" s="312"/>
      <c r="AJ781" s="102"/>
    </row>
    <row r="782" ht="15.75" customHeight="1">
      <c r="C782" s="166"/>
      <c r="D782" s="166"/>
      <c r="G782" s="312"/>
      <c r="AJ782" s="102"/>
    </row>
    <row r="783" ht="15.75" customHeight="1">
      <c r="C783" s="166"/>
      <c r="D783" s="166"/>
      <c r="G783" s="312"/>
      <c r="AJ783" s="102"/>
    </row>
    <row r="784" ht="15.75" customHeight="1">
      <c r="C784" s="166"/>
      <c r="D784" s="166"/>
      <c r="G784" s="312"/>
      <c r="AJ784" s="102"/>
    </row>
    <row r="785" ht="15.75" customHeight="1">
      <c r="C785" s="166"/>
      <c r="D785" s="166"/>
      <c r="G785" s="312"/>
      <c r="AJ785" s="102"/>
    </row>
    <row r="786" ht="15.75" customHeight="1">
      <c r="C786" s="166"/>
      <c r="D786" s="166"/>
      <c r="G786" s="312"/>
      <c r="AJ786" s="102"/>
    </row>
    <row r="787" ht="15.75" customHeight="1">
      <c r="C787" s="166"/>
      <c r="D787" s="166"/>
      <c r="G787" s="312"/>
      <c r="AJ787" s="102"/>
    </row>
    <row r="788" ht="15.75" customHeight="1">
      <c r="C788" s="166"/>
      <c r="D788" s="166"/>
      <c r="G788" s="312"/>
      <c r="AJ788" s="102"/>
    </row>
    <row r="789" ht="15.75" customHeight="1">
      <c r="C789" s="166"/>
      <c r="D789" s="166"/>
      <c r="G789" s="312"/>
      <c r="AJ789" s="102"/>
    </row>
    <row r="790" ht="15.75" customHeight="1">
      <c r="C790" s="166"/>
      <c r="D790" s="166"/>
      <c r="G790" s="312"/>
      <c r="AJ790" s="102"/>
    </row>
    <row r="791" ht="15.75" customHeight="1">
      <c r="C791" s="166"/>
      <c r="D791" s="166"/>
      <c r="G791" s="312"/>
      <c r="AJ791" s="102"/>
    </row>
    <row r="792" ht="15.75" customHeight="1">
      <c r="C792" s="166"/>
      <c r="D792" s="166"/>
      <c r="G792" s="312"/>
      <c r="AJ792" s="102"/>
    </row>
    <row r="793" ht="15.75" customHeight="1">
      <c r="C793" s="166"/>
      <c r="D793" s="166"/>
      <c r="G793" s="312"/>
      <c r="AJ793" s="102"/>
    </row>
    <row r="794" ht="15.75" customHeight="1">
      <c r="C794" s="166"/>
      <c r="D794" s="166"/>
      <c r="G794" s="312"/>
      <c r="AJ794" s="102"/>
    </row>
    <row r="795" ht="15.75" customHeight="1">
      <c r="C795" s="166"/>
      <c r="D795" s="166"/>
      <c r="G795" s="312"/>
      <c r="AJ795" s="102"/>
    </row>
    <row r="796" ht="15.75" customHeight="1">
      <c r="C796" s="166"/>
      <c r="D796" s="166"/>
      <c r="G796" s="312"/>
      <c r="AJ796" s="102"/>
    </row>
    <row r="797" ht="15.75" customHeight="1">
      <c r="C797" s="166"/>
      <c r="D797" s="166"/>
      <c r="G797" s="312"/>
      <c r="AJ797" s="102"/>
    </row>
    <row r="798" ht="15.75" customHeight="1">
      <c r="C798" s="166"/>
      <c r="D798" s="166"/>
      <c r="G798" s="312"/>
      <c r="AJ798" s="102"/>
    </row>
    <row r="799" ht="15.75" customHeight="1">
      <c r="C799" s="166"/>
      <c r="D799" s="166"/>
      <c r="G799" s="312"/>
      <c r="AJ799" s="102"/>
    </row>
    <row r="800" ht="15.75" customHeight="1">
      <c r="C800" s="166"/>
      <c r="D800" s="166"/>
      <c r="G800" s="312"/>
      <c r="AJ800" s="102"/>
    </row>
    <row r="801" ht="15.75" customHeight="1">
      <c r="C801" s="166"/>
      <c r="D801" s="166"/>
      <c r="G801" s="312"/>
      <c r="AJ801" s="102"/>
    </row>
    <row r="802" ht="15.75" customHeight="1">
      <c r="C802" s="166"/>
      <c r="D802" s="166"/>
      <c r="G802" s="312"/>
      <c r="AJ802" s="102"/>
    </row>
    <row r="803" ht="15.75" customHeight="1">
      <c r="C803" s="166"/>
      <c r="D803" s="166"/>
      <c r="G803" s="312"/>
      <c r="AJ803" s="102"/>
    </row>
    <row r="804" ht="15.75" customHeight="1">
      <c r="C804" s="166"/>
      <c r="D804" s="166"/>
      <c r="G804" s="312"/>
      <c r="AJ804" s="102"/>
    </row>
    <row r="805" ht="15.75" customHeight="1">
      <c r="C805" s="166"/>
      <c r="D805" s="166"/>
      <c r="G805" s="312"/>
      <c r="AJ805" s="102"/>
    </row>
    <row r="806" ht="15.75" customHeight="1">
      <c r="C806" s="166"/>
      <c r="D806" s="166"/>
      <c r="G806" s="312"/>
      <c r="AJ806" s="102"/>
    </row>
    <row r="807" ht="15.75" customHeight="1">
      <c r="C807" s="166"/>
      <c r="D807" s="166"/>
      <c r="G807" s="312"/>
      <c r="AJ807" s="102"/>
    </row>
    <row r="808" ht="15.75" customHeight="1">
      <c r="C808" s="166"/>
      <c r="D808" s="166"/>
      <c r="G808" s="312"/>
      <c r="AJ808" s="102"/>
    </row>
    <row r="809" ht="15.75" customHeight="1">
      <c r="C809" s="166"/>
      <c r="D809" s="166"/>
      <c r="G809" s="312"/>
      <c r="AJ809" s="102"/>
    </row>
    <row r="810" ht="15.75" customHeight="1">
      <c r="C810" s="166"/>
      <c r="D810" s="166"/>
      <c r="G810" s="312"/>
      <c r="AJ810" s="102"/>
    </row>
    <row r="811" ht="15.75" customHeight="1">
      <c r="C811" s="166"/>
      <c r="D811" s="166"/>
      <c r="G811" s="312"/>
      <c r="AJ811" s="102"/>
    </row>
    <row r="812" ht="15.75" customHeight="1">
      <c r="C812" s="166"/>
      <c r="D812" s="166"/>
      <c r="G812" s="312"/>
      <c r="AJ812" s="102"/>
    </row>
    <row r="813" ht="15.75" customHeight="1">
      <c r="C813" s="166"/>
      <c r="D813" s="166"/>
      <c r="G813" s="312"/>
      <c r="AJ813" s="102"/>
    </row>
    <row r="814" ht="15.75" customHeight="1">
      <c r="C814" s="166"/>
      <c r="D814" s="166"/>
      <c r="G814" s="312"/>
      <c r="AJ814" s="102"/>
    </row>
    <row r="815" ht="15.75" customHeight="1">
      <c r="C815" s="166"/>
      <c r="D815" s="166"/>
      <c r="G815" s="312"/>
      <c r="AJ815" s="102"/>
    </row>
    <row r="816" ht="15.75" customHeight="1">
      <c r="C816" s="166"/>
      <c r="D816" s="166"/>
      <c r="G816" s="312"/>
      <c r="AJ816" s="102"/>
    </row>
    <row r="817" ht="15.75" customHeight="1">
      <c r="C817" s="166"/>
      <c r="D817" s="166"/>
      <c r="G817" s="312"/>
      <c r="AJ817" s="102"/>
    </row>
    <row r="818" ht="15.75" customHeight="1">
      <c r="C818" s="166"/>
      <c r="D818" s="166"/>
      <c r="G818" s="312"/>
      <c r="AJ818" s="102"/>
    </row>
    <row r="819" ht="15.75" customHeight="1">
      <c r="C819" s="166"/>
      <c r="D819" s="166"/>
      <c r="G819" s="312"/>
      <c r="AJ819" s="102"/>
    </row>
    <row r="820" ht="15.75" customHeight="1">
      <c r="C820" s="166"/>
      <c r="D820" s="166"/>
      <c r="G820" s="312"/>
      <c r="AJ820" s="102"/>
    </row>
    <row r="821" ht="15.75" customHeight="1">
      <c r="C821" s="166"/>
      <c r="D821" s="166"/>
      <c r="G821" s="312"/>
      <c r="AJ821" s="102"/>
    </row>
    <row r="822" ht="15.75" customHeight="1">
      <c r="C822" s="166"/>
      <c r="D822" s="166"/>
      <c r="G822" s="312"/>
      <c r="AJ822" s="102"/>
    </row>
    <row r="823" ht="15.75" customHeight="1">
      <c r="C823" s="166"/>
      <c r="D823" s="166"/>
      <c r="G823" s="312"/>
      <c r="AJ823" s="102"/>
    </row>
    <row r="824" ht="15.75" customHeight="1">
      <c r="C824" s="166"/>
      <c r="D824" s="166"/>
      <c r="G824" s="312"/>
      <c r="AJ824" s="102"/>
    </row>
    <row r="825" ht="15.75" customHeight="1">
      <c r="C825" s="166"/>
      <c r="D825" s="166"/>
      <c r="G825" s="312"/>
      <c r="AJ825" s="102"/>
    </row>
    <row r="826" ht="15.75" customHeight="1">
      <c r="C826" s="166"/>
      <c r="D826" s="166"/>
      <c r="G826" s="312"/>
      <c r="AJ826" s="102"/>
    </row>
    <row r="827" ht="15.75" customHeight="1">
      <c r="C827" s="166"/>
      <c r="D827" s="166"/>
      <c r="G827" s="312"/>
      <c r="AJ827" s="102"/>
    </row>
    <row r="828" ht="15.75" customHeight="1">
      <c r="C828" s="166"/>
      <c r="D828" s="166"/>
      <c r="G828" s="312"/>
      <c r="AJ828" s="102"/>
    </row>
    <row r="829" ht="15.75" customHeight="1">
      <c r="C829" s="166"/>
      <c r="D829" s="166"/>
      <c r="G829" s="312"/>
      <c r="AJ829" s="102"/>
    </row>
    <row r="830" ht="15.75" customHeight="1">
      <c r="C830" s="166"/>
      <c r="D830" s="166"/>
      <c r="G830" s="312"/>
      <c r="AJ830" s="102"/>
    </row>
    <row r="831" ht="15.75" customHeight="1">
      <c r="C831" s="166"/>
      <c r="D831" s="166"/>
      <c r="G831" s="312"/>
      <c r="AJ831" s="102"/>
    </row>
    <row r="832" ht="15.75" customHeight="1">
      <c r="C832" s="166"/>
      <c r="D832" s="166"/>
      <c r="G832" s="312"/>
      <c r="AJ832" s="102"/>
    </row>
    <row r="833" ht="15.75" customHeight="1">
      <c r="C833" s="166"/>
      <c r="D833" s="166"/>
      <c r="G833" s="312"/>
      <c r="AJ833" s="102"/>
    </row>
    <row r="834" ht="15.75" customHeight="1">
      <c r="C834" s="166"/>
      <c r="D834" s="166"/>
      <c r="G834" s="312"/>
      <c r="AJ834" s="102"/>
    </row>
    <row r="835" ht="15.75" customHeight="1">
      <c r="C835" s="166"/>
      <c r="D835" s="166"/>
      <c r="G835" s="312"/>
      <c r="AJ835" s="102"/>
    </row>
    <row r="836" ht="15.75" customHeight="1">
      <c r="C836" s="166"/>
      <c r="D836" s="166"/>
      <c r="G836" s="312"/>
      <c r="AJ836" s="102"/>
    </row>
    <row r="837" ht="15.75" customHeight="1">
      <c r="C837" s="166"/>
      <c r="D837" s="166"/>
      <c r="G837" s="312"/>
      <c r="AJ837" s="102"/>
    </row>
    <row r="838" ht="15.75" customHeight="1">
      <c r="C838" s="166"/>
      <c r="D838" s="166"/>
      <c r="G838" s="312"/>
      <c r="AJ838" s="102"/>
    </row>
    <row r="839" ht="15.75" customHeight="1">
      <c r="C839" s="166"/>
      <c r="D839" s="166"/>
      <c r="G839" s="312"/>
      <c r="AJ839" s="102"/>
    </row>
    <row r="840" ht="15.75" customHeight="1">
      <c r="C840" s="166"/>
      <c r="D840" s="166"/>
      <c r="G840" s="312"/>
      <c r="AJ840" s="102"/>
    </row>
    <row r="841" ht="15.75" customHeight="1">
      <c r="C841" s="166"/>
      <c r="D841" s="166"/>
      <c r="G841" s="312"/>
      <c r="AJ841" s="102"/>
    </row>
    <row r="842" ht="15.75" customHeight="1">
      <c r="C842" s="166"/>
      <c r="D842" s="166"/>
      <c r="G842" s="312"/>
      <c r="AJ842" s="102"/>
    </row>
    <row r="843" ht="15.75" customHeight="1">
      <c r="C843" s="166"/>
      <c r="D843" s="166"/>
      <c r="G843" s="312"/>
      <c r="AJ843" s="102"/>
    </row>
    <row r="844" ht="15.75" customHeight="1">
      <c r="C844" s="166"/>
      <c r="D844" s="166"/>
      <c r="G844" s="312"/>
      <c r="AJ844" s="102"/>
    </row>
    <row r="845" ht="15.75" customHeight="1">
      <c r="C845" s="166"/>
      <c r="D845" s="166"/>
      <c r="G845" s="312"/>
      <c r="AJ845" s="102"/>
    </row>
    <row r="846" ht="15.75" customHeight="1">
      <c r="C846" s="166"/>
      <c r="D846" s="166"/>
      <c r="G846" s="312"/>
      <c r="AJ846" s="102"/>
    </row>
    <row r="847" ht="15.75" customHeight="1">
      <c r="C847" s="166"/>
      <c r="D847" s="166"/>
      <c r="G847" s="312"/>
      <c r="AJ847" s="102"/>
    </row>
    <row r="848" ht="15.75" customHeight="1">
      <c r="C848" s="166"/>
      <c r="D848" s="166"/>
      <c r="G848" s="312"/>
      <c r="AJ848" s="102"/>
    </row>
    <row r="849" ht="15.75" customHeight="1">
      <c r="C849" s="166"/>
      <c r="D849" s="166"/>
      <c r="G849" s="312"/>
      <c r="AJ849" s="102"/>
    </row>
    <row r="850" ht="15.75" customHeight="1">
      <c r="C850" s="166"/>
      <c r="D850" s="166"/>
      <c r="G850" s="312"/>
      <c r="AJ850" s="102"/>
    </row>
    <row r="851" ht="15.75" customHeight="1">
      <c r="C851" s="166"/>
      <c r="D851" s="166"/>
      <c r="G851" s="312"/>
      <c r="AJ851" s="102"/>
    </row>
    <row r="852" ht="15.75" customHeight="1">
      <c r="C852" s="166"/>
      <c r="D852" s="166"/>
      <c r="G852" s="312"/>
      <c r="AJ852" s="102"/>
    </row>
    <row r="853" ht="15.75" customHeight="1">
      <c r="C853" s="166"/>
      <c r="D853" s="166"/>
      <c r="G853" s="312"/>
      <c r="AJ853" s="102"/>
    </row>
    <row r="854" ht="15.75" customHeight="1">
      <c r="C854" s="166"/>
      <c r="D854" s="166"/>
      <c r="G854" s="312"/>
      <c r="AJ854" s="102"/>
    </row>
    <row r="855" ht="15.75" customHeight="1">
      <c r="C855" s="166"/>
      <c r="D855" s="166"/>
      <c r="G855" s="312"/>
      <c r="AJ855" s="102"/>
    </row>
    <row r="856" ht="15.75" customHeight="1">
      <c r="C856" s="166"/>
      <c r="D856" s="166"/>
      <c r="G856" s="312"/>
      <c r="AJ856" s="102"/>
    </row>
    <row r="857" ht="15.75" customHeight="1">
      <c r="C857" s="166"/>
      <c r="D857" s="166"/>
      <c r="G857" s="312"/>
      <c r="AJ857" s="102"/>
    </row>
    <row r="858" ht="15.75" customHeight="1">
      <c r="C858" s="166"/>
      <c r="D858" s="166"/>
      <c r="G858" s="312"/>
      <c r="AJ858" s="102"/>
    </row>
    <row r="859" ht="15.75" customHeight="1">
      <c r="C859" s="166"/>
      <c r="D859" s="166"/>
      <c r="G859" s="312"/>
      <c r="AJ859" s="102"/>
    </row>
    <row r="860" ht="15.75" customHeight="1">
      <c r="C860" s="166"/>
      <c r="D860" s="166"/>
      <c r="G860" s="312"/>
      <c r="AJ860" s="102"/>
    </row>
    <row r="861" ht="15.75" customHeight="1">
      <c r="C861" s="166"/>
      <c r="D861" s="166"/>
      <c r="G861" s="312"/>
      <c r="AJ861" s="102"/>
    </row>
    <row r="862" ht="15.75" customHeight="1">
      <c r="C862" s="166"/>
      <c r="D862" s="166"/>
      <c r="G862" s="312"/>
      <c r="AJ862" s="102"/>
    </row>
    <row r="863" ht="15.75" customHeight="1">
      <c r="C863" s="166"/>
      <c r="D863" s="166"/>
      <c r="G863" s="312"/>
      <c r="AJ863" s="102"/>
    </row>
    <row r="864" ht="15.75" customHeight="1">
      <c r="C864" s="166"/>
      <c r="D864" s="166"/>
      <c r="G864" s="312"/>
      <c r="AJ864" s="102"/>
    </row>
    <row r="865" ht="15.75" customHeight="1">
      <c r="C865" s="166"/>
      <c r="D865" s="166"/>
      <c r="G865" s="312"/>
      <c r="AJ865" s="102"/>
    </row>
    <row r="866" ht="15.75" customHeight="1">
      <c r="C866" s="166"/>
      <c r="D866" s="166"/>
      <c r="G866" s="312"/>
      <c r="AJ866" s="102"/>
    </row>
    <row r="867" ht="15.75" customHeight="1">
      <c r="C867" s="166"/>
      <c r="D867" s="166"/>
      <c r="G867" s="312"/>
      <c r="AJ867" s="102"/>
    </row>
    <row r="868" ht="15.75" customHeight="1">
      <c r="C868" s="166"/>
      <c r="D868" s="166"/>
      <c r="G868" s="312"/>
      <c r="AJ868" s="102"/>
    </row>
    <row r="869" ht="15.75" customHeight="1">
      <c r="C869" s="166"/>
      <c r="D869" s="166"/>
      <c r="G869" s="312"/>
      <c r="AJ869" s="102"/>
    </row>
    <row r="870" ht="15.75" customHeight="1">
      <c r="C870" s="166"/>
      <c r="D870" s="166"/>
      <c r="G870" s="312"/>
      <c r="AJ870" s="102"/>
    </row>
    <row r="871" ht="15.75" customHeight="1">
      <c r="C871" s="166"/>
      <c r="D871" s="166"/>
      <c r="G871" s="312"/>
      <c r="AJ871" s="102"/>
    </row>
    <row r="872" ht="15.75" customHeight="1">
      <c r="C872" s="166"/>
      <c r="D872" s="166"/>
      <c r="G872" s="312"/>
      <c r="AJ872" s="102"/>
    </row>
    <row r="873" ht="15.75" customHeight="1">
      <c r="C873" s="166"/>
      <c r="D873" s="166"/>
      <c r="G873" s="312"/>
      <c r="AJ873" s="102"/>
    </row>
    <row r="874" ht="15.75" customHeight="1">
      <c r="C874" s="166"/>
      <c r="D874" s="166"/>
      <c r="G874" s="312"/>
      <c r="AJ874" s="102"/>
    </row>
    <row r="875" ht="15.75" customHeight="1">
      <c r="C875" s="166"/>
      <c r="D875" s="166"/>
      <c r="G875" s="312"/>
      <c r="AJ875" s="102"/>
    </row>
    <row r="876" ht="15.75" customHeight="1">
      <c r="C876" s="166"/>
      <c r="D876" s="166"/>
      <c r="G876" s="312"/>
      <c r="AJ876" s="102"/>
    </row>
    <row r="877" ht="15.75" customHeight="1">
      <c r="C877" s="166"/>
      <c r="D877" s="166"/>
      <c r="G877" s="312"/>
      <c r="AJ877" s="102"/>
    </row>
    <row r="878" ht="15.75" customHeight="1">
      <c r="C878" s="166"/>
      <c r="D878" s="166"/>
      <c r="G878" s="312"/>
      <c r="AJ878" s="102"/>
    </row>
    <row r="879" ht="15.75" customHeight="1">
      <c r="C879" s="166"/>
      <c r="D879" s="166"/>
      <c r="G879" s="312"/>
      <c r="AJ879" s="102"/>
    </row>
    <row r="880" ht="15.75" customHeight="1">
      <c r="C880" s="166"/>
      <c r="D880" s="166"/>
      <c r="G880" s="312"/>
      <c r="AJ880" s="102"/>
    </row>
    <row r="881" ht="15.75" customHeight="1">
      <c r="C881" s="166"/>
      <c r="D881" s="166"/>
      <c r="G881" s="312"/>
      <c r="AJ881" s="102"/>
    </row>
    <row r="882" ht="15.75" customHeight="1">
      <c r="C882" s="166"/>
      <c r="D882" s="166"/>
      <c r="G882" s="312"/>
      <c r="AJ882" s="102"/>
    </row>
    <row r="883" ht="15.75" customHeight="1">
      <c r="C883" s="166"/>
      <c r="D883" s="166"/>
      <c r="G883" s="312"/>
      <c r="AJ883" s="102"/>
    </row>
    <row r="884" ht="15.75" customHeight="1">
      <c r="C884" s="166"/>
      <c r="D884" s="166"/>
      <c r="G884" s="312"/>
      <c r="AJ884" s="102"/>
    </row>
    <row r="885" ht="15.75" customHeight="1">
      <c r="C885" s="166"/>
      <c r="D885" s="166"/>
      <c r="G885" s="312"/>
      <c r="AJ885" s="102"/>
    </row>
    <row r="886" ht="15.75" customHeight="1">
      <c r="C886" s="166"/>
      <c r="D886" s="166"/>
      <c r="G886" s="312"/>
      <c r="AJ886" s="102"/>
    </row>
    <row r="887" ht="15.75" customHeight="1">
      <c r="C887" s="166"/>
      <c r="D887" s="166"/>
      <c r="G887" s="312"/>
      <c r="AJ887" s="102"/>
    </row>
    <row r="888" ht="15.75" customHeight="1">
      <c r="C888" s="166"/>
      <c r="D888" s="166"/>
      <c r="G888" s="312"/>
      <c r="AJ888" s="102"/>
    </row>
    <row r="889" ht="15.75" customHeight="1">
      <c r="C889" s="166"/>
      <c r="D889" s="166"/>
      <c r="G889" s="312"/>
      <c r="AJ889" s="102"/>
    </row>
    <row r="890" ht="15.75" customHeight="1">
      <c r="C890" s="166"/>
      <c r="D890" s="166"/>
      <c r="G890" s="312"/>
      <c r="AJ890" s="102"/>
    </row>
    <row r="891" ht="15.75" customHeight="1">
      <c r="C891" s="166"/>
      <c r="D891" s="166"/>
      <c r="G891" s="312"/>
      <c r="AJ891" s="102"/>
    </row>
    <row r="892" ht="15.75" customHeight="1">
      <c r="C892" s="166"/>
      <c r="D892" s="166"/>
      <c r="G892" s="312"/>
      <c r="AJ892" s="102"/>
    </row>
    <row r="893" ht="15.75" customHeight="1">
      <c r="C893" s="166"/>
      <c r="D893" s="166"/>
      <c r="G893" s="312"/>
      <c r="AJ893" s="102"/>
    </row>
    <row r="894" ht="15.75" customHeight="1">
      <c r="C894" s="166"/>
      <c r="D894" s="166"/>
      <c r="G894" s="312"/>
      <c r="AJ894" s="102"/>
    </row>
    <row r="895" ht="15.75" customHeight="1">
      <c r="C895" s="166"/>
      <c r="D895" s="166"/>
      <c r="G895" s="312"/>
      <c r="AJ895" s="102"/>
    </row>
    <row r="896" ht="15.75" customHeight="1">
      <c r="C896" s="166"/>
      <c r="D896" s="166"/>
      <c r="G896" s="312"/>
      <c r="AJ896" s="102"/>
    </row>
    <row r="897" ht="15.75" customHeight="1">
      <c r="C897" s="166"/>
      <c r="D897" s="166"/>
      <c r="G897" s="312"/>
      <c r="AJ897" s="102"/>
    </row>
    <row r="898" ht="15.75" customHeight="1">
      <c r="C898" s="166"/>
      <c r="D898" s="166"/>
      <c r="G898" s="312"/>
      <c r="AJ898" s="102"/>
    </row>
    <row r="899" ht="15.75" customHeight="1">
      <c r="C899" s="166"/>
      <c r="D899" s="166"/>
      <c r="G899" s="312"/>
      <c r="AJ899" s="102"/>
    </row>
    <row r="900" ht="15.75" customHeight="1">
      <c r="C900" s="166"/>
      <c r="D900" s="166"/>
      <c r="G900" s="312"/>
      <c r="AJ900" s="102"/>
    </row>
    <row r="901" ht="15.75" customHeight="1">
      <c r="C901" s="166"/>
      <c r="D901" s="166"/>
      <c r="G901" s="312"/>
      <c r="AJ901" s="102"/>
    </row>
    <row r="902" ht="15.75" customHeight="1">
      <c r="C902" s="166"/>
      <c r="D902" s="166"/>
      <c r="G902" s="312"/>
      <c r="AJ902" s="102"/>
    </row>
    <row r="903" ht="15.75" customHeight="1">
      <c r="C903" s="166"/>
      <c r="D903" s="166"/>
      <c r="G903" s="312"/>
      <c r="AJ903" s="102"/>
    </row>
    <row r="904" ht="15.75" customHeight="1">
      <c r="C904" s="166"/>
      <c r="D904" s="166"/>
      <c r="G904" s="312"/>
      <c r="AJ904" s="102"/>
    </row>
    <row r="905" ht="15.75" customHeight="1">
      <c r="C905" s="166"/>
      <c r="D905" s="166"/>
      <c r="G905" s="312"/>
      <c r="AJ905" s="102"/>
    </row>
    <row r="906" ht="15.75" customHeight="1">
      <c r="C906" s="166"/>
      <c r="D906" s="166"/>
      <c r="G906" s="312"/>
      <c r="AJ906" s="102"/>
    </row>
    <row r="907" ht="15.75" customHeight="1">
      <c r="C907" s="166"/>
      <c r="D907" s="166"/>
      <c r="G907" s="312"/>
      <c r="AJ907" s="102"/>
    </row>
    <row r="908" ht="15.75" customHeight="1">
      <c r="C908" s="166"/>
      <c r="D908" s="166"/>
      <c r="G908" s="312"/>
      <c r="AJ908" s="102"/>
    </row>
    <row r="909" ht="15.75" customHeight="1">
      <c r="C909" s="166"/>
      <c r="D909" s="166"/>
      <c r="G909" s="312"/>
      <c r="AJ909" s="102"/>
    </row>
    <row r="910" ht="15.75" customHeight="1">
      <c r="C910" s="166"/>
      <c r="D910" s="166"/>
      <c r="G910" s="312"/>
      <c r="AJ910" s="102"/>
    </row>
    <row r="911" ht="15.75" customHeight="1">
      <c r="C911" s="166"/>
      <c r="D911" s="166"/>
      <c r="G911" s="312"/>
      <c r="AJ911" s="102"/>
    </row>
    <row r="912" ht="15.75" customHeight="1">
      <c r="C912" s="166"/>
      <c r="D912" s="166"/>
      <c r="G912" s="312"/>
      <c r="AJ912" s="102"/>
    </row>
    <row r="913" ht="15.75" customHeight="1">
      <c r="C913" s="166"/>
      <c r="D913" s="166"/>
      <c r="G913" s="312"/>
      <c r="AJ913" s="102"/>
    </row>
    <row r="914" ht="15.75" customHeight="1">
      <c r="C914" s="166"/>
      <c r="D914" s="166"/>
      <c r="G914" s="312"/>
      <c r="AJ914" s="102"/>
    </row>
    <row r="915" ht="15.75" customHeight="1">
      <c r="C915" s="166"/>
      <c r="D915" s="166"/>
      <c r="G915" s="312"/>
      <c r="AJ915" s="102"/>
    </row>
    <row r="916" ht="15.75" customHeight="1">
      <c r="C916" s="166"/>
      <c r="D916" s="166"/>
      <c r="G916" s="312"/>
      <c r="AJ916" s="102"/>
    </row>
    <row r="917" ht="15.75" customHeight="1">
      <c r="C917" s="166"/>
      <c r="D917" s="166"/>
      <c r="G917" s="312"/>
      <c r="AJ917" s="102"/>
    </row>
    <row r="918" ht="15.75" customHeight="1">
      <c r="C918" s="166"/>
      <c r="D918" s="166"/>
      <c r="G918" s="312"/>
      <c r="AJ918" s="102"/>
    </row>
    <row r="919" ht="15.75" customHeight="1">
      <c r="C919" s="166"/>
      <c r="D919" s="166"/>
      <c r="G919" s="312"/>
      <c r="AJ919" s="102"/>
    </row>
    <row r="920" ht="15.75" customHeight="1">
      <c r="C920" s="166"/>
      <c r="D920" s="166"/>
      <c r="G920" s="312"/>
      <c r="AJ920" s="102"/>
    </row>
    <row r="921" ht="15.75" customHeight="1">
      <c r="C921" s="166"/>
      <c r="D921" s="166"/>
      <c r="G921" s="312"/>
      <c r="AJ921" s="102"/>
    </row>
    <row r="922" ht="15.75" customHeight="1">
      <c r="C922" s="166"/>
      <c r="D922" s="166"/>
      <c r="G922" s="312"/>
      <c r="AJ922" s="102"/>
    </row>
    <row r="923" ht="15.75" customHeight="1">
      <c r="C923" s="166"/>
      <c r="D923" s="166"/>
      <c r="G923" s="312"/>
      <c r="AJ923" s="102"/>
    </row>
    <row r="924" ht="15.75" customHeight="1">
      <c r="C924" s="166"/>
      <c r="D924" s="166"/>
      <c r="G924" s="312"/>
      <c r="AJ924" s="102"/>
    </row>
    <row r="925" ht="15.75" customHeight="1">
      <c r="C925" s="166"/>
      <c r="D925" s="166"/>
      <c r="G925" s="312"/>
      <c r="AJ925" s="102"/>
    </row>
    <row r="926" ht="15.75" customHeight="1">
      <c r="C926" s="166"/>
      <c r="D926" s="166"/>
      <c r="G926" s="312"/>
      <c r="AJ926" s="102"/>
    </row>
    <row r="927" ht="15.75" customHeight="1">
      <c r="C927" s="166"/>
      <c r="D927" s="166"/>
      <c r="G927" s="312"/>
      <c r="AJ927" s="102"/>
    </row>
    <row r="928" ht="15.75" customHeight="1">
      <c r="C928" s="166"/>
      <c r="D928" s="166"/>
      <c r="G928" s="312"/>
      <c r="AJ928" s="102"/>
    </row>
    <row r="929" ht="15.75" customHeight="1">
      <c r="C929" s="166"/>
      <c r="D929" s="166"/>
      <c r="G929" s="312"/>
      <c r="AJ929" s="102"/>
    </row>
    <row r="930" ht="15.75" customHeight="1">
      <c r="C930" s="166"/>
      <c r="D930" s="166"/>
      <c r="G930" s="312"/>
      <c r="AJ930" s="102"/>
    </row>
    <row r="931" ht="15.75" customHeight="1">
      <c r="C931" s="166"/>
      <c r="D931" s="166"/>
      <c r="G931" s="312"/>
      <c r="AJ931" s="102"/>
    </row>
    <row r="932" ht="15.75" customHeight="1">
      <c r="C932" s="166"/>
      <c r="D932" s="166"/>
      <c r="G932" s="312"/>
      <c r="AJ932" s="102"/>
    </row>
    <row r="933" ht="15.75" customHeight="1">
      <c r="C933" s="166"/>
      <c r="D933" s="166"/>
      <c r="G933" s="312"/>
      <c r="AJ933" s="102"/>
    </row>
    <row r="934" ht="15.75" customHeight="1">
      <c r="C934" s="166"/>
      <c r="D934" s="166"/>
      <c r="G934" s="312"/>
      <c r="AJ934" s="102"/>
    </row>
    <row r="935" ht="15.75" customHeight="1">
      <c r="C935" s="166"/>
      <c r="D935" s="166"/>
      <c r="G935" s="312"/>
      <c r="AJ935" s="102"/>
    </row>
    <row r="936" ht="15.75" customHeight="1">
      <c r="C936" s="166"/>
      <c r="D936" s="166"/>
      <c r="G936" s="312"/>
      <c r="AJ936" s="102"/>
    </row>
    <row r="937" ht="15.75" customHeight="1">
      <c r="C937" s="166"/>
      <c r="D937" s="166"/>
      <c r="G937" s="312"/>
      <c r="AJ937" s="102"/>
    </row>
    <row r="938" ht="15.75" customHeight="1">
      <c r="C938" s="166"/>
      <c r="D938" s="166"/>
      <c r="G938" s="312"/>
      <c r="AJ938" s="102"/>
    </row>
    <row r="939" ht="15.75" customHeight="1">
      <c r="C939" s="166"/>
      <c r="D939" s="166"/>
      <c r="G939" s="312"/>
      <c r="AJ939" s="102"/>
    </row>
    <row r="940" ht="15.75" customHeight="1">
      <c r="C940" s="166"/>
      <c r="D940" s="166"/>
      <c r="G940" s="312"/>
      <c r="AJ940" s="102"/>
    </row>
    <row r="941" ht="15.75" customHeight="1">
      <c r="C941" s="166"/>
      <c r="D941" s="166"/>
      <c r="G941" s="312"/>
      <c r="AJ941" s="102"/>
    </row>
    <row r="942" ht="15.75" customHeight="1">
      <c r="C942" s="166"/>
      <c r="D942" s="166"/>
      <c r="G942" s="312"/>
      <c r="AJ942" s="102"/>
    </row>
    <row r="943" ht="15.75" customHeight="1">
      <c r="C943" s="166"/>
      <c r="D943" s="166"/>
      <c r="G943" s="312"/>
      <c r="AJ943" s="102"/>
    </row>
    <row r="944" ht="15.75" customHeight="1">
      <c r="C944" s="166"/>
      <c r="D944" s="166"/>
      <c r="G944" s="312"/>
      <c r="AJ944" s="102"/>
    </row>
    <row r="945" ht="15.75" customHeight="1">
      <c r="C945" s="166"/>
      <c r="D945" s="166"/>
      <c r="G945" s="312"/>
      <c r="AJ945" s="102"/>
    </row>
    <row r="946" ht="15.75" customHeight="1">
      <c r="C946" s="166"/>
      <c r="D946" s="166"/>
      <c r="G946" s="312"/>
      <c r="AJ946" s="102"/>
    </row>
    <row r="947" ht="15.75" customHeight="1">
      <c r="C947" s="166"/>
      <c r="D947" s="166"/>
      <c r="G947" s="312"/>
      <c r="AJ947" s="102"/>
    </row>
    <row r="948" ht="15.75" customHeight="1">
      <c r="C948" s="166"/>
      <c r="D948" s="166"/>
      <c r="G948" s="312"/>
      <c r="AJ948" s="102"/>
    </row>
    <row r="949" ht="15.75" customHeight="1">
      <c r="C949" s="166"/>
      <c r="D949" s="166"/>
      <c r="G949" s="312"/>
      <c r="AJ949" s="102"/>
    </row>
    <row r="950" ht="15.75" customHeight="1">
      <c r="C950" s="166"/>
      <c r="D950" s="166"/>
      <c r="G950" s="312"/>
      <c r="AJ950" s="102"/>
    </row>
    <row r="951" ht="15.75" customHeight="1">
      <c r="C951" s="166"/>
      <c r="D951" s="166"/>
      <c r="G951" s="312"/>
      <c r="AJ951" s="102"/>
    </row>
    <row r="952" ht="15.75" customHeight="1">
      <c r="C952" s="166"/>
      <c r="D952" s="166"/>
      <c r="G952" s="312"/>
      <c r="AJ952" s="102"/>
    </row>
    <row r="953" ht="15.75" customHeight="1">
      <c r="C953" s="166"/>
      <c r="D953" s="166"/>
      <c r="G953" s="312"/>
      <c r="AJ953" s="102"/>
    </row>
    <row r="954" ht="15.75" customHeight="1">
      <c r="C954" s="166"/>
      <c r="D954" s="166"/>
      <c r="G954" s="312"/>
      <c r="AJ954" s="102"/>
    </row>
    <row r="955" ht="15.75" customHeight="1">
      <c r="C955" s="166"/>
      <c r="D955" s="166"/>
      <c r="G955" s="312"/>
      <c r="AJ955" s="102"/>
    </row>
    <row r="956" ht="15.75" customHeight="1">
      <c r="C956" s="166"/>
      <c r="D956" s="166"/>
      <c r="G956" s="312"/>
      <c r="AJ956" s="102"/>
    </row>
    <row r="957" ht="15.75" customHeight="1">
      <c r="C957" s="166"/>
      <c r="D957" s="166"/>
      <c r="G957" s="312"/>
      <c r="AJ957" s="102"/>
    </row>
    <row r="958" ht="15.75" customHeight="1">
      <c r="C958" s="166"/>
      <c r="D958" s="166"/>
      <c r="G958" s="312"/>
      <c r="AJ958" s="102"/>
    </row>
    <row r="959" ht="15.75" customHeight="1">
      <c r="C959" s="166"/>
      <c r="D959" s="166"/>
      <c r="G959" s="312"/>
      <c r="AJ959" s="102"/>
    </row>
    <row r="960" ht="15.75" customHeight="1">
      <c r="C960" s="166"/>
      <c r="D960" s="166"/>
      <c r="G960" s="312"/>
      <c r="AJ960" s="102"/>
    </row>
    <row r="961" ht="15.75" customHeight="1">
      <c r="C961" s="166"/>
      <c r="D961" s="166"/>
      <c r="G961" s="312"/>
      <c r="AJ961" s="102"/>
    </row>
    <row r="962" ht="15.75" customHeight="1">
      <c r="C962" s="166"/>
      <c r="D962" s="166"/>
      <c r="G962" s="312"/>
      <c r="AJ962" s="102"/>
    </row>
    <row r="963" ht="15.75" customHeight="1">
      <c r="C963" s="166"/>
      <c r="D963" s="166"/>
      <c r="G963" s="312"/>
      <c r="AJ963" s="102"/>
    </row>
    <row r="964" ht="15.75" customHeight="1">
      <c r="C964" s="166"/>
      <c r="D964" s="166"/>
      <c r="G964" s="312"/>
      <c r="AJ964" s="102"/>
    </row>
    <row r="965" ht="15.75" customHeight="1">
      <c r="C965" s="166"/>
      <c r="D965" s="166"/>
      <c r="G965" s="312"/>
      <c r="AJ965" s="102"/>
    </row>
    <row r="966" ht="15.75" customHeight="1">
      <c r="C966" s="166"/>
      <c r="D966" s="166"/>
      <c r="G966" s="312"/>
      <c r="AJ966" s="102"/>
    </row>
    <row r="967" ht="15.75" customHeight="1">
      <c r="C967" s="166"/>
      <c r="D967" s="166"/>
      <c r="G967" s="312"/>
      <c r="AJ967" s="102"/>
    </row>
    <row r="968" ht="15.75" customHeight="1">
      <c r="C968" s="166"/>
      <c r="D968" s="166"/>
      <c r="G968" s="312"/>
      <c r="AJ968" s="102"/>
    </row>
    <row r="969" ht="15.75" customHeight="1">
      <c r="C969" s="166"/>
      <c r="D969" s="166"/>
      <c r="G969" s="312"/>
      <c r="AJ969" s="102"/>
    </row>
    <row r="970" ht="15.75" customHeight="1">
      <c r="C970" s="166"/>
      <c r="D970" s="166"/>
      <c r="G970" s="312"/>
      <c r="AJ970" s="102"/>
    </row>
    <row r="971" ht="15.75" customHeight="1">
      <c r="C971" s="166"/>
      <c r="D971" s="166"/>
      <c r="G971" s="312"/>
      <c r="AJ971" s="102"/>
    </row>
    <row r="972" ht="15.75" customHeight="1">
      <c r="C972" s="166"/>
      <c r="D972" s="166"/>
      <c r="G972" s="312"/>
      <c r="AJ972" s="102"/>
    </row>
    <row r="973" ht="15.75" customHeight="1">
      <c r="C973" s="166"/>
      <c r="D973" s="166"/>
      <c r="G973" s="312"/>
      <c r="AJ973" s="102"/>
    </row>
    <row r="974" ht="15.75" customHeight="1">
      <c r="C974" s="166"/>
      <c r="D974" s="166"/>
      <c r="G974" s="312"/>
      <c r="AJ974" s="102"/>
    </row>
    <row r="975" ht="15.75" customHeight="1">
      <c r="C975" s="166"/>
      <c r="D975" s="166"/>
      <c r="G975" s="312"/>
      <c r="AJ975" s="102"/>
    </row>
    <row r="976" ht="15.75" customHeight="1">
      <c r="C976" s="166"/>
      <c r="D976" s="166"/>
      <c r="G976" s="312"/>
      <c r="AJ976" s="102"/>
    </row>
    <row r="977" ht="15.75" customHeight="1">
      <c r="C977" s="166"/>
      <c r="D977" s="166"/>
      <c r="G977" s="312"/>
      <c r="AJ977" s="102"/>
    </row>
    <row r="978" ht="15.75" customHeight="1">
      <c r="C978" s="166"/>
      <c r="D978" s="166"/>
      <c r="G978" s="312"/>
      <c r="AJ978" s="102"/>
    </row>
    <row r="979" ht="15.75" customHeight="1">
      <c r="C979" s="166"/>
      <c r="D979" s="166"/>
      <c r="G979" s="312"/>
      <c r="AJ979" s="102"/>
    </row>
    <row r="980" ht="15.75" customHeight="1">
      <c r="C980" s="166"/>
      <c r="D980" s="166"/>
      <c r="G980" s="312"/>
      <c r="AJ980" s="102"/>
    </row>
    <row r="981" ht="15.75" customHeight="1">
      <c r="C981" s="166"/>
      <c r="D981" s="166"/>
      <c r="G981" s="312"/>
      <c r="AJ981" s="102"/>
    </row>
    <row r="982" ht="15.75" customHeight="1">
      <c r="C982" s="166"/>
      <c r="D982" s="166"/>
      <c r="G982" s="312"/>
      <c r="AJ982" s="102"/>
    </row>
    <row r="983" ht="15.75" customHeight="1">
      <c r="C983" s="166"/>
      <c r="D983" s="166"/>
      <c r="G983" s="312"/>
      <c r="AJ983" s="102"/>
    </row>
    <row r="984" ht="15.75" customHeight="1">
      <c r="C984" s="166"/>
      <c r="D984" s="166"/>
      <c r="G984" s="312"/>
      <c r="AJ984" s="102"/>
    </row>
    <row r="985" ht="15.75" customHeight="1">
      <c r="C985" s="166"/>
      <c r="D985" s="166"/>
      <c r="G985" s="312"/>
      <c r="AJ985" s="102"/>
    </row>
    <row r="986" ht="15.75" customHeight="1">
      <c r="C986" s="166"/>
      <c r="D986" s="166"/>
      <c r="G986" s="312"/>
      <c r="AJ986" s="102"/>
    </row>
    <row r="987" ht="15.75" customHeight="1">
      <c r="C987" s="166"/>
      <c r="D987" s="166"/>
      <c r="G987" s="312"/>
      <c r="AJ987" s="102"/>
    </row>
    <row r="988" ht="15.75" customHeight="1">
      <c r="C988" s="166"/>
      <c r="D988" s="166"/>
      <c r="G988" s="312"/>
      <c r="AJ988" s="102"/>
    </row>
    <row r="989" ht="15.75" customHeight="1">
      <c r="C989" s="166"/>
      <c r="D989" s="166"/>
      <c r="G989" s="312"/>
      <c r="AJ989" s="102"/>
    </row>
    <row r="990" ht="15.75" customHeight="1">
      <c r="C990" s="166"/>
      <c r="D990" s="166"/>
      <c r="G990" s="312"/>
      <c r="AJ990" s="102"/>
    </row>
    <row r="991" ht="15.75" customHeight="1">
      <c r="C991" s="166"/>
      <c r="D991" s="166"/>
      <c r="G991" s="312"/>
      <c r="AJ991" s="102"/>
    </row>
    <row r="992" ht="15.75" customHeight="1">
      <c r="C992" s="166"/>
      <c r="D992" s="166"/>
      <c r="G992" s="312"/>
      <c r="AJ992" s="102"/>
    </row>
    <row r="993" ht="15.75" customHeight="1">
      <c r="C993" s="166"/>
      <c r="D993" s="166"/>
      <c r="G993" s="312"/>
      <c r="AJ993" s="102"/>
    </row>
    <row r="994" ht="15.75" customHeight="1">
      <c r="C994" s="166"/>
      <c r="D994" s="166"/>
      <c r="G994" s="312"/>
      <c r="AJ994" s="102"/>
    </row>
    <row r="995" ht="15.75" customHeight="1">
      <c r="C995" s="166"/>
      <c r="D995" s="166"/>
      <c r="G995" s="312"/>
      <c r="AJ995" s="102"/>
    </row>
    <row r="996" ht="15.75" customHeight="1">
      <c r="C996" s="166"/>
      <c r="D996" s="166"/>
      <c r="G996" s="312"/>
      <c r="AJ996" s="102"/>
    </row>
    <row r="997" ht="15.75" customHeight="1">
      <c r="C997" s="166"/>
      <c r="D997" s="166"/>
      <c r="G997" s="312"/>
      <c r="AJ997" s="102"/>
    </row>
    <row r="998" ht="15.75" customHeight="1">
      <c r="C998" s="166"/>
      <c r="D998" s="166"/>
      <c r="G998" s="312"/>
      <c r="AJ998" s="102"/>
    </row>
    <row r="999" ht="15.75" customHeight="1">
      <c r="C999" s="166"/>
      <c r="D999" s="166"/>
      <c r="G999" s="312"/>
      <c r="AJ999" s="102"/>
    </row>
    <row r="1000" ht="15.75" customHeight="1">
      <c r="C1000" s="166"/>
      <c r="D1000" s="166"/>
      <c r="G1000" s="312"/>
      <c r="AJ1000" s="102"/>
    </row>
    <row r="1001" ht="15.75" customHeight="1">
      <c r="C1001" s="166"/>
      <c r="D1001" s="166"/>
      <c r="G1001" s="312"/>
      <c r="AJ1001" s="102"/>
    </row>
    <row r="1002" ht="15.75" customHeight="1">
      <c r="C1002" s="166"/>
      <c r="D1002" s="166"/>
      <c r="G1002" s="312"/>
      <c r="AJ1002" s="102"/>
    </row>
    <row r="1003" ht="15.75" customHeight="1">
      <c r="C1003" s="166"/>
      <c r="D1003" s="166"/>
      <c r="G1003" s="312"/>
      <c r="AJ1003" s="102"/>
    </row>
    <row r="1004" ht="15.75" customHeight="1">
      <c r="C1004" s="166"/>
      <c r="D1004" s="166"/>
      <c r="G1004" s="312"/>
      <c r="AJ1004" s="102"/>
    </row>
    <row r="1005" ht="15.75" customHeight="1">
      <c r="C1005" s="166"/>
      <c r="D1005" s="166"/>
      <c r="G1005" s="312"/>
      <c r="AJ1005" s="102"/>
    </row>
    <row r="1006" ht="15.75" customHeight="1">
      <c r="C1006" s="166"/>
      <c r="D1006" s="166"/>
      <c r="G1006" s="312"/>
      <c r="AJ1006" s="102"/>
    </row>
    <row r="1007" ht="15.75" customHeight="1">
      <c r="C1007" s="166"/>
      <c r="D1007" s="166"/>
      <c r="G1007" s="312"/>
      <c r="AJ1007" s="102"/>
    </row>
    <row r="1008" ht="15.75" customHeight="1">
      <c r="C1008" s="166"/>
      <c r="D1008" s="166"/>
      <c r="G1008" s="312"/>
      <c r="AJ1008" s="102"/>
    </row>
    <row r="1009" ht="15.75" customHeight="1">
      <c r="C1009" s="166"/>
      <c r="D1009" s="166"/>
      <c r="G1009" s="312"/>
      <c r="AJ1009" s="102"/>
    </row>
    <row r="1010" ht="15.75" customHeight="1">
      <c r="C1010" s="166"/>
      <c r="D1010" s="166"/>
      <c r="G1010" s="312"/>
      <c r="AJ1010" s="102"/>
    </row>
    <row r="1011" ht="15.75" customHeight="1">
      <c r="C1011" s="166"/>
      <c r="D1011" s="166"/>
      <c r="G1011" s="312"/>
      <c r="AJ1011" s="102"/>
    </row>
    <row r="1012" ht="15.75" customHeight="1">
      <c r="C1012" s="166"/>
      <c r="D1012" s="166"/>
      <c r="G1012" s="312"/>
      <c r="AJ1012" s="102"/>
    </row>
    <row r="1013" ht="15.75" customHeight="1">
      <c r="C1013" s="166"/>
      <c r="D1013" s="166"/>
      <c r="G1013" s="312"/>
      <c r="AJ1013" s="102"/>
    </row>
    <row r="1014" ht="15.75" customHeight="1">
      <c r="C1014" s="166"/>
      <c r="D1014" s="166"/>
      <c r="G1014" s="312"/>
      <c r="AJ1014" s="102"/>
    </row>
    <row r="1015" ht="15.75" customHeight="1">
      <c r="C1015" s="166"/>
      <c r="D1015" s="166"/>
      <c r="G1015" s="312"/>
      <c r="AJ1015" s="102"/>
    </row>
    <row r="1016" ht="15.75" customHeight="1">
      <c r="C1016" s="166"/>
      <c r="D1016" s="166"/>
      <c r="G1016" s="312"/>
      <c r="AJ1016" s="102"/>
    </row>
    <row r="1017" ht="15.75" customHeight="1">
      <c r="C1017" s="166"/>
      <c r="D1017" s="166"/>
      <c r="G1017" s="312"/>
      <c r="AJ1017" s="102"/>
    </row>
    <row r="1018" ht="15.75" customHeight="1">
      <c r="C1018" s="166"/>
      <c r="D1018" s="166"/>
      <c r="G1018" s="312"/>
      <c r="AJ1018" s="102"/>
    </row>
    <row r="1019" ht="15.75" customHeight="1">
      <c r="C1019" s="166"/>
      <c r="D1019" s="166"/>
      <c r="G1019" s="312"/>
      <c r="AJ1019" s="102"/>
    </row>
    <row r="1020" ht="15.75" customHeight="1">
      <c r="C1020" s="166"/>
      <c r="D1020" s="166"/>
      <c r="G1020" s="312"/>
      <c r="AJ1020" s="102"/>
    </row>
    <row r="1021" ht="15.75" customHeight="1">
      <c r="C1021" s="166"/>
      <c r="D1021" s="166"/>
      <c r="G1021" s="312"/>
      <c r="AJ1021" s="102"/>
    </row>
    <row r="1022" ht="15.75" customHeight="1">
      <c r="C1022" s="166"/>
      <c r="D1022" s="166"/>
      <c r="G1022" s="312"/>
      <c r="AJ1022" s="102"/>
    </row>
    <row r="1023" ht="15.75" customHeight="1">
      <c r="C1023" s="166"/>
      <c r="D1023" s="166"/>
      <c r="G1023" s="312"/>
      <c r="AJ1023" s="102"/>
    </row>
    <row r="1024" ht="15.75" customHeight="1">
      <c r="C1024" s="166"/>
      <c r="D1024" s="166"/>
      <c r="G1024" s="312"/>
      <c r="AJ1024" s="102"/>
    </row>
    <row r="1025" ht="15.75" customHeight="1">
      <c r="C1025" s="166"/>
      <c r="D1025" s="166"/>
      <c r="G1025" s="312"/>
      <c r="AJ1025" s="102"/>
    </row>
    <row r="1026" ht="15.75" customHeight="1">
      <c r="C1026" s="166"/>
      <c r="D1026" s="166"/>
      <c r="G1026" s="312"/>
      <c r="AJ1026" s="102"/>
    </row>
    <row r="1027" ht="15.75" customHeight="1">
      <c r="C1027" s="166"/>
      <c r="D1027" s="166"/>
      <c r="G1027" s="312"/>
      <c r="AJ1027" s="102"/>
    </row>
    <row r="1028" ht="15.75" customHeight="1">
      <c r="C1028" s="166"/>
      <c r="D1028" s="166"/>
      <c r="G1028" s="312"/>
      <c r="AJ1028" s="102"/>
    </row>
    <row r="1029" ht="15.75" customHeight="1">
      <c r="C1029" s="166"/>
      <c r="D1029" s="166"/>
      <c r="G1029" s="312"/>
      <c r="AJ1029" s="102"/>
    </row>
    <row r="1030" ht="15.75" customHeight="1">
      <c r="C1030" s="166"/>
      <c r="D1030" s="166"/>
      <c r="G1030" s="312"/>
      <c r="AJ1030" s="102"/>
    </row>
    <row r="1031" ht="15.75" customHeight="1">
      <c r="C1031" s="166"/>
      <c r="D1031" s="166"/>
      <c r="G1031" s="312"/>
      <c r="AJ1031" s="102"/>
    </row>
    <row r="1032" ht="15.75" customHeight="1">
      <c r="C1032" s="166"/>
      <c r="D1032" s="166"/>
      <c r="G1032" s="312"/>
      <c r="AJ1032" s="102"/>
    </row>
    <row r="1033" ht="15.75" customHeight="1">
      <c r="C1033" s="166"/>
      <c r="D1033" s="166"/>
      <c r="G1033" s="312"/>
      <c r="AJ1033" s="102"/>
    </row>
    <row r="1034" ht="15.75" customHeight="1">
      <c r="C1034" s="166"/>
      <c r="D1034" s="166"/>
      <c r="G1034" s="312"/>
      <c r="AJ1034" s="102"/>
    </row>
    <row r="1035" ht="15.75" customHeight="1">
      <c r="C1035" s="166"/>
      <c r="D1035" s="166"/>
      <c r="G1035" s="312"/>
      <c r="AJ1035" s="102"/>
    </row>
    <row r="1036" ht="15.75" customHeight="1">
      <c r="C1036" s="166"/>
      <c r="D1036" s="166"/>
      <c r="G1036" s="312"/>
      <c r="AJ1036" s="102"/>
    </row>
    <row r="1037" ht="15.75" customHeight="1">
      <c r="C1037" s="166"/>
      <c r="D1037" s="166"/>
      <c r="G1037" s="312"/>
      <c r="AJ1037" s="102"/>
    </row>
    <row r="1038" ht="15.75" customHeight="1">
      <c r="C1038" s="166"/>
      <c r="D1038" s="166"/>
      <c r="G1038" s="312"/>
      <c r="AJ1038" s="102"/>
    </row>
    <row r="1039" ht="15.75" customHeight="1">
      <c r="C1039" s="166"/>
      <c r="D1039" s="166"/>
      <c r="G1039" s="312"/>
      <c r="AJ1039" s="102"/>
    </row>
    <row r="1040" ht="15.75" customHeight="1">
      <c r="C1040" s="166"/>
      <c r="D1040" s="166"/>
      <c r="G1040" s="312"/>
      <c r="AJ1040" s="102"/>
    </row>
    <row r="1041" ht="15.75" customHeight="1">
      <c r="C1041" s="166"/>
      <c r="D1041" s="166"/>
      <c r="G1041" s="312"/>
      <c r="AJ1041" s="102"/>
    </row>
    <row r="1042" ht="15.75" customHeight="1">
      <c r="C1042" s="166"/>
      <c r="D1042" s="166"/>
      <c r="G1042" s="312"/>
      <c r="AJ1042" s="102"/>
    </row>
    <row r="1043" ht="15.75" customHeight="1">
      <c r="C1043" s="166"/>
      <c r="D1043" s="166"/>
      <c r="G1043" s="312"/>
      <c r="AJ1043" s="102"/>
    </row>
    <row r="1044" ht="15.75" customHeight="1">
      <c r="C1044" s="166"/>
      <c r="D1044" s="166"/>
      <c r="G1044" s="312"/>
      <c r="AJ1044" s="102"/>
    </row>
    <row r="1045" ht="15.75" customHeight="1">
      <c r="C1045" s="166"/>
      <c r="D1045" s="166"/>
      <c r="G1045" s="312"/>
      <c r="AJ1045" s="102"/>
    </row>
    <row r="1046" ht="15.75" customHeight="1">
      <c r="C1046" s="166"/>
      <c r="D1046" s="166"/>
      <c r="G1046" s="312"/>
      <c r="AJ1046" s="102"/>
    </row>
    <row r="1047" ht="15.75" customHeight="1">
      <c r="C1047" s="166"/>
      <c r="D1047" s="166"/>
      <c r="G1047" s="312"/>
      <c r="AJ1047" s="102"/>
    </row>
    <row r="1048" ht="15.75" customHeight="1">
      <c r="C1048" s="166"/>
      <c r="D1048" s="166"/>
      <c r="G1048" s="312"/>
      <c r="AJ1048" s="102"/>
    </row>
    <row r="1049" ht="15.75" customHeight="1">
      <c r="C1049" s="166"/>
      <c r="D1049" s="166"/>
      <c r="G1049" s="312"/>
      <c r="AJ1049" s="102"/>
    </row>
    <row r="1050" ht="15.75" customHeight="1">
      <c r="C1050" s="166"/>
      <c r="D1050" s="166"/>
      <c r="G1050" s="312"/>
      <c r="AJ1050" s="102"/>
    </row>
    <row r="1051" ht="15.75" customHeight="1">
      <c r="C1051" s="166"/>
      <c r="D1051" s="166"/>
      <c r="G1051" s="312"/>
      <c r="AJ1051" s="102"/>
    </row>
    <row r="1052" ht="15.75" customHeight="1">
      <c r="C1052" s="166"/>
      <c r="D1052" s="166"/>
      <c r="G1052" s="312"/>
      <c r="AJ1052" s="102"/>
    </row>
    <row r="1053" ht="15.75" customHeight="1">
      <c r="C1053" s="166"/>
      <c r="D1053" s="166"/>
      <c r="G1053" s="312"/>
      <c r="AJ1053" s="102"/>
    </row>
    <row r="1054" ht="15.75" customHeight="1">
      <c r="C1054" s="166"/>
      <c r="D1054" s="166"/>
      <c r="G1054" s="312"/>
      <c r="AJ1054" s="102"/>
    </row>
    <row r="1055" ht="15.75" customHeight="1">
      <c r="C1055" s="166"/>
      <c r="D1055" s="166"/>
      <c r="G1055" s="312"/>
      <c r="AJ1055" s="102"/>
    </row>
    <row r="1056" ht="15.75" customHeight="1">
      <c r="C1056" s="166"/>
      <c r="D1056" s="166"/>
      <c r="G1056" s="312"/>
      <c r="AJ1056" s="102"/>
    </row>
    <row r="1057" ht="15.75" customHeight="1">
      <c r="C1057" s="166"/>
      <c r="D1057" s="166"/>
      <c r="G1057" s="312"/>
      <c r="AJ1057" s="102"/>
    </row>
    <row r="1058" ht="15.75" customHeight="1">
      <c r="C1058" s="166"/>
      <c r="D1058" s="166"/>
      <c r="G1058" s="312"/>
      <c r="AJ1058" s="102"/>
    </row>
    <row r="1059" ht="15.75" customHeight="1">
      <c r="C1059" s="166"/>
      <c r="D1059" s="166"/>
      <c r="G1059" s="312"/>
      <c r="AJ1059" s="102"/>
    </row>
    <row r="1060" ht="15.75" customHeight="1">
      <c r="C1060" s="166"/>
      <c r="D1060" s="166"/>
      <c r="G1060" s="312"/>
      <c r="AJ1060" s="102"/>
    </row>
    <row r="1061" ht="15.75" customHeight="1">
      <c r="C1061" s="166"/>
      <c r="D1061" s="166"/>
      <c r="G1061" s="312"/>
      <c r="AJ1061" s="102"/>
    </row>
    <row r="1062" ht="15.75" customHeight="1">
      <c r="C1062" s="166"/>
      <c r="D1062" s="166"/>
      <c r="G1062" s="312"/>
      <c r="AJ1062" s="102"/>
    </row>
    <row r="1063" ht="15.75" customHeight="1">
      <c r="C1063" s="166"/>
      <c r="D1063" s="166"/>
      <c r="G1063" s="312"/>
      <c r="AJ1063" s="102"/>
    </row>
    <row r="1064" ht="15.75" customHeight="1">
      <c r="C1064" s="166"/>
      <c r="D1064" s="166"/>
      <c r="G1064" s="312"/>
      <c r="AJ1064" s="102"/>
    </row>
    <row r="1065" ht="15.75" customHeight="1">
      <c r="C1065" s="166"/>
      <c r="D1065" s="166"/>
      <c r="G1065" s="312"/>
      <c r="AJ1065" s="102"/>
    </row>
    <row r="1066" ht="15.75" customHeight="1">
      <c r="C1066" s="166"/>
      <c r="D1066" s="166"/>
      <c r="G1066" s="312"/>
      <c r="AJ1066" s="102"/>
    </row>
    <row r="1067" ht="15.75" customHeight="1">
      <c r="C1067" s="166"/>
      <c r="D1067" s="166"/>
      <c r="G1067" s="312"/>
      <c r="AJ1067" s="102"/>
    </row>
    <row r="1068" ht="15.75" customHeight="1">
      <c r="C1068" s="166"/>
      <c r="D1068" s="166"/>
      <c r="G1068" s="312"/>
      <c r="AJ1068" s="102"/>
    </row>
    <row r="1069" ht="15.75" customHeight="1">
      <c r="C1069" s="166"/>
      <c r="D1069" s="166"/>
      <c r="G1069" s="312"/>
      <c r="AJ1069" s="102"/>
    </row>
    <row r="1070" ht="15.75" customHeight="1">
      <c r="C1070" s="166"/>
      <c r="D1070" s="166"/>
      <c r="G1070" s="312"/>
      <c r="AJ1070" s="102"/>
    </row>
    <row r="1071" ht="15.75" customHeight="1">
      <c r="C1071" s="166"/>
      <c r="D1071" s="166"/>
      <c r="G1071" s="312"/>
      <c r="AJ1071" s="102"/>
    </row>
    <row r="1072" ht="15.75" customHeight="1">
      <c r="C1072" s="166"/>
      <c r="D1072" s="166"/>
      <c r="G1072" s="312"/>
      <c r="AJ1072" s="102"/>
    </row>
    <row r="1073" ht="15.75" customHeight="1">
      <c r="C1073" s="166"/>
      <c r="D1073" s="166"/>
      <c r="G1073" s="312"/>
      <c r="AJ1073" s="102"/>
    </row>
    <row r="1074" ht="15.75" customHeight="1">
      <c r="C1074" s="166"/>
      <c r="D1074" s="166"/>
      <c r="G1074" s="312"/>
      <c r="AJ1074" s="102"/>
    </row>
    <row r="1075" ht="15.75" customHeight="1">
      <c r="C1075" s="166"/>
      <c r="D1075" s="166"/>
      <c r="G1075" s="312"/>
      <c r="AJ1075" s="102"/>
    </row>
    <row r="1076" ht="15.75" customHeight="1">
      <c r="C1076" s="166"/>
      <c r="D1076" s="166"/>
      <c r="G1076" s="312"/>
      <c r="AJ1076" s="102"/>
    </row>
    <row r="1077" ht="15.75" customHeight="1">
      <c r="C1077" s="166"/>
      <c r="D1077" s="166"/>
      <c r="G1077" s="312"/>
      <c r="AJ1077" s="102"/>
    </row>
    <row r="1078" ht="15.75" customHeight="1">
      <c r="C1078" s="166"/>
      <c r="D1078" s="166"/>
      <c r="G1078" s="312"/>
      <c r="AJ1078" s="102"/>
    </row>
    <row r="1079" ht="15.75" customHeight="1">
      <c r="C1079" s="166"/>
      <c r="D1079" s="166"/>
      <c r="G1079" s="312"/>
      <c r="AJ1079" s="102"/>
    </row>
    <row r="1080" ht="15.75" customHeight="1">
      <c r="C1080" s="166"/>
      <c r="D1080" s="166"/>
      <c r="G1080" s="312"/>
      <c r="AJ1080" s="102"/>
    </row>
    <row r="1081" ht="15.75" customHeight="1">
      <c r="C1081" s="166"/>
      <c r="D1081" s="166"/>
      <c r="G1081" s="312"/>
      <c r="AJ1081" s="102"/>
    </row>
    <row r="1082" ht="15.75" customHeight="1">
      <c r="C1082" s="166"/>
      <c r="D1082" s="166"/>
      <c r="G1082" s="312"/>
      <c r="AJ1082" s="102"/>
    </row>
    <row r="1083" ht="15.75" customHeight="1">
      <c r="C1083" s="166"/>
      <c r="D1083" s="166"/>
      <c r="G1083" s="312"/>
      <c r="AJ1083" s="102"/>
    </row>
    <row r="1084" ht="15.75" customHeight="1">
      <c r="C1084" s="166"/>
      <c r="D1084" s="166"/>
      <c r="G1084" s="312"/>
      <c r="AJ1084" s="102"/>
    </row>
    <row r="1085" ht="15.75" customHeight="1">
      <c r="C1085" s="166"/>
      <c r="D1085" s="166"/>
      <c r="G1085" s="312"/>
      <c r="AJ1085" s="102"/>
    </row>
    <row r="1086" ht="15.75" customHeight="1">
      <c r="C1086" s="166"/>
      <c r="D1086" s="166"/>
      <c r="G1086" s="312"/>
      <c r="AJ1086" s="102"/>
    </row>
  </sheetData>
  <mergeCells count="46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F16:F26"/>
    <mergeCell ref="G16:G26"/>
    <mergeCell ref="F47:F48"/>
    <mergeCell ref="G47:G48"/>
    <mergeCell ref="H47:H48"/>
    <mergeCell ref="F49:F52"/>
    <mergeCell ref="G49:G52"/>
    <mergeCell ref="F53:F59"/>
    <mergeCell ref="G53:G59"/>
    <mergeCell ref="F65:F73"/>
    <mergeCell ref="F74:F79"/>
    <mergeCell ref="F80:F92"/>
    <mergeCell ref="F96:F113"/>
    <mergeCell ref="D119:D121"/>
    <mergeCell ref="F119:F121"/>
    <mergeCell ref="G119:G121"/>
    <mergeCell ref="H119:H121"/>
    <mergeCell ref="D122:D125"/>
    <mergeCell ref="G122:G125"/>
    <mergeCell ref="D169:F169"/>
    <mergeCell ref="I169:J169"/>
    <mergeCell ref="K169:AG169"/>
    <mergeCell ref="K170:AG170"/>
    <mergeCell ref="K171:AG171"/>
    <mergeCell ref="D170:F170"/>
    <mergeCell ref="D171:F171"/>
    <mergeCell ref="A178:C178"/>
    <mergeCell ref="A179:C179"/>
    <mergeCell ref="F122:F125"/>
    <mergeCell ref="F126:F127"/>
    <mergeCell ref="G126:G127"/>
    <mergeCell ref="D132:D137"/>
    <mergeCell ref="F132:F137"/>
    <mergeCell ref="G132:G137"/>
    <mergeCell ref="D168:F168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