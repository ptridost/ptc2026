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Desktop\"/>
    </mc:Choice>
  </mc:AlternateContent>
  <xr:revisionPtr revIDLastSave="0" documentId="13_ncr:1_{BAFB0D8F-B081-43B3-AF34-3C6FA1A758BE}"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2nd Quar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3" i="2"/>
  <c r="E12" i="2"/>
  <c r="E11" i="2"/>
  <c r="E15" i="1"/>
  <c r="E14" i="1"/>
  <c r="E13" i="1"/>
  <c r="E12" i="1"/>
</calcChain>
</file>

<file path=xl/sharedStrings.xml><?xml version="1.0" encoding="utf-8"?>
<sst xmlns="http://schemas.openxmlformats.org/spreadsheetml/2006/main" count="229" uniqueCount="110">
  <si>
    <t>PROJECT PROCUREMENT MANAGEMENT PLAN (PPMP) 2024</t>
  </si>
  <si>
    <t>For 1st Quarter of CY 2024</t>
  </si>
  <si>
    <t>END-USER/UNIT: OD-TIPS</t>
  </si>
  <si>
    <t>Charged to: Communicating Textiles Ph Globally</t>
  </si>
  <si>
    <t>Projects, Programs and Activities (PAPs)</t>
  </si>
  <si>
    <t>CODE</t>
  </si>
  <si>
    <t>GENERAL DESCRIPTION</t>
  </si>
  <si>
    <t>QUANTITY/</t>
  </si>
  <si>
    <t>UNIT PRICE</t>
  </si>
  <si>
    <t>ESTIMATED BUDGET</t>
  </si>
  <si>
    <t>Mode of Procurement</t>
  </si>
  <si>
    <t>DELIVERY TERM</t>
  </si>
  <si>
    <t>SCHEDULE/MILESTONE OF ACTIVITIES</t>
  </si>
  <si>
    <t>SIZE</t>
  </si>
  <si>
    <t>Jan</t>
  </si>
  <si>
    <t>Feb</t>
  </si>
  <si>
    <t>Mar</t>
  </si>
  <si>
    <t>PR No.</t>
  </si>
  <si>
    <t>RFQ No.</t>
  </si>
  <si>
    <t>PhilGEPS Reference No.</t>
  </si>
  <si>
    <t>AOC No.</t>
  </si>
  <si>
    <t>PO No.</t>
  </si>
  <si>
    <t>COA Received Date</t>
  </si>
  <si>
    <t>NTP No.</t>
  </si>
  <si>
    <t>IAR No.</t>
  </si>
  <si>
    <t>ICS/PAR No.</t>
  </si>
  <si>
    <t>RIS/RSMI No.</t>
  </si>
  <si>
    <t>REMARKS</t>
  </si>
  <si>
    <t>OFFICE SUPPLIES</t>
  </si>
  <si>
    <t>A4 size LED light drawing pad</t>
  </si>
  <si>
    <t xml:space="preserve"> 10 pcs</t>
  </si>
  <si>
    <t>Shopping</t>
  </si>
  <si>
    <t>CA</t>
  </si>
  <si>
    <t>Epson Printer Ink (Magenta) 008</t>
  </si>
  <si>
    <t>10 pcs</t>
  </si>
  <si>
    <t>Epson Printer Ink (Yellow) 008</t>
  </si>
  <si>
    <t>Epson Printer Ink (Cyan) 008</t>
  </si>
  <si>
    <t>Epson Printer Ink (Black) 008</t>
  </si>
  <si>
    <t>15 pcs</t>
  </si>
  <si>
    <t>Transporation and Delivery Expenses</t>
  </si>
  <si>
    <t>Courier Fee (Manila to Davao)</t>
  </si>
  <si>
    <t>1 lot</t>
  </si>
  <si>
    <t>Representation</t>
  </si>
  <si>
    <t>Travel Expenses</t>
  </si>
  <si>
    <t>Airfare (San Francisco to Manila)</t>
  </si>
  <si>
    <t>Small Value Procurement</t>
  </si>
  <si>
    <t>Other Supplies</t>
  </si>
  <si>
    <t>Subscription Expenses</t>
  </si>
  <si>
    <t>Subscription of Adobe Creative Cloud for teams- All Apps</t>
  </si>
  <si>
    <t>Version: ALL, Operation System: Multiple Platforms
Languages: Multi Asian Languages
Product Type: One Year Licensing Subscription
Devices: 5 Devices per license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</si>
  <si>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Subscription of Adobe Stock for teams</t>
  </si>
  <si>
    <t>Version: ALL, Operating System: Multiple Platform
Languages: Multi Asian Languages
Product Type: One Year Licensing Subscription
Additional Detail: 40 assets per month</t>
  </si>
  <si>
    <t xml:space="preserve">Microsoft Office License </t>
  </si>
  <si>
    <t>5 users</t>
  </si>
  <si>
    <t>Canva Premium</t>
  </si>
  <si>
    <t>Google Drive Storage 1TB Annual Subscription</t>
  </si>
  <si>
    <t>Grammarly Premium</t>
  </si>
  <si>
    <t>Other Professional Services</t>
  </si>
  <si>
    <t>&lt;-- INSERT ROW IF NEEDED</t>
  </si>
  <si>
    <t>TOTAL BUDGET:</t>
  </si>
  <si>
    <t>NOTE: Technical Specifications for each Item/Project being proposed shall be submitted as part of the PPMP</t>
  </si>
  <si>
    <t>Prepared by:</t>
  </si>
  <si>
    <t>Reviewed by:</t>
  </si>
  <si>
    <t>Recommending Approval:</t>
  </si>
  <si>
    <t>Approved by:</t>
  </si>
  <si>
    <t>EVANGELINE FLOR P. MANALANG</t>
  </si>
  <si>
    <t>MARILOU G. AGUSTIN</t>
  </si>
  <si>
    <t>MERLITA R. ODI</t>
  </si>
  <si>
    <t>JULIUS L. LEAÑO JR., Ph.D.</t>
  </si>
  <si>
    <t>Project Leader</t>
  </si>
  <si>
    <t>Head, Property, Procurement and General Services Section</t>
  </si>
  <si>
    <t>Head, Budget and Treasury Section</t>
  </si>
  <si>
    <t>Director IV</t>
  </si>
  <si>
    <t>Date: ______________________</t>
  </si>
  <si>
    <t>Apr</t>
  </si>
  <si>
    <t>May</t>
  </si>
  <si>
    <t>Jun</t>
  </si>
  <si>
    <t>Original Epson Printer Ink (Magenta) 008</t>
  </si>
  <si>
    <t>30 working days</t>
  </si>
  <si>
    <t>Original Epson Printer Ink (Yellow) 008</t>
  </si>
  <si>
    <t>Original Epson Printer Ink (Cyan) 008</t>
  </si>
  <si>
    <t>Original Epson Printer Ink (Black) 008</t>
  </si>
  <si>
    <t>Training Expenses</t>
  </si>
  <si>
    <t xml:space="preserve">Registration Fee for Sustainable Apparel and Textiles Conference USA on June 25-26, 2024 </t>
  </si>
  <si>
    <t>3 pax</t>
  </si>
  <si>
    <t>For 2nd Quarter of CY 2024</t>
  </si>
  <si>
    <t>Rental Expenses</t>
  </si>
  <si>
    <t>Rental Expenses
Video Wall Kit
-6 ft.x12 t. Video Wall
-1 Processor
-1 Laptop for Video Playback
-2 Cameras for Live Feed only (No Recording)
Lighting and Staging Set
-24x4x4 Risers/Ramps
-12ft.-15ft Trussing
-Mix Trussing 5,6 &amp; 8 ft.
-20-30 Par Lights</t>
  </si>
  <si>
    <t>lot</t>
  </si>
  <si>
    <t>Version: ALL, Operation System: Multiple Platforms
Languages: Multi Asian Languages
Product Type: One Year Licensing Subscription
Devices: 1 license 2 devices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</si>
  <si>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50 pcs</t>
  </si>
  <si>
    <t>Cotton/pineapple scarves
Specifications:
-12 x 76 inches Dimension
-Made from 70/30 Cotton-Pineapple yarn for both warp and weft
-Assorted Woven Patterns and Colors
Inclusion: 
-Packaging Box
- Supplier must be able to provide sample for approval of end-user before final production</t>
  </si>
  <si>
    <t>Airfare within the United States of America for the KatHABI Philippine Textile Innovation Event in New York on June 25-28, 2024
Passenger:
Anthony Cruz Legarda
Birthday: May 10, 1963
Flight dates:
June 30, 2024
New York to Chicago
July 2, 2024
Chicago to washington DC
*VAT inclusive and fees</t>
  </si>
  <si>
    <t xml:space="preserve">1 lot </t>
  </si>
  <si>
    <t>Van rental services to transport DOST-PTRI Personnel and Exhibit Materials for the KatHABI Philippine Textile Innovation Event in New York on June 25-28, 2024
Actual day of Travel:
June 22, 2024
from John F. Kennedy International Airport to the Hotel at Fifth Aveñue in New York
July 5, 2024
From The Hotel at Fifth Aveñue to John F. Kennedy Internationa Airport
Inclusive of:
Driver, Drivers Meals and Allowance, Fuel, Toll, Parking Fee and other fees</t>
  </si>
  <si>
    <t>Renatl of Mannequins
-4 Female and 4 Male
-VAT and delivery fee</t>
  </si>
  <si>
    <t>Representation Expenses
-Accomodation for Anthony Cruz Legarda for the KatHABI Philippine Textile Innovation Event in New York on June 25-28, 2024
Dates: June 22-30, 2024- New York
*1 pax for 8 nights</t>
  </si>
  <si>
    <t>Food and Repfreshments for the  KatHABI Philippine Textile Innovation Event in New York on June 25-28, 2024
June 25, 2024- Exhibit Opening
5 PM- Snacks for 80 pax
June 27, 2024- Fashion Show
5 PM- Snacks
7 PM- Cocktails
for 120 pax 
*Inclusive of service fees and sundry and miscellaneous items associated with the function</t>
  </si>
  <si>
    <t xml:space="preserve">Representation Expenses
-Accomodation for Mr. Avelino S. Bacudio, Jr. for the KatHABI Philippine Textile Innovation Event in New York on June 25-28, 2024
Accomodation in New York, USA
-June 25-29, 2024
*1 pax for 4 nights
</t>
  </si>
  <si>
    <t>Representation Expenses
Accomodation in Chicago, Illinois, USA
June 30- July 2, 2024
*1 pax for 2 nights</t>
  </si>
  <si>
    <t>Representation Expenses
Accomodation in Washington DC, USA
July 2- July 4, 2024
*1 pax for 2 nights</t>
  </si>
  <si>
    <t>Other Supplies
-Tack-it (glue tack)
- Command velcro strips (double-sided adhesive)
- Nylon strings (transparent)
- Cling wrap
- Hook 
- Aesthetic sticks
- Wooden clips</t>
  </si>
  <si>
    <t>Talents and Creatives Team
Inclusions:
- One (1) Photographer &amp; Videographer
      Fashion show coverage with editing
- Thirteen (13) Professional Models
- One (1) Hair &amp; Make-up Artist
- One (1) Voice Over Talent
- One (1) Stylist Wardrobe Assistant
*Inclusive of VAT and fees</t>
  </si>
  <si>
    <t>Other Professional Services
Fashion and Creative Director
Inclusions:
- Casting models based on specific criteria for a fashion show.
- Fitting of collection pieces to ensure proper fit to models, make necessary adjustments, and finalize the look.
- Rehearsal of runway walks and positioning to ensure a smooth and synchronized presentation.
- Oversees the main event, coordinating music, lighting, and choreography.
- Coordination with suppliers of food and refreshments, lights and sound, exhibitions design, and modeling agency</t>
  </si>
  <si>
    <t>Design of TechStyle Collection                                           A. Specifications
-Material to be Used: Philippine Tropical Fiber (PTF-based) Fibers
-Must follow agency-approved designs/sketches                       B. Inclusions
-At least one (1) technical meeting prior to the designing of TechStyle Collection
-Provision of structural and aesthetic comments on stitching, colors, and drapes of the base material
-Style and story curation
-Provision of Manpower during the actual exhibit and fashion show
-Legal fees, service taxes, and other applicable fees            C. Delivery and Warranty
-Delivery period: 15 working days
-Other pertinent details of delivery and warranty to be covered by a signed and notarized Terms of Reference (TOR)</t>
  </si>
  <si>
    <t>Representation Expenses
-For Technology Mission in the United States of America (New York, Chicago, Washington) on June 22- July 5, 2024
*VAT Inclusive</t>
  </si>
  <si>
    <t xml:space="preserve">Multi-Purpose Extension Rod </t>
  </si>
  <si>
    <t xml:space="preserve">                                                                            Additional Baggage Expense for Manila, Philippines to JFK International Airport, New York, USA Flight for the KatHABI New York Fashion Event                                               *VAT Duties and Taxes Inclusive</t>
  </si>
  <si>
    <t>Fashion Show Curation and Exhibition                    Inclusions:                                                                        -Style and story curation                                                                            -Full photoshoot of the produced collection                                                                          -Provision of manpower during the actual exhibit and fashion show                                                                                -At least one (1) technical meeting post-activity                                                                              -Travel expenses of the designer to the event location from Mnaila, Philippines to New York City, USA and vice versa                                                                                -Legal fees, service taxes, and other applicable fees                                    Delivery and Warranty                                                                           -Delivery period: 15 working days                                                                                 - Other pertinent details of delivery and warranty to be covered by a signed and notarized Terms of Reference (TOR)</t>
  </si>
  <si>
    <t>Prototype and Design of Summer Collection Apparel
A. Specifications
-Material to be Used: Philippine Tropical Fiber (PTF-based) Fibers
-Must follow agency-approved designs/sketches
B. Inclusions
-At least one (1) technical meeting prior to the production of prototypes
-At least one (1) recorded interview with the collection designer
-Provision of structural and aesthetic comments on stitching, colors, and drapes of the base material
-Legal fees, service taxes, and other applicable fees
C. Delivery and Warranty
-Delivery period: 15 working days
-Other pertinent details of delivery and warranty to be covered by a signed and notarized Terms of Reference (TOR)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</si>
</sst>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Arial"/>
      <family val="2"/>
    </font>
    <font>
      <sz val="10"/>
      <color theme="1"/>
      <name val="Arial"/>
      <family val="2"/>
    </font>
    <font>
      <sz val="11"/>
      <color theme="1"/>
      <name val="Arial"/>
      <family val="2"/>
    </font>
    <font>
      <b/>
      <i/>
      <sz val="12"/>
      <color theme="1"/>
      <name val="Arial"/>
      <family val="2"/>
    </font>
    <font>
      <i/>
      <sz val="12"/>
      <color theme="1"/>
      <name val="Arial"/>
      <family val="2"/>
    </font>
    <font>
      <sz val="10"/>
      <name val="Arial"/>
      <family val="2"/>
    </font>
    <font>
      <b/>
      <sz val="9"/>
      <color theme="1"/>
      <name val="Arial"/>
      <family val="2"/>
    </font>
    <font>
      <b/>
      <sz val="10"/>
      <color theme="1"/>
      <name val="Arial"/>
      <family val="2"/>
    </font>
    <font>
      <sz val="10"/>
      <color rgb="FF000000"/>
      <name val="Arial"/>
      <family val="2"/>
    </font>
    <font>
      <b/>
      <sz val="10"/>
      <color theme="1"/>
      <name val="Arial"/>
      <family val="2"/>
    </font>
    <font>
      <sz val="10"/>
      <color theme="1"/>
      <name val="Arial"/>
      <family val="2"/>
    </font>
    <font>
      <b/>
      <sz val="11"/>
      <color theme="1"/>
      <name val="Arial"/>
      <family val="2"/>
    </font>
    <font>
      <b/>
      <u/>
      <sz val="9"/>
      <color theme="1"/>
      <name val="Arial"/>
      <family val="2"/>
    </font>
    <font>
      <u/>
      <sz val="8"/>
      <color theme="1"/>
      <name val="Arial"/>
      <family val="2"/>
    </font>
    <font>
      <b/>
      <u/>
      <sz val="10"/>
      <color theme="1"/>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theme="2" tint="-0.14999847407452621"/>
        <bgColor indexed="64"/>
      </patternFill>
    </fill>
  </fills>
  <borders count="12">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3">
    <xf numFmtId="0" fontId="0" fillId="0" borderId="0" xfId="0"/>
    <xf numFmtId="0" fontId="2" fillId="0" borderId="0" xfId="0" applyFont="1"/>
    <xf numFmtId="4" fontId="2" fillId="0" borderId="0" xfId="0" applyNumberFormat="1" applyFont="1" applyAlignment="1">
      <alignment vertical="top"/>
    </xf>
    <xf numFmtId="0" fontId="2" fillId="0" borderId="0" xfId="0" applyFont="1" applyAlignment="1">
      <alignment vertical="top"/>
    </xf>
    <xf numFmtId="0" fontId="2" fillId="0" borderId="1" xfId="0" applyFont="1" applyBorder="1"/>
    <xf numFmtId="4" fontId="2" fillId="0" borderId="1" xfId="0" applyNumberFormat="1" applyFont="1" applyBorder="1" applyAlignment="1">
      <alignment vertical="top"/>
    </xf>
    <xf numFmtId="0" fontId="2" fillId="0" borderId="1" xfId="0" applyFont="1" applyBorder="1" applyAlignment="1">
      <alignment vertical="top"/>
    </xf>
    <xf numFmtId="0" fontId="7" fillId="0" borderId="4" xfId="0" applyFont="1" applyBorder="1" applyAlignment="1">
      <alignment horizontal="center"/>
    </xf>
    <xf numFmtId="0" fontId="8" fillId="0" borderId="4" xfId="0" applyFont="1" applyBorder="1" applyAlignment="1">
      <alignment horizontal="center" vertical="top"/>
    </xf>
    <xf numFmtId="0" fontId="8" fillId="0" borderId="4" xfId="0" applyFont="1" applyBorder="1" applyAlignment="1">
      <alignment horizontal="center"/>
    </xf>
    <xf numFmtId="0" fontId="2" fillId="0" borderId="5" xfId="0" applyFont="1" applyBorder="1"/>
    <xf numFmtId="0" fontId="8" fillId="2" borderId="4" xfId="0" applyFont="1" applyFill="1" applyBorder="1"/>
    <xf numFmtId="0" fontId="2" fillId="2" borderId="4" xfId="0" applyFont="1" applyFill="1" applyBorder="1"/>
    <xf numFmtId="4" fontId="2" fillId="2" borderId="4" xfId="0" applyNumberFormat="1" applyFont="1" applyFill="1" applyBorder="1" applyAlignment="1">
      <alignment vertical="top"/>
    </xf>
    <xf numFmtId="0" fontId="2" fillId="2" borderId="3" xfId="0" applyFont="1" applyFill="1" applyBorder="1" applyAlignment="1">
      <alignment vertical="top"/>
    </xf>
    <xf numFmtId="0" fontId="2" fillId="2" borderId="3" xfId="0" applyFont="1" applyFill="1" applyBorder="1"/>
    <xf numFmtId="0" fontId="2" fillId="0" borderId="4" xfId="0" applyFont="1" applyBorder="1"/>
    <xf numFmtId="0" fontId="2" fillId="0" borderId="4" xfId="0" applyFont="1" applyBorder="1" applyAlignment="1">
      <alignment horizontal="center"/>
    </xf>
    <xf numFmtId="4" fontId="2" fillId="0" borderId="4" xfId="0" applyNumberFormat="1" applyFont="1" applyBorder="1" applyAlignment="1">
      <alignment horizontal="center"/>
    </xf>
    <xf numFmtId="4" fontId="2" fillId="0" borderId="4" xfId="0" applyNumberFormat="1" applyFont="1" applyBorder="1" applyAlignment="1">
      <alignment horizontal="center" vertical="top"/>
    </xf>
    <xf numFmtId="0" fontId="3" fillId="0" borderId="4" xfId="0" applyFont="1" applyBorder="1" applyAlignment="1">
      <alignment vertical="top"/>
    </xf>
    <xf numFmtId="0" fontId="2" fillId="0" borderId="6" xfId="0" applyFont="1" applyBorder="1" applyAlignment="1">
      <alignment vertical="top"/>
    </xf>
    <xf numFmtId="0" fontId="2" fillId="0" borderId="6" xfId="0" applyFont="1" applyBorder="1" applyAlignment="1">
      <alignment horizontal="center"/>
    </xf>
    <xf numFmtId="0" fontId="2" fillId="0" borderId="6" xfId="0" applyFont="1" applyBorder="1"/>
    <xf numFmtId="0" fontId="2" fillId="0" borderId="3" xfId="0" applyFont="1" applyBorder="1"/>
    <xf numFmtId="0" fontId="9" fillId="0" borderId="6" xfId="0" applyFont="1" applyBorder="1"/>
    <xf numFmtId="0" fontId="9" fillId="0" borderId="5" xfId="0" applyFont="1" applyBorder="1"/>
    <xf numFmtId="0" fontId="2" fillId="0" borderId="4" xfId="0" applyFont="1" applyBorder="1" applyAlignment="1">
      <alignment vertical="top"/>
    </xf>
    <xf numFmtId="4"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horizontal="center"/>
    </xf>
    <xf numFmtId="0" fontId="11" fillId="0" borderId="4" xfId="0" applyFont="1" applyBorder="1"/>
    <xf numFmtId="4" fontId="11" fillId="0" borderId="4" xfId="0" applyNumberFormat="1" applyFont="1" applyBorder="1" applyAlignment="1">
      <alignment horizontal="center"/>
    </xf>
    <xf numFmtId="0" fontId="11" fillId="0" borderId="4" xfId="0" applyFont="1" applyBorder="1" applyAlignment="1">
      <alignment horizontal="center" vertical="top"/>
    </xf>
    <xf numFmtId="0" fontId="12" fillId="3" borderId="4" xfId="0" applyFont="1" applyFill="1" applyBorder="1"/>
    <xf numFmtId="0" fontId="2" fillId="3" borderId="4" xfId="0" applyFont="1" applyFill="1" applyBorder="1"/>
    <xf numFmtId="4" fontId="2" fillId="3" borderId="4" xfId="0" applyNumberFormat="1" applyFont="1" applyFill="1" applyBorder="1" applyAlignment="1">
      <alignment horizontal="center" vertical="top"/>
    </xf>
    <xf numFmtId="0" fontId="2" fillId="3" borderId="4" xfId="0" applyFont="1" applyFill="1" applyBorder="1" applyAlignment="1">
      <alignment vertical="top"/>
    </xf>
    <xf numFmtId="0" fontId="2" fillId="3" borderId="4" xfId="0" applyFont="1" applyFill="1" applyBorder="1" applyAlignment="1">
      <alignment horizontal="center"/>
    </xf>
    <xf numFmtId="0" fontId="3" fillId="0" borderId="4" xfId="0" applyFont="1" applyBorder="1" applyAlignment="1">
      <alignment horizontal="left" vertical="center" wrapText="1"/>
    </xf>
    <xf numFmtId="0" fontId="3" fillId="0" borderId="4" xfId="0" applyFont="1" applyBorder="1" applyAlignment="1">
      <alignment horizontal="center" vertical="top"/>
    </xf>
    <xf numFmtId="4" fontId="3" fillId="0" borderId="4" xfId="0" applyNumberFormat="1" applyFont="1" applyBorder="1" applyAlignment="1">
      <alignment horizontal="center" vertical="top"/>
    </xf>
    <xf numFmtId="0" fontId="3" fillId="4" borderId="4" xfId="0" applyFont="1" applyFill="1" applyBorder="1" applyAlignment="1">
      <alignment wrapText="1"/>
    </xf>
    <xf numFmtId="0" fontId="3" fillId="0" borderId="4" xfId="0" applyFont="1" applyBorder="1" applyAlignment="1">
      <alignment horizontal="center"/>
    </xf>
    <xf numFmtId="0" fontId="3" fillId="0" borderId="4" xfId="0" applyFont="1" applyBorder="1" applyAlignment="1">
      <alignment wrapText="1"/>
    </xf>
    <xf numFmtId="0" fontId="12" fillId="2" borderId="4" xfId="0" applyFont="1" applyFill="1" applyBorder="1"/>
    <xf numFmtId="4" fontId="2" fillId="2" borderId="4" xfId="0" applyNumberFormat="1"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applyAlignment="1">
      <alignment horizontal="center"/>
    </xf>
    <xf numFmtId="4" fontId="11" fillId="0" borderId="6" xfId="0" applyNumberFormat="1" applyFont="1" applyBorder="1" applyAlignment="1">
      <alignment horizontal="left" vertical="top"/>
    </xf>
    <xf numFmtId="0" fontId="3" fillId="0" borderId="4" xfId="0" applyFont="1" applyBorder="1"/>
    <xf numFmtId="2" fontId="3" fillId="0" borderId="4" xfId="0" applyNumberFormat="1" applyFont="1" applyBorder="1" applyAlignment="1">
      <alignment horizontal="center"/>
    </xf>
    <xf numFmtId="4" fontId="3" fillId="0" borderId="4" xfId="0" applyNumberFormat="1" applyFont="1" applyBorder="1" applyAlignment="1">
      <alignment vertical="top"/>
    </xf>
    <xf numFmtId="0" fontId="8" fillId="0" borderId="4" xfId="0" applyFont="1" applyBorder="1"/>
    <xf numFmtId="0" fontId="12" fillId="0" borderId="4" xfId="0" applyFont="1" applyBorder="1" applyAlignment="1">
      <alignment wrapText="1"/>
    </xf>
    <xf numFmtId="0" fontId="12" fillId="0" borderId="4" xfId="0" applyFont="1" applyBorder="1" applyAlignment="1">
      <alignment vertical="top"/>
    </xf>
    <xf numFmtId="0" fontId="3" fillId="0" borderId="6" xfId="0" applyFont="1" applyBorder="1"/>
    <xf numFmtId="0" fontId="10" fillId="0" borderId="6" xfId="0" applyFont="1" applyBorder="1"/>
    <xf numFmtId="0" fontId="11" fillId="0" borderId="6" xfId="0" applyFont="1" applyBorder="1" applyAlignment="1">
      <alignment vertical="top" wrapText="1"/>
    </xf>
    <xf numFmtId="0" fontId="11" fillId="0" borderId="4" xfId="0" applyFont="1" applyBorder="1" applyAlignment="1">
      <alignment wrapText="1"/>
    </xf>
    <xf numFmtId="4" fontId="3" fillId="0" borderId="4" xfId="0" applyNumberFormat="1" applyFont="1" applyBorder="1" applyAlignment="1">
      <alignment horizontal="center"/>
    </xf>
    <xf numFmtId="0" fontId="2" fillId="0" borderId="4" xfId="0" applyFont="1" applyBorder="1" applyAlignment="1">
      <alignment wrapText="1"/>
    </xf>
    <xf numFmtId="4" fontId="2" fillId="0" borderId="7" xfId="0" applyNumberFormat="1" applyFont="1" applyBorder="1" applyAlignment="1">
      <alignment vertical="top"/>
    </xf>
    <xf numFmtId="4" fontId="2" fillId="0" borderId="0" xfId="0" applyNumberFormat="1" applyFont="1"/>
    <xf numFmtId="4" fontId="1" fillId="0" borderId="0" xfId="0" applyNumberFormat="1" applyFont="1" applyAlignment="1">
      <alignment horizontal="center"/>
    </xf>
    <xf numFmtId="0" fontId="2" fillId="5" borderId="6" xfId="0" applyFont="1" applyFill="1" applyBorder="1"/>
    <xf numFmtId="0" fontId="10" fillId="5" borderId="6" xfId="0" applyFont="1" applyFill="1" applyBorder="1"/>
    <xf numFmtId="4" fontId="11" fillId="5" borderId="6" xfId="0" applyNumberFormat="1" applyFont="1" applyFill="1" applyBorder="1" applyAlignment="1">
      <alignment horizontal="center" vertical="top"/>
    </xf>
    <xf numFmtId="0" fontId="11" fillId="5" borderId="6" xfId="0" applyFont="1" applyFill="1" applyBorder="1" applyAlignment="1">
      <alignment vertical="top"/>
    </xf>
    <xf numFmtId="0" fontId="11" fillId="5" borderId="6" xfId="0" applyFont="1" applyFill="1" applyBorder="1" applyAlignment="1">
      <alignment horizontal="center"/>
    </xf>
    <xf numFmtId="4" fontId="11" fillId="3" borderId="6" xfId="0" applyNumberFormat="1" applyFont="1" applyFill="1" applyBorder="1" applyAlignment="1">
      <alignment horizontal="center" vertical="top"/>
    </xf>
    <xf numFmtId="0" fontId="11" fillId="3" borderId="6" xfId="0" applyFont="1" applyFill="1" applyBorder="1" applyAlignment="1">
      <alignment vertical="top"/>
    </xf>
    <xf numFmtId="0" fontId="11" fillId="3" borderId="6" xfId="0" applyFont="1" applyFill="1" applyBorder="1" applyAlignment="1">
      <alignment horizontal="center"/>
    </xf>
    <xf numFmtId="0" fontId="2" fillId="3" borderId="6" xfId="0" applyFont="1" applyFill="1" applyBorder="1"/>
    <xf numFmtId="0" fontId="11" fillId="0" borderId="6" xfId="0" applyFont="1" applyBorder="1" applyAlignment="1">
      <alignment horizontal="center"/>
    </xf>
    <xf numFmtId="0" fontId="11" fillId="0" borderId="6" xfId="0" applyFont="1" applyBorder="1" applyAlignment="1">
      <alignment vertical="top"/>
    </xf>
    <xf numFmtId="0" fontId="12" fillId="2" borderId="6" xfId="0" applyFont="1" applyFill="1" applyBorder="1"/>
    <xf numFmtId="0" fontId="2" fillId="2" borderId="10" xfId="0" applyFont="1" applyFill="1" applyBorder="1"/>
    <xf numFmtId="4" fontId="2" fillId="2" borderId="10" xfId="0" applyNumberFormat="1" applyFont="1" applyFill="1" applyBorder="1" applyAlignment="1">
      <alignment vertical="top"/>
    </xf>
    <xf numFmtId="0" fontId="2" fillId="2" borderId="10" xfId="0" applyFont="1" applyFill="1" applyBorder="1" applyAlignment="1">
      <alignment vertical="top"/>
    </xf>
    <xf numFmtId="0" fontId="11" fillId="4" borderId="6" xfId="0" applyFont="1" applyFill="1" applyBorder="1" applyAlignment="1">
      <alignment vertical="center" wrapText="1"/>
    </xf>
    <xf numFmtId="4" fontId="11" fillId="4" borderId="10" xfId="0" applyNumberFormat="1" applyFont="1" applyFill="1" applyBorder="1" applyAlignment="1">
      <alignment horizontal="center" vertical="center" wrapText="1"/>
    </xf>
    <xf numFmtId="4" fontId="11"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2" fillId="6" borderId="4" xfId="0" applyFont="1" applyFill="1" applyBorder="1"/>
    <xf numFmtId="4" fontId="2" fillId="6" borderId="4" xfId="0" applyNumberFormat="1" applyFont="1" applyFill="1" applyBorder="1" applyAlignment="1">
      <alignment horizontal="center" vertical="top"/>
    </xf>
    <xf numFmtId="0" fontId="2" fillId="6" borderId="4" xfId="0" applyFont="1" applyFill="1" applyBorder="1" applyAlignment="1">
      <alignment vertical="top"/>
    </xf>
    <xf numFmtId="0" fontId="2" fillId="6" borderId="4" xfId="0" applyFont="1" applyFill="1" applyBorder="1" applyAlignment="1">
      <alignment horizontal="center"/>
    </xf>
    <xf numFmtId="0" fontId="17" fillId="6" borderId="4" xfId="0" applyFont="1" applyFill="1" applyBorder="1" applyAlignment="1">
      <alignment wrapText="1"/>
    </xf>
    <xf numFmtId="0" fontId="16" fillId="0" borderId="4" xfId="0" applyFont="1" applyBorder="1" applyAlignment="1">
      <alignment wrapText="1"/>
    </xf>
    <xf numFmtId="0" fontId="16" fillId="0" borderId="4" xfId="0" applyFont="1" applyBorder="1" applyAlignment="1">
      <alignment horizontal="center" vertical="center"/>
    </xf>
    <xf numFmtId="0" fontId="2" fillId="0" borderId="4" xfId="0" applyFont="1" applyBorder="1" applyAlignment="1">
      <alignment horizontal="center" vertical="center"/>
    </xf>
    <xf numFmtId="4" fontId="2" fillId="0" borderId="4" xfId="0" applyNumberFormat="1" applyFont="1" applyBorder="1" applyAlignment="1">
      <alignment horizontal="center" vertical="center"/>
    </xf>
    <xf numFmtId="0" fontId="2" fillId="0" borderId="4" xfId="0" applyFont="1" applyBorder="1" applyAlignment="1">
      <alignment vertical="center"/>
    </xf>
    <xf numFmtId="4" fontId="16" fillId="0" borderId="4" xfId="0" applyNumberFormat="1" applyFont="1" applyBorder="1" applyAlignment="1">
      <alignment horizontal="center" vertical="center"/>
    </xf>
    <xf numFmtId="0" fontId="16" fillId="0" borderId="4" xfId="0" applyFont="1" applyBorder="1" applyAlignment="1">
      <alignment vertical="center"/>
    </xf>
    <xf numFmtId="0" fontId="11" fillId="0" borderId="8" xfId="0" applyFont="1" applyBorder="1" applyAlignment="1">
      <alignment vertical="top" wrapText="1"/>
    </xf>
    <xf numFmtId="0" fontId="11" fillId="0" borderId="3" xfId="0" applyFont="1" applyBorder="1" applyAlignment="1">
      <alignment horizontal="center" vertical="top"/>
    </xf>
    <xf numFmtId="4" fontId="11" fillId="0" borderId="3" xfId="0" applyNumberFormat="1" applyFont="1" applyBorder="1" applyAlignment="1">
      <alignment horizontal="center" vertical="top"/>
    </xf>
    <xf numFmtId="0" fontId="11" fillId="0" borderId="3" xfId="0" applyFont="1" applyBorder="1" applyAlignment="1">
      <alignment vertical="top"/>
    </xf>
    <xf numFmtId="0" fontId="3" fillId="0" borderId="3" xfId="0" applyFont="1" applyBorder="1" applyAlignment="1">
      <alignment horizontal="center" vertical="top"/>
    </xf>
    <xf numFmtId="0" fontId="11" fillId="0" borderId="11"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horizontal="center" vertical="top"/>
    </xf>
    <xf numFmtId="2" fontId="2" fillId="0" borderId="4" xfId="0" applyNumberFormat="1" applyFont="1" applyBorder="1" applyAlignment="1">
      <alignment horizontal="center"/>
    </xf>
    <xf numFmtId="4" fontId="2" fillId="0" borderId="4" xfId="0" applyNumberFormat="1" applyFont="1" applyBorder="1" applyAlignment="1">
      <alignment vertical="top"/>
    </xf>
    <xf numFmtId="2" fontId="2" fillId="0" borderId="4" xfId="0" applyNumberFormat="1" applyFont="1" applyBorder="1" applyAlignment="1">
      <alignment horizontal="center" vertical="center"/>
    </xf>
    <xf numFmtId="4" fontId="2" fillId="0" borderId="4" xfId="0" applyNumberFormat="1" applyFont="1" applyBorder="1" applyAlignment="1">
      <alignment vertical="center"/>
    </xf>
    <xf numFmtId="0" fontId="2" fillId="0" borderId="4" xfId="0" applyFont="1" applyBorder="1" applyAlignment="1">
      <alignment horizontal="left" vertical="center" wrapText="1"/>
    </xf>
    <xf numFmtId="0" fontId="2" fillId="4" borderId="4" xfId="0" applyFont="1" applyFill="1" applyBorder="1" applyAlignment="1">
      <alignment wrapText="1"/>
    </xf>
    <xf numFmtId="0" fontId="2" fillId="0" borderId="5" xfId="0" applyFont="1" applyBorder="1" applyAlignment="1">
      <alignment wrapText="1"/>
    </xf>
    <xf numFmtId="0" fontId="2" fillId="0" borderId="0" xfId="0" applyFont="1" applyAlignment="1">
      <alignment wrapText="1"/>
    </xf>
    <xf numFmtId="0" fontId="0" fillId="0" borderId="0" xfId="0" applyAlignment="1">
      <alignment wrapText="1"/>
    </xf>
    <xf numFmtId="0" fontId="2"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2" fillId="5" borderId="6" xfId="0" applyFont="1" applyFill="1" applyBorder="1" applyAlignment="1">
      <alignment wrapText="1"/>
    </xf>
    <xf numFmtId="0" fontId="2" fillId="0" borderId="4" xfId="0" applyFont="1" applyBorder="1" applyAlignment="1">
      <alignment vertical="top" wrapText="1"/>
    </xf>
    <xf numFmtId="0" fontId="2" fillId="4" borderId="4" xfId="0" applyFont="1" applyFill="1" applyBorder="1" applyAlignment="1">
      <alignment vertical="top" wrapText="1"/>
    </xf>
    <xf numFmtId="0" fontId="2" fillId="5" borderId="6" xfId="0" applyFont="1" applyFill="1" applyBorder="1" applyAlignment="1">
      <alignment horizontal="center"/>
    </xf>
    <xf numFmtId="4" fontId="2" fillId="5" borderId="6" xfId="0" applyNumberFormat="1" applyFont="1" applyFill="1" applyBorder="1" applyAlignment="1">
      <alignment horizontal="center" vertical="top"/>
    </xf>
    <xf numFmtId="4" fontId="2" fillId="5" borderId="6" xfId="0" applyNumberFormat="1" applyFont="1" applyFill="1" applyBorder="1" applyAlignment="1">
      <alignment horizontal="center"/>
    </xf>
    <xf numFmtId="0" fontId="2" fillId="5" borderId="6" xfId="0" applyFont="1" applyFill="1" applyBorder="1" applyAlignment="1">
      <alignment vertical="top"/>
    </xf>
    <xf numFmtId="0" fontId="2" fillId="0" borderId="6" xfId="0" applyFont="1" applyBorder="1" applyAlignment="1">
      <alignment wrapText="1"/>
    </xf>
    <xf numFmtId="0" fontId="2" fillId="0" borderId="6" xfId="0" applyFont="1" applyBorder="1" applyAlignment="1">
      <alignment horizontal="center" vertical="center"/>
    </xf>
    <xf numFmtId="4" fontId="11" fillId="0" borderId="6" xfId="0" applyNumberFormat="1" applyFont="1" applyBorder="1" applyAlignment="1">
      <alignment horizontal="center" vertical="center"/>
    </xf>
    <xf numFmtId="0" fontId="2" fillId="0" borderId="6" xfId="0" applyFont="1" applyBorder="1" applyAlignment="1">
      <alignment vertical="center"/>
    </xf>
    <xf numFmtId="0" fontId="2" fillId="0" borderId="0" xfId="0" applyFont="1"/>
    <xf numFmtId="0" fontId="0" fillId="0" borderId="0" xfId="0"/>
    <xf numFmtId="0" fontId="8" fillId="0" borderId="0" xfId="0" applyFont="1"/>
    <xf numFmtId="0" fontId="2" fillId="0" borderId="0" xfId="0" applyFont="1" applyAlignment="1">
      <alignment vertical="top"/>
    </xf>
    <xf numFmtId="0" fontId="15" fillId="0" borderId="0" xfId="0" applyFont="1"/>
    <xf numFmtId="0" fontId="3" fillId="0" borderId="0" xfId="0" applyFont="1"/>
    <xf numFmtId="0" fontId="10" fillId="2" borderId="1" xfId="0" applyFont="1" applyFill="1" applyBorder="1"/>
    <xf numFmtId="0" fontId="6" fillId="0" borderId="1" xfId="0" applyFont="1" applyBorder="1"/>
    <xf numFmtId="0" fontId="6" fillId="0" borderId="4" xfId="0" applyFont="1" applyBorder="1"/>
    <xf numFmtId="0" fontId="7" fillId="0" borderId="1" xfId="0" applyFont="1" applyBorder="1"/>
    <xf numFmtId="0" fontId="13" fillId="0" borderId="0" xfId="0" applyFont="1"/>
    <xf numFmtId="0" fontId="14" fillId="0" borderId="0" xfId="0" applyFont="1"/>
    <xf numFmtId="4" fontId="7" fillId="0" borderId="3" xfId="0" applyNumberFormat="1" applyFont="1" applyBorder="1" applyAlignment="1">
      <alignment horizontal="center" vertical="top"/>
    </xf>
    <xf numFmtId="0" fontId="8" fillId="0" borderId="3" xfId="0" applyFont="1" applyBorder="1" applyAlignment="1">
      <alignment horizontal="center" vertical="top"/>
    </xf>
    <xf numFmtId="0" fontId="7" fillId="0" borderId="3" xfId="0" applyFont="1" applyBorder="1" applyAlignment="1">
      <alignment horizontal="center" vertical="top"/>
    </xf>
    <xf numFmtId="0" fontId="7" fillId="0" borderId="1" xfId="0" applyFont="1" applyBorder="1" applyAlignment="1">
      <alignment horizontal="center" vertical="top"/>
    </xf>
    <xf numFmtId="0" fontId="1" fillId="0" borderId="0" xfId="0" applyFont="1" applyAlignment="1">
      <alignment horizontal="center"/>
    </xf>
    <xf numFmtId="0" fontId="3" fillId="0" borderId="0" xfId="0" applyFont="1" applyAlignment="1">
      <alignment horizontal="center"/>
    </xf>
    <xf numFmtId="0" fontId="4" fillId="0" borderId="0" xfId="0" applyFont="1"/>
    <xf numFmtId="0" fontId="5" fillId="0" borderId="1" xfId="0" applyFont="1" applyBorder="1"/>
    <xf numFmtId="0" fontId="7" fillId="0" borderId="2" xfId="0" applyFont="1" applyBorder="1" applyAlignment="1">
      <alignment horizontal="center"/>
    </xf>
    <xf numFmtId="0" fontId="6" fillId="0" borderId="5" xfId="0" applyFont="1" applyBorder="1"/>
    <xf numFmtId="0" fontId="7" fillId="0" borderId="3" xfId="0" applyFont="1" applyBorder="1" applyAlignment="1">
      <alignment horizontal="center"/>
    </xf>
    <xf numFmtId="0" fontId="10" fillId="3" borderId="8" xfId="0" applyFont="1" applyFill="1" applyBorder="1"/>
    <xf numFmtId="0" fontId="6" fillId="0" borderId="9" xfId="0" applyFont="1" applyBorder="1"/>
    <xf numFmtId="0" fontId="6"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A2" sqref="A2:V2"/>
    </sheetView>
  </sheetViews>
  <sheetFormatPr defaultColWidth="12.5703125" defaultRowHeight="15.75" customHeight="1" x14ac:dyDescent="0.2"/>
  <cols>
    <col min="2" max="2" width="50.7109375" customWidth="1"/>
    <col min="5" max="5" width="16.28515625" customWidth="1"/>
    <col min="6" max="6" width="23.42578125" customWidth="1"/>
    <col min="7" max="7" width="13.85546875" customWidth="1"/>
  </cols>
  <sheetData>
    <row r="1" spans="1:26" x14ac:dyDescent="0.25">
      <c r="A1" s="143" t="s">
        <v>0</v>
      </c>
      <c r="B1" s="128"/>
      <c r="C1" s="128"/>
      <c r="D1" s="128"/>
      <c r="E1" s="128"/>
      <c r="F1" s="128"/>
      <c r="G1" s="128"/>
      <c r="H1" s="128"/>
      <c r="I1" s="128"/>
      <c r="J1" s="128"/>
      <c r="K1" s="128"/>
      <c r="L1" s="128"/>
      <c r="M1" s="128"/>
      <c r="N1" s="128"/>
      <c r="O1" s="128"/>
      <c r="P1" s="128"/>
      <c r="Q1" s="128"/>
      <c r="R1" s="128"/>
      <c r="S1" s="128"/>
      <c r="T1" s="128"/>
      <c r="U1" s="128"/>
      <c r="V1" s="128"/>
      <c r="W1" s="1"/>
      <c r="X1" s="1"/>
      <c r="Y1" s="1"/>
      <c r="Z1" s="1"/>
    </row>
    <row r="2" spans="1:26" ht="14.25" x14ac:dyDescent="0.2">
      <c r="A2" s="144" t="s">
        <v>1</v>
      </c>
      <c r="B2" s="128"/>
      <c r="C2" s="128"/>
      <c r="D2" s="128"/>
      <c r="E2" s="128"/>
      <c r="F2" s="128"/>
      <c r="G2" s="128"/>
      <c r="H2" s="128"/>
      <c r="I2" s="128"/>
      <c r="J2" s="128"/>
      <c r="K2" s="128"/>
      <c r="L2" s="128"/>
      <c r="M2" s="128"/>
      <c r="N2" s="128"/>
      <c r="O2" s="128"/>
      <c r="P2" s="128"/>
      <c r="Q2" s="128"/>
      <c r="R2" s="128"/>
      <c r="S2" s="128"/>
      <c r="T2" s="128"/>
      <c r="U2" s="128"/>
      <c r="V2" s="128"/>
      <c r="W2" s="1"/>
      <c r="X2" s="1"/>
      <c r="Y2" s="1"/>
      <c r="Z2" s="1"/>
    </row>
    <row r="3" spans="1:26" ht="12.75" x14ac:dyDescent="0.2">
      <c r="A3" s="127"/>
      <c r="B3" s="128"/>
      <c r="C3" s="128"/>
      <c r="D3" s="128"/>
      <c r="E3" s="128"/>
      <c r="F3" s="128"/>
      <c r="G3" s="128"/>
      <c r="H3" s="128"/>
      <c r="I3" s="128"/>
      <c r="J3" s="128"/>
      <c r="K3" s="128"/>
      <c r="L3" s="128"/>
      <c r="M3" s="128"/>
      <c r="N3" s="128"/>
      <c r="O3" s="128"/>
      <c r="P3" s="128"/>
      <c r="Q3" s="128"/>
      <c r="R3" s="128"/>
      <c r="S3" s="128"/>
      <c r="T3" s="128"/>
      <c r="U3" s="128"/>
      <c r="V3" s="128"/>
      <c r="W3" s="1"/>
      <c r="X3" s="1"/>
      <c r="Y3" s="1"/>
      <c r="Z3" s="1"/>
    </row>
    <row r="4" spans="1:26" ht="15" x14ac:dyDescent="0.2">
      <c r="A4" s="145" t="s">
        <v>2</v>
      </c>
      <c r="B4" s="12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45" t="s">
        <v>3</v>
      </c>
      <c r="B6" s="128"/>
      <c r="C6" s="128"/>
      <c r="D6" s="128"/>
      <c r="E6" s="128"/>
      <c r="F6" s="128"/>
      <c r="G6" s="128"/>
      <c r="H6" s="128"/>
      <c r="I6" s="128"/>
      <c r="J6" s="128"/>
      <c r="K6" s="128"/>
      <c r="L6" s="128"/>
      <c r="M6" s="128"/>
      <c r="N6" s="1"/>
      <c r="O6" s="1"/>
      <c r="P6" s="1"/>
      <c r="Q6" s="1"/>
      <c r="R6" s="1"/>
      <c r="S6" s="1"/>
      <c r="T6" s="1"/>
      <c r="U6" s="1"/>
      <c r="V6" s="1"/>
      <c r="W6" s="1"/>
      <c r="X6" s="1"/>
      <c r="Y6" s="1"/>
      <c r="Z6" s="1"/>
    </row>
    <row r="7" spans="1:26" ht="15" x14ac:dyDescent="0.2">
      <c r="A7" s="146" t="s">
        <v>4</v>
      </c>
      <c r="B7" s="134"/>
      <c r="C7" s="134"/>
      <c r="D7" s="4"/>
      <c r="E7" s="5"/>
      <c r="F7" s="6"/>
      <c r="G7" s="6"/>
      <c r="H7" s="6"/>
      <c r="I7" s="4"/>
      <c r="J7" s="4"/>
      <c r="K7" s="4"/>
      <c r="L7" s="4"/>
      <c r="M7" s="4"/>
      <c r="N7" s="4"/>
      <c r="O7" s="4"/>
      <c r="P7" s="4"/>
      <c r="Q7" s="4"/>
      <c r="R7" s="4"/>
      <c r="S7" s="4"/>
      <c r="T7" s="4"/>
      <c r="U7" s="4"/>
      <c r="V7" s="4"/>
      <c r="W7" s="1"/>
      <c r="X7" s="1"/>
      <c r="Y7" s="1"/>
      <c r="Z7" s="1"/>
    </row>
    <row r="8" spans="1:26" ht="12.75" x14ac:dyDescent="0.2">
      <c r="A8" s="147" t="s">
        <v>5</v>
      </c>
      <c r="B8" s="149" t="s">
        <v>6</v>
      </c>
      <c r="C8" s="7" t="s">
        <v>7</v>
      </c>
      <c r="D8" s="149" t="s">
        <v>8</v>
      </c>
      <c r="E8" s="139" t="s">
        <v>9</v>
      </c>
      <c r="F8" s="140" t="s">
        <v>10</v>
      </c>
      <c r="G8" s="141" t="s">
        <v>11</v>
      </c>
      <c r="H8" s="142" t="s">
        <v>12</v>
      </c>
      <c r="I8" s="134"/>
      <c r="J8" s="134"/>
      <c r="K8" s="134"/>
      <c r="L8" s="134"/>
      <c r="M8" s="134"/>
      <c r="N8" s="134"/>
      <c r="O8" s="134"/>
      <c r="P8" s="134"/>
      <c r="Q8" s="134"/>
      <c r="R8" s="134"/>
      <c r="S8" s="134"/>
      <c r="T8" s="134"/>
      <c r="U8" s="134"/>
      <c r="V8" s="135"/>
      <c r="W8" s="1"/>
      <c r="X8" s="1"/>
      <c r="Y8" s="1"/>
      <c r="Z8" s="1"/>
    </row>
    <row r="9" spans="1:26" ht="12.75" x14ac:dyDescent="0.2">
      <c r="A9" s="148"/>
      <c r="B9" s="135"/>
      <c r="C9" s="7" t="s">
        <v>13</v>
      </c>
      <c r="D9" s="135"/>
      <c r="E9" s="135"/>
      <c r="F9" s="135"/>
      <c r="G9" s="135"/>
      <c r="H9" s="8" t="s">
        <v>14</v>
      </c>
      <c r="I9" s="9" t="s">
        <v>15</v>
      </c>
      <c r="J9" s="9" t="s">
        <v>16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16" t="s">
        <v>29</v>
      </c>
      <c r="C11" s="17" t="s">
        <v>30</v>
      </c>
      <c r="D11" s="18">
        <v>500</v>
      </c>
      <c r="E11" s="19">
        <v>1000</v>
      </c>
      <c r="F11" s="20" t="s">
        <v>31</v>
      </c>
      <c r="G11" s="20" t="s">
        <v>32</v>
      </c>
      <c r="H11" s="21"/>
      <c r="I11" s="22">
        <v>1</v>
      </c>
      <c r="J11" s="23"/>
      <c r="K11" s="23"/>
      <c r="L11" s="23"/>
      <c r="M11" s="23"/>
      <c r="N11" s="24"/>
      <c r="O11" s="24"/>
      <c r="P11" s="24"/>
      <c r="Q11" s="24"/>
      <c r="R11" s="24"/>
      <c r="S11" s="24"/>
      <c r="T11" s="24"/>
      <c r="U11" s="24"/>
      <c r="V11" s="16"/>
      <c r="W11" s="1"/>
      <c r="X11" s="1"/>
      <c r="Y11" s="1"/>
      <c r="Z11" s="1"/>
    </row>
    <row r="12" spans="1:26" ht="14.25" x14ac:dyDescent="0.2">
      <c r="A12" s="10"/>
      <c r="B12" s="25" t="s">
        <v>33</v>
      </c>
      <c r="C12" s="17" t="s">
        <v>34</v>
      </c>
      <c r="D12" s="18">
        <v>900</v>
      </c>
      <c r="E12" s="19">
        <f>D12*10</f>
        <v>9000</v>
      </c>
      <c r="F12" s="20" t="s">
        <v>31</v>
      </c>
      <c r="G12" s="20" t="s">
        <v>32</v>
      </c>
      <c r="H12" s="21"/>
      <c r="I12" s="22">
        <v>1</v>
      </c>
      <c r="J12" s="23"/>
      <c r="K12" s="23"/>
      <c r="L12" s="23"/>
      <c r="M12" s="23"/>
      <c r="N12" s="24"/>
      <c r="O12" s="24"/>
      <c r="P12" s="24"/>
      <c r="Q12" s="24"/>
      <c r="R12" s="24"/>
      <c r="S12" s="24"/>
      <c r="T12" s="24"/>
      <c r="U12" s="24"/>
      <c r="V12" s="16"/>
      <c r="W12" s="1"/>
      <c r="X12" s="1"/>
      <c r="Y12" s="1"/>
      <c r="Z12" s="1"/>
    </row>
    <row r="13" spans="1:26" ht="14.25" x14ac:dyDescent="0.2">
      <c r="A13" s="10"/>
      <c r="B13" s="26" t="s">
        <v>35</v>
      </c>
      <c r="C13" s="17" t="s">
        <v>34</v>
      </c>
      <c r="D13" s="18">
        <v>900</v>
      </c>
      <c r="E13" s="19">
        <f t="shared" ref="E13:E14" si="0">900*10</f>
        <v>9000</v>
      </c>
      <c r="F13" s="20" t="s">
        <v>31</v>
      </c>
      <c r="G13" s="20" t="s">
        <v>32</v>
      </c>
      <c r="H13" s="21"/>
      <c r="I13" s="22">
        <v>1</v>
      </c>
      <c r="J13" s="23"/>
      <c r="K13" s="23"/>
      <c r="L13" s="23"/>
      <c r="M13" s="23"/>
      <c r="N13" s="24"/>
      <c r="O13" s="24"/>
      <c r="P13" s="24"/>
      <c r="Q13" s="24"/>
      <c r="R13" s="24"/>
      <c r="S13" s="24"/>
      <c r="T13" s="24"/>
      <c r="U13" s="24"/>
      <c r="V13" s="16"/>
      <c r="W13" s="1"/>
      <c r="X13" s="1"/>
      <c r="Y13" s="1"/>
      <c r="Z13" s="1"/>
    </row>
    <row r="14" spans="1:26" ht="14.25" x14ac:dyDescent="0.2">
      <c r="A14" s="10"/>
      <c r="B14" s="26" t="s">
        <v>36</v>
      </c>
      <c r="C14" s="17" t="s">
        <v>34</v>
      </c>
      <c r="D14" s="18">
        <v>900</v>
      </c>
      <c r="E14" s="19">
        <f t="shared" si="0"/>
        <v>9000</v>
      </c>
      <c r="F14" s="20" t="s">
        <v>31</v>
      </c>
      <c r="G14" s="20" t="s">
        <v>32</v>
      </c>
      <c r="H14" s="21"/>
      <c r="I14" s="22">
        <v>1</v>
      </c>
      <c r="J14" s="23"/>
      <c r="K14" s="23"/>
      <c r="L14" s="23"/>
      <c r="M14" s="23"/>
      <c r="N14" s="16"/>
      <c r="O14" s="16"/>
      <c r="P14" s="16"/>
      <c r="Q14" s="16"/>
      <c r="R14" s="16"/>
      <c r="S14" s="16"/>
      <c r="T14" s="16"/>
      <c r="U14" s="16"/>
      <c r="V14" s="16"/>
      <c r="W14" s="1"/>
      <c r="X14" s="1"/>
      <c r="Y14" s="1"/>
      <c r="Z14" s="1"/>
    </row>
    <row r="15" spans="1:26" ht="14.25" x14ac:dyDescent="0.2">
      <c r="A15" s="10"/>
      <c r="B15" s="26" t="s">
        <v>37</v>
      </c>
      <c r="C15" s="17" t="s">
        <v>38</v>
      </c>
      <c r="D15" s="18">
        <v>1000</v>
      </c>
      <c r="E15" s="19">
        <f>900*15</f>
        <v>13500</v>
      </c>
      <c r="F15" s="20" t="s">
        <v>31</v>
      </c>
      <c r="G15" s="20" t="s">
        <v>32</v>
      </c>
      <c r="H15" s="27"/>
      <c r="I15" s="22">
        <v>1</v>
      </c>
      <c r="J15" s="16"/>
      <c r="K15" s="16"/>
      <c r="L15" s="16"/>
      <c r="M15" s="16"/>
      <c r="N15" s="16"/>
      <c r="O15" s="16"/>
      <c r="P15" s="16"/>
      <c r="Q15" s="16"/>
      <c r="R15" s="16"/>
      <c r="S15" s="16"/>
      <c r="T15" s="16"/>
      <c r="U15" s="16"/>
      <c r="V15" s="16"/>
      <c r="W15" s="1"/>
      <c r="X15" s="1"/>
      <c r="Y15" s="1"/>
      <c r="Z15" s="1"/>
    </row>
    <row r="16" spans="1:26" ht="12.75" x14ac:dyDescent="0.2">
      <c r="A16" s="10"/>
      <c r="B16" s="133" t="s">
        <v>39</v>
      </c>
      <c r="C16" s="134"/>
      <c r="D16" s="135"/>
      <c r="E16" s="28"/>
      <c r="F16" s="29"/>
      <c r="G16" s="29"/>
      <c r="H16" s="29"/>
      <c r="I16" s="30"/>
      <c r="J16" s="16"/>
      <c r="K16" s="16"/>
      <c r="L16" s="16"/>
      <c r="M16" s="16"/>
      <c r="N16" s="16"/>
      <c r="O16" s="16"/>
      <c r="P16" s="16"/>
      <c r="Q16" s="16"/>
      <c r="R16" s="16"/>
      <c r="S16" s="16"/>
      <c r="T16" s="16"/>
      <c r="U16" s="16"/>
      <c r="V16" s="16"/>
      <c r="W16" s="1"/>
      <c r="X16" s="1"/>
      <c r="Y16" s="1"/>
      <c r="Z16" s="1"/>
    </row>
    <row r="17" spans="1:26" ht="12.75" x14ac:dyDescent="0.2">
      <c r="A17" s="10"/>
      <c r="B17" s="31" t="s">
        <v>40</v>
      </c>
      <c r="C17" s="30" t="s">
        <v>41</v>
      </c>
      <c r="D17" s="32">
        <v>675</v>
      </c>
      <c r="E17" s="28">
        <v>675</v>
      </c>
      <c r="F17" s="29" t="s">
        <v>31</v>
      </c>
      <c r="G17" s="29" t="s">
        <v>32</v>
      </c>
      <c r="H17" s="33"/>
      <c r="I17" s="30">
        <v>1</v>
      </c>
      <c r="J17" s="16"/>
      <c r="K17" s="16"/>
      <c r="L17" s="16"/>
      <c r="M17" s="16"/>
      <c r="N17" s="16"/>
      <c r="O17" s="16"/>
      <c r="P17" s="16"/>
      <c r="Q17" s="16"/>
      <c r="R17" s="16"/>
      <c r="S17" s="16"/>
      <c r="T17" s="16"/>
      <c r="U17" s="16"/>
      <c r="V17" s="16"/>
      <c r="W17" s="1"/>
      <c r="X17" s="1"/>
      <c r="Y17" s="1"/>
      <c r="Z17" s="1"/>
    </row>
    <row r="18" spans="1:26" ht="12.75" x14ac:dyDescent="0.2">
      <c r="A18" s="10"/>
      <c r="B18" s="16"/>
      <c r="C18" s="16"/>
      <c r="D18" s="16"/>
      <c r="E18" s="19"/>
      <c r="F18" s="27"/>
      <c r="G18" s="27"/>
      <c r="H18" s="27"/>
      <c r="I18" s="17"/>
      <c r="J18" s="16"/>
      <c r="K18" s="16"/>
      <c r="L18" s="16"/>
      <c r="M18" s="16"/>
      <c r="N18" s="16"/>
      <c r="O18" s="16"/>
      <c r="P18" s="16"/>
      <c r="Q18" s="16"/>
      <c r="R18" s="16"/>
      <c r="S18" s="16"/>
      <c r="T18" s="16"/>
      <c r="U18" s="16"/>
      <c r="V18" s="16"/>
      <c r="W18" s="1"/>
      <c r="X18" s="1"/>
      <c r="Y18" s="1"/>
      <c r="Z18" s="1"/>
    </row>
    <row r="19" spans="1:26" ht="15" x14ac:dyDescent="0.25">
      <c r="A19" s="10"/>
      <c r="B19" s="34" t="s">
        <v>42</v>
      </c>
      <c r="C19" s="35"/>
      <c r="D19" s="35"/>
      <c r="E19" s="36"/>
      <c r="F19" s="37"/>
      <c r="G19" s="37"/>
      <c r="H19" s="37"/>
      <c r="I19" s="38"/>
      <c r="J19" s="35"/>
      <c r="K19" s="35"/>
      <c r="L19" s="35"/>
      <c r="M19" s="35"/>
      <c r="N19" s="35"/>
      <c r="O19" s="35"/>
      <c r="P19" s="35"/>
      <c r="Q19" s="35"/>
      <c r="R19" s="35"/>
      <c r="S19" s="35"/>
      <c r="T19" s="35"/>
      <c r="U19" s="35"/>
      <c r="V19" s="35"/>
      <c r="W19" s="1"/>
      <c r="X19" s="1"/>
      <c r="Y19" s="1"/>
      <c r="Z19" s="1"/>
    </row>
    <row r="20" spans="1:26" ht="26.25" customHeight="1" x14ac:dyDescent="0.2">
      <c r="A20" s="10"/>
      <c r="B20" s="39"/>
      <c r="C20" s="40"/>
      <c r="D20" s="40"/>
      <c r="E20" s="41"/>
      <c r="F20" s="20"/>
      <c r="G20" s="20"/>
      <c r="H20" s="40"/>
      <c r="I20" s="17"/>
      <c r="J20" s="16"/>
      <c r="K20" s="16"/>
      <c r="L20" s="16"/>
      <c r="M20" s="16"/>
      <c r="N20" s="16"/>
      <c r="O20" s="16"/>
      <c r="P20" s="16"/>
      <c r="Q20" s="16"/>
      <c r="R20" s="16"/>
      <c r="S20" s="16"/>
      <c r="T20" s="16"/>
      <c r="U20" s="16"/>
      <c r="V20" s="16"/>
      <c r="W20" s="1"/>
      <c r="X20" s="1"/>
      <c r="Y20" s="1"/>
      <c r="Z20" s="1"/>
    </row>
    <row r="21" spans="1:26" ht="14.25" x14ac:dyDescent="0.2">
      <c r="A21" s="10"/>
      <c r="B21" s="42"/>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3"/>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3"/>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4"/>
      <c r="C24" s="40"/>
      <c r="D24" s="40"/>
      <c r="E24" s="41"/>
      <c r="F24" s="20"/>
      <c r="G24" s="20"/>
      <c r="H24" s="40"/>
      <c r="I24" s="17"/>
      <c r="J24" s="16"/>
      <c r="K24" s="16"/>
      <c r="L24" s="16"/>
      <c r="M24" s="16"/>
      <c r="N24" s="16"/>
      <c r="O24" s="16"/>
      <c r="P24" s="16"/>
      <c r="Q24" s="16"/>
      <c r="R24" s="16"/>
      <c r="S24" s="16"/>
      <c r="T24" s="16"/>
      <c r="U24" s="16"/>
      <c r="V24" s="16"/>
      <c r="W24" s="1"/>
      <c r="X24" s="1"/>
      <c r="Y24" s="1"/>
      <c r="Z24" s="1"/>
    </row>
    <row r="25" spans="1:26" ht="12.75" x14ac:dyDescent="0.2">
      <c r="A25" s="10"/>
      <c r="B25" s="16"/>
      <c r="C25" s="16"/>
      <c r="D25" s="16"/>
      <c r="E25" s="19"/>
      <c r="F25" s="27"/>
      <c r="G25" s="27"/>
      <c r="H25" s="27"/>
      <c r="I25" s="17"/>
      <c r="J25" s="16"/>
      <c r="K25" s="16"/>
      <c r="L25" s="16"/>
      <c r="M25" s="16"/>
      <c r="N25" s="16"/>
      <c r="O25" s="16"/>
      <c r="P25" s="16"/>
      <c r="Q25" s="16"/>
      <c r="R25" s="16"/>
      <c r="S25" s="16"/>
      <c r="T25" s="16"/>
      <c r="U25" s="16"/>
      <c r="V25" s="16"/>
      <c r="W25" s="1"/>
      <c r="X25" s="1"/>
      <c r="Y25" s="1"/>
      <c r="Z25" s="1"/>
    </row>
    <row r="26" spans="1:26" ht="15" x14ac:dyDescent="0.25">
      <c r="A26" s="10"/>
      <c r="B26" s="45" t="s">
        <v>43</v>
      </c>
      <c r="C26" s="12"/>
      <c r="D26" s="12"/>
      <c r="E26" s="46"/>
      <c r="F26" s="47"/>
      <c r="G26" s="47"/>
      <c r="H26" s="47"/>
      <c r="I26" s="48"/>
      <c r="J26" s="12"/>
      <c r="K26" s="12"/>
      <c r="L26" s="12"/>
      <c r="M26" s="12"/>
      <c r="N26" s="12"/>
      <c r="O26" s="12"/>
      <c r="P26" s="12"/>
      <c r="Q26" s="12"/>
      <c r="R26" s="12"/>
      <c r="S26" s="12"/>
      <c r="T26" s="12"/>
      <c r="U26" s="12"/>
      <c r="V26" s="12"/>
      <c r="W26" s="1"/>
      <c r="X26" s="1"/>
      <c r="Y26" s="1"/>
      <c r="Z26" s="1"/>
    </row>
    <row r="27" spans="1:26" ht="14.25" x14ac:dyDescent="0.2">
      <c r="A27" s="10"/>
      <c r="B27" s="31" t="s">
        <v>44</v>
      </c>
      <c r="C27" s="30" t="s">
        <v>41</v>
      </c>
      <c r="D27" s="32">
        <v>96861.82</v>
      </c>
      <c r="E27" s="28">
        <v>100000</v>
      </c>
      <c r="F27" s="49" t="s">
        <v>45</v>
      </c>
      <c r="G27" s="20"/>
      <c r="H27" s="40">
        <v>1</v>
      </c>
      <c r="I27" s="17"/>
      <c r="J27" s="16"/>
      <c r="K27" s="16"/>
      <c r="L27" s="16"/>
      <c r="M27" s="16"/>
      <c r="N27" s="16"/>
      <c r="O27" s="16"/>
      <c r="P27" s="16"/>
      <c r="Q27" s="16"/>
      <c r="R27" s="16"/>
      <c r="S27" s="16"/>
      <c r="T27" s="16"/>
      <c r="U27" s="16"/>
      <c r="V27" s="16"/>
      <c r="W27" s="1"/>
      <c r="X27" s="1"/>
      <c r="Y27" s="1"/>
      <c r="Z27" s="1"/>
    </row>
    <row r="28" spans="1:26" ht="14.25" x14ac:dyDescent="0.2">
      <c r="A28" s="10"/>
      <c r="B28" s="50"/>
      <c r="C28" s="43"/>
      <c r="D28" s="51"/>
      <c r="E28" s="41"/>
      <c r="F28" s="52"/>
      <c r="G28" s="20"/>
      <c r="H28" s="40"/>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43"/>
      <c r="E31" s="41"/>
      <c r="F31" s="52"/>
      <c r="G31" s="20"/>
      <c r="H31" s="40"/>
      <c r="I31" s="17"/>
      <c r="J31" s="16"/>
      <c r="K31" s="16"/>
      <c r="L31" s="16"/>
      <c r="M31" s="16"/>
      <c r="N31" s="16"/>
      <c r="O31" s="16"/>
      <c r="P31" s="16"/>
      <c r="Q31" s="16"/>
      <c r="R31" s="16"/>
      <c r="S31" s="16"/>
      <c r="T31" s="16"/>
      <c r="U31" s="16"/>
      <c r="V31" s="16"/>
      <c r="W31" s="1"/>
      <c r="X31" s="1"/>
      <c r="Y31" s="1"/>
      <c r="Z31" s="1"/>
    </row>
    <row r="32" spans="1:26" ht="15" x14ac:dyDescent="0.25">
      <c r="A32" s="10"/>
      <c r="B32" s="45" t="s">
        <v>46</v>
      </c>
      <c r="C32" s="12"/>
      <c r="D32" s="12"/>
      <c r="E32" s="46"/>
      <c r="F32" s="47"/>
      <c r="G32" s="47"/>
      <c r="H32" s="47"/>
      <c r="I32" s="48"/>
      <c r="J32" s="12"/>
      <c r="K32" s="12"/>
      <c r="L32" s="12"/>
      <c r="M32" s="12"/>
      <c r="N32" s="12"/>
      <c r="O32" s="12"/>
      <c r="P32" s="12"/>
      <c r="Q32" s="12"/>
      <c r="R32" s="12"/>
      <c r="S32" s="12"/>
      <c r="T32" s="12"/>
      <c r="U32" s="12"/>
      <c r="V32" s="12"/>
      <c r="W32" s="1"/>
      <c r="X32" s="1"/>
      <c r="Y32" s="1"/>
      <c r="Z32" s="1"/>
    </row>
    <row r="33" spans="1:26" ht="17.25" customHeight="1" x14ac:dyDescent="0.2">
      <c r="A33" s="10"/>
      <c r="B33" s="53"/>
      <c r="C33" s="40"/>
      <c r="D33" s="40"/>
      <c r="E33" s="41"/>
      <c r="F33" s="20"/>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54"/>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2.75" x14ac:dyDescent="0.2">
      <c r="A36" s="10"/>
      <c r="B36" s="16"/>
      <c r="C36" s="27"/>
      <c r="D36" s="27"/>
      <c r="E36" s="19"/>
      <c r="F36" s="27"/>
      <c r="G36" s="27"/>
      <c r="H36" s="27"/>
      <c r="I36" s="17"/>
      <c r="J36" s="16"/>
      <c r="K36" s="16"/>
      <c r="L36" s="16"/>
      <c r="M36" s="16"/>
      <c r="N36" s="16"/>
      <c r="O36" s="16"/>
      <c r="P36" s="16"/>
      <c r="Q36" s="16"/>
      <c r="R36" s="16"/>
      <c r="S36" s="16"/>
      <c r="T36" s="16"/>
      <c r="U36" s="16"/>
      <c r="V36" s="16"/>
      <c r="W36" s="1"/>
      <c r="X36" s="1"/>
      <c r="Y36" s="1"/>
      <c r="Z36" s="1"/>
    </row>
    <row r="37" spans="1:26" ht="15" x14ac:dyDescent="0.2">
      <c r="A37" s="10"/>
      <c r="B37" s="55"/>
      <c r="C37" s="40"/>
      <c r="D37" s="40"/>
      <c r="E37" s="41"/>
      <c r="F37" s="20"/>
      <c r="G37" s="20"/>
      <c r="H37" s="40"/>
      <c r="I37" s="17"/>
      <c r="J37" s="16"/>
      <c r="K37" s="16"/>
      <c r="L37" s="16"/>
      <c r="M37" s="16"/>
      <c r="N37" s="16"/>
      <c r="O37" s="16"/>
      <c r="P37" s="16"/>
      <c r="Q37" s="16"/>
      <c r="R37" s="16"/>
      <c r="S37" s="16"/>
      <c r="T37" s="16"/>
      <c r="U37" s="16"/>
      <c r="V37" s="16"/>
      <c r="W37" s="1"/>
      <c r="X37" s="1"/>
      <c r="Y37" s="1"/>
      <c r="Z37" s="1"/>
    </row>
    <row r="38" spans="1:26" ht="14.25" x14ac:dyDescent="0.2">
      <c r="A38" s="10"/>
      <c r="B38" s="5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5">
      <c r="A39" s="10"/>
      <c r="B39" s="45" t="s">
        <v>47</v>
      </c>
      <c r="C39" s="12"/>
      <c r="D39" s="12"/>
      <c r="E39" s="46"/>
      <c r="F39" s="47"/>
      <c r="G39" s="47"/>
      <c r="H39" s="47"/>
      <c r="I39" s="48"/>
      <c r="J39" s="12"/>
      <c r="K39" s="12"/>
      <c r="L39" s="12"/>
      <c r="M39" s="12"/>
      <c r="N39" s="12"/>
      <c r="O39" s="12"/>
      <c r="P39" s="12"/>
      <c r="Q39" s="12"/>
      <c r="R39" s="12"/>
      <c r="S39" s="12"/>
      <c r="T39" s="12"/>
      <c r="U39" s="12"/>
      <c r="V39" s="12"/>
      <c r="W39" s="1"/>
      <c r="X39" s="1"/>
      <c r="Y39" s="1"/>
      <c r="Z39" s="1"/>
    </row>
    <row r="40" spans="1:26" ht="27" customHeight="1" x14ac:dyDescent="0.2">
      <c r="A40" s="10"/>
      <c r="B40" s="57" t="s">
        <v>48</v>
      </c>
      <c r="C40" s="33" t="s">
        <v>41</v>
      </c>
      <c r="D40" s="33"/>
      <c r="E40" s="28">
        <v>90000</v>
      </c>
      <c r="F40" s="29"/>
      <c r="G40" s="29"/>
      <c r="H40" s="29"/>
      <c r="I40" s="30"/>
      <c r="J40" s="31"/>
      <c r="K40" s="31"/>
      <c r="L40" s="31"/>
      <c r="M40" s="31"/>
      <c r="N40" s="31"/>
      <c r="O40" s="31"/>
      <c r="P40" s="31"/>
      <c r="Q40" s="16"/>
      <c r="R40" s="16"/>
      <c r="S40" s="16"/>
      <c r="T40" s="16"/>
      <c r="U40" s="16"/>
      <c r="V40" s="16"/>
      <c r="W40" s="1"/>
      <c r="X40" s="1"/>
      <c r="Y40" s="1"/>
      <c r="Z40" s="1"/>
    </row>
    <row r="41" spans="1:26" ht="148.5" customHeight="1" x14ac:dyDescent="0.2">
      <c r="A41" s="10"/>
      <c r="B41" s="58" t="s">
        <v>49</v>
      </c>
      <c r="C41" s="33"/>
      <c r="D41" s="33"/>
      <c r="E41" s="28"/>
      <c r="F41" s="29"/>
      <c r="G41" s="29"/>
      <c r="H41" s="29"/>
      <c r="I41" s="30"/>
      <c r="J41" s="31"/>
      <c r="K41" s="31"/>
      <c r="L41" s="31"/>
      <c r="M41" s="31"/>
      <c r="N41" s="31"/>
      <c r="O41" s="31"/>
      <c r="P41" s="31"/>
      <c r="Q41" s="16"/>
      <c r="R41" s="16"/>
      <c r="S41" s="16"/>
      <c r="T41" s="16"/>
      <c r="U41" s="16"/>
      <c r="V41" s="16"/>
      <c r="W41" s="1"/>
      <c r="X41" s="1"/>
      <c r="Y41" s="1"/>
      <c r="Z41" s="1"/>
    </row>
    <row r="42" spans="1:26" ht="12.75" x14ac:dyDescent="0.2">
      <c r="A42" s="10"/>
      <c r="B42" s="57" t="s">
        <v>50</v>
      </c>
      <c r="C42" s="33" t="s">
        <v>41</v>
      </c>
      <c r="D42" s="33"/>
      <c r="E42" s="28">
        <v>90000</v>
      </c>
      <c r="F42" s="29"/>
      <c r="G42" s="29"/>
      <c r="H42" s="29"/>
      <c r="I42" s="30"/>
      <c r="J42" s="31"/>
      <c r="K42" s="31"/>
      <c r="L42" s="31"/>
      <c r="M42" s="31"/>
      <c r="N42" s="31"/>
      <c r="O42" s="31"/>
      <c r="P42" s="31"/>
      <c r="Q42" s="16"/>
      <c r="R42" s="16"/>
      <c r="S42" s="16"/>
      <c r="T42" s="16"/>
      <c r="U42" s="16"/>
      <c r="V42" s="16"/>
      <c r="W42" s="1"/>
      <c r="X42" s="1"/>
      <c r="Y42" s="1"/>
      <c r="Z42" s="1"/>
    </row>
    <row r="43" spans="1:26" ht="76.5" customHeight="1" x14ac:dyDescent="0.2">
      <c r="A43" s="10"/>
      <c r="B43" s="29" t="s">
        <v>51</v>
      </c>
      <c r="C43" s="33"/>
      <c r="D43" s="30"/>
      <c r="E43" s="28"/>
      <c r="F43" s="29"/>
      <c r="G43" s="29"/>
      <c r="H43" s="29"/>
      <c r="I43" s="30"/>
      <c r="J43" s="31"/>
      <c r="K43" s="31"/>
      <c r="L43" s="31"/>
      <c r="M43" s="31"/>
      <c r="N43" s="31"/>
      <c r="O43" s="31"/>
      <c r="P43" s="31"/>
      <c r="Q43" s="16"/>
      <c r="R43" s="16"/>
      <c r="S43" s="16"/>
      <c r="T43" s="16"/>
      <c r="U43" s="16"/>
      <c r="V43" s="16"/>
      <c r="W43" s="1"/>
      <c r="X43" s="1"/>
      <c r="Y43" s="1"/>
      <c r="Z43" s="1"/>
    </row>
    <row r="44" spans="1:26" ht="12.75" x14ac:dyDescent="0.2">
      <c r="A44" s="10"/>
      <c r="B44" s="31" t="s">
        <v>52</v>
      </c>
      <c r="C44" s="33" t="s">
        <v>53</v>
      </c>
      <c r="D44" s="30"/>
      <c r="E44" s="28">
        <v>50000</v>
      </c>
      <c r="F44" s="29"/>
      <c r="G44" s="29"/>
      <c r="H44" s="29"/>
      <c r="I44" s="30"/>
      <c r="J44" s="31"/>
      <c r="K44" s="31"/>
      <c r="L44" s="31"/>
      <c r="M44" s="31"/>
      <c r="N44" s="31"/>
      <c r="O44" s="31"/>
      <c r="P44" s="31"/>
      <c r="Q44" s="16"/>
      <c r="R44" s="16"/>
      <c r="S44" s="16"/>
      <c r="T44" s="16"/>
      <c r="U44" s="16"/>
      <c r="V44" s="16"/>
      <c r="W44" s="1"/>
      <c r="X44" s="1"/>
      <c r="Y44" s="1"/>
      <c r="Z44" s="1"/>
    </row>
    <row r="45" spans="1:26" ht="12.75" x14ac:dyDescent="0.2">
      <c r="A45" s="10"/>
      <c r="B45" s="31" t="s">
        <v>54</v>
      </c>
      <c r="C45" s="33" t="s">
        <v>53</v>
      </c>
      <c r="D45" s="30"/>
      <c r="E45" s="28">
        <v>50000</v>
      </c>
      <c r="F45" s="29"/>
      <c r="G45" s="29"/>
      <c r="H45" s="33"/>
      <c r="I45" s="30"/>
      <c r="J45" s="31"/>
      <c r="K45" s="31"/>
      <c r="L45" s="31"/>
      <c r="M45" s="31"/>
      <c r="N45" s="31"/>
      <c r="O45" s="31"/>
      <c r="P45" s="31"/>
      <c r="Q45" s="16"/>
      <c r="R45" s="16"/>
      <c r="S45" s="16"/>
      <c r="T45" s="16"/>
      <c r="U45" s="16"/>
      <c r="V45" s="16"/>
      <c r="W45" s="1"/>
      <c r="X45" s="1"/>
      <c r="Y45" s="1"/>
      <c r="Z45" s="1"/>
    </row>
    <row r="46" spans="1:26" ht="12.75" x14ac:dyDescent="0.2">
      <c r="A46" s="10"/>
      <c r="B46" s="59" t="s">
        <v>55</v>
      </c>
      <c r="C46" s="30" t="s">
        <v>41</v>
      </c>
      <c r="D46" s="30"/>
      <c r="E46" s="28">
        <v>7000</v>
      </c>
      <c r="F46" s="29"/>
      <c r="G46" s="29"/>
      <c r="H46" s="29"/>
      <c r="I46" s="30"/>
      <c r="J46" s="31"/>
      <c r="K46" s="31"/>
      <c r="L46" s="31"/>
      <c r="M46" s="31"/>
      <c r="N46" s="31"/>
      <c r="O46" s="31"/>
      <c r="P46" s="31"/>
      <c r="Q46" s="16"/>
      <c r="R46" s="16"/>
      <c r="S46" s="16"/>
      <c r="T46" s="16"/>
      <c r="U46" s="16"/>
      <c r="V46" s="16"/>
      <c r="W46" s="1"/>
      <c r="X46" s="1"/>
      <c r="Y46" s="1"/>
      <c r="Z46" s="1"/>
    </row>
    <row r="47" spans="1:26" ht="12.75" x14ac:dyDescent="0.2">
      <c r="A47" s="10"/>
      <c r="B47" s="31" t="s">
        <v>56</v>
      </c>
      <c r="C47" s="30" t="s">
        <v>41</v>
      </c>
      <c r="D47" s="30"/>
      <c r="E47" s="28">
        <v>35000</v>
      </c>
      <c r="F47" s="29"/>
      <c r="G47" s="29"/>
      <c r="H47" s="29"/>
      <c r="I47" s="30"/>
      <c r="J47" s="31"/>
      <c r="K47" s="31"/>
      <c r="L47" s="31"/>
      <c r="M47" s="31"/>
      <c r="N47" s="31"/>
      <c r="O47" s="31"/>
      <c r="P47" s="31"/>
      <c r="Q47" s="16"/>
      <c r="R47" s="16"/>
      <c r="S47" s="16"/>
      <c r="T47" s="16"/>
      <c r="U47" s="16"/>
      <c r="V47" s="16"/>
      <c r="W47" s="1"/>
      <c r="X47" s="1"/>
      <c r="Y47" s="1"/>
      <c r="Z47" s="1"/>
    </row>
    <row r="48" spans="1:26" ht="12.75" x14ac:dyDescent="0.2">
      <c r="A48" s="10"/>
      <c r="B48" s="31"/>
      <c r="C48" s="30"/>
      <c r="D48" s="30"/>
      <c r="E48" s="28"/>
      <c r="F48" s="29"/>
      <c r="G48" s="29"/>
      <c r="H48" s="29"/>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33"/>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5" x14ac:dyDescent="0.25">
      <c r="A51" s="10"/>
      <c r="B51" s="45" t="s">
        <v>57</v>
      </c>
      <c r="C51" s="12"/>
      <c r="D51" s="12"/>
      <c r="E51" s="46"/>
      <c r="F51" s="47"/>
      <c r="G51" s="47"/>
      <c r="H51" s="47"/>
      <c r="I51" s="48"/>
      <c r="J51" s="12"/>
      <c r="K51" s="12"/>
      <c r="L51" s="12"/>
      <c r="M51" s="12"/>
      <c r="N51" s="12"/>
      <c r="O51" s="12"/>
      <c r="P51" s="12"/>
      <c r="Q51" s="12"/>
      <c r="R51" s="12"/>
      <c r="S51" s="12"/>
      <c r="T51" s="12"/>
      <c r="U51" s="12"/>
      <c r="V51" s="12"/>
      <c r="W51" s="1"/>
      <c r="X51" s="1"/>
      <c r="Y51" s="1"/>
      <c r="Z51" s="1"/>
    </row>
    <row r="52" spans="1:26" ht="15" x14ac:dyDescent="0.25">
      <c r="A52" s="10"/>
      <c r="B52" s="54"/>
      <c r="C52" s="43"/>
      <c r="D52" s="43"/>
      <c r="E52" s="60"/>
      <c r="F52" s="50"/>
      <c r="G52" s="50"/>
      <c r="H52" s="40"/>
      <c r="I52" s="17"/>
      <c r="J52" s="16"/>
      <c r="K52" s="16"/>
      <c r="L52" s="16"/>
      <c r="M52" s="16"/>
      <c r="N52" s="16"/>
      <c r="O52" s="16"/>
      <c r="P52" s="16"/>
      <c r="Q52" s="16"/>
      <c r="R52" s="16"/>
      <c r="S52" s="16"/>
      <c r="T52" s="16"/>
      <c r="U52" s="16"/>
      <c r="V52" s="16"/>
      <c r="W52" s="1"/>
      <c r="X52" s="1"/>
      <c r="Y52" s="1"/>
      <c r="Z52" s="1"/>
    </row>
    <row r="53" spans="1:26" ht="14.25" x14ac:dyDescent="0.2">
      <c r="A53" s="10"/>
      <c r="B53" s="50"/>
      <c r="C53" s="16"/>
      <c r="D53" s="16"/>
      <c r="E53" s="19"/>
      <c r="F53" s="27"/>
      <c r="G53" s="27"/>
      <c r="H53" s="27"/>
      <c r="I53" s="17"/>
      <c r="J53" s="16"/>
      <c r="K53" s="16"/>
      <c r="L53" s="16"/>
      <c r="M53" s="16"/>
      <c r="N53" s="16"/>
      <c r="O53" s="16"/>
      <c r="P53" s="16"/>
      <c r="Q53" s="16"/>
      <c r="R53" s="16"/>
      <c r="S53" s="16"/>
      <c r="T53" s="16"/>
      <c r="U53" s="16"/>
      <c r="V53" s="16"/>
      <c r="W53" s="1"/>
      <c r="X53" s="1"/>
      <c r="Y53" s="1"/>
      <c r="Z53" s="1"/>
    </row>
    <row r="54" spans="1:26" ht="14.25" x14ac:dyDescent="0.2">
      <c r="A54" s="10"/>
      <c r="B54" s="44"/>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4.25" x14ac:dyDescent="0.2">
      <c r="A56" s="10"/>
      <c r="B56" s="44"/>
      <c r="C56" s="16"/>
      <c r="D56" s="16"/>
      <c r="E56" s="19"/>
      <c r="F56" s="27"/>
      <c r="G56" s="27"/>
      <c r="H56" s="27"/>
      <c r="I56" s="17"/>
      <c r="J56" s="16"/>
      <c r="K56" s="16"/>
      <c r="L56" s="16"/>
      <c r="M56" s="16"/>
      <c r="N56" s="16"/>
      <c r="O56" s="16"/>
      <c r="P56" s="16"/>
      <c r="Q56" s="16"/>
      <c r="R56" s="16"/>
      <c r="S56" s="16"/>
      <c r="T56" s="16"/>
      <c r="U56" s="16"/>
      <c r="V56" s="16"/>
      <c r="W56" s="1"/>
      <c r="X56" s="1"/>
      <c r="Y56" s="1"/>
      <c r="Z56" s="1"/>
    </row>
    <row r="57" spans="1:26" ht="12.75" x14ac:dyDescent="0.2">
      <c r="A57" s="10"/>
      <c r="B57" s="16"/>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4.25" x14ac:dyDescent="0.2">
      <c r="A58" s="10"/>
      <c r="B58" s="53"/>
      <c r="C58" s="43"/>
      <c r="D58" s="60"/>
      <c r="E58" s="41"/>
      <c r="F58" s="50"/>
      <c r="G58" s="20"/>
      <c r="H58" s="40"/>
      <c r="I58" s="17"/>
      <c r="J58" s="16"/>
      <c r="K58" s="16"/>
      <c r="L58" s="16"/>
      <c r="M58" s="16"/>
      <c r="N58" s="16"/>
      <c r="O58" s="16"/>
      <c r="P58" s="16"/>
      <c r="Q58" s="16"/>
      <c r="R58" s="16"/>
      <c r="S58" s="16"/>
      <c r="T58" s="16"/>
      <c r="U58" s="16"/>
      <c r="V58" s="16"/>
      <c r="W58" s="1"/>
      <c r="X58" s="1"/>
      <c r="Y58" s="1"/>
      <c r="Z58" s="1"/>
    </row>
    <row r="59" spans="1:26" ht="12.75" x14ac:dyDescent="0.2">
      <c r="A59" s="10"/>
      <c r="B59" s="61"/>
      <c r="C59" s="16"/>
      <c r="D59" s="16"/>
      <c r="E59" s="19"/>
      <c r="F59" s="27"/>
      <c r="G59" s="27"/>
      <c r="H59" s="27"/>
      <c r="I59" s="17"/>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2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16"/>
      <c r="C62" s="16"/>
      <c r="D62" s="16"/>
      <c r="E62" s="19"/>
      <c r="F62" s="27"/>
      <c r="G62" s="27"/>
      <c r="H62" s="27"/>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6"/>
      <c r="J65" s="16"/>
      <c r="K65" s="16"/>
      <c r="L65" s="16"/>
      <c r="M65" s="16"/>
      <c r="N65" s="16"/>
      <c r="O65" s="16"/>
      <c r="P65" s="16"/>
      <c r="Q65" s="16"/>
      <c r="R65" s="16"/>
      <c r="S65" s="16"/>
      <c r="T65" s="16"/>
      <c r="U65" s="16"/>
      <c r="V65" s="16"/>
      <c r="W65" s="1"/>
      <c r="X65" s="1"/>
      <c r="Y65" s="1"/>
      <c r="Z65" s="1"/>
    </row>
    <row r="66" spans="1:26" ht="12.75" x14ac:dyDescent="0.2">
      <c r="A66" s="10"/>
      <c r="B66" s="136" t="s">
        <v>58</v>
      </c>
      <c r="C66" s="134"/>
      <c r="D66" s="134"/>
      <c r="E66" s="134"/>
      <c r="F66" s="134"/>
      <c r="G66" s="134"/>
      <c r="H66" s="134"/>
      <c r="I66" s="135"/>
      <c r="J66" s="16"/>
      <c r="K66" s="16"/>
      <c r="L66" s="16"/>
      <c r="M66" s="16"/>
      <c r="N66" s="16"/>
      <c r="O66" s="16"/>
      <c r="P66" s="16"/>
      <c r="Q66" s="16"/>
      <c r="R66" s="16"/>
      <c r="S66" s="16"/>
      <c r="T66" s="16"/>
      <c r="U66" s="16"/>
      <c r="V66" s="16"/>
      <c r="W66" s="1"/>
      <c r="X66" s="1"/>
      <c r="Y66" s="1"/>
      <c r="Z66" s="1"/>
    </row>
    <row r="67" spans="1:26" ht="12.75" x14ac:dyDescent="0.2">
      <c r="A67" s="1"/>
      <c r="B67" s="1"/>
      <c r="C67" s="1"/>
      <c r="D67" s="1"/>
      <c r="E67" s="62"/>
      <c r="F67" s="3"/>
      <c r="G67" s="3"/>
      <c r="H67" s="3"/>
      <c r="I67" s="1"/>
      <c r="J67" s="1"/>
      <c r="K67" s="1"/>
      <c r="L67" s="1"/>
      <c r="M67" s="1"/>
      <c r="N67" s="1"/>
      <c r="O67" s="1"/>
      <c r="P67" s="1"/>
      <c r="Q67" s="1"/>
      <c r="R67" s="1"/>
      <c r="S67" s="1"/>
      <c r="T67" s="1"/>
      <c r="U67" s="1"/>
      <c r="V67" s="1"/>
      <c r="W67" s="1"/>
      <c r="X67" s="1"/>
      <c r="Y67" s="1"/>
      <c r="Z67" s="1"/>
    </row>
    <row r="68" spans="1:26" x14ac:dyDescent="0.25">
      <c r="A68" s="137" t="s">
        <v>59</v>
      </c>
      <c r="B68" s="128"/>
      <c r="C68" s="1"/>
      <c r="D68" s="63"/>
      <c r="E68" s="64"/>
      <c r="F68" s="3"/>
      <c r="G68" s="3"/>
      <c r="H68" s="3"/>
      <c r="I68" s="1"/>
      <c r="J68" s="1"/>
      <c r="K68" s="1"/>
      <c r="L68" s="1"/>
      <c r="M68" s="1"/>
      <c r="N68" s="1"/>
      <c r="O68" s="1"/>
      <c r="P68" s="1"/>
      <c r="Q68" s="1"/>
      <c r="R68" s="1"/>
      <c r="S68" s="1"/>
      <c r="T68" s="1"/>
      <c r="U68" s="1"/>
      <c r="V68" s="1"/>
      <c r="W68" s="1"/>
      <c r="X68" s="1"/>
      <c r="Y68" s="1"/>
      <c r="Z68" s="1"/>
    </row>
    <row r="69" spans="1:26" ht="12.75" x14ac:dyDescent="0.2">
      <c r="A69" s="1"/>
      <c r="B69" s="1"/>
      <c r="C69" s="1"/>
      <c r="D69" s="1"/>
      <c r="E69" s="2"/>
      <c r="F69" s="3"/>
      <c r="G69" s="3"/>
      <c r="H69" s="3"/>
      <c r="I69" s="1"/>
      <c r="J69" s="127"/>
      <c r="K69" s="128"/>
      <c r="L69" s="128"/>
      <c r="M69" s="128"/>
      <c r="N69" s="128"/>
      <c r="O69" s="128"/>
      <c r="P69" s="128"/>
      <c r="Q69" s="128"/>
      <c r="R69" s="128"/>
      <c r="S69" s="128"/>
      <c r="T69" s="128"/>
      <c r="U69" s="1"/>
      <c r="V69" s="1"/>
      <c r="W69" s="1"/>
      <c r="X69" s="1"/>
      <c r="Y69" s="1"/>
      <c r="Z69" s="1"/>
    </row>
    <row r="70" spans="1:26" ht="12.75" x14ac:dyDescent="0.2">
      <c r="A70" s="138" t="s">
        <v>60</v>
      </c>
      <c r="B70" s="128"/>
      <c r="C70" s="128"/>
      <c r="D70" s="128"/>
      <c r="E70" s="2"/>
      <c r="F70" s="3"/>
      <c r="G70" s="3"/>
      <c r="H70" s="3"/>
      <c r="I70" s="1"/>
      <c r="J70" s="1"/>
      <c r="K70" s="1"/>
      <c r="L70" s="1"/>
      <c r="M70" s="1"/>
      <c r="N70" s="1"/>
      <c r="O70" s="1"/>
      <c r="P70" s="1"/>
      <c r="Q70" s="1"/>
      <c r="R70" s="1"/>
      <c r="S70" s="1"/>
      <c r="T70" s="1"/>
      <c r="U70" s="1"/>
      <c r="V70" s="1"/>
      <c r="W70" s="1"/>
      <c r="X70" s="1"/>
      <c r="Y70" s="1"/>
      <c r="Z70" s="1"/>
    </row>
    <row r="71" spans="1:26" ht="12.75" x14ac:dyDescent="0.2">
      <c r="A71" s="1"/>
      <c r="B71" s="1"/>
      <c r="C71" s="1"/>
      <c r="D71" s="1"/>
      <c r="E71" s="2"/>
      <c r="F71" s="3"/>
      <c r="G71" s="3"/>
      <c r="H71" s="3"/>
      <c r="I71" s="1"/>
      <c r="J71" s="1"/>
      <c r="K71" s="1"/>
      <c r="L71" s="1"/>
      <c r="M71" s="1"/>
      <c r="N71" s="1"/>
      <c r="O71" s="1"/>
      <c r="P71" s="1"/>
      <c r="Q71" s="1"/>
      <c r="R71" s="1"/>
      <c r="S71" s="1"/>
      <c r="T71" s="1"/>
      <c r="U71" s="1"/>
      <c r="V71" s="1"/>
      <c r="W71" s="1"/>
      <c r="X71" s="1"/>
      <c r="Y71" s="1"/>
      <c r="Z71" s="1"/>
    </row>
    <row r="72" spans="1:26" ht="12.75" x14ac:dyDescent="0.2">
      <c r="A72" s="129" t="s">
        <v>61</v>
      </c>
      <c r="B72" s="128"/>
      <c r="C72" s="129" t="s">
        <v>62</v>
      </c>
      <c r="D72" s="128"/>
      <c r="E72" s="128"/>
      <c r="F72" s="3"/>
      <c r="G72" s="3"/>
      <c r="H72" s="3"/>
      <c r="I72" s="129" t="s">
        <v>63</v>
      </c>
      <c r="J72" s="128"/>
      <c r="K72" s="128"/>
      <c r="L72" s="128"/>
      <c r="M72" s="128"/>
      <c r="N72" s="128"/>
      <c r="O72" s="1"/>
      <c r="P72" s="1"/>
      <c r="Q72" s="129" t="s">
        <v>64</v>
      </c>
      <c r="R72" s="128"/>
      <c r="S72" s="128"/>
      <c r="T72" s="128"/>
      <c r="U72" s="1"/>
      <c r="V72" s="127"/>
      <c r="W72" s="128"/>
      <c r="X72" s="1"/>
      <c r="Y72" s="1"/>
      <c r="Z72" s="1"/>
    </row>
    <row r="73" spans="1:26" ht="12.75" x14ac:dyDescent="0.2">
      <c r="A73" s="1"/>
      <c r="B73" s="1"/>
      <c r="C73" s="1"/>
      <c r="D73" s="1"/>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31" t="s">
        <v>65</v>
      </c>
      <c r="B75" s="128"/>
      <c r="C75" s="129" t="s">
        <v>66</v>
      </c>
      <c r="D75" s="128"/>
      <c r="E75" s="128"/>
      <c r="F75" s="128"/>
      <c r="G75" s="3"/>
      <c r="H75" s="3"/>
      <c r="I75" s="129" t="s">
        <v>67</v>
      </c>
      <c r="J75" s="128"/>
      <c r="K75" s="128"/>
      <c r="L75" s="128"/>
      <c r="M75" s="128"/>
      <c r="N75" s="128"/>
      <c r="O75" s="1"/>
      <c r="P75" s="1"/>
      <c r="Q75" s="129" t="s">
        <v>68</v>
      </c>
      <c r="R75" s="128"/>
      <c r="S75" s="128"/>
      <c r="T75" s="128"/>
      <c r="U75" s="1"/>
      <c r="V75" s="127"/>
      <c r="W75" s="128"/>
      <c r="X75" s="128"/>
      <c r="Y75" s="1"/>
      <c r="Z75" s="1"/>
    </row>
    <row r="76" spans="1:26" ht="12.75" x14ac:dyDescent="0.2">
      <c r="A76" s="127" t="s">
        <v>69</v>
      </c>
      <c r="B76" s="128"/>
      <c r="C76" s="127" t="s">
        <v>70</v>
      </c>
      <c r="D76" s="128"/>
      <c r="E76" s="128"/>
      <c r="F76" s="128"/>
      <c r="G76" s="3"/>
      <c r="H76" s="3"/>
      <c r="I76" s="127" t="s">
        <v>71</v>
      </c>
      <c r="J76" s="128"/>
      <c r="K76" s="128"/>
      <c r="L76" s="128"/>
      <c r="M76" s="128"/>
      <c r="N76" s="128"/>
      <c r="O76" s="1"/>
      <c r="P76" s="1"/>
      <c r="Q76" s="127" t="s">
        <v>72</v>
      </c>
      <c r="R76" s="128"/>
      <c r="S76" s="128"/>
      <c r="T76" s="128"/>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4.25" x14ac:dyDescent="0.2">
      <c r="A78" s="132" t="s">
        <v>73</v>
      </c>
      <c r="B78" s="128"/>
      <c r="C78" s="132" t="s">
        <v>73</v>
      </c>
      <c r="D78" s="128"/>
      <c r="E78" s="128"/>
      <c r="F78" s="3"/>
      <c r="G78" s="3"/>
      <c r="H78" s="3"/>
      <c r="I78" s="132" t="s">
        <v>73</v>
      </c>
      <c r="J78" s="128"/>
      <c r="K78" s="128"/>
      <c r="L78" s="128"/>
      <c r="M78" s="1"/>
      <c r="N78" s="1"/>
      <c r="O78" s="1"/>
      <c r="P78" s="1"/>
      <c r="Q78" s="132" t="s">
        <v>73</v>
      </c>
      <c r="R78" s="128"/>
      <c r="S78" s="128"/>
      <c r="T78" s="128"/>
      <c r="U78" s="1"/>
      <c r="V78" s="1"/>
      <c r="W78" s="1"/>
      <c r="X78" s="1"/>
      <c r="Y78" s="1"/>
      <c r="Z78" s="1"/>
    </row>
    <row r="79" spans="1:26" ht="12.75" x14ac:dyDescent="0.2">
      <c r="A79" s="1"/>
      <c r="B79" s="1"/>
      <c r="C79" s="1"/>
      <c r="D79" s="1"/>
      <c r="E79" s="2"/>
      <c r="F79" s="3"/>
      <c r="G79" s="3"/>
      <c r="H79" s="130"/>
      <c r="I79" s="128"/>
      <c r="J79" s="128"/>
      <c r="K79" s="128"/>
      <c r="L79" s="128"/>
      <c r="M79" s="128"/>
      <c r="N79" s="128"/>
      <c r="O79" s="128"/>
      <c r="P79" s="128"/>
      <c r="Q79" s="128"/>
      <c r="R79" s="128"/>
      <c r="S79" s="128"/>
      <c r="T79" s="128"/>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130"/>
      <c r="I82" s="128"/>
      <c r="J82" s="128"/>
      <c r="K82" s="128"/>
      <c r="L82" s="128"/>
      <c r="M82" s="128"/>
      <c r="N82" s="128"/>
      <c r="O82" s="128"/>
      <c r="P82" s="128"/>
      <c r="Q82" s="128"/>
      <c r="R82" s="128"/>
      <c r="S82" s="128"/>
      <c r="T82" s="128"/>
      <c r="U82" s="1"/>
      <c r="V82" s="1"/>
      <c r="W82" s="1"/>
      <c r="X82" s="1"/>
      <c r="Y82" s="1"/>
      <c r="Z82" s="1"/>
    </row>
    <row r="83" spans="1:26" ht="12.75" x14ac:dyDescent="0.2">
      <c r="A83" s="1"/>
      <c r="B83" s="1"/>
      <c r="C83" s="1"/>
      <c r="D83" s="1"/>
      <c r="E83" s="2"/>
      <c r="F83" s="3"/>
      <c r="G83" s="3"/>
      <c r="H83" s="130"/>
      <c r="I83" s="128"/>
      <c r="J83" s="128"/>
      <c r="K83" s="128"/>
      <c r="L83" s="128"/>
      <c r="M83" s="128"/>
      <c r="N83" s="128"/>
      <c r="O83" s="128"/>
      <c r="P83" s="128"/>
      <c r="Q83" s="128"/>
      <c r="R83" s="128"/>
      <c r="S83" s="128"/>
      <c r="T83" s="128"/>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6:D16"/>
    <mergeCell ref="B66:I66"/>
    <mergeCell ref="A68:B68"/>
    <mergeCell ref="J69:T69"/>
    <mergeCell ref="A70:D70"/>
    <mergeCell ref="H79:T79"/>
    <mergeCell ref="H82:T82"/>
    <mergeCell ref="H83:T83"/>
    <mergeCell ref="A75:B75"/>
    <mergeCell ref="A76:B76"/>
    <mergeCell ref="C76:F76"/>
    <mergeCell ref="A78:B78"/>
    <mergeCell ref="C78:E78"/>
    <mergeCell ref="I78:L78"/>
    <mergeCell ref="C75:F75"/>
    <mergeCell ref="I75:N75"/>
    <mergeCell ref="Q75:T75"/>
    <mergeCell ref="I76:N76"/>
    <mergeCell ref="Q76:T76"/>
    <mergeCell ref="Q78:T78"/>
    <mergeCell ref="V75:X75"/>
    <mergeCell ref="A72:B72"/>
    <mergeCell ref="C72:E72"/>
    <mergeCell ref="I72:N72"/>
    <mergeCell ref="Q72:T72"/>
    <mergeCell ref="V72:W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3"/>
  <sheetViews>
    <sheetView tabSelected="1" topLeftCell="A54" workbookViewId="0">
      <selection activeCell="B55" sqref="B55"/>
    </sheetView>
  </sheetViews>
  <sheetFormatPr defaultColWidth="12.5703125" defaultRowHeight="15.75" customHeight="1" x14ac:dyDescent="0.2"/>
  <cols>
    <col min="2" max="2" width="50.7109375" customWidth="1"/>
    <col min="5" max="5" width="16.28515625" customWidth="1"/>
    <col min="6" max="6" width="23.42578125" customWidth="1"/>
    <col min="7" max="7" width="20.85546875" customWidth="1"/>
  </cols>
  <sheetData>
    <row r="1" spans="1:26" x14ac:dyDescent="0.25">
      <c r="A1" s="143" t="s">
        <v>0</v>
      </c>
      <c r="B1" s="128"/>
      <c r="C1" s="128"/>
      <c r="D1" s="128"/>
      <c r="E1" s="128"/>
      <c r="F1" s="128"/>
      <c r="G1" s="128"/>
      <c r="H1" s="128"/>
      <c r="I1" s="128"/>
      <c r="J1" s="128"/>
      <c r="K1" s="128"/>
      <c r="L1" s="128"/>
      <c r="M1" s="128"/>
      <c r="N1" s="128"/>
      <c r="O1" s="128"/>
      <c r="P1" s="128"/>
      <c r="Q1" s="128"/>
      <c r="R1" s="128"/>
      <c r="S1" s="128"/>
      <c r="T1" s="128"/>
      <c r="U1" s="128"/>
      <c r="V1" s="128"/>
      <c r="W1" s="1"/>
      <c r="X1" s="1"/>
      <c r="Y1" s="1"/>
      <c r="Z1" s="1"/>
    </row>
    <row r="2" spans="1:26" ht="14.25" x14ac:dyDescent="0.2">
      <c r="A2" s="144" t="s">
        <v>85</v>
      </c>
      <c r="B2" s="128"/>
      <c r="C2" s="128"/>
      <c r="D2" s="128"/>
      <c r="E2" s="128"/>
      <c r="F2" s="128"/>
      <c r="G2" s="128"/>
      <c r="H2" s="128"/>
      <c r="I2" s="128"/>
      <c r="J2" s="128"/>
      <c r="K2" s="128"/>
      <c r="L2" s="128"/>
      <c r="M2" s="128"/>
      <c r="N2" s="128"/>
      <c r="O2" s="128"/>
      <c r="P2" s="128"/>
      <c r="Q2" s="128"/>
      <c r="R2" s="128"/>
      <c r="S2" s="128"/>
      <c r="T2" s="128"/>
      <c r="U2" s="128"/>
      <c r="V2" s="128"/>
      <c r="W2" s="1"/>
      <c r="X2" s="1"/>
      <c r="Y2" s="1"/>
      <c r="Z2" s="1"/>
    </row>
    <row r="3" spans="1:26" ht="12.75" x14ac:dyDescent="0.2">
      <c r="A3" s="127"/>
      <c r="B3" s="128"/>
      <c r="C3" s="128"/>
      <c r="D3" s="128"/>
      <c r="E3" s="128"/>
      <c r="F3" s="128"/>
      <c r="G3" s="128"/>
      <c r="H3" s="128"/>
      <c r="I3" s="128"/>
      <c r="J3" s="128"/>
      <c r="K3" s="128"/>
      <c r="L3" s="128"/>
      <c r="M3" s="128"/>
      <c r="N3" s="128"/>
      <c r="O3" s="128"/>
      <c r="P3" s="128"/>
      <c r="Q3" s="128"/>
      <c r="R3" s="128"/>
      <c r="S3" s="128"/>
      <c r="T3" s="128"/>
      <c r="U3" s="128"/>
      <c r="V3" s="128"/>
      <c r="W3" s="1"/>
      <c r="X3" s="1"/>
      <c r="Y3" s="1"/>
      <c r="Z3" s="1"/>
    </row>
    <row r="4" spans="1:26" ht="15" x14ac:dyDescent="0.2">
      <c r="A4" s="145" t="s">
        <v>2</v>
      </c>
      <c r="B4" s="12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45" t="s">
        <v>3</v>
      </c>
      <c r="B6" s="128"/>
      <c r="C6" s="128"/>
      <c r="D6" s="128"/>
      <c r="E6" s="128"/>
      <c r="F6" s="128"/>
      <c r="G6" s="128"/>
      <c r="H6" s="128"/>
      <c r="I6" s="128"/>
      <c r="J6" s="128"/>
      <c r="K6" s="128"/>
      <c r="L6" s="128"/>
      <c r="M6" s="128"/>
      <c r="N6" s="1"/>
      <c r="O6" s="1"/>
      <c r="P6" s="1"/>
      <c r="Q6" s="1"/>
      <c r="R6" s="1"/>
      <c r="S6" s="1"/>
      <c r="T6" s="1"/>
      <c r="U6" s="1"/>
      <c r="V6" s="1"/>
      <c r="W6" s="1"/>
      <c r="X6" s="1"/>
      <c r="Y6" s="1"/>
      <c r="Z6" s="1"/>
    </row>
    <row r="7" spans="1:26" ht="15" x14ac:dyDescent="0.2">
      <c r="A7" s="146" t="s">
        <v>4</v>
      </c>
      <c r="B7" s="134"/>
      <c r="C7" s="134"/>
      <c r="D7" s="4"/>
      <c r="E7" s="5"/>
      <c r="F7" s="6"/>
      <c r="G7" s="6"/>
      <c r="H7" s="6"/>
      <c r="I7" s="4"/>
      <c r="J7" s="4"/>
      <c r="K7" s="4"/>
      <c r="L7" s="4"/>
      <c r="M7" s="4"/>
      <c r="N7" s="4"/>
      <c r="O7" s="4"/>
      <c r="P7" s="4"/>
      <c r="Q7" s="4"/>
      <c r="R7" s="4"/>
      <c r="S7" s="4"/>
      <c r="T7" s="4"/>
      <c r="U7" s="4"/>
      <c r="V7" s="4"/>
      <c r="W7" s="1"/>
      <c r="X7" s="1"/>
      <c r="Y7" s="1"/>
      <c r="Z7" s="1"/>
    </row>
    <row r="8" spans="1:26" ht="12.75" x14ac:dyDescent="0.2">
      <c r="A8" s="147" t="s">
        <v>5</v>
      </c>
      <c r="B8" s="149" t="s">
        <v>6</v>
      </c>
      <c r="C8" s="7" t="s">
        <v>7</v>
      </c>
      <c r="D8" s="149" t="s">
        <v>8</v>
      </c>
      <c r="E8" s="139" t="s">
        <v>9</v>
      </c>
      <c r="F8" s="140" t="s">
        <v>10</v>
      </c>
      <c r="G8" s="141" t="s">
        <v>11</v>
      </c>
      <c r="H8" s="142" t="s">
        <v>12</v>
      </c>
      <c r="I8" s="134"/>
      <c r="J8" s="134"/>
      <c r="K8" s="134"/>
      <c r="L8" s="134"/>
      <c r="M8" s="134"/>
      <c r="N8" s="134"/>
      <c r="O8" s="134"/>
      <c r="P8" s="134"/>
      <c r="Q8" s="134"/>
      <c r="R8" s="134"/>
      <c r="S8" s="134"/>
      <c r="T8" s="134"/>
      <c r="U8" s="134"/>
      <c r="V8" s="135"/>
      <c r="W8" s="1"/>
      <c r="X8" s="1"/>
      <c r="Y8" s="1"/>
      <c r="Z8" s="1"/>
    </row>
    <row r="9" spans="1:26" ht="12.75" x14ac:dyDescent="0.2">
      <c r="A9" s="148"/>
      <c r="B9" s="135"/>
      <c r="C9" s="7" t="s">
        <v>13</v>
      </c>
      <c r="D9" s="135"/>
      <c r="E9" s="135"/>
      <c r="F9" s="135"/>
      <c r="G9" s="135"/>
      <c r="H9" s="8" t="s">
        <v>74</v>
      </c>
      <c r="I9" s="9" t="s">
        <v>75</v>
      </c>
      <c r="J9" s="9" t="s">
        <v>76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25" t="s">
        <v>77</v>
      </c>
      <c r="C11" s="17" t="s">
        <v>34</v>
      </c>
      <c r="D11" s="18">
        <v>800</v>
      </c>
      <c r="E11" s="19">
        <f>D11*10</f>
        <v>8000</v>
      </c>
      <c r="F11" s="20" t="s">
        <v>31</v>
      </c>
      <c r="G11" s="20" t="s">
        <v>78</v>
      </c>
      <c r="H11" s="22">
        <v>10</v>
      </c>
      <c r="I11" s="22"/>
      <c r="J11" s="23"/>
      <c r="K11" s="23"/>
      <c r="L11" s="23"/>
      <c r="M11" s="23"/>
      <c r="N11" s="24"/>
      <c r="O11" s="24"/>
      <c r="P11" s="24"/>
      <c r="Q11" s="24"/>
      <c r="R11" s="24"/>
      <c r="S11" s="24"/>
      <c r="T11" s="24"/>
      <c r="U11" s="24"/>
      <c r="V11" s="16"/>
      <c r="W11" s="1"/>
      <c r="X11" s="1"/>
      <c r="Y11" s="1"/>
      <c r="Z11" s="1"/>
    </row>
    <row r="12" spans="1:26" ht="14.25" x14ac:dyDescent="0.2">
      <c r="A12" s="10"/>
      <c r="B12" s="26" t="s">
        <v>79</v>
      </c>
      <c r="C12" s="17" t="s">
        <v>34</v>
      </c>
      <c r="D12" s="18">
        <v>800</v>
      </c>
      <c r="E12" s="19">
        <f t="shared" ref="E12:E13" si="0">800*10</f>
        <v>8000</v>
      </c>
      <c r="F12" s="20" t="s">
        <v>31</v>
      </c>
      <c r="G12" s="20" t="s">
        <v>78</v>
      </c>
      <c r="H12" s="22">
        <v>10</v>
      </c>
      <c r="I12" s="22"/>
      <c r="J12" s="23"/>
      <c r="K12" s="23"/>
      <c r="L12" s="23"/>
      <c r="M12" s="23"/>
      <c r="N12" s="24"/>
      <c r="O12" s="24"/>
      <c r="P12" s="24"/>
      <c r="Q12" s="24"/>
      <c r="R12" s="24"/>
      <c r="S12" s="24"/>
      <c r="T12" s="24"/>
      <c r="U12" s="24"/>
      <c r="V12" s="16"/>
      <c r="W12" s="1"/>
      <c r="X12" s="1"/>
      <c r="Y12" s="1"/>
      <c r="Z12" s="1"/>
    </row>
    <row r="13" spans="1:26" ht="14.25" x14ac:dyDescent="0.2">
      <c r="A13" s="10"/>
      <c r="B13" s="26" t="s">
        <v>80</v>
      </c>
      <c r="C13" s="17" t="s">
        <v>34</v>
      </c>
      <c r="D13" s="18">
        <v>800</v>
      </c>
      <c r="E13" s="19">
        <f t="shared" si="0"/>
        <v>8000</v>
      </c>
      <c r="F13" s="20" t="s">
        <v>31</v>
      </c>
      <c r="G13" s="20" t="s">
        <v>78</v>
      </c>
      <c r="H13" s="22">
        <v>10</v>
      </c>
      <c r="I13" s="22"/>
      <c r="J13" s="23"/>
      <c r="K13" s="23"/>
      <c r="L13" s="23"/>
      <c r="M13" s="23"/>
      <c r="N13" s="16"/>
      <c r="O13" s="16"/>
      <c r="P13" s="16"/>
      <c r="Q13" s="16"/>
      <c r="R13" s="16"/>
      <c r="S13" s="16"/>
      <c r="T13" s="16"/>
      <c r="U13" s="16"/>
      <c r="V13" s="16"/>
      <c r="W13" s="1"/>
      <c r="X13" s="1"/>
      <c r="Y13" s="1"/>
      <c r="Z13" s="1"/>
    </row>
    <row r="14" spans="1:26" ht="14.25" x14ac:dyDescent="0.2">
      <c r="A14" s="10"/>
      <c r="B14" s="26" t="s">
        <v>81</v>
      </c>
      <c r="C14" s="17" t="s">
        <v>38</v>
      </c>
      <c r="D14" s="18">
        <v>800</v>
      </c>
      <c r="E14" s="19">
        <f>800*15</f>
        <v>12000</v>
      </c>
      <c r="F14" s="20" t="s">
        <v>31</v>
      </c>
      <c r="G14" s="20" t="s">
        <v>78</v>
      </c>
      <c r="H14" s="22">
        <v>15</v>
      </c>
      <c r="I14" s="22"/>
      <c r="J14" s="16"/>
      <c r="K14" s="16"/>
      <c r="L14" s="16"/>
      <c r="M14" s="16"/>
      <c r="N14" s="16"/>
      <c r="O14" s="16"/>
      <c r="P14" s="16"/>
      <c r="Q14" s="16"/>
      <c r="R14" s="16"/>
      <c r="S14" s="16"/>
      <c r="T14" s="16"/>
      <c r="U14" s="16"/>
      <c r="V14" s="16"/>
      <c r="W14" s="1"/>
      <c r="X14" s="1"/>
      <c r="Y14" s="1"/>
      <c r="Z14" s="1"/>
    </row>
    <row r="15" spans="1:26" ht="14.25" x14ac:dyDescent="0.2">
      <c r="A15" s="65"/>
      <c r="B15" s="116" t="s">
        <v>106</v>
      </c>
      <c r="C15" s="119" t="s">
        <v>41</v>
      </c>
      <c r="D15" s="121">
        <v>4000</v>
      </c>
      <c r="E15" s="120">
        <v>4000</v>
      </c>
      <c r="F15" s="122" t="s">
        <v>31</v>
      </c>
      <c r="G15" s="20" t="s">
        <v>78</v>
      </c>
      <c r="H15" s="69"/>
      <c r="I15" s="69"/>
      <c r="J15" s="65">
        <v>1</v>
      </c>
      <c r="K15" s="65"/>
      <c r="L15" s="65"/>
      <c r="M15" s="65"/>
      <c r="N15" s="65"/>
      <c r="O15" s="65"/>
      <c r="P15" s="65"/>
      <c r="Q15" s="65"/>
      <c r="R15" s="65"/>
      <c r="S15" s="65"/>
      <c r="T15" s="65"/>
      <c r="U15" s="65"/>
      <c r="V15" s="65"/>
      <c r="W15" s="65"/>
      <c r="X15" s="65"/>
      <c r="Y15" s="65"/>
      <c r="Z15" s="65"/>
    </row>
    <row r="16" spans="1:26" ht="12.75" x14ac:dyDescent="0.2">
      <c r="A16" s="65"/>
      <c r="B16" s="66"/>
      <c r="C16" s="66"/>
      <c r="D16" s="66"/>
      <c r="E16" s="67"/>
      <c r="F16" s="68"/>
      <c r="G16" s="68"/>
      <c r="H16" s="69"/>
      <c r="I16" s="69"/>
      <c r="J16" s="65"/>
      <c r="K16" s="65"/>
      <c r="L16" s="65"/>
      <c r="M16" s="65"/>
      <c r="N16" s="65"/>
      <c r="O16" s="65"/>
      <c r="P16" s="65"/>
      <c r="Q16" s="65"/>
      <c r="R16" s="65"/>
      <c r="S16" s="65"/>
      <c r="T16" s="65"/>
      <c r="U16" s="65"/>
      <c r="V16" s="65"/>
      <c r="W16" s="65"/>
      <c r="X16" s="65"/>
      <c r="Y16" s="65"/>
      <c r="Z16" s="65"/>
    </row>
    <row r="17" spans="1:26" ht="12.75" x14ac:dyDescent="0.2">
      <c r="A17" s="23"/>
      <c r="B17" s="150" t="s">
        <v>39</v>
      </c>
      <c r="C17" s="151"/>
      <c r="D17" s="152"/>
      <c r="E17" s="70"/>
      <c r="F17" s="71"/>
      <c r="G17" s="71"/>
      <c r="H17" s="72"/>
      <c r="I17" s="72"/>
      <c r="J17" s="73"/>
      <c r="K17" s="73"/>
      <c r="L17" s="73"/>
      <c r="M17" s="73"/>
      <c r="N17" s="73"/>
      <c r="O17" s="73"/>
      <c r="P17" s="73"/>
      <c r="Q17" s="73"/>
      <c r="R17" s="73"/>
      <c r="S17" s="73"/>
      <c r="T17" s="73"/>
      <c r="U17" s="73"/>
      <c r="V17" s="73"/>
      <c r="W17" s="23"/>
      <c r="X17" s="23"/>
      <c r="Y17" s="23"/>
      <c r="Z17" s="23"/>
    </row>
    <row r="18" spans="1:26" ht="63.75" x14ac:dyDescent="0.2">
      <c r="A18" s="23"/>
      <c r="B18" s="123" t="s">
        <v>107</v>
      </c>
      <c r="C18" s="124" t="s">
        <v>41</v>
      </c>
      <c r="D18" s="125"/>
      <c r="E18" s="125">
        <v>48000</v>
      </c>
      <c r="F18" s="75"/>
      <c r="G18" s="75"/>
      <c r="H18" s="74"/>
      <c r="I18" s="74"/>
      <c r="J18" s="126">
        <v>1</v>
      </c>
      <c r="K18" s="23"/>
      <c r="L18" s="23"/>
      <c r="M18" s="23"/>
      <c r="N18" s="23"/>
      <c r="O18" s="23"/>
      <c r="P18" s="23"/>
      <c r="Q18" s="23"/>
      <c r="R18" s="23"/>
      <c r="S18" s="23"/>
      <c r="T18" s="23"/>
      <c r="U18" s="23"/>
      <c r="V18" s="23"/>
      <c r="W18" s="23"/>
      <c r="X18" s="23"/>
      <c r="Y18" s="23"/>
      <c r="Z18" s="23"/>
    </row>
    <row r="19" spans="1:26" ht="12.75" x14ac:dyDescent="0.2">
      <c r="A19" s="10"/>
      <c r="B19" s="16"/>
      <c r="C19" s="16"/>
      <c r="D19" s="16"/>
      <c r="E19" s="19"/>
      <c r="F19" s="27"/>
      <c r="G19" s="27"/>
      <c r="H19" s="27"/>
      <c r="I19" s="17"/>
      <c r="J19" s="16"/>
      <c r="K19" s="16"/>
      <c r="L19" s="16"/>
      <c r="M19" s="16"/>
      <c r="N19" s="16"/>
      <c r="O19" s="16"/>
      <c r="P19" s="16"/>
      <c r="Q19" s="16"/>
      <c r="R19" s="16"/>
      <c r="S19" s="16"/>
      <c r="T19" s="16"/>
      <c r="U19" s="16"/>
      <c r="V19" s="16"/>
      <c r="W19" s="1"/>
      <c r="X19" s="1"/>
      <c r="Y19" s="1"/>
      <c r="Z19" s="1"/>
    </row>
    <row r="20" spans="1:26" ht="17.25" customHeight="1" x14ac:dyDescent="0.25">
      <c r="A20" s="10"/>
      <c r="B20" s="34" t="s">
        <v>42</v>
      </c>
      <c r="C20" s="35"/>
      <c r="D20" s="35"/>
      <c r="E20" s="36"/>
      <c r="F20" s="37"/>
      <c r="G20" s="37"/>
      <c r="H20" s="37"/>
      <c r="I20" s="38"/>
      <c r="J20" s="35"/>
      <c r="K20" s="35"/>
      <c r="L20" s="35"/>
      <c r="M20" s="35"/>
      <c r="N20" s="35"/>
      <c r="O20" s="35"/>
      <c r="P20" s="35"/>
      <c r="Q20" s="35"/>
      <c r="R20" s="35"/>
      <c r="S20" s="35"/>
      <c r="T20" s="35"/>
      <c r="U20" s="35"/>
      <c r="V20" s="35"/>
      <c r="W20" s="1"/>
      <c r="X20" s="1"/>
      <c r="Y20" s="1"/>
      <c r="Z20" s="1"/>
    </row>
    <row r="21" spans="1:26" s="112" customFormat="1" ht="91.5" customHeight="1" x14ac:dyDescent="0.2">
      <c r="A21" s="110"/>
      <c r="B21" s="108" t="s">
        <v>96</v>
      </c>
      <c r="C21" s="113" t="s">
        <v>93</v>
      </c>
      <c r="D21" s="113"/>
      <c r="E21" s="114">
        <v>150000</v>
      </c>
      <c r="F21" s="115"/>
      <c r="G21" s="115"/>
      <c r="H21" s="113"/>
      <c r="I21" s="113"/>
      <c r="J21" s="115"/>
      <c r="K21" s="115"/>
      <c r="L21" s="61"/>
      <c r="M21" s="61"/>
      <c r="N21" s="61"/>
      <c r="O21" s="61"/>
      <c r="P21" s="61"/>
      <c r="Q21" s="61"/>
      <c r="R21" s="61"/>
      <c r="S21" s="61"/>
      <c r="T21" s="61"/>
      <c r="U21" s="61"/>
      <c r="V21" s="61"/>
      <c r="W21" s="111"/>
      <c r="X21" s="111"/>
      <c r="Y21" s="111"/>
      <c r="Z21" s="111"/>
    </row>
    <row r="22" spans="1:26" s="112" customFormat="1" ht="56.25" customHeight="1" x14ac:dyDescent="0.2">
      <c r="A22" s="110"/>
      <c r="B22" s="108" t="s">
        <v>99</v>
      </c>
      <c r="C22" s="113" t="s">
        <v>93</v>
      </c>
      <c r="D22" s="113"/>
      <c r="E22" s="114">
        <v>50000</v>
      </c>
      <c r="F22" s="115"/>
      <c r="G22" s="115"/>
      <c r="H22" s="113"/>
      <c r="I22" s="113"/>
      <c r="J22" s="115"/>
      <c r="K22" s="115"/>
      <c r="L22" s="61"/>
      <c r="M22" s="61"/>
      <c r="N22" s="61"/>
      <c r="O22" s="61"/>
      <c r="P22" s="61"/>
      <c r="Q22" s="61"/>
      <c r="R22" s="61"/>
      <c r="S22" s="61"/>
      <c r="T22" s="61"/>
      <c r="U22" s="61"/>
      <c r="V22" s="61"/>
      <c r="W22" s="111"/>
      <c r="X22" s="111"/>
      <c r="Y22" s="111"/>
      <c r="Z22" s="111"/>
    </row>
    <row r="23" spans="1:26" s="112" customFormat="1" ht="56.25" customHeight="1" x14ac:dyDescent="0.2">
      <c r="A23" s="110"/>
      <c r="B23" s="108" t="s">
        <v>100</v>
      </c>
      <c r="C23" s="113" t="s">
        <v>93</v>
      </c>
      <c r="D23" s="113"/>
      <c r="E23" s="114">
        <v>50000</v>
      </c>
      <c r="F23" s="115"/>
      <c r="G23" s="115"/>
      <c r="H23" s="113"/>
      <c r="I23" s="113"/>
      <c r="J23" s="115"/>
      <c r="K23" s="115"/>
      <c r="L23" s="61"/>
      <c r="M23" s="61"/>
      <c r="N23" s="61"/>
      <c r="O23" s="61"/>
      <c r="P23" s="61"/>
      <c r="Q23" s="61"/>
      <c r="R23" s="61"/>
      <c r="S23" s="61"/>
      <c r="T23" s="61"/>
      <c r="U23" s="61"/>
      <c r="V23" s="61"/>
      <c r="W23" s="111"/>
      <c r="X23" s="111"/>
      <c r="Y23" s="111"/>
      <c r="Z23" s="111"/>
    </row>
    <row r="24" spans="1:26" ht="127.5" x14ac:dyDescent="0.2">
      <c r="A24" s="10"/>
      <c r="B24" s="109" t="s">
        <v>97</v>
      </c>
      <c r="C24" s="91" t="s">
        <v>93</v>
      </c>
      <c r="D24" s="91"/>
      <c r="E24" s="92">
        <v>500000</v>
      </c>
      <c r="F24" s="93"/>
      <c r="G24" s="93"/>
      <c r="H24" s="91"/>
      <c r="I24" s="91"/>
      <c r="J24" s="93">
        <v>1</v>
      </c>
      <c r="K24" s="93"/>
      <c r="L24" s="16"/>
      <c r="M24" s="16"/>
      <c r="N24" s="16"/>
      <c r="O24" s="16"/>
      <c r="P24" s="16"/>
      <c r="Q24" s="16"/>
      <c r="R24" s="16"/>
      <c r="S24" s="16"/>
      <c r="T24" s="16"/>
      <c r="U24" s="16"/>
      <c r="V24" s="16"/>
      <c r="W24" s="1"/>
      <c r="X24" s="1"/>
      <c r="Y24" s="1"/>
      <c r="Z24" s="1"/>
    </row>
    <row r="25" spans="1:26" ht="102" x14ac:dyDescent="0.2">
      <c r="A25" s="10"/>
      <c r="B25" s="109" t="s">
        <v>98</v>
      </c>
      <c r="C25" s="91" t="s">
        <v>93</v>
      </c>
      <c r="D25" s="91"/>
      <c r="E25" s="92">
        <v>150000</v>
      </c>
      <c r="F25" s="93"/>
      <c r="G25" s="93"/>
      <c r="H25" s="91"/>
      <c r="I25" s="91"/>
      <c r="J25" s="93">
        <v>1</v>
      </c>
      <c r="K25" s="93"/>
      <c r="L25" s="16"/>
      <c r="M25" s="16"/>
      <c r="N25" s="16"/>
      <c r="O25" s="16"/>
      <c r="P25" s="16"/>
      <c r="Q25" s="16"/>
      <c r="R25" s="16"/>
      <c r="S25" s="16"/>
      <c r="T25" s="16"/>
      <c r="U25" s="16"/>
      <c r="V25" s="16"/>
      <c r="W25" s="1"/>
      <c r="X25" s="1"/>
      <c r="Y25" s="1"/>
      <c r="Z25" s="1"/>
    </row>
    <row r="26" spans="1:26" ht="63.75" x14ac:dyDescent="0.2">
      <c r="A26" s="10"/>
      <c r="B26" s="118" t="s">
        <v>105</v>
      </c>
      <c r="C26" s="91" t="s">
        <v>93</v>
      </c>
      <c r="D26" s="17"/>
      <c r="E26" s="92">
        <v>400000</v>
      </c>
      <c r="F26" s="27"/>
      <c r="G26" s="27"/>
      <c r="H26" s="103"/>
      <c r="I26" s="17"/>
      <c r="J26" s="16">
        <v>1</v>
      </c>
      <c r="K26" s="16"/>
      <c r="L26" s="16"/>
      <c r="M26" s="16"/>
      <c r="N26" s="16"/>
      <c r="O26" s="16"/>
      <c r="P26" s="16"/>
      <c r="Q26" s="16"/>
      <c r="R26" s="16"/>
      <c r="S26" s="16"/>
      <c r="T26" s="16"/>
      <c r="U26" s="16"/>
      <c r="V26" s="16"/>
      <c r="W26" s="1"/>
      <c r="X26" s="1"/>
      <c r="Y26" s="1"/>
      <c r="Z26" s="1"/>
    </row>
    <row r="27" spans="1:26" ht="12.75" x14ac:dyDescent="0.2">
      <c r="A27" s="10"/>
      <c r="B27" s="61"/>
      <c r="C27" s="103"/>
      <c r="D27" s="103"/>
      <c r="E27" s="19"/>
      <c r="F27" s="27"/>
      <c r="G27" s="27"/>
      <c r="H27" s="103"/>
      <c r="I27" s="17"/>
      <c r="J27" s="16"/>
      <c r="K27" s="16"/>
      <c r="L27" s="16"/>
      <c r="M27" s="16"/>
      <c r="N27" s="16"/>
      <c r="O27" s="16"/>
      <c r="P27" s="16"/>
      <c r="Q27" s="16"/>
      <c r="R27" s="16"/>
      <c r="S27" s="16"/>
      <c r="T27" s="16"/>
      <c r="U27" s="16"/>
      <c r="V27" s="16"/>
      <c r="W27" s="1"/>
      <c r="X27" s="1"/>
      <c r="Y27" s="1"/>
      <c r="Z27" s="1"/>
    </row>
    <row r="28" spans="1:26" ht="12.75" x14ac:dyDescent="0.2">
      <c r="A28" s="10"/>
      <c r="B28" s="16"/>
      <c r="C28" s="16"/>
      <c r="D28" s="16"/>
      <c r="E28" s="19"/>
      <c r="F28" s="27"/>
      <c r="G28" s="27"/>
      <c r="H28" s="27"/>
      <c r="I28" s="17"/>
      <c r="J28" s="16"/>
      <c r="K28" s="16"/>
      <c r="L28" s="16"/>
      <c r="M28" s="16"/>
      <c r="N28" s="16"/>
      <c r="O28" s="16"/>
      <c r="P28" s="16"/>
      <c r="Q28" s="16"/>
      <c r="R28" s="16"/>
      <c r="S28" s="16"/>
      <c r="T28" s="16"/>
      <c r="U28" s="16"/>
      <c r="V28" s="16"/>
      <c r="W28" s="1"/>
      <c r="X28" s="1"/>
      <c r="Y28" s="1"/>
      <c r="Z28" s="1"/>
    </row>
    <row r="29" spans="1:26" ht="15" x14ac:dyDescent="0.25">
      <c r="A29" s="10"/>
      <c r="B29" s="45" t="s">
        <v>43</v>
      </c>
      <c r="C29" s="12"/>
      <c r="D29" s="12"/>
      <c r="E29" s="46"/>
      <c r="F29" s="47"/>
      <c r="G29" s="47"/>
      <c r="H29" s="47"/>
      <c r="I29" s="48"/>
      <c r="J29" s="12"/>
      <c r="K29" s="12"/>
      <c r="L29" s="12"/>
      <c r="M29" s="12"/>
      <c r="N29" s="12"/>
      <c r="O29" s="12"/>
      <c r="P29" s="12"/>
      <c r="Q29" s="12"/>
      <c r="R29" s="12"/>
      <c r="S29" s="12"/>
      <c r="T29" s="12"/>
      <c r="U29" s="12"/>
      <c r="V29" s="12"/>
      <c r="W29" s="1"/>
      <c r="X29" s="1"/>
      <c r="Y29" s="1"/>
      <c r="Z29" s="1"/>
    </row>
    <row r="30" spans="1:26" ht="14.25" x14ac:dyDescent="0.2">
      <c r="A30" s="10"/>
      <c r="B30" s="31" t="s">
        <v>44</v>
      </c>
      <c r="C30" s="30" t="s">
        <v>41</v>
      </c>
      <c r="D30" s="32">
        <v>96861.82</v>
      </c>
      <c r="E30" s="28">
        <v>100000</v>
      </c>
      <c r="F30" s="49" t="s">
        <v>45</v>
      </c>
      <c r="G30" s="20"/>
      <c r="H30" s="40">
        <v>1</v>
      </c>
      <c r="I30" s="17"/>
      <c r="J30" s="16"/>
      <c r="K30" s="16"/>
      <c r="L30" s="16"/>
      <c r="M30" s="16"/>
      <c r="N30" s="16"/>
      <c r="O30" s="16"/>
      <c r="P30" s="16"/>
      <c r="Q30" s="16"/>
      <c r="R30" s="16"/>
      <c r="S30" s="16"/>
      <c r="T30" s="16"/>
      <c r="U30" s="16"/>
      <c r="V30" s="16"/>
      <c r="W30" s="1"/>
      <c r="X30" s="1"/>
      <c r="Y30" s="1"/>
      <c r="Z30" s="1"/>
    </row>
    <row r="31" spans="1:26" ht="153" x14ac:dyDescent="0.2">
      <c r="A31" s="10"/>
      <c r="B31" s="61" t="s">
        <v>92</v>
      </c>
      <c r="C31" s="91" t="s">
        <v>41</v>
      </c>
      <c r="D31" s="106"/>
      <c r="E31" s="92">
        <v>35000</v>
      </c>
      <c r="F31" s="107"/>
      <c r="G31" s="93"/>
      <c r="H31" s="91"/>
      <c r="I31" s="91"/>
      <c r="J31" s="93">
        <v>1</v>
      </c>
      <c r="K31" s="93"/>
      <c r="L31" s="93"/>
      <c r="M31" s="16"/>
      <c r="N31" s="16"/>
      <c r="O31" s="16"/>
      <c r="P31" s="16"/>
      <c r="Q31" s="16"/>
      <c r="R31" s="16"/>
      <c r="S31" s="16"/>
      <c r="T31" s="16"/>
      <c r="U31" s="16"/>
      <c r="V31" s="16"/>
      <c r="W31" s="1"/>
      <c r="X31" s="1"/>
      <c r="Y31" s="1"/>
      <c r="Z31" s="1"/>
    </row>
    <row r="32" spans="1:26" ht="12.75" x14ac:dyDescent="0.2">
      <c r="A32" s="10"/>
      <c r="B32" s="16"/>
      <c r="C32" s="17"/>
      <c r="D32" s="104"/>
      <c r="E32" s="19"/>
      <c r="F32" s="105"/>
      <c r="G32" s="27"/>
      <c r="H32" s="103"/>
      <c r="I32" s="17"/>
      <c r="J32" s="16"/>
      <c r="K32" s="16"/>
      <c r="L32" s="16"/>
      <c r="M32" s="16"/>
      <c r="N32" s="16"/>
      <c r="O32" s="16"/>
      <c r="P32" s="16"/>
      <c r="Q32" s="16"/>
      <c r="R32" s="16"/>
      <c r="S32" s="16"/>
      <c r="T32" s="16"/>
      <c r="U32" s="16"/>
      <c r="V32" s="16"/>
      <c r="W32" s="1"/>
      <c r="X32" s="1"/>
      <c r="Y32" s="1"/>
      <c r="Z32" s="1"/>
    </row>
    <row r="33" spans="1:26" ht="14.25" x14ac:dyDescent="0.2">
      <c r="A33" s="10"/>
      <c r="B33" s="50"/>
      <c r="C33" s="43"/>
      <c r="D33" s="43"/>
      <c r="E33" s="41"/>
      <c r="F33" s="52"/>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45" t="s">
        <v>46</v>
      </c>
      <c r="C34" s="12"/>
      <c r="D34" s="12"/>
      <c r="E34" s="46"/>
      <c r="F34" s="47"/>
      <c r="G34" s="47"/>
      <c r="H34" s="47"/>
      <c r="I34" s="48"/>
      <c r="J34" s="12"/>
      <c r="K34" s="12"/>
      <c r="L34" s="12"/>
      <c r="M34" s="12"/>
      <c r="N34" s="12"/>
      <c r="O34" s="12"/>
      <c r="P34" s="12"/>
      <c r="Q34" s="12"/>
      <c r="R34" s="12"/>
      <c r="S34" s="12"/>
      <c r="T34" s="12"/>
      <c r="U34" s="12"/>
      <c r="V34" s="12"/>
      <c r="W34" s="1"/>
      <c r="X34" s="1"/>
      <c r="Y34" s="1"/>
      <c r="Z34" s="1"/>
    </row>
    <row r="35" spans="1:26" ht="133.5" customHeight="1" x14ac:dyDescent="0.2">
      <c r="A35" s="10"/>
      <c r="B35" s="61" t="s">
        <v>91</v>
      </c>
      <c r="C35" s="91" t="s">
        <v>90</v>
      </c>
      <c r="D35" s="91">
        <v>1200</v>
      </c>
      <c r="E35" s="92">
        <v>60000</v>
      </c>
      <c r="F35" s="16"/>
      <c r="G35" s="16"/>
      <c r="H35" s="17"/>
      <c r="I35" s="17"/>
      <c r="J35" s="17">
        <v>50</v>
      </c>
      <c r="K35" s="16"/>
      <c r="L35" s="16"/>
      <c r="M35" s="16"/>
      <c r="N35" s="16"/>
      <c r="O35" s="16"/>
      <c r="P35" s="16"/>
      <c r="Q35" s="16"/>
      <c r="R35" s="16"/>
      <c r="S35" s="16"/>
      <c r="T35" s="16"/>
      <c r="U35" s="16"/>
      <c r="V35" s="16"/>
      <c r="W35" s="1"/>
      <c r="X35" s="1"/>
      <c r="Y35" s="1"/>
      <c r="Z35" s="1"/>
    </row>
    <row r="36" spans="1:26" ht="15" x14ac:dyDescent="0.25">
      <c r="A36" s="10"/>
      <c r="B36" s="54"/>
      <c r="C36" s="103"/>
      <c r="D36" s="103"/>
      <c r="E36" s="19"/>
      <c r="F36" s="27"/>
      <c r="G36" s="27"/>
      <c r="H36" s="103"/>
      <c r="I36" s="17"/>
      <c r="J36" s="16"/>
      <c r="K36" s="16"/>
      <c r="L36" s="16"/>
      <c r="M36" s="16"/>
      <c r="N36" s="16"/>
      <c r="O36" s="16"/>
      <c r="P36" s="16"/>
      <c r="Q36" s="16"/>
      <c r="R36" s="16"/>
      <c r="S36" s="16"/>
      <c r="T36" s="16"/>
      <c r="U36" s="16"/>
      <c r="V36" s="16"/>
      <c r="W36" s="1"/>
      <c r="X36" s="1"/>
      <c r="Y36" s="1"/>
      <c r="Z36" s="1"/>
    </row>
    <row r="37" spans="1:26" ht="102" x14ac:dyDescent="0.2">
      <c r="A37" s="10"/>
      <c r="B37" s="61" t="s">
        <v>101</v>
      </c>
      <c r="C37" s="91" t="s">
        <v>41</v>
      </c>
      <c r="D37" s="91"/>
      <c r="E37" s="92">
        <v>7000</v>
      </c>
      <c r="F37" s="93"/>
      <c r="G37" s="93"/>
      <c r="H37" s="91"/>
      <c r="I37" s="91"/>
      <c r="J37" s="93">
        <v>1</v>
      </c>
      <c r="K37" s="16"/>
      <c r="L37" s="16"/>
      <c r="M37" s="16"/>
      <c r="N37" s="16"/>
      <c r="O37" s="16"/>
      <c r="P37" s="16"/>
      <c r="Q37" s="16"/>
      <c r="R37" s="16"/>
      <c r="S37" s="16"/>
      <c r="T37" s="16"/>
      <c r="U37" s="16"/>
      <c r="V37" s="16"/>
      <c r="W37" s="1"/>
      <c r="X37" s="1"/>
      <c r="Y37" s="1"/>
      <c r="Z37" s="1"/>
    </row>
    <row r="38" spans="1:26" ht="12.75" x14ac:dyDescent="0.2">
      <c r="A38" s="10"/>
      <c r="B38" s="1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
      <c r="A39" s="10"/>
      <c r="B39" s="55"/>
      <c r="C39" s="103"/>
      <c r="D39" s="103"/>
      <c r="E39" s="19"/>
      <c r="F39" s="27"/>
      <c r="G39" s="27"/>
      <c r="H39" s="103"/>
      <c r="I39" s="17"/>
      <c r="J39" s="16"/>
      <c r="K39" s="16"/>
      <c r="L39" s="16"/>
      <c r="M39" s="16"/>
      <c r="N39" s="16"/>
      <c r="O39" s="16"/>
      <c r="P39" s="16"/>
      <c r="Q39" s="16"/>
      <c r="R39" s="16"/>
      <c r="S39" s="16"/>
      <c r="T39" s="16"/>
      <c r="U39" s="16"/>
      <c r="V39" s="16"/>
      <c r="W39" s="1"/>
      <c r="X39" s="1"/>
      <c r="Y39" s="1"/>
      <c r="Z39" s="1"/>
    </row>
    <row r="40" spans="1:26" ht="14.25" x14ac:dyDescent="0.2">
      <c r="A40" s="10"/>
      <c r="B40" s="56"/>
      <c r="C40" s="27"/>
      <c r="D40" s="27"/>
      <c r="E40" s="19"/>
      <c r="F40" s="27"/>
      <c r="G40" s="27"/>
      <c r="H40" s="27"/>
      <c r="I40" s="17"/>
      <c r="J40" s="16"/>
      <c r="K40" s="16"/>
      <c r="L40" s="16"/>
      <c r="M40" s="16"/>
      <c r="N40" s="16"/>
      <c r="O40" s="16"/>
      <c r="P40" s="16"/>
      <c r="Q40" s="16"/>
      <c r="R40" s="16"/>
      <c r="S40" s="16"/>
      <c r="T40" s="16"/>
      <c r="U40" s="16"/>
      <c r="V40" s="16"/>
      <c r="W40" s="1"/>
      <c r="X40" s="1"/>
      <c r="Y40" s="1"/>
      <c r="Z40" s="1"/>
    </row>
    <row r="41" spans="1:26" ht="15" x14ac:dyDescent="0.25">
      <c r="A41" s="10"/>
      <c r="B41" s="45" t="s">
        <v>47</v>
      </c>
      <c r="C41" s="12"/>
      <c r="D41" s="12"/>
      <c r="E41" s="46"/>
      <c r="F41" s="47"/>
      <c r="G41" s="47"/>
      <c r="H41" s="47"/>
      <c r="I41" s="48"/>
      <c r="J41" s="12"/>
      <c r="K41" s="12"/>
      <c r="L41" s="12"/>
      <c r="M41" s="12"/>
      <c r="N41" s="12"/>
      <c r="O41" s="12"/>
      <c r="P41" s="12"/>
      <c r="Q41" s="12"/>
      <c r="R41" s="12"/>
      <c r="S41" s="12"/>
      <c r="T41" s="12"/>
      <c r="U41" s="12"/>
      <c r="V41" s="12"/>
      <c r="W41" s="1"/>
      <c r="X41" s="1"/>
      <c r="Y41" s="1"/>
      <c r="Z41" s="1"/>
    </row>
    <row r="42" spans="1:26" ht="27" customHeight="1" x14ac:dyDescent="0.2">
      <c r="A42" s="10"/>
      <c r="B42" s="57" t="s">
        <v>48</v>
      </c>
      <c r="C42" s="33" t="s">
        <v>41</v>
      </c>
      <c r="D42" s="33"/>
      <c r="E42" s="28">
        <v>90000</v>
      </c>
      <c r="F42" s="29"/>
      <c r="G42" s="29"/>
      <c r="H42" s="40">
        <v>1</v>
      </c>
      <c r="I42" s="30"/>
      <c r="J42" s="31"/>
      <c r="K42" s="31"/>
      <c r="L42" s="31"/>
      <c r="M42" s="31"/>
      <c r="N42" s="31"/>
      <c r="O42" s="31"/>
      <c r="P42" s="31"/>
      <c r="Q42" s="16"/>
      <c r="R42" s="16"/>
      <c r="S42" s="16"/>
      <c r="T42" s="16"/>
      <c r="U42" s="16"/>
      <c r="V42" s="16"/>
      <c r="W42" s="1"/>
      <c r="X42" s="1"/>
      <c r="Y42" s="1"/>
      <c r="Z42" s="1"/>
    </row>
    <row r="43" spans="1:26" ht="148.5" customHeight="1" x14ac:dyDescent="0.2">
      <c r="A43" s="10"/>
      <c r="B43" s="102" t="s">
        <v>89</v>
      </c>
      <c r="C43" s="33"/>
      <c r="D43" s="33"/>
      <c r="E43" s="28"/>
      <c r="F43" s="29"/>
      <c r="G43" s="29"/>
      <c r="H43" s="29"/>
      <c r="I43" s="30"/>
      <c r="J43" s="31">
        <v>1</v>
      </c>
      <c r="K43" s="31"/>
      <c r="L43" s="31"/>
      <c r="M43" s="31"/>
      <c r="N43" s="31"/>
      <c r="O43" s="31"/>
      <c r="P43" s="31"/>
      <c r="Q43" s="16"/>
      <c r="R43" s="16"/>
      <c r="S43" s="16"/>
      <c r="T43" s="16"/>
      <c r="U43" s="16"/>
      <c r="V43" s="16"/>
      <c r="W43" s="1"/>
      <c r="X43" s="1"/>
      <c r="Y43" s="1"/>
      <c r="Z43" s="1"/>
    </row>
    <row r="44" spans="1:26" ht="14.25" x14ac:dyDescent="0.2">
      <c r="A44" s="10"/>
      <c r="B44" s="57" t="s">
        <v>50</v>
      </c>
      <c r="C44" s="97" t="s">
        <v>41</v>
      </c>
      <c r="D44" s="97"/>
      <c r="E44" s="98">
        <v>90000</v>
      </c>
      <c r="F44" s="99"/>
      <c r="G44" s="99"/>
      <c r="H44" s="100">
        <v>1</v>
      </c>
      <c r="I44" s="30"/>
      <c r="J44" s="31"/>
      <c r="K44" s="31"/>
      <c r="L44" s="31"/>
      <c r="M44" s="31"/>
      <c r="N44" s="31"/>
      <c r="O44" s="31"/>
      <c r="P44" s="31"/>
      <c r="Q44" s="16"/>
      <c r="R44" s="16"/>
      <c r="S44" s="16"/>
      <c r="T44" s="16"/>
      <c r="U44" s="16"/>
      <c r="V44" s="16"/>
      <c r="W44" s="1"/>
      <c r="X44" s="1"/>
      <c r="Y44" s="1"/>
      <c r="Z44" s="1"/>
    </row>
    <row r="45" spans="1:26" ht="76.5" customHeight="1" x14ac:dyDescent="0.2">
      <c r="A45" s="10"/>
      <c r="B45" s="96" t="s">
        <v>51</v>
      </c>
      <c r="C45" s="101"/>
      <c r="D45" s="101"/>
      <c r="E45" s="101"/>
      <c r="F45" s="101"/>
      <c r="G45" s="101"/>
      <c r="H45" s="101"/>
      <c r="I45" s="30"/>
      <c r="J45" s="31"/>
      <c r="K45" s="31"/>
      <c r="L45" s="31"/>
      <c r="M45" s="31"/>
      <c r="N45" s="31"/>
      <c r="O45" s="31"/>
      <c r="P45" s="31"/>
      <c r="Q45" s="16"/>
      <c r="R45" s="16"/>
      <c r="S45" s="16"/>
      <c r="T45" s="16"/>
      <c r="U45" s="16"/>
      <c r="V45" s="16"/>
      <c r="W45" s="1"/>
      <c r="X45" s="1"/>
      <c r="Y45" s="1"/>
      <c r="Z45" s="1"/>
    </row>
    <row r="46" spans="1:26" ht="14.25" x14ac:dyDescent="0.2">
      <c r="A46" s="10"/>
      <c r="B46" s="31" t="s">
        <v>52</v>
      </c>
      <c r="C46" s="33" t="s">
        <v>53</v>
      </c>
      <c r="D46" s="30"/>
      <c r="E46" s="28">
        <v>50000</v>
      </c>
      <c r="F46" s="29"/>
      <c r="G46" s="29"/>
      <c r="H46" s="40">
        <v>1</v>
      </c>
      <c r="I46" s="30"/>
      <c r="J46" s="31"/>
      <c r="K46" s="31"/>
      <c r="L46" s="31"/>
      <c r="M46" s="31"/>
      <c r="N46" s="31"/>
      <c r="O46" s="31"/>
      <c r="P46" s="31"/>
      <c r="Q46" s="16"/>
      <c r="R46" s="16"/>
      <c r="S46" s="16"/>
      <c r="T46" s="16"/>
      <c r="U46" s="16"/>
      <c r="V46" s="16"/>
      <c r="W46" s="1"/>
      <c r="X46" s="1"/>
      <c r="Y46" s="1"/>
      <c r="Z46" s="1"/>
    </row>
    <row r="47" spans="1:26" ht="14.25" x14ac:dyDescent="0.2">
      <c r="A47" s="10"/>
      <c r="B47" s="31" t="s">
        <v>54</v>
      </c>
      <c r="C47" s="33" t="s">
        <v>53</v>
      </c>
      <c r="D47" s="30"/>
      <c r="E47" s="28">
        <v>50000</v>
      </c>
      <c r="F47" s="29"/>
      <c r="G47" s="29"/>
      <c r="H47" s="40">
        <v>1</v>
      </c>
      <c r="I47" s="30"/>
      <c r="J47" s="31"/>
      <c r="K47" s="31"/>
      <c r="L47" s="31"/>
      <c r="M47" s="31"/>
      <c r="N47" s="31"/>
      <c r="O47" s="31"/>
      <c r="P47" s="31"/>
      <c r="Q47" s="16"/>
      <c r="R47" s="16"/>
      <c r="S47" s="16"/>
      <c r="T47" s="16"/>
      <c r="U47" s="16"/>
      <c r="V47" s="16"/>
      <c r="W47" s="1"/>
      <c r="X47" s="1"/>
      <c r="Y47" s="1"/>
      <c r="Z47" s="1"/>
    </row>
    <row r="48" spans="1:26" ht="14.25" x14ac:dyDescent="0.2">
      <c r="A48" s="10"/>
      <c r="B48" s="59" t="s">
        <v>55</v>
      </c>
      <c r="C48" s="30" t="s">
        <v>41</v>
      </c>
      <c r="D48" s="30"/>
      <c r="E48" s="28">
        <v>7000</v>
      </c>
      <c r="F48" s="29"/>
      <c r="G48" s="29"/>
      <c r="H48" s="40">
        <v>1</v>
      </c>
      <c r="I48" s="30"/>
      <c r="J48" s="31"/>
      <c r="K48" s="31"/>
      <c r="L48" s="31"/>
      <c r="M48" s="31"/>
      <c r="N48" s="31"/>
      <c r="O48" s="31"/>
      <c r="P48" s="31"/>
      <c r="Q48" s="16"/>
      <c r="R48" s="16"/>
      <c r="S48" s="16"/>
      <c r="T48" s="16"/>
      <c r="U48" s="16"/>
      <c r="V48" s="16"/>
      <c r="W48" s="1"/>
      <c r="X48" s="1"/>
      <c r="Y48" s="1"/>
      <c r="Z48" s="1"/>
    </row>
    <row r="49" spans="1:26" ht="14.25" x14ac:dyDescent="0.2">
      <c r="A49" s="10"/>
      <c r="B49" s="31" t="s">
        <v>56</v>
      </c>
      <c r="C49" s="30" t="s">
        <v>41</v>
      </c>
      <c r="D49" s="30"/>
      <c r="E49" s="28">
        <v>35000</v>
      </c>
      <c r="F49" s="29"/>
      <c r="G49" s="29"/>
      <c r="H49" s="40">
        <v>1</v>
      </c>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2.75" x14ac:dyDescent="0.2">
      <c r="A51" s="10"/>
      <c r="B51" s="31"/>
      <c r="C51" s="30"/>
      <c r="D51" s="30"/>
      <c r="E51" s="28"/>
      <c r="F51" s="29"/>
      <c r="G51" s="29"/>
      <c r="H51" s="33"/>
      <c r="I51" s="30"/>
      <c r="J51" s="31"/>
      <c r="K51" s="31"/>
      <c r="L51" s="31"/>
      <c r="M51" s="31"/>
      <c r="N51" s="31"/>
      <c r="O51" s="31"/>
      <c r="P51" s="31"/>
      <c r="Q51" s="16"/>
      <c r="R51" s="16"/>
      <c r="S51" s="16"/>
      <c r="T51" s="16"/>
      <c r="U51" s="16"/>
      <c r="V51" s="16"/>
      <c r="W51" s="1"/>
      <c r="X51" s="1"/>
      <c r="Y51" s="1"/>
      <c r="Z51" s="1"/>
    </row>
    <row r="52" spans="1:26" ht="12.75" x14ac:dyDescent="0.2">
      <c r="A52" s="10"/>
      <c r="B52" s="31"/>
      <c r="C52" s="30"/>
      <c r="D52" s="30"/>
      <c r="E52" s="28"/>
      <c r="F52" s="29"/>
      <c r="G52" s="29"/>
      <c r="H52" s="29"/>
      <c r="I52" s="30"/>
      <c r="J52" s="31"/>
      <c r="K52" s="31"/>
      <c r="L52" s="31"/>
      <c r="M52" s="31"/>
      <c r="N52" s="31"/>
      <c r="O52" s="31"/>
      <c r="P52" s="31"/>
      <c r="Q52" s="16"/>
      <c r="R52" s="16"/>
      <c r="S52" s="16"/>
      <c r="T52" s="16"/>
      <c r="U52" s="16"/>
      <c r="V52" s="16"/>
      <c r="W52" s="1"/>
      <c r="X52" s="1"/>
      <c r="Y52" s="1"/>
      <c r="Z52" s="1"/>
    </row>
    <row r="53" spans="1:26" ht="15" x14ac:dyDescent="0.25">
      <c r="A53" s="10"/>
      <c r="B53" s="45" t="s">
        <v>57</v>
      </c>
      <c r="C53" s="12"/>
      <c r="D53" s="12"/>
      <c r="E53" s="46"/>
      <c r="F53" s="47"/>
      <c r="G53" s="47"/>
      <c r="H53" s="47"/>
      <c r="I53" s="48"/>
      <c r="J53" s="12"/>
      <c r="K53" s="12"/>
      <c r="L53" s="12"/>
      <c r="M53" s="12"/>
      <c r="N53" s="12"/>
      <c r="O53" s="12"/>
      <c r="P53" s="12"/>
      <c r="Q53" s="12"/>
      <c r="R53" s="12"/>
      <c r="S53" s="12"/>
      <c r="T53" s="12"/>
      <c r="U53" s="12"/>
      <c r="V53" s="12"/>
      <c r="W53" s="1"/>
      <c r="X53" s="1"/>
      <c r="Y53" s="1"/>
      <c r="Z53" s="1"/>
    </row>
    <row r="54" spans="1:26" ht="229.5" x14ac:dyDescent="0.2">
      <c r="A54" s="10"/>
      <c r="B54" s="61" t="s">
        <v>109</v>
      </c>
      <c r="C54" s="91" t="s">
        <v>41</v>
      </c>
      <c r="D54" s="94">
        <v>720000</v>
      </c>
      <c r="E54" s="94">
        <v>720000</v>
      </c>
      <c r="F54" s="95"/>
      <c r="G54" s="95"/>
      <c r="H54" s="90"/>
      <c r="I54" s="90"/>
      <c r="J54" s="90">
        <v>1</v>
      </c>
      <c r="K54" s="95"/>
      <c r="L54" s="16"/>
      <c r="M54" s="16"/>
      <c r="N54" s="16"/>
      <c r="O54" s="16"/>
      <c r="P54" s="16"/>
      <c r="Q54" s="16"/>
      <c r="R54" s="16"/>
      <c r="S54" s="16"/>
      <c r="T54" s="16"/>
      <c r="U54" s="16"/>
      <c r="V54" s="16"/>
      <c r="W54" s="1"/>
      <c r="X54" s="1"/>
      <c r="Y54" s="1"/>
      <c r="Z54" s="1"/>
    </row>
    <row r="55" spans="1:26" ht="191.25" x14ac:dyDescent="0.2">
      <c r="A55" s="10"/>
      <c r="B55" s="61" t="s">
        <v>108</v>
      </c>
      <c r="C55" s="91" t="s">
        <v>41</v>
      </c>
      <c r="D55" s="94">
        <v>470000</v>
      </c>
      <c r="E55" s="94">
        <v>470000</v>
      </c>
      <c r="F55" s="95"/>
      <c r="G55" s="95"/>
      <c r="H55" s="90"/>
      <c r="I55" s="90"/>
      <c r="J55" s="90">
        <v>1</v>
      </c>
      <c r="K55" s="95"/>
      <c r="L55" s="16"/>
      <c r="M55" s="16"/>
      <c r="N55" s="16"/>
      <c r="O55" s="16"/>
      <c r="P55" s="16"/>
      <c r="Q55" s="16"/>
      <c r="R55" s="16"/>
      <c r="S55" s="16"/>
      <c r="T55" s="16"/>
      <c r="U55" s="16"/>
      <c r="V55" s="16"/>
      <c r="W55" s="1"/>
      <c r="X55" s="1"/>
      <c r="Y55" s="1"/>
      <c r="Z55" s="1"/>
    </row>
    <row r="56" spans="1:26" ht="140.25" x14ac:dyDescent="0.2">
      <c r="A56" s="10"/>
      <c r="B56" s="89" t="s">
        <v>87</v>
      </c>
      <c r="C56" s="90" t="s">
        <v>88</v>
      </c>
      <c r="D56" s="91"/>
      <c r="E56" s="92">
        <v>900000</v>
      </c>
      <c r="F56" s="91"/>
      <c r="G56" s="91"/>
      <c r="H56" s="91"/>
      <c r="I56" s="91"/>
      <c r="J56" s="91">
        <v>1</v>
      </c>
      <c r="K56" s="16"/>
      <c r="L56" s="16"/>
      <c r="M56" s="16"/>
      <c r="N56" s="16"/>
      <c r="O56" s="16"/>
      <c r="P56" s="16"/>
      <c r="Q56" s="16"/>
      <c r="R56" s="16"/>
      <c r="S56" s="16"/>
      <c r="T56" s="16"/>
      <c r="U56" s="16"/>
      <c r="V56" s="16"/>
      <c r="W56" s="1"/>
      <c r="X56" s="1"/>
      <c r="Y56" s="1"/>
      <c r="Z56" s="1"/>
    </row>
    <row r="57" spans="1:26" ht="127.5" x14ac:dyDescent="0.2">
      <c r="A57" s="10"/>
      <c r="B57" s="61" t="s">
        <v>102</v>
      </c>
      <c r="C57" s="91" t="s">
        <v>41</v>
      </c>
      <c r="D57" s="91"/>
      <c r="E57" s="92">
        <v>1200000</v>
      </c>
      <c r="F57" s="91"/>
      <c r="G57" s="91"/>
      <c r="H57" s="91"/>
      <c r="I57" s="91"/>
      <c r="J57" s="91"/>
      <c r="K57" s="16"/>
      <c r="L57" s="16"/>
      <c r="M57" s="16"/>
      <c r="N57" s="16"/>
      <c r="O57" s="16"/>
      <c r="P57" s="16"/>
      <c r="Q57" s="16"/>
      <c r="R57" s="16"/>
      <c r="S57" s="16"/>
      <c r="T57" s="16"/>
      <c r="U57" s="16"/>
      <c r="V57" s="16"/>
      <c r="W57" s="1"/>
      <c r="X57" s="1"/>
      <c r="Y57" s="1"/>
      <c r="Z57" s="1"/>
    </row>
    <row r="58" spans="1:26" ht="178.5" x14ac:dyDescent="0.2">
      <c r="A58" s="10"/>
      <c r="B58" s="61" t="s">
        <v>103</v>
      </c>
      <c r="C58" s="91" t="s">
        <v>41</v>
      </c>
      <c r="D58" s="91"/>
      <c r="E58" s="92">
        <v>600000</v>
      </c>
      <c r="F58" s="91"/>
      <c r="G58" s="91"/>
      <c r="H58" s="91"/>
      <c r="I58" s="91"/>
      <c r="J58" s="91">
        <v>1</v>
      </c>
      <c r="K58" s="16"/>
      <c r="L58" s="16"/>
      <c r="M58" s="16"/>
      <c r="N58" s="16"/>
      <c r="O58" s="16"/>
      <c r="P58" s="16"/>
      <c r="Q58" s="16"/>
      <c r="R58" s="16"/>
      <c r="S58" s="16"/>
      <c r="T58" s="16"/>
      <c r="U58" s="16"/>
      <c r="V58" s="16"/>
      <c r="W58" s="1"/>
      <c r="X58" s="1"/>
      <c r="Y58" s="1"/>
      <c r="Z58" s="1"/>
    </row>
    <row r="59" spans="1:26" ht="246" customHeight="1" x14ac:dyDescent="0.2">
      <c r="A59" s="10"/>
      <c r="B59" s="117" t="s">
        <v>104</v>
      </c>
      <c r="C59" s="91" t="s">
        <v>41</v>
      </c>
      <c r="D59" s="91"/>
      <c r="E59" s="92">
        <v>600000</v>
      </c>
      <c r="F59" s="91"/>
      <c r="G59" s="91"/>
      <c r="H59" s="91"/>
      <c r="I59" s="91"/>
      <c r="J59" s="91">
        <v>1</v>
      </c>
      <c r="K59" s="16"/>
      <c r="L59" s="16"/>
      <c r="M59" s="16"/>
      <c r="N59" s="16"/>
      <c r="O59" s="16"/>
      <c r="P59" s="16"/>
      <c r="Q59" s="16"/>
      <c r="R59" s="16"/>
      <c r="S59" s="16"/>
      <c r="T59" s="16"/>
      <c r="U59" s="16"/>
      <c r="V59" s="16"/>
      <c r="W59" s="1"/>
      <c r="X59" s="1"/>
      <c r="Y59" s="1"/>
      <c r="Z59" s="1"/>
    </row>
    <row r="60" spans="1:26" ht="14.25" x14ac:dyDescent="0.2">
      <c r="A60" s="10"/>
      <c r="B60" s="44"/>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5" x14ac:dyDescent="0.25">
      <c r="A61" s="10"/>
      <c r="B61" s="76" t="s">
        <v>82</v>
      </c>
      <c r="C61" s="77"/>
      <c r="D61" s="77"/>
      <c r="E61" s="78"/>
      <c r="F61" s="79"/>
      <c r="G61" s="79"/>
      <c r="H61" s="79"/>
      <c r="I61" s="77"/>
      <c r="J61" s="77"/>
      <c r="K61" s="77"/>
      <c r="L61" s="77"/>
      <c r="M61" s="77"/>
      <c r="N61" s="77"/>
      <c r="O61" s="77"/>
      <c r="P61" s="77"/>
      <c r="Q61" s="77"/>
      <c r="R61" s="77"/>
      <c r="S61" s="77"/>
      <c r="T61" s="77"/>
      <c r="U61" s="77"/>
      <c r="V61" s="77"/>
      <c r="W61" s="1"/>
      <c r="X61" s="1"/>
      <c r="Y61" s="1"/>
      <c r="Z61" s="1"/>
    </row>
    <row r="62" spans="1:26" ht="25.5" x14ac:dyDescent="0.2">
      <c r="A62" s="10"/>
      <c r="B62" s="80" t="s">
        <v>83</v>
      </c>
      <c r="C62" s="81" t="s">
        <v>84</v>
      </c>
      <c r="D62" s="82">
        <v>84000</v>
      </c>
      <c r="E62" s="82">
        <v>252000</v>
      </c>
      <c r="F62" s="83" t="s">
        <v>45</v>
      </c>
      <c r="G62" s="27"/>
      <c r="H62" s="27"/>
      <c r="I62" s="17">
        <v>1</v>
      </c>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4.25" x14ac:dyDescent="0.2">
      <c r="A64" s="10"/>
      <c r="B64" s="53"/>
      <c r="C64" s="43"/>
      <c r="D64" s="60"/>
      <c r="E64" s="41"/>
      <c r="F64" s="50"/>
      <c r="G64" s="20"/>
      <c r="H64" s="40"/>
      <c r="I64" s="17"/>
      <c r="J64" s="16"/>
      <c r="K64" s="16"/>
      <c r="L64" s="16"/>
      <c r="M64" s="16"/>
      <c r="N64" s="16"/>
      <c r="O64" s="16"/>
      <c r="P64" s="16"/>
      <c r="Q64" s="16"/>
      <c r="R64" s="16"/>
      <c r="S64" s="16"/>
      <c r="T64" s="16"/>
      <c r="U64" s="16"/>
      <c r="V64" s="16"/>
      <c r="W64" s="1"/>
      <c r="X64" s="1"/>
      <c r="Y64" s="1"/>
      <c r="Z64" s="1"/>
    </row>
    <row r="65" spans="1:26" ht="12.75" x14ac:dyDescent="0.2">
      <c r="A65" s="10"/>
      <c r="B65" s="88" t="s">
        <v>86</v>
      </c>
      <c r="C65" s="84"/>
      <c r="D65" s="84"/>
      <c r="E65" s="85"/>
      <c r="F65" s="86"/>
      <c r="G65" s="86"/>
      <c r="H65" s="86"/>
      <c r="I65" s="87"/>
      <c r="J65" s="84"/>
      <c r="K65" s="84"/>
      <c r="L65" s="84"/>
      <c r="M65" s="84"/>
      <c r="N65" s="84"/>
      <c r="O65" s="84"/>
      <c r="P65" s="84"/>
      <c r="Q65" s="84"/>
      <c r="R65" s="84"/>
      <c r="S65" s="84"/>
      <c r="T65" s="84"/>
      <c r="U65" s="84"/>
      <c r="V65" s="84"/>
      <c r="W65" s="1"/>
      <c r="X65" s="1"/>
      <c r="Y65" s="1"/>
      <c r="Z65" s="1"/>
    </row>
    <row r="66" spans="1:26" ht="165.75" x14ac:dyDescent="0.2">
      <c r="A66" s="10"/>
      <c r="B66" s="61" t="s">
        <v>94</v>
      </c>
      <c r="C66" s="91" t="s">
        <v>41</v>
      </c>
      <c r="D66" s="91"/>
      <c r="E66" s="92">
        <v>30000</v>
      </c>
      <c r="F66" s="91"/>
      <c r="G66" s="91"/>
      <c r="H66" s="91"/>
      <c r="I66" s="91"/>
      <c r="J66" s="91">
        <v>1</v>
      </c>
      <c r="K66" s="93"/>
      <c r="L66" s="16"/>
      <c r="M66" s="16"/>
      <c r="N66" s="16"/>
      <c r="O66" s="16"/>
      <c r="P66" s="16"/>
      <c r="Q66" s="16"/>
      <c r="R66" s="16"/>
      <c r="S66" s="16"/>
      <c r="T66" s="16"/>
      <c r="U66" s="16"/>
      <c r="V66" s="16"/>
      <c r="W66" s="1"/>
      <c r="X66" s="1"/>
      <c r="Y66" s="1"/>
      <c r="Z66" s="1"/>
    </row>
    <row r="67" spans="1:26" ht="38.25" x14ac:dyDescent="0.2">
      <c r="A67" s="10"/>
      <c r="B67" s="61" t="s">
        <v>95</v>
      </c>
      <c r="C67" s="17" t="s">
        <v>41</v>
      </c>
      <c r="D67" s="18"/>
      <c r="E67" s="19">
        <v>90000</v>
      </c>
      <c r="F67" s="27"/>
      <c r="G67" s="27"/>
      <c r="H67" s="103"/>
      <c r="I67" s="17"/>
      <c r="J67" s="16">
        <v>1</v>
      </c>
      <c r="K67" s="16"/>
      <c r="L67" s="16"/>
      <c r="M67" s="16"/>
      <c r="N67" s="16"/>
      <c r="O67" s="16"/>
      <c r="P67" s="16"/>
      <c r="Q67" s="16"/>
      <c r="R67" s="16"/>
      <c r="S67" s="16"/>
      <c r="T67" s="16"/>
      <c r="U67" s="16"/>
      <c r="V67" s="16"/>
      <c r="W67" s="1"/>
      <c r="X67" s="1"/>
      <c r="Y67" s="1"/>
      <c r="Z67" s="1"/>
    </row>
    <row r="68" spans="1:26" ht="12.75" x14ac:dyDescent="0.2">
      <c r="A68" s="10"/>
      <c r="B68" s="16"/>
      <c r="C68" s="16"/>
      <c r="D68" s="16"/>
      <c r="E68" s="19"/>
      <c r="F68" s="27"/>
      <c r="G68" s="27"/>
      <c r="H68" s="27"/>
      <c r="I68" s="17"/>
      <c r="J68" s="16"/>
      <c r="K68" s="16"/>
      <c r="L68" s="16"/>
      <c r="M68" s="16"/>
      <c r="N68" s="16"/>
      <c r="O68" s="16"/>
      <c r="P68" s="16"/>
      <c r="Q68" s="16"/>
      <c r="R68" s="16"/>
      <c r="S68" s="16"/>
      <c r="T68" s="16"/>
      <c r="U68" s="16"/>
      <c r="V68" s="16"/>
      <c r="W68" s="1"/>
      <c r="X68" s="1"/>
      <c r="Y68" s="1"/>
      <c r="Z68" s="1"/>
    </row>
    <row r="69" spans="1:26" ht="12.75" x14ac:dyDescent="0.2">
      <c r="A69" s="10"/>
      <c r="B69" s="16"/>
      <c r="C69" s="16"/>
      <c r="D69" s="16"/>
      <c r="E69" s="19"/>
      <c r="F69" s="27"/>
      <c r="G69" s="27"/>
      <c r="H69" s="27"/>
      <c r="I69" s="17"/>
      <c r="J69" s="16"/>
      <c r="K69" s="16"/>
      <c r="L69" s="16"/>
      <c r="M69" s="16"/>
      <c r="N69" s="16"/>
      <c r="O69" s="16"/>
      <c r="P69" s="16"/>
      <c r="Q69" s="16"/>
      <c r="R69" s="16"/>
      <c r="S69" s="16"/>
      <c r="T69" s="16"/>
      <c r="U69" s="16"/>
      <c r="V69" s="16"/>
      <c r="W69" s="1"/>
      <c r="X69" s="1"/>
      <c r="Y69" s="1"/>
      <c r="Z69" s="1"/>
    </row>
    <row r="70" spans="1:26" ht="12.75" x14ac:dyDescent="0.2">
      <c r="A70" s="10"/>
      <c r="B70" s="16"/>
      <c r="C70" s="16"/>
      <c r="D70" s="16"/>
      <c r="E70" s="19"/>
      <c r="F70" s="27"/>
      <c r="G70" s="27"/>
      <c r="H70" s="27"/>
      <c r="I70" s="17"/>
      <c r="J70" s="16"/>
      <c r="K70" s="16"/>
      <c r="L70" s="16"/>
      <c r="M70" s="16"/>
      <c r="N70" s="16"/>
      <c r="O70" s="16"/>
      <c r="P70" s="16"/>
      <c r="Q70" s="16"/>
      <c r="R70" s="16"/>
      <c r="S70" s="16"/>
      <c r="T70" s="16"/>
      <c r="U70" s="16"/>
      <c r="V70" s="16"/>
      <c r="W70" s="1"/>
      <c r="X70" s="1"/>
      <c r="Y70" s="1"/>
      <c r="Z70" s="1"/>
    </row>
    <row r="71" spans="1:26" ht="12.75" x14ac:dyDescent="0.2">
      <c r="A71" s="10"/>
      <c r="B71" s="16"/>
      <c r="C71" s="16"/>
      <c r="D71" s="16"/>
      <c r="E71" s="19"/>
      <c r="F71" s="27"/>
      <c r="G71" s="27"/>
      <c r="H71" s="27"/>
      <c r="I71" s="16"/>
      <c r="J71" s="16"/>
      <c r="K71" s="16"/>
      <c r="L71" s="16"/>
      <c r="M71" s="16"/>
      <c r="N71" s="16"/>
      <c r="O71" s="16"/>
      <c r="P71" s="16"/>
      <c r="Q71" s="16"/>
      <c r="R71" s="16"/>
      <c r="S71" s="16"/>
      <c r="T71" s="16"/>
      <c r="U71" s="16"/>
      <c r="V71" s="16"/>
      <c r="W71" s="1"/>
      <c r="X71" s="1"/>
      <c r="Y71" s="1"/>
      <c r="Z71" s="1"/>
    </row>
    <row r="72" spans="1:26" ht="12.75" x14ac:dyDescent="0.2">
      <c r="A72" s="10"/>
      <c r="B72" s="136" t="s">
        <v>58</v>
      </c>
      <c r="C72" s="134"/>
      <c r="D72" s="134"/>
      <c r="E72" s="134"/>
      <c r="F72" s="134"/>
      <c r="G72" s="134"/>
      <c r="H72" s="134"/>
      <c r="I72" s="135"/>
      <c r="J72" s="16"/>
      <c r="K72" s="16"/>
      <c r="L72" s="16"/>
      <c r="M72" s="16"/>
      <c r="N72" s="16"/>
      <c r="O72" s="16"/>
      <c r="P72" s="16"/>
      <c r="Q72" s="16"/>
      <c r="R72" s="16"/>
      <c r="S72" s="16"/>
      <c r="T72" s="16"/>
      <c r="U72" s="16"/>
      <c r="V72" s="16"/>
      <c r="W72" s="1"/>
      <c r="X72" s="1"/>
      <c r="Y72" s="1"/>
      <c r="Z72" s="1"/>
    </row>
    <row r="73" spans="1:26" ht="12.75" x14ac:dyDescent="0.2">
      <c r="A73" s="1"/>
      <c r="B73" s="1"/>
      <c r="C73" s="1"/>
      <c r="D73" s="1"/>
      <c r="E73" s="62"/>
      <c r="F73" s="3"/>
      <c r="G73" s="3"/>
      <c r="H73" s="3"/>
      <c r="I73" s="1"/>
      <c r="J73" s="1"/>
      <c r="K73" s="1"/>
      <c r="L73" s="1"/>
      <c r="M73" s="1"/>
      <c r="N73" s="1"/>
      <c r="O73" s="1"/>
      <c r="P73" s="1"/>
      <c r="Q73" s="1"/>
      <c r="R73" s="1"/>
      <c r="S73" s="1"/>
      <c r="T73" s="1"/>
      <c r="U73" s="1"/>
      <c r="V73" s="1"/>
      <c r="W73" s="1"/>
      <c r="X73" s="1"/>
      <c r="Y73" s="1"/>
      <c r="Z73" s="1"/>
    </row>
    <row r="74" spans="1:26" x14ac:dyDescent="0.25">
      <c r="A74" s="137" t="s">
        <v>59</v>
      </c>
      <c r="B74" s="128"/>
      <c r="C74" s="1"/>
      <c r="D74" s="63"/>
      <c r="E74" s="64"/>
      <c r="F74" s="3"/>
      <c r="G74" s="3"/>
      <c r="H74" s="3"/>
      <c r="I74" s="1"/>
      <c r="J74" s="1"/>
      <c r="K74" s="1"/>
      <c r="L74" s="1"/>
      <c r="M74" s="1"/>
      <c r="N74" s="1"/>
      <c r="O74" s="1"/>
      <c r="P74" s="1"/>
      <c r="Q74" s="1"/>
      <c r="R74" s="1"/>
      <c r="S74" s="1"/>
      <c r="T74" s="1"/>
      <c r="U74" s="1"/>
      <c r="V74" s="1"/>
      <c r="W74" s="1"/>
      <c r="X74" s="1"/>
      <c r="Y74" s="1"/>
      <c r="Z74" s="1"/>
    </row>
    <row r="75" spans="1:26" ht="12.75" x14ac:dyDescent="0.2">
      <c r="A75" s="1"/>
      <c r="B75" s="1"/>
      <c r="C75" s="1"/>
      <c r="D75" s="1"/>
      <c r="E75" s="2"/>
      <c r="F75" s="3"/>
      <c r="G75" s="3"/>
      <c r="H75" s="3"/>
      <c r="I75" s="1"/>
      <c r="J75" s="127"/>
      <c r="K75" s="128"/>
      <c r="L75" s="128"/>
      <c r="M75" s="128"/>
      <c r="N75" s="128"/>
      <c r="O75" s="128"/>
      <c r="P75" s="128"/>
      <c r="Q75" s="128"/>
      <c r="R75" s="128"/>
      <c r="S75" s="128"/>
      <c r="T75" s="128"/>
      <c r="U75" s="1"/>
      <c r="V75" s="1"/>
      <c r="W75" s="1"/>
      <c r="X75" s="1"/>
      <c r="Y75" s="1"/>
      <c r="Z75" s="1"/>
    </row>
    <row r="76" spans="1:26" ht="12.75" x14ac:dyDescent="0.2">
      <c r="A76" s="138" t="s">
        <v>60</v>
      </c>
      <c r="B76" s="128"/>
      <c r="C76" s="128"/>
      <c r="D76" s="128"/>
      <c r="E76" s="2"/>
      <c r="F76" s="3"/>
      <c r="G76" s="3"/>
      <c r="H76" s="3"/>
      <c r="I76" s="1"/>
      <c r="J76" s="1"/>
      <c r="K76" s="1"/>
      <c r="L76" s="1"/>
      <c r="M76" s="1"/>
      <c r="N76" s="1"/>
      <c r="O76" s="1"/>
      <c r="P76" s="1"/>
      <c r="Q76" s="1"/>
      <c r="R76" s="1"/>
      <c r="S76" s="1"/>
      <c r="T76" s="1"/>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2.75" x14ac:dyDescent="0.2">
      <c r="A78" s="129" t="s">
        <v>61</v>
      </c>
      <c r="B78" s="128"/>
      <c r="C78" s="129" t="s">
        <v>62</v>
      </c>
      <c r="D78" s="128"/>
      <c r="E78" s="128"/>
      <c r="F78" s="3"/>
      <c r="G78" s="3"/>
      <c r="H78" s="3"/>
      <c r="I78" s="129" t="s">
        <v>63</v>
      </c>
      <c r="J78" s="128"/>
      <c r="K78" s="128"/>
      <c r="L78" s="128"/>
      <c r="M78" s="128"/>
      <c r="N78" s="128"/>
      <c r="O78" s="1"/>
      <c r="P78" s="1"/>
      <c r="Q78" s="129" t="s">
        <v>64</v>
      </c>
      <c r="R78" s="128"/>
      <c r="S78" s="128"/>
      <c r="T78" s="128"/>
      <c r="U78" s="1"/>
      <c r="V78" s="127"/>
      <c r="W78" s="128"/>
      <c r="X78" s="1"/>
      <c r="Y78" s="1"/>
      <c r="Z78" s="1"/>
    </row>
    <row r="79" spans="1:26" ht="12.75" x14ac:dyDescent="0.2">
      <c r="A79" s="1"/>
      <c r="B79" s="1"/>
      <c r="C79" s="1"/>
      <c r="D79" s="1"/>
      <c r="E79" s="2"/>
      <c r="F79" s="3"/>
      <c r="G79" s="3"/>
      <c r="H79" s="3"/>
      <c r="I79" s="1"/>
      <c r="J79" s="1"/>
      <c r="K79" s="1"/>
      <c r="L79" s="1"/>
      <c r="M79" s="1"/>
      <c r="N79" s="1"/>
      <c r="O79" s="1"/>
      <c r="P79" s="1"/>
      <c r="Q79" s="1"/>
      <c r="R79" s="1"/>
      <c r="S79" s="1"/>
      <c r="T79" s="1"/>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31" t="s">
        <v>65</v>
      </c>
      <c r="B81" s="128"/>
      <c r="C81" s="129" t="s">
        <v>66</v>
      </c>
      <c r="D81" s="128"/>
      <c r="E81" s="128"/>
      <c r="F81" s="128"/>
      <c r="G81" s="3"/>
      <c r="H81" s="3"/>
      <c r="I81" s="129" t="s">
        <v>67</v>
      </c>
      <c r="J81" s="128"/>
      <c r="K81" s="128"/>
      <c r="L81" s="128"/>
      <c r="M81" s="128"/>
      <c r="N81" s="128"/>
      <c r="O81" s="1"/>
      <c r="P81" s="1"/>
      <c r="Q81" s="129" t="s">
        <v>68</v>
      </c>
      <c r="R81" s="128"/>
      <c r="S81" s="128"/>
      <c r="T81" s="128"/>
      <c r="U81" s="1"/>
      <c r="V81" s="127"/>
      <c r="W81" s="128"/>
      <c r="X81" s="128"/>
      <c r="Y81" s="1"/>
      <c r="Z81" s="1"/>
    </row>
    <row r="82" spans="1:26" ht="12.75" x14ac:dyDescent="0.2">
      <c r="A82" s="127" t="s">
        <v>69</v>
      </c>
      <c r="B82" s="128"/>
      <c r="C82" s="127" t="s">
        <v>70</v>
      </c>
      <c r="D82" s="128"/>
      <c r="E82" s="128"/>
      <c r="F82" s="128"/>
      <c r="G82" s="3"/>
      <c r="H82" s="3"/>
      <c r="I82" s="127" t="s">
        <v>71</v>
      </c>
      <c r="J82" s="128"/>
      <c r="K82" s="128"/>
      <c r="L82" s="128"/>
      <c r="M82" s="128"/>
      <c r="N82" s="128"/>
      <c r="O82" s="1"/>
      <c r="P82" s="1"/>
      <c r="Q82" s="127" t="s">
        <v>72</v>
      </c>
      <c r="R82" s="128"/>
      <c r="S82" s="128"/>
      <c r="T82" s="128"/>
      <c r="U82" s="1"/>
      <c r="V82" s="1"/>
      <c r="W82" s="1"/>
      <c r="X82" s="1"/>
      <c r="Y82" s="1"/>
      <c r="Z82" s="1"/>
    </row>
    <row r="83" spans="1:26" ht="12.75" x14ac:dyDescent="0.2">
      <c r="A83" s="1"/>
      <c r="B83" s="1"/>
      <c r="C83" s="1"/>
      <c r="D83" s="1"/>
      <c r="E83" s="2"/>
      <c r="F83" s="3"/>
      <c r="G83" s="3"/>
      <c r="H83" s="3"/>
      <c r="I83" s="1"/>
      <c r="J83" s="1"/>
      <c r="K83" s="1"/>
      <c r="L83" s="1"/>
      <c r="M83" s="1"/>
      <c r="N83" s="1"/>
      <c r="O83" s="1"/>
      <c r="P83" s="1"/>
      <c r="Q83" s="1"/>
      <c r="R83" s="1"/>
      <c r="S83" s="1"/>
      <c r="T83" s="1"/>
      <c r="U83" s="1"/>
      <c r="V83" s="1"/>
      <c r="W83" s="1"/>
      <c r="X83" s="1"/>
      <c r="Y83" s="1"/>
      <c r="Z83" s="1"/>
    </row>
    <row r="84" spans="1:26" ht="14.25" x14ac:dyDescent="0.2">
      <c r="A84" s="132" t="s">
        <v>73</v>
      </c>
      <c r="B84" s="128"/>
      <c r="C84" s="132" t="s">
        <v>73</v>
      </c>
      <c r="D84" s="128"/>
      <c r="E84" s="128"/>
      <c r="F84" s="3"/>
      <c r="G84" s="3"/>
      <c r="H84" s="3"/>
      <c r="I84" s="132" t="s">
        <v>73</v>
      </c>
      <c r="J84" s="128"/>
      <c r="K84" s="128"/>
      <c r="L84" s="128"/>
      <c r="M84" s="1"/>
      <c r="N84" s="1"/>
      <c r="O84" s="1"/>
      <c r="P84" s="1"/>
      <c r="Q84" s="132" t="s">
        <v>73</v>
      </c>
      <c r="R84" s="128"/>
      <c r="S84" s="128"/>
      <c r="T84" s="128"/>
      <c r="U84" s="1"/>
      <c r="V84" s="1"/>
      <c r="W84" s="1"/>
      <c r="X84" s="1"/>
      <c r="Y84" s="1"/>
      <c r="Z84" s="1"/>
    </row>
    <row r="85" spans="1:26" ht="12.75" x14ac:dyDescent="0.2">
      <c r="A85" s="1"/>
      <c r="B85" s="1"/>
      <c r="C85" s="1"/>
      <c r="D85" s="1"/>
      <c r="E85" s="2"/>
      <c r="F85" s="3"/>
      <c r="G85" s="3"/>
      <c r="H85" s="130"/>
      <c r="I85" s="128"/>
      <c r="J85" s="128"/>
      <c r="K85" s="128"/>
      <c r="L85" s="128"/>
      <c r="M85" s="128"/>
      <c r="N85" s="128"/>
      <c r="O85" s="128"/>
      <c r="P85" s="128"/>
      <c r="Q85" s="128"/>
      <c r="R85" s="128"/>
      <c r="S85" s="128"/>
      <c r="T85" s="128"/>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130"/>
      <c r="I88" s="128"/>
      <c r="J88" s="128"/>
      <c r="K88" s="128"/>
      <c r="L88" s="128"/>
      <c r="M88" s="128"/>
      <c r="N88" s="128"/>
      <c r="O88" s="128"/>
      <c r="P88" s="128"/>
      <c r="Q88" s="128"/>
      <c r="R88" s="128"/>
      <c r="S88" s="128"/>
      <c r="T88" s="128"/>
      <c r="U88" s="1"/>
      <c r="V88" s="1"/>
      <c r="W88" s="1"/>
      <c r="X88" s="1"/>
      <c r="Y88" s="1"/>
      <c r="Z88" s="1"/>
    </row>
    <row r="89" spans="1:26" ht="12.75" x14ac:dyDescent="0.2">
      <c r="A89" s="1"/>
      <c r="B89" s="1"/>
      <c r="C89" s="1"/>
      <c r="D89" s="1"/>
      <c r="E89" s="2"/>
      <c r="F89" s="3"/>
      <c r="G89" s="3"/>
      <c r="H89" s="130"/>
      <c r="I89" s="128"/>
      <c r="J89" s="128"/>
      <c r="K89" s="128"/>
      <c r="L89" s="128"/>
      <c r="M89" s="128"/>
      <c r="N89" s="128"/>
      <c r="O89" s="128"/>
      <c r="P89" s="128"/>
      <c r="Q89" s="128"/>
      <c r="R89" s="128"/>
      <c r="S89" s="128"/>
      <c r="T89" s="128"/>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2"/>
      <c r="F988" s="3"/>
      <c r="G988" s="3"/>
      <c r="H988" s="3"/>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2"/>
      <c r="F989" s="3"/>
      <c r="G989" s="3"/>
      <c r="H989" s="3"/>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2"/>
      <c r="F990" s="3"/>
      <c r="G990" s="3"/>
      <c r="H990" s="3"/>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2"/>
      <c r="F991" s="3"/>
      <c r="G991" s="3"/>
      <c r="H991" s="3"/>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2"/>
      <c r="F992" s="3"/>
      <c r="G992" s="3"/>
      <c r="H992" s="3"/>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2"/>
      <c r="F993" s="3"/>
      <c r="G993" s="3"/>
      <c r="H993" s="3"/>
      <c r="I993" s="1"/>
      <c r="J993" s="1"/>
      <c r="K993" s="1"/>
      <c r="L993" s="1"/>
      <c r="M993" s="1"/>
      <c r="N993" s="1"/>
      <c r="O993" s="1"/>
      <c r="P993" s="1"/>
      <c r="Q993" s="1"/>
      <c r="R993" s="1"/>
      <c r="S993" s="1"/>
      <c r="T993" s="1"/>
      <c r="U993" s="1"/>
      <c r="V993" s="1"/>
      <c r="W993" s="1"/>
      <c r="X993" s="1"/>
      <c r="Y993" s="1"/>
      <c r="Z993"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7:D17"/>
    <mergeCell ref="B72:I72"/>
    <mergeCell ref="A74:B74"/>
    <mergeCell ref="J75:T75"/>
    <mergeCell ref="A76:D76"/>
    <mergeCell ref="H85:T85"/>
    <mergeCell ref="H88:T88"/>
    <mergeCell ref="H89:T89"/>
    <mergeCell ref="A81:B81"/>
    <mergeCell ref="A82:B82"/>
    <mergeCell ref="C82:F82"/>
    <mergeCell ref="A84:B84"/>
    <mergeCell ref="C84:E84"/>
    <mergeCell ref="I84:L84"/>
    <mergeCell ref="C81:F81"/>
    <mergeCell ref="I81:N81"/>
    <mergeCell ref="Q81:T81"/>
    <mergeCell ref="I82:N82"/>
    <mergeCell ref="Q82:T82"/>
    <mergeCell ref="Q84:T84"/>
    <mergeCell ref="V81:X81"/>
    <mergeCell ref="A78:B78"/>
    <mergeCell ref="C78:E78"/>
    <mergeCell ref="I78:N78"/>
    <mergeCell ref="Q78:T78"/>
    <mergeCell ref="V78:W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2nd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PTRI</dc:creator>
  <cp:lastModifiedBy>ASUS</cp:lastModifiedBy>
  <dcterms:created xsi:type="dcterms:W3CDTF">2024-06-18T07:32:08Z</dcterms:created>
  <dcterms:modified xsi:type="dcterms:W3CDTF">2024-06-28T06:24:29Z</dcterms:modified>
</cp:coreProperties>
</file>