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FRONTIER-NTFIH" sheetId="1" r:id="rId4"/>
    <sheet state="visible" name="PPMP Sample 1 (2)" sheetId="2" r:id="rId5"/>
  </sheets>
  <definedNames/>
  <calcPr/>
  <extLst>
    <ext uri="GoogleSheetsCustomDataVersion2">
      <go:sheetsCustomData xmlns:go="http://customooxmlschemas.google.com/" r:id="rId6" roundtripDataChecksum="joUb5AwdO0s3JGXT1i9IV9oB1Uo0qvnFh/FnrUo2Dm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4">
      <text>
        <t xml:space="preserve">======
ID#AAAA-ZHBewo
upmnih    (2021-04-08 04:25:07)
Prepared by: Project Staff/ Research Associate</t>
      </text>
    </comment>
    <comment authorId="0" ref="C144">
      <text>
        <t xml:space="preserve">======
ID#AAAA-ZHBewc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iUQZ9U2usrVh14PQlm1TOKQOiEy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6">
      <text>
        <t xml:space="preserve">======
ID#AAAA-ZHBewk
upmnih    (2021-04-08 04:25:07)
Prepared by: Project Staff/ Research Associate</t>
      </text>
    </comment>
    <comment authorId="0" ref="C86">
      <text>
        <t xml:space="preserve">======
ID#AAAA-ZHBewg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hugnF/w+rAdAnM35hyZb+Km2ThNg=="/>
    </ext>
  </extLst>
</comments>
</file>

<file path=xl/sharedStrings.xml><?xml version="1.0" encoding="utf-8"?>
<sst xmlns="http://schemas.openxmlformats.org/spreadsheetml/2006/main" count="505" uniqueCount="269">
  <si>
    <t>Charged to: FRONTIER: Fostering the Revitalization of Nascent Textile Innovation Ecosystems in the Regions - Establishment of Natural Textile Fiber Innovation Hub (NTFIH)</t>
  </si>
  <si>
    <t>For 1st Quarter of CY 2025</t>
  </si>
  <si>
    <t>END-USER/UNIT: RDD-NFUS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</si>
  <si>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</si>
  <si>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</si>
  <si>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</si>
  <si>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</si>
  <si>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</si>
  <si>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</si>
  <si>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</si>
  <si>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</si>
  <si>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</si>
  <si>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</si>
  <si>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</si>
  <si>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</si>
  <si>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</si>
  <si>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</si>
  <si>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</si>
  <si>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</si>
  <si>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</si>
  <si>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</si>
  <si>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</si>
  <si>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</si>
  <si>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</si>
  <si>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</si>
  <si>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</si>
  <si>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</si>
  <si>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</si>
  <si>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3 boxes - Permanent Marker, Black 12's per box</t>
  </si>
  <si>
    <t>1 lot</t>
  </si>
  <si>
    <t>Shopping</t>
  </si>
  <si>
    <t>15 working days</t>
  </si>
  <si>
    <t>3 boxes - Permanent Marker, Blue 12's per box</t>
  </si>
  <si>
    <t>3 boxes - Permanent Marker, Red 12's per box</t>
  </si>
  <si>
    <t>15 boxes -Ballpen Blue 0.5mm Hi-Techpoint Pen 12s/box</t>
  </si>
  <si>
    <t>15 boxes - Staple Wire No.35</t>
  </si>
  <si>
    <t>15 boxes - Binder Clips, 32mm 12's</t>
  </si>
  <si>
    <t>15 boxes - Binder Clips, 19mm 12's</t>
  </si>
  <si>
    <t>1 box - Expanded Envelope (Legal, 100's)</t>
  </si>
  <si>
    <t>5 boxes - Paper Clips, 50mm, 100's/box</t>
  </si>
  <si>
    <t>5 boxes - Paper Clips, 33mm, 100's/box</t>
  </si>
  <si>
    <t>30 pcs - Clear Packing Tape 48mm (2" width)x 100m</t>
  </si>
  <si>
    <t>30 pcs - Clear Packing Tape 24mm (1" width)x 100m</t>
  </si>
  <si>
    <t>50 pcs - Masking Tape, 1"inch</t>
  </si>
  <si>
    <t>10 packs - Specialty Boardpaper, 30's, 90gsm</t>
  </si>
  <si>
    <t>10 packs - Label Index Stickers, 5 colors</t>
  </si>
  <si>
    <t>5 packs - White Folder A4 size, 25 pcs per pack</t>
  </si>
  <si>
    <t>5 packs - White Folder Legal Size, 25pcs per pack</t>
  </si>
  <si>
    <t>20 packs - Sticky Notes 3x3 inches,  100 sheets. Light Green</t>
  </si>
  <si>
    <t>10 packs - Vellum Board (A4, 10's/pack)</t>
  </si>
  <si>
    <t>10 packs - Sticker Paper, Matte (A4, 10's/pack)</t>
  </si>
  <si>
    <t>25 pcs Clear Acrylic Name Plate Holder for Conference; 3x8.5 inches for conference\</t>
  </si>
  <si>
    <t>30 pcs - Steno Notebook 153x228mm, 60leaves</t>
  </si>
  <si>
    <t>30 pcs - Laboratory Notebook, 100 leaves, 216x280mm, blue cover</t>
  </si>
  <si>
    <t>Computer Chair/Office Chair,/Ergonomic Chair With Armrest</t>
  </si>
  <si>
    <t>5 pcs</t>
  </si>
  <si>
    <t xml:space="preserve">Microsoft Office License </t>
  </si>
  <si>
    <t>3 pcs</t>
  </si>
  <si>
    <t>Other Supplies</t>
  </si>
  <si>
    <t>50 packs - Pull-ups Tissue, 2 ply, 190pulls/pack</t>
  </si>
  <si>
    <t>30-45 working days</t>
  </si>
  <si>
    <t>30 bottles - Isopropyl Alcohol with moisturizer, 70%,500ml</t>
  </si>
  <si>
    <t>10 kilograms - Detergent powder, 1kg</t>
  </si>
  <si>
    <t>10 bottles - Liquid hand soap, Pump dispenser, 225ml</t>
  </si>
  <si>
    <t>10 bottles - Dishwashing Liquid, Antibac, 475ml</t>
  </si>
  <si>
    <t>5 Gallons - Liquid Detergent 4L per gallon</t>
  </si>
  <si>
    <t>2 boxes - Aluminum Foil - Standard Specification</t>
  </si>
  <si>
    <t>12 boxes - Kimtech wipes</t>
  </si>
  <si>
    <t>Laboratory Supplies</t>
  </si>
  <si>
    <t>30 boxes - Face Mask, 3 ply, Earloop, 50pcs/box</t>
  </si>
  <si>
    <t>Thimbles - Double Thickness, 33mm x 80 mm, 25pcs per box</t>
  </si>
  <si>
    <t>2 box</t>
  </si>
  <si>
    <t>Gooch Crucibles - Borosilicate glass, 50 mL</t>
  </si>
  <si>
    <t>20 pcs</t>
  </si>
  <si>
    <t>Beaker - Borosilicate glass, 50 mL</t>
  </si>
  <si>
    <t>Beaker - Borosilicate glass, 100 mL</t>
  </si>
  <si>
    <t>Beaker - Borosilicate glass, 500 mL</t>
  </si>
  <si>
    <t>Beaker - Borosilicate glass, 1000 mL</t>
  </si>
  <si>
    <t>Erlenmeyer flask - Borosilicate glass, 250 mL</t>
  </si>
  <si>
    <t>10 pcs</t>
  </si>
  <si>
    <t>Erlenmeyer flask - Borosilicate glass, 500 mL</t>
  </si>
  <si>
    <t>Stirring Rod - Glass, 200 mm</t>
  </si>
  <si>
    <t>5pcs</t>
  </si>
  <si>
    <t>Spatula - Stainless, Standard size</t>
  </si>
  <si>
    <t>Volumetric Flask - Borosilicate glass, 1000 mL</t>
  </si>
  <si>
    <t>Magnetic Stirrer Bar - 30 mm / 1.18 inches</t>
  </si>
  <si>
    <t>18 pcs</t>
  </si>
  <si>
    <t>Micropipette 5ml</t>
  </si>
  <si>
    <t>1 pc</t>
  </si>
  <si>
    <t>Micropipette tips Plastic 5ml</t>
  </si>
  <si>
    <t>1 box</t>
  </si>
  <si>
    <t>Desiccator - Borosilicate glass, 210 mm</t>
  </si>
  <si>
    <t>2 pc</t>
  </si>
  <si>
    <t>Crucible Tongs - Stainless Steel, 230 mm</t>
  </si>
  <si>
    <t>Forceps - Standard specifications</t>
  </si>
  <si>
    <t>Gas Masks, N95 grade 3M</t>
  </si>
  <si>
    <t>Test tube Brush Small</t>
  </si>
  <si>
    <t>Test tube Brush Medium</t>
  </si>
  <si>
    <t>Test tube Brush Large</t>
  </si>
  <si>
    <t>Parafilm, 4" x 125 ft</t>
  </si>
  <si>
    <t>Sodium Hydroxide (NaOH) Liquid
- Analytical grade 49% purity
- 30 kg/cby</t>
  </si>
  <si>
    <t>10 carboys</t>
  </si>
  <si>
    <t>Small Value Procurement</t>
  </si>
  <si>
    <t>60 Working Days</t>
  </si>
  <si>
    <t>Sodium Hydroxide (NaOH) Micro Pellets
-Analytical grade 97-99% purity
- 1kg/btl</t>
  </si>
  <si>
    <t>10 bottles</t>
  </si>
  <si>
    <t>Acetone (Liquid)
-Analytical grade 99% purity, 2.5 L/bottle</t>
  </si>
  <si>
    <t>12 bottles</t>
  </si>
  <si>
    <t>Hydrochloric Acid (Liquid)
-Analytical grade 37% purity, 2.5 L/bottle</t>
  </si>
  <si>
    <t>Acetic Acid (Liquid)
-Analytical grade 99% purity, 40L/carboy</t>
  </si>
  <si>
    <t>Hydrogen Peroxide (Liquid)
-Analytical grade 99% purity</t>
  </si>
  <si>
    <t>5 gallons</t>
  </si>
  <si>
    <t>Sodium Chlorite (Powder)
-Analytical grade 80% purity</t>
  </si>
  <si>
    <t>5 bottles</t>
  </si>
  <si>
    <t>Sodium metabisulfite 
-Technical grade, 97% purity, 1kg/bottle</t>
  </si>
  <si>
    <t>Sodium silicate
-Neutral solution, pure</t>
  </si>
  <si>
    <t>Fabric Softener (Flakes)</t>
  </si>
  <si>
    <t xml:space="preserve">Xylanase Enzyme </t>
  </si>
  <si>
    <t>10 Liters</t>
  </si>
  <si>
    <t>60 working days</t>
  </si>
  <si>
    <t>Pectinase Enzyme</t>
  </si>
  <si>
    <t>Laccase
-Laccase from Trametes versicolor powder, light brown, ≥ 0.5 U/mg, Sigma cat#38429</t>
  </si>
  <si>
    <t>1 bottle</t>
  </si>
  <si>
    <t>Other MOOE</t>
  </si>
  <si>
    <t>Bamboo Lei for MOA Signing and Launching of NTFIH in Laguna, Leyte , Davao, Isabela, Catanduanes, and Mindoro</t>
  </si>
  <si>
    <t>60pcs</t>
  </si>
  <si>
    <t>30 working days</t>
  </si>
  <si>
    <t>Cash Advances</t>
  </si>
  <si>
    <t>Banana Fiber Decorticated/Raw, Variety: Cavendish Source: Catanduanes</t>
  </si>
  <si>
    <t>1kg</t>
  </si>
  <si>
    <t>per schedule</t>
  </si>
  <si>
    <t>Pineapple Fiber Decorticated, Variety : Formossa Source: Catanduanes</t>
  </si>
  <si>
    <t>Banana Fiber Decorticated/Raw, Variety: Cavendish Source: Isabela</t>
  </si>
  <si>
    <t>Pineapple Fiber Decorticated, Variety : Formossa Source: Isabela</t>
  </si>
  <si>
    <t>Banana Fiber Decorticated/Raw Variety: Cavendish, Source: Mindoro</t>
  </si>
  <si>
    <t>Pineapple Fiber Decorticated,  Variety : FormossaSource: Mindoro</t>
  </si>
  <si>
    <t>Banana Fiber Decorticated/Raw, Variety: Cavendish Source: Northern Samar</t>
  </si>
  <si>
    <t>Pineapple Fiber Decorticated,  Variety : Formossa Source: Northern Samar</t>
  </si>
  <si>
    <t>Banana Fiber Decorticated/Raw, Source: Catanduanes</t>
  </si>
  <si>
    <t>Pineapple Fiber Decorticated, Variety : Hawaian Source: Catanduanes</t>
  </si>
  <si>
    <t>Banana Fiber Decorticated/Raw, Source: Isabela</t>
  </si>
  <si>
    <t>Pineapple Fiber Decorticated, Variety : Hawaian Source: Isabela</t>
  </si>
  <si>
    <t>Banana Fiber Decorticated/Raw, Source: Mindoro</t>
  </si>
  <si>
    <t>Pineapple Fiber Decorticated, Variety : Hawaian Source: Mindoro</t>
  </si>
  <si>
    <t>Banana Fiber Decorticated/Raw, Source: Northern Samar</t>
  </si>
  <si>
    <t>Pineapple Fiber Decorticated, Variety : Hawaian Source: Northern Samar</t>
  </si>
  <si>
    <t>Repairs and Maintenance Expenses</t>
  </si>
  <si>
    <t>Renovation of NTFIH Isabela</t>
  </si>
  <si>
    <t>Competitive Bidding (Public Bidding)</t>
  </si>
  <si>
    <t>Renovation of NTFIH Mindoro</t>
  </si>
  <si>
    <t>Renovation of NTFIH Catanduanes</t>
  </si>
  <si>
    <t>Renovation of NTFIH Leyte</t>
  </si>
  <si>
    <t>Other Professional Services (OPS)</t>
  </si>
  <si>
    <t>FESEM Imaging
Sample: Raw and treated textile fiber
- Surface morphology
- Cross-sectional imaging
- VAT inclusive
- Turnaround time: 7-10 working days upon receipt of sample</t>
  </si>
  <si>
    <t>20 Samples</t>
  </si>
  <si>
    <t>Agency to Agency</t>
  </si>
  <si>
    <t>Fiber fineness, cut middle method
- sample raw and treated bamboo fibers
- includes raw data of results
- turnaround time: 7-10 working days upon receipt of sample</t>
  </si>
  <si>
    <t>20 samples</t>
  </si>
  <si>
    <t>Capital Outlay (Equipment)</t>
  </si>
  <si>
    <t>Decorticating machine</t>
  </si>
  <si>
    <t>6 lots</t>
  </si>
  <si>
    <t>Public Bidding (Competitive Bidding)</t>
  </si>
  <si>
    <t>Mechanical Softening Machine</t>
  </si>
  <si>
    <t>3 lots</t>
  </si>
  <si>
    <t>Bench Scale Degumming Equipment</t>
  </si>
  <si>
    <t>Fiber Cutting Machine</t>
  </si>
  <si>
    <t>Hard Fiber Opener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</si>
  <si>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</si>
  <si>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</si>
  <si>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</si>
  <si>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</si>
  <si>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</si>
  <si>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</si>
  <si>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</si>
  <si>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</si>
  <si>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</si>
  <si>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</si>
  <si>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</si>
  <si>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</si>
  <si>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ENGR. KARL MARX LENNIN A. FLORANTE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</si>
  <si>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</si>
  <si>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</si>
  <si>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</si>
  <si>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</si>
  <si>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</si>
  <si>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</si>
  <si>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</si>
  <si>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</si>
  <si>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 xml:space="preserve">  PROJECT PROCUREMENT MANAGEMENT PLAN (PPMP) 2024</t>
  </si>
  <si>
    <t>For 1st Quarter of CY 2024</t>
  </si>
  <si>
    <t>(Sample Only)</t>
  </si>
  <si>
    <t>Charged to: Digitalization of Philippine Textiles to Protect and Sustain the Handloom Weaving Sector</t>
  </si>
  <si>
    <t>32gb OTG flashdrive</t>
  </si>
  <si>
    <t>80 pieces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</si>
  <si>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</si>
  <si>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</si>
  <si>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</si>
  <si>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</si>
  <si>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</si>
  <si>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</si>
  <si>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</si>
  <si>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</si>
  <si>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</si>
  <si>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</si>
  <si>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</si>
  <si>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</si>
  <si>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</si>
  <si>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</si>
  <si>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</si>
  <si>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</si>
  <si>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</si>
  <si>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</si>
  <si>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</si>
  <si>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</si>
  <si>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</si>
  <si>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</si>
  <si>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</si>
  <si>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</si>
  <si>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</si>
  <si>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</si>
  <si>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3 units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</si>
  <si>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</si>
  <si>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</si>
  <si>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</si>
  <si>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</si>
  <si>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</si>
  <si>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</si>
  <si>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</si>
  <si>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</si>
  <si>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</si>
  <si>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</si>
  <si>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</si>
  <si>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</si>
  <si>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</si>
  <si>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</si>
  <si>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</si>
  <si>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</si>
  <si>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</si>
  <si>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</si>
  <si>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</si>
  <si>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</si>
  <si>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</si>
  <si>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</si>
  <si>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</si>
  <si>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</si>
  <si>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</si>
  <si>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Correction tape</t>
  </si>
  <si>
    <t>Scissors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</si>
  <si>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</si>
  <si>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</si>
  <si>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</si>
  <si>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</si>
  <si>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</si>
  <si>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</si>
  <si>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</si>
  <si>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</si>
  <si>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</si>
  <si>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</si>
  <si>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</si>
  <si>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</si>
  <si>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</si>
  <si>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</si>
  <si>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</si>
  <si>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</si>
  <si>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</si>
  <si>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</si>
  <si>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</si>
  <si>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Alcohol swab</t>
  </si>
  <si>
    <t>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</si>
</sst>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4">
    <font>
      <sz val="11.0"/>
      <color theme="1"/>
      <name val="Arial"/>
      <scheme val="minor"/>
    </font>
    <font>
      <b/>
      <i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u/>
      <sz val="9.0"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33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4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2" fillId="0" fontId="5" numFmtId="4" xfId="0" applyAlignment="1" applyBorder="1" applyFont="1" applyNumberForma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0" fillId="0" fontId="8" numFmtId="0" xfId="0" applyFont="1"/>
    <xf borderId="7" fillId="0" fontId="7" numFmtId="0" xfId="0" applyBorder="1" applyFont="1"/>
    <xf borderId="8" fillId="0" fontId="7" numFmtId="0" xfId="0" applyBorder="1" applyFont="1"/>
    <xf borderId="9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8" numFmtId="0" xfId="0" applyBorder="1" applyFont="1"/>
    <xf borderId="12" fillId="0" fontId="5" numFmtId="0" xfId="0" applyAlignment="1" applyBorder="1" applyFont="1">
      <alignment horizontal="center" shrinkToFit="0" vertical="center" wrapText="1"/>
    </xf>
    <xf borderId="3" fillId="2" fontId="9" numFmtId="0" xfId="0" applyAlignment="1" applyBorder="1" applyFill="1" applyFont="1">
      <alignment horizontal="left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13" fillId="2" fontId="5" numFmtId="4" xfId="0" applyAlignment="1" applyBorder="1" applyFont="1" applyNumberFormat="1">
      <alignment horizontal="right" shrinkToFit="0" vertical="center" wrapText="1"/>
    </xf>
    <xf borderId="13" fillId="2" fontId="5" numFmtId="164" xfId="0" applyAlignment="1" applyBorder="1" applyFont="1" applyNumberForma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shrinkToFit="0" wrapText="0"/>
    </xf>
    <xf borderId="16" fillId="0" fontId="10" numFmtId="0" xfId="0" applyAlignment="1" applyBorder="1" applyFont="1">
      <alignment horizontal="center"/>
    </xf>
    <xf borderId="16" fillId="0" fontId="10" numFmtId="4" xfId="0" applyAlignment="1" applyBorder="1" applyFont="1" applyNumberFormat="1">
      <alignment horizontal="right"/>
    </xf>
    <xf borderId="16" fillId="3" fontId="10" numFmtId="164" xfId="0" applyAlignment="1" applyBorder="1" applyFill="1" applyFont="1" applyNumberFormat="1">
      <alignment horizontal="center"/>
    </xf>
    <xf borderId="17" fillId="0" fontId="2" numFmtId="0" xfId="0" applyBorder="1" applyFont="1"/>
    <xf borderId="18" fillId="0" fontId="8" numFmtId="0" xfId="0" applyAlignment="1" applyBorder="1" applyFont="1">
      <alignment horizontal="center" shrinkToFit="0" vertical="center" wrapText="1"/>
    </xf>
    <xf borderId="18" fillId="3" fontId="2" numFmtId="0" xfId="0" applyBorder="1" applyFont="1"/>
    <xf borderId="18" fillId="0" fontId="2" numFmtId="0" xfId="0" applyBorder="1" applyFont="1"/>
    <xf borderId="15" fillId="0" fontId="2" numFmtId="0" xfId="0" applyBorder="1" applyFont="1"/>
    <xf borderId="17" fillId="0" fontId="2" numFmtId="49" xfId="0" applyAlignment="1" applyBorder="1" applyFont="1" applyNumberFormat="1">
      <alignment readingOrder="0" vertical="bottom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4" xfId="0" applyAlignment="1" applyBorder="1" applyFont="1" applyNumberFormat="1">
      <alignment horizontal="right" readingOrder="0" vertical="bottom"/>
    </xf>
    <xf borderId="16" fillId="3" fontId="2" numFmtId="164" xfId="0" applyAlignment="1" applyBorder="1" applyFont="1" applyNumberFormat="1">
      <alignment horizontal="center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18" fillId="0" fontId="2" numFmtId="4" xfId="0" applyAlignment="1" applyBorder="1" applyFont="1" applyNumberFormat="1">
      <alignment horizontal="right" readingOrder="0" vertical="bottom"/>
    </xf>
    <xf borderId="16" fillId="3" fontId="2" numFmtId="164" xfId="0" applyAlignment="1" applyBorder="1" applyFont="1" applyNumberFormat="1">
      <alignment horizontal="center" readingOrder="0" shrinkToFit="0" vertical="center" wrapText="1"/>
    </xf>
    <xf borderId="17" fillId="0" fontId="2" numFmtId="0" xfId="0" applyAlignment="1" applyBorder="1" applyFont="1">
      <alignment vertical="bottom"/>
    </xf>
    <xf borderId="17" fillId="0" fontId="11" numFmtId="49" xfId="0" applyAlignment="1" applyBorder="1" applyFont="1" applyNumberFormat="1">
      <alignment readingOrder="0" vertical="bottom"/>
    </xf>
    <xf borderId="18" fillId="0" fontId="2" numFmtId="4" xfId="0" applyAlignment="1" applyBorder="1" applyFont="1" applyNumberFormat="1">
      <alignment horizontal="right"/>
    </xf>
    <xf borderId="18" fillId="3" fontId="2" numFmtId="164" xfId="0" applyAlignment="1" applyBorder="1" applyFont="1" applyNumberForma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17" fillId="0" fontId="11" numFmtId="49" xfId="0" applyAlignment="1" applyBorder="1" applyFont="1" applyNumberFormat="1">
      <alignment vertical="bottom"/>
    </xf>
    <xf borderId="17" fillId="0" fontId="2" numFmtId="4" xfId="0" applyAlignment="1" applyBorder="1" applyFont="1" applyNumberFormat="1">
      <alignment horizontal="right"/>
    </xf>
    <xf borderId="17" fillId="3" fontId="2" numFmtId="164" xfId="0" applyAlignment="1" applyBorder="1" applyFont="1" applyNumberFormat="1">
      <alignment horizontal="center" shrinkToFit="0" vertical="center" wrapText="1"/>
    </xf>
    <xf borderId="22" fillId="0" fontId="2" numFmtId="0" xfId="0" applyBorder="1" applyFont="1"/>
    <xf borderId="17" fillId="0" fontId="2" numFmtId="4" xfId="0" applyAlignment="1" applyBorder="1" applyFont="1" applyNumberFormat="1">
      <alignment horizontal="right" readingOrder="0"/>
    </xf>
    <xf borderId="17" fillId="0" fontId="11" numFmtId="49" xfId="0" applyAlignment="1" applyBorder="1" applyFont="1" applyNumberFormat="1">
      <alignment shrinkToFit="0" vertical="bottom" wrapText="1"/>
    </xf>
    <xf borderId="17" fillId="3" fontId="2" numFmtId="4" xfId="0" applyAlignment="1" applyBorder="1" applyFont="1" applyNumberFormat="1">
      <alignment horizontal="right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11" numFmtId="49" xfId="0" applyAlignment="1" applyBorder="1" applyFont="1" applyNumberFormat="1">
      <alignment readingOrder="0" shrinkToFit="0" vertical="bottom" wrapText="1"/>
    </xf>
    <xf borderId="17" fillId="0" fontId="2" numFmtId="0" xfId="0" applyAlignment="1" applyBorder="1" applyFont="1">
      <alignment horizontal="right" shrinkToFit="0" vertical="center" wrapText="1"/>
    </xf>
    <xf borderId="17" fillId="0" fontId="12" numFmtId="49" xfId="0" applyAlignment="1" applyBorder="1" applyFont="1" applyNumberFormat="1">
      <alignment readingOrder="0" shrinkToFit="0" vertical="bottom" wrapText="1"/>
    </xf>
    <xf borderId="17" fillId="0" fontId="2" numFmtId="0" xfId="0" applyAlignment="1" applyBorder="1" applyFont="1">
      <alignment horizontal="right" readingOrder="0" shrinkToFit="0" vertical="center" wrapText="1"/>
    </xf>
    <xf borderId="22" fillId="0" fontId="2" numFmtId="0" xfId="0" applyAlignment="1" applyBorder="1" applyFont="1">
      <alignment readingOrder="0"/>
    </xf>
    <xf borderId="17" fillId="0" fontId="2" numFmtId="0" xfId="0" applyAlignment="1" applyBorder="1" applyFont="1">
      <alignment readingOrder="0"/>
    </xf>
    <xf borderId="16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right" readingOrder="0" shrinkToFit="0" vertical="center" wrapText="1"/>
    </xf>
    <xf borderId="20" fillId="0" fontId="2" numFmtId="0" xfId="0" applyBorder="1" applyFont="1"/>
    <xf borderId="18" fillId="0" fontId="2" numFmtId="4" xfId="0" applyAlignment="1" applyBorder="1" applyFont="1" applyNumberFormat="1">
      <alignment horizontal="right" readingOrder="0" shrinkToFit="0" vertical="center" wrapText="1"/>
    </xf>
    <xf borderId="17" fillId="0" fontId="11" numFmtId="49" xfId="0" applyAlignment="1" applyBorder="1" applyFont="1" applyNumberFormat="1">
      <alignment readingOrder="0" shrinkToFit="0" vertical="bottom" wrapText="0"/>
    </xf>
    <xf borderId="16" fillId="0" fontId="2" numFmtId="0" xfId="0" applyAlignment="1" applyBorder="1" applyFont="1">
      <alignment readingOrder="0"/>
    </xf>
    <xf borderId="21" fillId="0" fontId="2" numFmtId="0" xfId="0" applyBorder="1" applyFont="1"/>
    <xf borderId="17" fillId="0" fontId="2" numFmtId="49" xfId="0" applyAlignment="1" applyBorder="1" applyFont="1" applyNumberFormat="1">
      <alignment shrinkToFit="0" vertical="bottom" wrapText="1"/>
    </xf>
    <xf borderId="16" fillId="0" fontId="2" numFmtId="0" xfId="0" applyAlignment="1" applyBorder="1" applyFont="1">
      <alignment horizontal="center" shrinkToFit="0" wrapText="1"/>
    </xf>
    <xf borderId="18" fillId="0" fontId="2" numFmtId="4" xfId="0" applyAlignment="1" applyBorder="1" applyFont="1" applyNumberFormat="1">
      <alignment horizontal="right" shrinkToFit="0" wrapText="1"/>
    </xf>
    <xf borderId="18" fillId="3" fontId="2" numFmtId="164" xfId="0" applyAlignment="1" applyBorder="1" applyFont="1" applyNumberFormat="1">
      <alignment horizontal="center" shrinkToFit="0" wrapText="1"/>
    </xf>
    <xf borderId="22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8" fillId="0" fontId="2" numFmtId="0" xfId="0" applyAlignment="1" applyBorder="1" applyFont="1">
      <alignment horizontal="right" vertical="bottom"/>
    </xf>
    <xf borderId="20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7" fillId="0" fontId="2" numFmtId="49" xfId="0" applyAlignment="1" applyBorder="1" applyFont="1" applyNumberFormat="1">
      <alignment readingOrder="0" shrinkToFit="0" vertical="bottom" wrapText="1"/>
    </xf>
    <xf borderId="16" fillId="0" fontId="2" numFmtId="0" xfId="0" applyAlignment="1" applyBorder="1" applyFont="1">
      <alignment horizontal="center" readingOrder="0" shrinkToFit="0" wrapText="1"/>
    </xf>
    <xf borderId="16" fillId="0" fontId="2" numFmtId="0" xfId="0" applyAlignment="1" applyBorder="1" applyFont="1">
      <alignment readingOrder="0" vertical="bottom"/>
    </xf>
    <xf borderId="21" fillId="0" fontId="5" numFmtId="0" xfId="0" applyAlignment="1" applyBorder="1" applyFont="1">
      <alignment horizontal="center" shrinkToFit="0" vertical="center" wrapText="1"/>
    </xf>
    <xf borderId="17" fillId="2" fontId="9" numFmtId="0" xfId="0" applyAlignment="1" applyBorder="1" applyFont="1">
      <alignment horizontal="left" shrinkToFit="0" vertical="center" wrapText="1"/>
    </xf>
    <xf borderId="23" fillId="2" fontId="5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wrapText="1"/>
    </xf>
    <xf borderId="15" fillId="0" fontId="2" numFmtId="4" xfId="0" applyAlignment="1" applyBorder="1" applyFont="1" applyNumberFormat="1">
      <alignment horizontal="right" shrinkToFit="0" wrapText="1"/>
    </xf>
    <xf borderId="24" fillId="0" fontId="2" numFmtId="4" xfId="0" applyAlignment="1" applyBorder="1" applyFont="1" applyNumberFormat="1">
      <alignment horizontal="right" readingOrder="0" shrinkToFit="0" wrapText="1"/>
    </xf>
    <xf borderId="16" fillId="0" fontId="8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25" fillId="0" fontId="2" numFmtId="0" xfId="0" applyBorder="1" applyFont="1"/>
    <xf borderId="22" fillId="2" fontId="9" numFmtId="49" xfId="0" applyBorder="1" applyFont="1" applyNumberFormat="1"/>
    <xf borderId="22" fillId="2" fontId="2" numFmtId="0" xfId="0" applyAlignment="1" applyBorder="1" applyFont="1">
      <alignment vertical="bottom"/>
    </xf>
    <xf borderId="22" fillId="2" fontId="2" numFmtId="4" xfId="0" applyAlignment="1" applyBorder="1" applyFont="1" applyNumberFormat="1">
      <alignment vertical="bottom"/>
    </xf>
    <xf borderId="22" fillId="2" fontId="2" numFmtId="164" xfId="0" applyAlignment="1" applyBorder="1" applyFont="1" applyNumberFormat="1">
      <alignment vertical="bottom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vertical="center"/>
    </xf>
    <xf borderId="17" fillId="0" fontId="2" numFmtId="4" xfId="0" applyAlignment="1" applyBorder="1" applyFont="1" applyNumberFormat="1">
      <alignment horizontal="right" readingOrder="0" shrinkToFit="0" wrapText="1"/>
    </xf>
    <xf borderId="0" fillId="0" fontId="1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24" fillId="0" fontId="2" numFmtId="0" xfId="0" applyAlignment="1" applyBorder="1" applyFont="1">
      <alignment readingOrder="0"/>
    </xf>
    <xf borderId="20" fillId="0" fontId="8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wrapText="1"/>
    </xf>
    <xf borderId="16" fillId="3" fontId="2" numFmtId="164" xfId="0" applyAlignment="1" applyBorder="1" applyFont="1" applyNumberFormat="1">
      <alignment horizontal="center" shrinkToFit="0" wrapText="1"/>
    </xf>
    <xf borderId="20" fillId="0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readingOrder="0" shrinkToFit="0" wrapText="1"/>
    </xf>
    <xf borderId="15" fillId="0" fontId="11" numFmtId="49" xfId="0" applyAlignment="1" applyBorder="1" applyFont="1" applyNumberFormat="1">
      <alignment readingOrder="0" vertical="bottom"/>
    </xf>
    <xf borderId="17" fillId="0" fontId="2" numFmtId="0" xfId="0" applyAlignment="1" applyBorder="1" applyFont="1">
      <alignment horizontal="center" readingOrder="0" shrinkToFit="0" vertical="center" wrapText="1"/>
    </xf>
    <xf borderId="17" fillId="0" fontId="2" numFmtId="4" xfId="0" applyAlignment="1" applyBorder="1" applyFont="1" applyNumberFormat="1">
      <alignment horizontal="right" readingOrder="0" shrinkToFit="0" vertical="center" wrapText="1"/>
    </xf>
    <xf borderId="18" fillId="3" fontId="2" numFmtId="164" xfId="0" applyAlignment="1" applyBorder="1" applyFont="1" applyNumberFormat="1">
      <alignment horizontal="center" readingOrder="0" shrinkToFit="0" vertical="center" wrapText="1"/>
    </xf>
    <xf borderId="22" fillId="4" fontId="9" numFmtId="0" xfId="0" applyAlignment="1" applyBorder="1" applyFill="1" applyFont="1">
      <alignment readingOrder="0"/>
    </xf>
    <xf borderId="22" fillId="4" fontId="2" numFmtId="0" xfId="0" applyBorder="1" applyFont="1"/>
    <xf borderId="22" fillId="4" fontId="2" numFmtId="4" xfId="0" applyBorder="1" applyFont="1" applyNumberFormat="1"/>
    <xf borderId="22" fillId="4" fontId="2" numFmtId="164" xfId="0" applyBorder="1" applyFont="1" applyNumberFormat="1"/>
    <xf borderId="22" fillId="4" fontId="2" numFmtId="0" xfId="0" applyAlignment="1" applyBorder="1" applyFont="1">
      <alignment vertical="bottom"/>
    </xf>
    <xf borderId="12" fillId="0" fontId="2" numFmtId="0" xfId="0" applyBorder="1" applyFont="1"/>
    <xf borderId="22" fillId="0" fontId="2" numFmtId="49" xfId="0" applyAlignment="1" applyBorder="1" applyFont="1" applyNumberFormat="1">
      <alignment readingOrder="0" shrinkToFit="0" vertical="bottom" wrapText="1"/>
    </xf>
    <xf borderId="24" fillId="0" fontId="2" numFmtId="0" xfId="0" applyAlignment="1" applyBorder="1" applyFont="1">
      <alignment horizontal="center" readingOrder="0" shrinkToFit="0" wrapText="1"/>
    </xf>
    <xf borderId="24" fillId="0" fontId="2" numFmtId="164" xfId="0" applyAlignment="1" applyBorder="1" applyFont="1" applyNumberFormat="1">
      <alignment horizontal="center" shrinkToFit="0" wrapText="1"/>
    </xf>
    <xf borderId="22" fillId="0" fontId="2" numFmtId="0" xfId="0" applyAlignment="1" applyBorder="1" applyFont="1">
      <alignment readingOrder="0" shrinkToFit="0" vertical="bottom" wrapText="1"/>
    </xf>
    <xf borderId="22" fillId="0" fontId="2" numFmtId="0" xfId="0" applyAlignment="1" applyBorder="1" applyFont="1">
      <alignment horizontal="right" readingOrder="0" vertical="bottom"/>
    </xf>
    <xf borderId="22" fillId="0" fontId="2" numFmtId="49" xfId="0" applyAlignment="1" applyBorder="1" applyFont="1" applyNumberFormat="1">
      <alignment shrinkToFit="0" vertical="bottom" wrapText="1"/>
    </xf>
    <xf borderId="24" fillId="0" fontId="2" numFmtId="0" xfId="0" applyAlignment="1" applyBorder="1" applyFont="1">
      <alignment horizontal="center" shrinkToFit="0" wrapText="1"/>
    </xf>
    <xf borderId="24" fillId="0" fontId="2" numFmtId="4" xfId="0" applyAlignment="1" applyBorder="1" applyFont="1" applyNumberFormat="1">
      <alignment horizontal="right" shrinkToFit="0" wrapText="1"/>
    </xf>
    <xf borderId="22" fillId="0" fontId="2" numFmtId="0" xfId="0" applyAlignment="1" applyBorder="1" applyFont="1">
      <alignment horizontal="right" vertical="bottom"/>
    </xf>
    <xf borderId="22" fillId="0" fontId="2" numFmtId="49" xfId="0" applyAlignment="1" applyBorder="1" applyFont="1" applyNumberFormat="1">
      <alignment vertical="bottom"/>
    </xf>
    <xf borderId="22" fillId="0" fontId="2" numFmtId="49" xfId="0" applyAlignment="1" applyBorder="1" applyFont="1" applyNumberFormat="1">
      <alignment readingOrder="0" vertical="bottom"/>
    </xf>
    <xf borderId="19" fillId="0" fontId="13" numFmtId="0" xfId="0" applyAlignment="1" applyBorder="1" applyFont="1">
      <alignment readingOrder="0" shrinkToFit="0" vertical="center" wrapText="1"/>
    </xf>
    <xf borderId="22" fillId="0" fontId="2" numFmtId="0" xfId="0" applyAlignment="1" applyBorder="1" applyFont="1">
      <alignment readingOrder="0" vertical="bottom"/>
    </xf>
    <xf borderId="24" fillId="0" fontId="7" numFmtId="0" xfId="0" applyBorder="1" applyFont="1"/>
    <xf borderId="22" fillId="0" fontId="2" numFmtId="49" xfId="0" applyAlignment="1" applyBorder="1" applyFont="1" applyNumberFormat="1">
      <alignment readingOrder="0" shrinkToFit="0" wrapText="1"/>
    </xf>
    <xf borderId="22" fillId="0" fontId="2" numFmtId="0" xfId="0" applyAlignment="1" applyBorder="1" applyFont="1">
      <alignment horizontal="center" readingOrder="0" shrinkToFit="0" wrapText="1"/>
    </xf>
    <xf borderId="22" fillId="0" fontId="2" numFmtId="4" xfId="0" applyAlignment="1" applyBorder="1" applyFont="1" applyNumberFormat="1">
      <alignment horizontal="right" readingOrder="0" shrinkToFit="0" wrapText="1"/>
    </xf>
    <xf borderId="22" fillId="3" fontId="2" numFmtId="164" xfId="0" applyAlignment="1" applyBorder="1" applyFont="1" applyNumberFormat="1">
      <alignment horizontal="center" shrinkToFit="0" wrapText="1"/>
    </xf>
    <xf borderId="22" fillId="4" fontId="9" numFmtId="0" xfId="0" applyBorder="1" applyFont="1"/>
    <xf borderId="22" fillId="0" fontId="2" numFmtId="0" xfId="0" applyAlignment="1" applyBorder="1" applyFont="1">
      <alignment shrinkToFit="0" wrapText="1"/>
    </xf>
    <xf borderId="22" fillId="0" fontId="2" numFmtId="0" xfId="0" applyAlignment="1" applyBorder="1" applyFont="1">
      <alignment horizontal="center" shrinkToFit="0" wrapText="1"/>
    </xf>
    <xf borderId="22" fillId="0" fontId="2" numFmtId="4" xfId="0" applyAlignment="1" applyBorder="1" applyFont="1" applyNumberFormat="1">
      <alignment horizontal="right" shrinkToFit="0" wrapText="1"/>
    </xf>
    <xf borderId="22" fillId="0" fontId="8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4" fillId="0" fontId="2" numFmtId="0" xfId="0" applyAlignment="1" applyBorder="1" applyFont="1">
      <alignment shrinkToFit="0" wrapText="1"/>
    </xf>
    <xf borderId="24" fillId="3" fontId="2" numFmtId="164" xfId="0" applyAlignment="1" applyBorder="1" applyFont="1" applyNumberFormat="1">
      <alignment horizontal="center" shrinkToFit="0" wrapText="1"/>
    </xf>
    <xf borderId="24" fillId="0" fontId="2" numFmtId="0" xfId="0" applyBorder="1" applyFont="1"/>
    <xf borderId="24" fillId="0" fontId="2" numFmtId="0" xfId="0" applyAlignment="1" applyBorder="1" applyFont="1">
      <alignment horizontal="right" vertical="bottom"/>
    </xf>
    <xf borderId="24" fillId="0" fontId="2" numFmtId="0" xfId="0" applyAlignment="1" applyBorder="1" applyFont="1">
      <alignment vertical="bottom"/>
    </xf>
    <xf borderId="15" fillId="0" fontId="2" numFmtId="0" xfId="0" applyAlignment="1" applyBorder="1" applyFont="1">
      <alignment horizontal="left" vertical="center"/>
    </xf>
    <xf borderId="18" fillId="0" fontId="2" numFmtId="4" xfId="0" applyAlignment="1" applyBorder="1" applyFont="1" applyNumberFormat="1">
      <alignment horizontal="right" shrinkToFit="0" vertical="center" wrapText="1"/>
    </xf>
    <xf borderId="18" fillId="0" fontId="2" numFmtId="164" xfId="0" applyAlignment="1" applyBorder="1" applyFont="1" applyNumberFormat="1">
      <alignment horizontal="center" shrinkToFit="0" vertical="center" wrapText="1"/>
    </xf>
    <xf borderId="25" fillId="0" fontId="9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27" fillId="2" fontId="9" numFmtId="0" xfId="0" applyAlignment="1" applyBorder="1" applyFont="1">
      <alignment horizontal="left" vertical="center"/>
    </xf>
    <xf borderId="17" fillId="2" fontId="2" numFmtId="0" xfId="0" applyBorder="1" applyFont="1"/>
    <xf borderId="17" fillId="2" fontId="2" numFmtId="4" xfId="0" applyAlignment="1" applyBorder="1" applyFont="1" applyNumberFormat="1">
      <alignment horizontal="right"/>
    </xf>
    <xf borderId="28" fillId="0" fontId="5" numFmtId="0" xfId="0" applyAlignment="1" applyBorder="1" applyFont="1">
      <alignment horizontal="left" shrinkToFit="0" vertical="center" wrapText="1"/>
    </xf>
    <xf borderId="29" fillId="0" fontId="7" numFmtId="0" xfId="0" applyBorder="1" applyFont="1"/>
    <xf borderId="22" fillId="0" fontId="7" numFmtId="0" xfId="0" applyBorder="1" applyFont="1"/>
    <xf borderId="0" fillId="0" fontId="5" numFmtId="0" xfId="0" applyAlignment="1" applyFont="1">
      <alignment vertical="center"/>
    </xf>
    <xf borderId="0" fillId="0" fontId="14" numFmtId="0" xfId="0" applyAlignment="1" applyFont="1">
      <alignment vertical="center"/>
    </xf>
    <xf borderId="30" fillId="0" fontId="2" numFmtId="164" xfId="0" applyBorder="1" applyFont="1" applyNumberFormat="1"/>
    <xf borderId="0" fillId="0" fontId="15" numFmtId="0" xfId="0" applyAlignment="1" applyFont="1">
      <alignment vertical="center"/>
    </xf>
    <xf borderId="0" fillId="0" fontId="16" numFmtId="164" xfId="0" applyAlignment="1" applyFont="1" applyNumberFormat="1">
      <alignment horizontal="center"/>
    </xf>
    <xf borderId="15" fillId="0" fontId="5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31" fillId="0" fontId="16" numFmtId="164" xfId="0" applyAlignment="1" applyBorder="1" applyFont="1" applyNumberFormat="1">
      <alignment horizontal="center"/>
    </xf>
    <xf borderId="32" fillId="0" fontId="7" numFmtId="0" xfId="0" applyBorder="1" applyFont="1"/>
    <xf borderId="0" fillId="0" fontId="8" numFmtId="0" xfId="0" applyAlignment="1" applyFont="1">
      <alignment horizontal="left"/>
    </xf>
    <xf borderId="17" fillId="0" fontId="5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8" fillId="0" fontId="16" numFmtId="164" xfId="0" applyAlignment="1" applyBorder="1" applyFont="1" applyNumberFormat="1">
      <alignment horizontal="center"/>
    </xf>
    <xf borderId="0" fillId="0" fontId="14" numFmtId="0" xfId="0" applyFont="1"/>
    <xf borderId="0" fillId="0" fontId="14" numFmtId="164" xfId="0" applyAlignment="1" applyFont="1" applyNumberFormat="1">
      <alignment horizont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shrinkToFit="0" vertical="center" wrapText="1"/>
    </xf>
    <xf borderId="0" fillId="0" fontId="6" numFmtId="4" xfId="0" applyAlignment="1" applyFont="1" applyNumberFormat="1">
      <alignment horizontal="right" shrinkToFit="0" vertical="center" wrapText="1"/>
    </xf>
    <xf borderId="0" fillId="0" fontId="14" numFmtId="4" xfId="0" applyAlignment="1" applyFont="1" applyNumberFormat="1">
      <alignment horizontal="right"/>
    </xf>
    <xf borderId="0" fillId="0" fontId="6" numFmtId="0" xfId="0" applyAlignment="1" applyFont="1">
      <alignment shrinkToFit="0" wrapText="1"/>
    </xf>
    <xf borderId="0" fillId="0" fontId="19" numFmtId="0" xfId="0" applyAlignment="1" applyFont="1">
      <alignment horizontal="left" vertical="center"/>
    </xf>
    <xf borderId="0" fillId="0" fontId="6" numFmtId="0" xfId="0" applyAlignment="1" applyFont="1">
      <alignment horizontal="left" shrinkToFit="0" wrapText="1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4" numFmtId="0" xfId="0" applyAlignment="1" applyFont="1">
      <alignment shrinkToFit="0" vertical="center" wrapText="1"/>
    </xf>
    <xf borderId="0" fillId="0" fontId="20" numFmtId="4" xfId="0" applyAlignment="1" applyFont="1" applyNumberFormat="1">
      <alignment horizontal="right"/>
    </xf>
    <xf borderId="0" fillId="0" fontId="21" numFmtId="0" xfId="0" applyAlignment="1" applyFont="1">
      <alignment horizontal="left" shrinkToFit="0" vertical="center" wrapText="1"/>
    </xf>
    <xf borderId="0" fillId="0" fontId="22" numFmtId="0" xfId="0" applyFont="1"/>
    <xf borderId="0" fillId="0" fontId="21" numFmtId="0" xfId="0" applyAlignment="1" applyFont="1">
      <alignment shrinkToFit="0" wrapText="1"/>
    </xf>
    <xf borderId="0" fillId="0" fontId="23" numFmtId="0" xfId="0" applyFont="1"/>
    <xf borderId="0" fillId="0" fontId="21" numFmtId="0" xfId="0" applyAlignment="1" applyFont="1">
      <alignment horizontal="left" shrinkToFit="0" wrapText="1"/>
    </xf>
    <xf borderId="0" fillId="0" fontId="23" numFmtId="164" xfId="0" applyAlignment="1" applyFont="1" applyNumberFormat="1">
      <alignment horizontal="left" shrinkToFit="0" vertical="center" wrapText="1"/>
    </xf>
    <xf borderId="0" fillId="0" fontId="16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3" fillId="2" fontId="5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5" fillId="0" fontId="2" numFmtId="49" xfId="0" applyBorder="1" applyFont="1" applyNumberFormat="1"/>
    <xf borderId="15" fillId="0" fontId="2" numFmtId="49" xfId="0" applyAlignment="1" applyBorder="1" applyFont="1" applyNumberFormat="1">
      <alignment horizontal="left" vertical="center"/>
    </xf>
    <xf borderId="18" fillId="0" fontId="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22</xdr:row>
      <xdr:rowOff>0</xdr:rowOff>
    </xdr:from>
    <xdr:ext cx="1343025" cy="1095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63"/>
    <col customWidth="1" min="2" max="2" width="63.5"/>
    <col customWidth="1" min="3" max="3" width="11.63"/>
    <col customWidth="1" min="5" max="5" width="13.25"/>
    <col customWidth="1" min="6" max="6" width="42.13"/>
    <col customWidth="1" min="7" max="7" width="11.5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  <c r="Y1" s="2"/>
      <c r="Z1" s="2"/>
    </row>
    <row r="2">
      <c r="A2" s="3" t="s">
        <v>1</v>
      </c>
      <c r="W2" s="2"/>
      <c r="X2" s="2"/>
      <c r="Y2" s="2"/>
      <c r="Z2" s="2"/>
    </row>
    <row r="3">
      <c r="A3" s="4"/>
      <c r="W3" s="2"/>
      <c r="X3" s="2"/>
      <c r="Y3" s="2"/>
      <c r="Z3" s="2"/>
    </row>
    <row r="4">
      <c r="A4" s="1" t="s">
        <v>2</v>
      </c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2"/>
      <c r="W4" s="2"/>
      <c r="X4" s="2"/>
      <c r="Y4" s="2"/>
      <c r="Z4" s="2"/>
    </row>
    <row r="5">
      <c r="A5" s="7"/>
      <c r="B5" s="5"/>
      <c r="C5" s="2"/>
      <c r="D5" s="8"/>
      <c r="E5" s="9"/>
      <c r="F5" s="10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5"/>
      <c r="C6" s="2"/>
      <c r="D6" s="8"/>
      <c r="E6" s="9"/>
      <c r="F6" s="10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3</v>
      </c>
      <c r="B7" s="5"/>
      <c r="C7" s="2"/>
      <c r="D7" s="8"/>
      <c r="E7" s="9"/>
      <c r="F7" s="10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1" t="s">
        <v>4</v>
      </c>
      <c r="B8" s="12" t="s">
        <v>5</v>
      </c>
      <c r="C8" s="13" t="s">
        <v>6</v>
      </c>
      <c r="D8" s="14" t="s">
        <v>7</v>
      </c>
      <c r="E8" s="15" t="s">
        <v>8</v>
      </c>
      <c r="F8" s="16" t="s">
        <v>9</v>
      </c>
      <c r="G8" s="12" t="s">
        <v>10</v>
      </c>
      <c r="H8" s="17" t="s">
        <v>11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  <c r="Y8" s="2"/>
      <c r="Z8" s="2"/>
    </row>
    <row r="9">
      <c r="A9" s="21"/>
      <c r="B9" s="22"/>
      <c r="C9" s="23" t="s">
        <v>12</v>
      </c>
      <c r="D9" s="22"/>
      <c r="E9" s="22"/>
      <c r="F9" s="22"/>
      <c r="G9" s="22"/>
      <c r="H9" s="24" t="s">
        <v>13</v>
      </c>
      <c r="I9" s="24" t="s">
        <v>14</v>
      </c>
      <c r="J9" s="24" t="s">
        <v>15</v>
      </c>
      <c r="K9" s="24" t="s">
        <v>16</v>
      </c>
      <c r="L9" s="24" t="s">
        <v>17</v>
      </c>
      <c r="M9" s="24" t="s">
        <v>18</v>
      </c>
      <c r="N9" s="24" t="s">
        <v>19</v>
      </c>
      <c r="O9" s="24" t="s">
        <v>20</v>
      </c>
      <c r="P9" s="24" t="s">
        <v>21</v>
      </c>
      <c r="Q9" s="24" t="s">
        <v>22</v>
      </c>
      <c r="R9" s="24" t="s">
        <v>23</v>
      </c>
      <c r="S9" s="24" t="s">
        <v>24</v>
      </c>
      <c r="T9" s="24" t="s">
        <v>25</v>
      </c>
      <c r="U9" s="25" t="str">
        <f>$V$9</f>
        <v>REMARKS</v>
      </c>
      <c r="V9" s="25" t="s">
        <v>26</v>
      </c>
      <c r="W9" s="26"/>
      <c r="X9" s="20"/>
      <c r="Y9" s="2"/>
      <c r="Z9" s="2"/>
    </row>
    <row r="10">
      <c r="A10" s="27"/>
      <c r="B10" s="28" t="s">
        <v>27</v>
      </c>
      <c r="C10" s="29"/>
      <c r="D10" s="30"/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20"/>
      <c r="X10" s="20"/>
      <c r="Y10" s="2"/>
      <c r="Z10" s="2"/>
    </row>
    <row r="11" ht="15.75" customHeight="1">
      <c r="A11" s="35"/>
      <c r="B11" s="36"/>
      <c r="C11" s="37"/>
      <c r="D11" s="38"/>
      <c r="E11" s="39"/>
      <c r="F11" s="40"/>
      <c r="G11" s="41"/>
      <c r="H11" s="42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0"/>
      <c r="V11" s="44"/>
      <c r="W11" s="20"/>
      <c r="X11" s="20"/>
      <c r="Y11" s="2"/>
      <c r="Z11" s="2"/>
    </row>
    <row r="12">
      <c r="A12" s="35"/>
      <c r="B12" s="45" t="s">
        <v>28</v>
      </c>
      <c r="C12" s="46" t="s">
        <v>29</v>
      </c>
      <c r="D12" s="47">
        <v>350.0</v>
      </c>
      <c r="E12" s="48">
        <f t="shared" ref="E12:E14" si="1">D12*3</f>
        <v>1050</v>
      </c>
      <c r="F12" s="40" t="s">
        <v>30</v>
      </c>
      <c r="G12" s="49" t="s">
        <v>31</v>
      </c>
      <c r="H12" s="43"/>
      <c r="I12" s="50">
        <v>5.0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0"/>
      <c r="V12" s="44"/>
      <c r="W12" s="20"/>
      <c r="X12" s="20"/>
      <c r="Y12" s="2"/>
      <c r="Z12" s="2"/>
    </row>
    <row r="13">
      <c r="A13" s="35"/>
      <c r="B13" s="45" t="s">
        <v>32</v>
      </c>
      <c r="C13" s="51"/>
      <c r="D13" s="47">
        <v>350.0</v>
      </c>
      <c r="E13" s="48">
        <f t="shared" si="1"/>
        <v>1050</v>
      </c>
      <c r="F13" s="40" t="s">
        <v>30</v>
      </c>
      <c r="G13" s="52"/>
      <c r="H13" s="43"/>
      <c r="I13" s="50">
        <v>5.0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0"/>
      <c r="V13" s="44"/>
      <c r="W13" s="20"/>
      <c r="X13" s="20"/>
      <c r="Y13" s="2"/>
      <c r="Z13" s="2"/>
    </row>
    <row r="14">
      <c r="A14" s="35"/>
      <c r="B14" s="45" t="s">
        <v>33</v>
      </c>
      <c r="C14" s="51"/>
      <c r="D14" s="53">
        <v>350.0</v>
      </c>
      <c r="E14" s="54">
        <f t="shared" si="1"/>
        <v>1050</v>
      </c>
      <c r="F14" s="55" t="s">
        <v>30</v>
      </c>
      <c r="G14" s="52"/>
      <c r="H14" s="43"/>
      <c r="I14" s="50">
        <v>5.0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0"/>
      <c r="V14" s="44"/>
      <c r="W14" s="20"/>
      <c r="X14" s="20"/>
      <c r="Y14" s="2"/>
      <c r="Z14" s="2"/>
    </row>
    <row r="15">
      <c r="A15" s="35"/>
      <c r="B15" s="56" t="s">
        <v>34</v>
      </c>
      <c r="C15" s="51"/>
      <c r="D15" s="57">
        <v>380.0</v>
      </c>
      <c r="E15" s="58">
        <f>15*D15</f>
        <v>5700</v>
      </c>
      <c r="F15" s="40" t="s">
        <v>30</v>
      </c>
      <c r="G15" s="52"/>
      <c r="H15" s="40"/>
      <c r="I15" s="40">
        <v>15.0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20"/>
      <c r="X15" s="20"/>
      <c r="Y15" s="2"/>
      <c r="Z15" s="2"/>
    </row>
    <row r="16">
      <c r="A16" s="35"/>
      <c r="B16" s="56" t="s">
        <v>35</v>
      </c>
      <c r="C16" s="51"/>
      <c r="D16" s="57">
        <v>150.0</v>
      </c>
      <c r="E16" s="58">
        <f>10*D16</f>
        <v>1500</v>
      </c>
      <c r="F16" s="40" t="s">
        <v>30</v>
      </c>
      <c r="G16" s="52"/>
      <c r="H16" s="40"/>
      <c r="I16" s="40">
        <v>10.0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20"/>
      <c r="X16" s="20"/>
      <c r="Y16" s="2"/>
      <c r="Z16" s="2"/>
    </row>
    <row r="17">
      <c r="A17" s="59"/>
      <c r="B17" s="60" t="s">
        <v>36</v>
      </c>
      <c r="C17" s="51"/>
      <c r="D17" s="61">
        <v>50.0</v>
      </c>
      <c r="E17" s="62">
        <f t="shared" ref="E17:E18" si="2">15*D17</f>
        <v>750</v>
      </c>
      <c r="F17" s="63" t="s">
        <v>30</v>
      </c>
      <c r="G17" s="52"/>
      <c r="H17" s="40"/>
      <c r="I17" s="40">
        <v>15.0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20"/>
      <c r="X17" s="20"/>
      <c r="Y17" s="2"/>
      <c r="Z17" s="2"/>
    </row>
    <row r="18" ht="15.75" customHeight="1">
      <c r="A18" s="59"/>
      <c r="B18" s="60" t="s">
        <v>37</v>
      </c>
      <c r="C18" s="51"/>
      <c r="D18" s="61">
        <v>50.0</v>
      </c>
      <c r="E18" s="62">
        <f t="shared" si="2"/>
        <v>750</v>
      </c>
      <c r="F18" s="63" t="s">
        <v>30</v>
      </c>
      <c r="G18" s="52"/>
      <c r="H18" s="40"/>
      <c r="I18" s="40">
        <v>15.0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20"/>
      <c r="X18" s="20"/>
      <c r="Y18" s="2"/>
      <c r="Z18" s="2"/>
    </row>
    <row r="19" ht="15.75" customHeight="1">
      <c r="A19" s="35"/>
      <c r="B19" s="60" t="s">
        <v>38</v>
      </c>
      <c r="C19" s="51"/>
      <c r="D19" s="64">
        <v>4000.0</v>
      </c>
      <c r="E19" s="62">
        <f>1*D19</f>
        <v>4000</v>
      </c>
      <c r="F19" s="63" t="s">
        <v>30</v>
      </c>
      <c r="G19" s="52"/>
      <c r="H19" s="40"/>
      <c r="I19" s="40">
        <v>1.0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20"/>
      <c r="X19" s="20"/>
      <c r="Y19" s="2"/>
      <c r="Z19" s="2"/>
    </row>
    <row r="20" ht="15.75" customHeight="1">
      <c r="A20" s="59"/>
      <c r="B20" s="65" t="s">
        <v>39</v>
      </c>
      <c r="C20" s="51"/>
      <c r="D20" s="61">
        <v>120.0</v>
      </c>
      <c r="E20" s="62">
        <f>5*D20</f>
        <v>600</v>
      </c>
      <c r="F20" s="63" t="s">
        <v>30</v>
      </c>
      <c r="G20" s="52"/>
      <c r="H20" s="40"/>
      <c r="I20" s="40">
        <v>5.0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20"/>
      <c r="X20" s="20"/>
      <c r="Y20" s="2"/>
      <c r="Z20" s="2"/>
    </row>
    <row r="21" ht="15.75" customHeight="1">
      <c r="A21" s="59"/>
      <c r="B21" s="65" t="s">
        <v>40</v>
      </c>
      <c r="C21" s="51"/>
      <c r="D21" s="61">
        <v>100.0</v>
      </c>
      <c r="E21" s="66">
        <f>5*100</f>
        <v>500</v>
      </c>
      <c r="F21" s="63" t="s">
        <v>30</v>
      </c>
      <c r="G21" s="52"/>
      <c r="H21" s="40"/>
      <c r="I21" s="40">
        <v>5.0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20"/>
      <c r="X21" s="20"/>
      <c r="Y21" s="2"/>
      <c r="Z21" s="2"/>
    </row>
    <row r="22" ht="15.75" customHeight="1">
      <c r="A22" s="59"/>
      <c r="B22" s="60" t="s">
        <v>41</v>
      </c>
      <c r="C22" s="51"/>
      <c r="D22" s="67">
        <v>100.0</v>
      </c>
      <c r="E22" s="62">
        <f>100*30</f>
        <v>3000</v>
      </c>
      <c r="F22" s="63" t="s">
        <v>30</v>
      </c>
      <c r="G22" s="52"/>
      <c r="H22" s="40"/>
      <c r="I22" s="40">
        <v>30.0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20"/>
      <c r="X22" s="20"/>
      <c r="Y22" s="2"/>
      <c r="Z22" s="2"/>
    </row>
    <row r="23" ht="15.75" customHeight="1">
      <c r="A23" s="59"/>
      <c r="B23" s="60" t="s">
        <v>42</v>
      </c>
      <c r="C23" s="51"/>
      <c r="D23" s="67">
        <v>80.0</v>
      </c>
      <c r="E23" s="62">
        <f>30*80</f>
        <v>2400</v>
      </c>
      <c r="F23" s="63" t="s">
        <v>30</v>
      </c>
      <c r="G23" s="52"/>
      <c r="H23" s="40"/>
      <c r="I23" s="40">
        <v>30.0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20"/>
      <c r="X23" s="20"/>
      <c r="Y23" s="2"/>
      <c r="Z23" s="2"/>
    </row>
    <row r="24" ht="15.75" customHeight="1">
      <c r="A24" s="59"/>
      <c r="B24" s="68" t="s">
        <v>43</v>
      </c>
      <c r="C24" s="51"/>
      <c r="D24" s="57">
        <v>50.0</v>
      </c>
      <c r="E24" s="58">
        <f>50*D24</f>
        <v>2500</v>
      </c>
      <c r="F24" s="40" t="s">
        <v>30</v>
      </c>
      <c r="G24" s="52"/>
      <c r="H24" s="40"/>
      <c r="I24" s="40">
        <v>30.0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20"/>
      <c r="X24" s="20"/>
      <c r="Y24" s="2"/>
      <c r="Z24" s="2"/>
    </row>
    <row r="25" ht="15.75" customHeight="1">
      <c r="A25" s="59"/>
      <c r="B25" s="65" t="s">
        <v>44</v>
      </c>
      <c r="C25" s="51"/>
      <c r="D25" s="69">
        <v>150.0</v>
      </c>
      <c r="E25" s="62">
        <f>10*150</f>
        <v>1500</v>
      </c>
      <c r="F25" s="63" t="s">
        <v>30</v>
      </c>
      <c r="G25" s="52"/>
      <c r="H25" s="40"/>
      <c r="I25" s="40">
        <v>10.0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20"/>
      <c r="X25" s="20"/>
      <c r="Y25" s="2"/>
      <c r="Z25" s="2"/>
    </row>
    <row r="26" ht="15.75" customHeight="1">
      <c r="A26" s="59"/>
      <c r="B26" s="65" t="s">
        <v>45</v>
      </c>
      <c r="C26" s="51"/>
      <c r="D26" s="69">
        <v>60.0</v>
      </c>
      <c r="E26" s="62">
        <f>10*60</f>
        <v>600</v>
      </c>
      <c r="F26" s="63" t="s">
        <v>30</v>
      </c>
      <c r="G26" s="52"/>
      <c r="H26" s="40"/>
      <c r="I26" s="40">
        <v>10.0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20"/>
      <c r="X26" s="20"/>
      <c r="Y26" s="2"/>
      <c r="Z26" s="2"/>
    </row>
    <row r="27" ht="15.75" customHeight="1">
      <c r="A27" s="59"/>
      <c r="B27" s="70" t="s">
        <v>46</v>
      </c>
      <c r="C27" s="51"/>
      <c r="D27" s="71">
        <v>300.0</v>
      </c>
      <c r="E27" s="62">
        <f>5*300</f>
        <v>1500</v>
      </c>
      <c r="F27" s="72" t="s">
        <v>30</v>
      </c>
      <c r="G27" s="52"/>
      <c r="H27" s="40"/>
      <c r="I27" s="73">
        <v>5.0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20"/>
      <c r="X27" s="20"/>
      <c r="Y27" s="2"/>
      <c r="Z27" s="2"/>
    </row>
    <row r="28" ht="15.75" customHeight="1">
      <c r="A28" s="59"/>
      <c r="B28" s="70" t="s">
        <v>47</v>
      </c>
      <c r="C28" s="51"/>
      <c r="D28" s="71">
        <f>350</f>
        <v>350</v>
      </c>
      <c r="E28" s="62">
        <f>D28*5</f>
        <v>1750</v>
      </c>
      <c r="F28" s="72" t="s">
        <v>30</v>
      </c>
      <c r="G28" s="52"/>
      <c r="H28" s="40"/>
      <c r="I28" s="73">
        <v>5.0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20"/>
      <c r="X28" s="20"/>
      <c r="Y28" s="2"/>
      <c r="Z28" s="2"/>
    </row>
    <row r="29" ht="15.75" customHeight="1">
      <c r="A29" s="59"/>
      <c r="B29" s="70" t="s">
        <v>48</v>
      </c>
      <c r="C29" s="51"/>
      <c r="D29" s="71">
        <v>50.0</v>
      </c>
      <c r="E29" s="62">
        <f>D29*20</f>
        <v>1000</v>
      </c>
      <c r="F29" s="72" t="s">
        <v>30</v>
      </c>
      <c r="G29" s="52"/>
      <c r="H29" s="40"/>
      <c r="I29" s="73">
        <v>20.0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20"/>
      <c r="X29" s="20"/>
      <c r="Y29" s="2"/>
      <c r="Z29" s="2"/>
    </row>
    <row r="30" ht="15.75" customHeight="1">
      <c r="A30" s="59"/>
      <c r="B30" s="65" t="s">
        <v>49</v>
      </c>
      <c r="C30" s="51"/>
      <c r="D30" s="69">
        <v>150.0</v>
      </c>
      <c r="E30" s="62">
        <f t="shared" ref="E30:E31" si="3">10*150</f>
        <v>1500</v>
      </c>
      <c r="F30" s="63" t="s">
        <v>30</v>
      </c>
      <c r="G30" s="52"/>
      <c r="H30" s="40"/>
      <c r="I30" s="40">
        <v>10.0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20"/>
      <c r="X30" s="20"/>
      <c r="Y30" s="2"/>
      <c r="Z30" s="2"/>
    </row>
    <row r="31" ht="15.75" customHeight="1">
      <c r="A31" s="59"/>
      <c r="B31" s="65" t="s">
        <v>50</v>
      </c>
      <c r="C31" s="51"/>
      <c r="D31" s="69">
        <v>150.0</v>
      </c>
      <c r="E31" s="62">
        <f t="shared" si="3"/>
        <v>1500</v>
      </c>
      <c r="F31" s="63" t="s">
        <v>30</v>
      </c>
      <c r="G31" s="52"/>
      <c r="H31" s="40"/>
      <c r="I31" s="40">
        <v>10.0</v>
      </c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20"/>
      <c r="X31" s="20"/>
      <c r="Y31" s="2"/>
      <c r="Z31" s="2"/>
    </row>
    <row r="32" ht="15.75" customHeight="1">
      <c r="A32" s="59"/>
      <c r="B32" s="68" t="s">
        <v>51</v>
      </c>
      <c r="C32" s="74"/>
      <c r="D32" s="75">
        <v>400.0</v>
      </c>
      <c r="E32" s="58">
        <f>D32*25</f>
        <v>10000</v>
      </c>
      <c r="F32" s="63" t="s">
        <v>30</v>
      </c>
      <c r="G32" s="52"/>
      <c r="H32" s="43"/>
      <c r="I32" s="50">
        <v>25.0</v>
      </c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76"/>
      <c r="V32" s="44"/>
      <c r="W32" s="20"/>
      <c r="X32" s="20"/>
      <c r="Y32" s="2"/>
      <c r="Z32" s="2"/>
    </row>
    <row r="33" ht="15.75" customHeight="1">
      <c r="A33" s="59"/>
      <c r="B33" s="68" t="s">
        <v>52</v>
      </c>
      <c r="C33" s="51"/>
      <c r="D33" s="77">
        <v>50.0</v>
      </c>
      <c r="E33" s="58">
        <f>D33*30</f>
        <v>1500</v>
      </c>
      <c r="F33" s="72" t="s">
        <v>30</v>
      </c>
      <c r="G33" s="52"/>
      <c r="H33" s="43"/>
      <c r="I33" s="50">
        <v>30.0</v>
      </c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76"/>
      <c r="V33" s="44"/>
      <c r="W33" s="20"/>
      <c r="X33" s="20"/>
      <c r="Y33" s="2"/>
      <c r="Z33" s="2"/>
    </row>
    <row r="34" ht="15.75" customHeight="1">
      <c r="A34" s="59"/>
      <c r="B34" s="78" t="s">
        <v>53</v>
      </c>
      <c r="C34" s="51"/>
      <c r="D34" s="75">
        <v>300.0</v>
      </c>
      <c r="E34" s="58">
        <f>300*30</f>
        <v>9000</v>
      </c>
      <c r="F34" s="79" t="s">
        <v>30</v>
      </c>
      <c r="G34" s="52"/>
      <c r="H34" s="43"/>
      <c r="I34" s="50">
        <v>30.0</v>
      </c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76"/>
      <c r="V34" s="44"/>
      <c r="W34" s="20"/>
      <c r="X34" s="20"/>
      <c r="Y34" s="2"/>
      <c r="Z34" s="2"/>
    </row>
    <row r="35" ht="15.75" customHeight="1">
      <c r="A35" s="80"/>
      <c r="B35" s="81" t="s">
        <v>54</v>
      </c>
      <c r="C35" s="82" t="s">
        <v>55</v>
      </c>
      <c r="D35" s="83">
        <v>10000.0</v>
      </c>
      <c r="E35" s="84">
        <f>D35*5</f>
        <v>50000</v>
      </c>
      <c r="F35" s="85" t="s">
        <v>30</v>
      </c>
      <c r="G35" s="52"/>
      <c r="H35" s="86"/>
      <c r="I35" s="87">
        <v>5.0</v>
      </c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8"/>
      <c r="V35" s="89"/>
      <c r="W35" s="90"/>
      <c r="X35" s="90"/>
      <c r="Y35" s="90"/>
      <c r="Z35" s="90"/>
    </row>
    <row r="36" ht="15.75" customHeight="1">
      <c r="A36" s="80"/>
      <c r="B36" s="91" t="s">
        <v>56</v>
      </c>
      <c r="C36" s="92" t="s">
        <v>57</v>
      </c>
      <c r="D36" s="83"/>
      <c r="E36" s="84"/>
      <c r="F36" s="93" t="s">
        <v>30</v>
      </c>
      <c r="G36" s="43"/>
      <c r="H36" s="86"/>
      <c r="I36" s="87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8"/>
      <c r="V36" s="89"/>
      <c r="W36" s="90"/>
      <c r="X36" s="90"/>
      <c r="Y36" s="90"/>
      <c r="Z36" s="90"/>
    </row>
    <row r="37" ht="15.75" customHeight="1">
      <c r="A37" s="94"/>
      <c r="B37" s="95" t="s">
        <v>58</v>
      </c>
      <c r="C37" s="96"/>
      <c r="D37" s="30"/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20"/>
      <c r="X37" s="20"/>
      <c r="Y37" s="2"/>
      <c r="Z37" s="2"/>
    </row>
    <row r="38" ht="15.75" customHeight="1">
      <c r="A38" s="59"/>
      <c r="B38" s="68" t="s">
        <v>59</v>
      </c>
      <c r="C38" s="97" t="s">
        <v>29</v>
      </c>
      <c r="D38" s="98">
        <v>250.0</v>
      </c>
      <c r="E38" s="58">
        <f>D38*50</f>
        <v>12500</v>
      </c>
      <c r="F38" s="63" t="s">
        <v>30</v>
      </c>
      <c r="G38" s="41" t="s">
        <v>60</v>
      </c>
      <c r="H38" s="40"/>
      <c r="I38" s="73">
        <v>50.0</v>
      </c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20"/>
      <c r="X38" s="20"/>
      <c r="Y38" s="2"/>
      <c r="Z38" s="2"/>
    </row>
    <row r="39" ht="15.75" customHeight="1">
      <c r="A39" s="59"/>
      <c r="B39" s="68" t="s">
        <v>61</v>
      </c>
      <c r="C39" s="52"/>
      <c r="D39" s="99">
        <v>280.0</v>
      </c>
      <c r="E39" s="58">
        <f>280*30</f>
        <v>8400</v>
      </c>
      <c r="F39" s="63" t="s">
        <v>30</v>
      </c>
      <c r="G39" s="52"/>
      <c r="H39" s="40"/>
      <c r="I39" s="73">
        <v>30.0</v>
      </c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20"/>
      <c r="X39" s="20"/>
      <c r="Y39" s="2"/>
      <c r="Z39" s="2"/>
    </row>
    <row r="40" ht="15.75" customHeight="1">
      <c r="A40" s="59"/>
      <c r="B40" s="65" t="s">
        <v>62</v>
      </c>
      <c r="C40" s="52"/>
      <c r="D40" s="99">
        <v>220.0</v>
      </c>
      <c r="E40" s="58">
        <f>10*220</f>
        <v>2200</v>
      </c>
      <c r="F40" s="63" t="s">
        <v>30</v>
      </c>
      <c r="G40" s="52"/>
      <c r="H40" s="40"/>
      <c r="I40" s="40">
        <v>10.0</v>
      </c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20"/>
      <c r="X40" s="20"/>
      <c r="Y40" s="2"/>
      <c r="Z40" s="2"/>
    </row>
    <row r="41" ht="15.75" customHeight="1">
      <c r="A41" s="59"/>
      <c r="B41" s="68" t="s">
        <v>63</v>
      </c>
      <c r="C41" s="52"/>
      <c r="D41" s="99">
        <v>230.0</v>
      </c>
      <c r="E41" s="58">
        <f>10*230</f>
        <v>2300</v>
      </c>
      <c r="F41" s="63" t="s">
        <v>30</v>
      </c>
      <c r="G41" s="52"/>
      <c r="H41" s="40"/>
      <c r="I41" s="73">
        <v>10.0</v>
      </c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20"/>
      <c r="X41" s="20"/>
      <c r="Y41" s="2"/>
      <c r="Z41" s="2"/>
    </row>
    <row r="42" ht="15.75" customHeight="1">
      <c r="A42" s="59"/>
      <c r="B42" s="65" t="s">
        <v>64</v>
      </c>
      <c r="C42" s="52"/>
      <c r="D42" s="99">
        <v>350.0</v>
      </c>
      <c r="E42" s="58">
        <f>10*350</f>
        <v>3500</v>
      </c>
      <c r="F42" s="63" t="s">
        <v>30</v>
      </c>
      <c r="G42" s="52"/>
      <c r="H42" s="40"/>
      <c r="I42" s="40">
        <v>10.0</v>
      </c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20"/>
      <c r="X42" s="20"/>
      <c r="Y42" s="2"/>
      <c r="Z42" s="2"/>
    </row>
    <row r="43" ht="15.75" customHeight="1">
      <c r="A43" s="59"/>
      <c r="B43" s="68" t="s">
        <v>65</v>
      </c>
      <c r="C43" s="52"/>
      <c r="D43" s="100">
        <v>500.0</v>
      </c>
      <c r="E43" s="48">
        <f>500*5</f>
        <v>2500</v>
      </c>
      <c r="F43" s="63" t="s">
        <v>30</v>
      </c>
      <c r="G43" s="101"/>
      <c r="H43" s="63"/>
      <c r="I43" s="72">
        <v>5.0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20"/>
      <c r="X43" s="20"/>
      <c r="Y43" s="2"/>
      <c r="Z43" s="2"/>
    </row>
    <row r="44" ht="15.75" customHeight="1">
      <c r="A44" s="59"/>
      <c r="B44" s="68" t="s">
        <v>66</v>
      </c>
      <c r="C44" s="52"/>
      <c r="D44" s="100">
        <v>1000.0</v>
      </c>
      <c r="E44" s="54">
        <v>2000.0</v>
      </c>
      <c r="F44" s="63"/>
      <c r="G44" s="101"/>
      <c r="H44" s="63"/>
      <c r="I44" s="72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20"/>
      <c r="X44" s="20"/>
      <c r="Y44" s="2"/>
      <c r="Z44" s="2"/>
    </row>
    <row r="45" ht="15.75" customHeight="1">
      <c r="A45" s="59"/>
      <c r="B45" s="68" t="s">
        <v>67</v>
      </c>
      <c r="C45" s="102"/>
      <c r="D45" s="100">
        <v>350.0</v>
      </c>
      <c r="E45" s="48">
        <f>300*12</f>
        <v>3600</v>
      </c>
      <c r="F45" s="63"/>
      <c r="G45" s="101"/>
      <c r="H45" s="63"/>
      <c r="I45" s="72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20"/>
      <c r="X45" s="20"/>
      <c r="Y45" s="2"/>
      <c r="Z45" s="2"/>
    </row>
    <row r="46" ht="15.75" customHeight="1">
      <c r="A46" s="103"/>
      <c r="B46" s="104" t="s">
        <v>68</v>
      </c>
      <c r="C46" s="105"/>
      <c r="D46" s="106"/>
      <c r="E46" s="107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90"/>
      <c r="X46" s="90"/>
      <c r="Y46" s="90"/>
      <c r="Z46" s="90"/>
    </row>
    <row r="47" ht="15.75" hidden="1" customHeight="1">
      <c r="A47" s="35"/>
      <c r="B47" s="60" t="s">
        <v>69</v>
      </c>
      <c r="C47" s="108" t="s">
        <v>29</v>
      </c>
      <c r="D47" s="98">
        <v>300.0</v>
      </c>
      <c r="E47" s="58">
        <f>300*30</f>
        <v>9000</v>
      </c>
      <c r="F47" s="109" t="s">
        <v>30</v>
      </c>
      <c r="G47" s="110" t="s">
        <v>31</v>
      </c>
      <c r="H47" s="40"/>
      <c r="I47" s="40">
        <v>30.0</v>
      </c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20"/>
      <c r="X47" s="20"/>
      <c r="Y47" s="2"/>
      <c r="Z47" s="2"/>
    </row>
    <row r="48" ht="15.75" hidden="1" customHeight="1">
      <c r="A48" s="35"/>
      <c r="B48" s="68" t="s">
        <v>70</v>
      </c>
      <c r="C48" s="111" t="s">
        <v>71</v>
      </c>
      <c r="D48" s="112">
        <v>3000.0</v>
      </c>
      <c r="E48" s="58"/>
      <c r="F48" s="52"/>
      <c r="G48" s="52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20"/>
      <c r="X48" s="20"/>
      <c r="Y48" s="2"/>
      <c r="Z48" s="2"/>
    </row>
    <row r="49" ht="15.75" hidden="1" customHeight="1">
      <c r="A49" s="35"/>
      <c r="B49" s="68" t="s">
        <v>72</v>
      </c>
      <c r="C49" s="111" t="s">
        <v>73</v>
      </c>
      <c r="D49" s="112">
        <v>3000.0</v>
      </c>
      <c r="E49" s="58"/>
      <c r="F49" s="52"/>
      <c r="G49" s="52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20"/>
      <c r="X49" s="20"/>
      <c r="Y49" s="2"/>
      <c r="Z49" s="2"/>
    </row>
    <row r="50" ht="15.75" hidden="1" customHeight="1">
      <c r="A50" s="35"/>
      <c r="B50" s="68" t="s">
        <v>74</v>
      </c>
      <c r="C50" s="111" t="s">
        <v>55</v>
      </c>
      <c r="D50" s="98"/>
      <c r="E50" s="58"/>
      <c r="F50" s="52"/>
      <c r="G50" s="52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20"/>
      <c r="X50" s="20"/>
      <c r="Y50" s="2"/>
      <c r="Z50" s="2"/>
    </row>
    <row r="51" ht="15.75" hidden="1" customHeight="1">
      <c r="A51" s="35"/>
      <c r="B51" s="68" t="s">
        <v>75</v>
      </c>
      <c r="C51" s="111" t="s">
        <v>55</v>
      </c>
      <c r="D51" s="98"/>
      <c r="E51" s="58"/>
      <c r="F51" s="52"/>
      <c r="G51" s="52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20"/>
      <c r="X51" s="20"/>
      <c r="Y51" s="2"/>
      <c r="Z51" s="2"/>
    </row>
    <row r="52" ht="15.75" hidden="1" customHeight="1">
      <c r="A52" s="35"/>
      <c r="B52" s="113" t="s">
        <v>76</v>
      </c>
      <c r="C52" s="111" t="s">
        <v>55</v>
      </c>
      <c r="D52" s="98"/>
      <c r="E52" s="58"/>
      <c r="F52" s="52"/>
      <c r="G52" s="52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20"/>
      <c r="X52" s="20"/>
      <c r="Y52" s="2"/>
      <c r="Z52" s="2"/>
    </row>
    <row r="53" ht="15.75" hidden="1" customHeight="1">
      <c r="A53" s="35"/>
      <c r="B53" s="68" t="s">
        <v>77</v>
      </c>
      <c r="C53" s="111" t="s">
        <v>55</v>
      </c>
      <c r="D53" s="98"/>
      <c r="E53" s="58"/>
      <c r="F53" s="52"/>
      <c r="G53" s="52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20"/>
      <c r="X53" s="20"/>
      <c r="Y53" s="2"/>
      <c r="Z53" s="2"/>
    </row>
    <row r="54" ht="15.75" hidden="1" customHeight="1">
      <c r="A54" s="35"/>
      <c r="B54" s="68" t="s">
        <v>78</v>
      </c>
      <c r="C54" s="111" t="s">
        <v>79</v>
      </c>
      <c r="D54" s="98"/>
      <c r="E54" s="58"/>
      <c r="F54" s="52"/>
      <c r="G54" s="52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20"/>
      <c r="X54" s="20"/>
      <c r="Y54" s="2"/>
      <c r="Z54" s="2"/>
    </row>
    <row r="55" ht="15.75" hidden="1" customHeight="1">
      <c r="A55" s="35"/>
      <c r="B55" s="68" t="s">
        <v>80</v>
      </c>
      <c r="C55" s="111" t="s">
        <v>79</v>
      </c>
      <c r="D55" s="98"/>
      <c r="E55" s="58"/>
      <c r="F55" s="52"/>
      <c r="G55" s="52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20"/>
      <c r="X55" s="20"/>
      <c r="Y55" s="2"/>
      <c r="Z55" s="2"/>
    </row>
    <row r="56" ht="15.75" hidden="1" customHeight="1">
      <c r="A56" s="35"/>
      <c r="B56" s="68" t="s">
        <v>81</v>
      </c>
      <c r="C56" s="111" t="s">
        <v>82</v>
      </c>
      <c r="D56" s="98"/>
      <c r="E56" s="58"/>
      <c r="F56" s="52"/>
      <c r="G56" s="52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20"/>
      <c r="X56" s="20"/>
      <c r="Y56" s="2"/>
      <c r="Z56" s="2"/>
    </row>
    <row r="57" ht="15.75" hidden="1" customHeight="1">
      <c r="A57" s="35"/>
      <c r="B57" s="114" t="s">
        <v>83</v>
      </c>
      <c r="C57" s="111" t="s">
        <v>57</v>
      </c>
      <c r="D57" s="98"/>
      <c r="E57" s="58"/>
      <c r="F57" s="52"/>
      <c r="G57" s="52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20"/>
      <c r="X57" s="20"/>
      <c r="Y57" s="2"/>
      <c r="Z57" s="2"/>
    </row>
    <row r="58" ht="15.75" hidden="1" customHeight="1">
      <c r="A58" s="35"/>
      <c r="B58" s="68" t="s">
        <v>84</v>
      </c>
      <c r="C58" s="111" t="s">
        <v>82</v>
      </c>
      <c r="D58" s="98"/>
      <c r="E58" s="58"/>
      <c r="F58" s="52"/>
      <c r="G58" s="52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20"/>
      <c r="X58" s="20"/>
      <c r="Y58" s="2"/>
      <c r="Z58" s="2"/>
    </row>
    <row r="59" ht="15.75" hidden="1" customHeight="1">
      <c r="A59" s="35"/>
      <c r="B59" s="68" t="s">
        <v>85</v>
      </c>
      <c r="C59" s="111" t="s">
        <v>86</v>
      </c>
      <c r="D59" s="98"/>
      <c r="E59" s="58"/>
      <c r="F59" s="52"/>
      <c r="G59" s="52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20"/>
      <c r="X59" s="20"/>
      <c r="Y59" s="2"/>
      <c r="Z59" s="2"/>
    </row>
    <row r="60" ht="15.75" hidden="1" customHeight="1">
      <c r="A60" s="35"/>
      <c r="B60" s="68" t="s">
        <v>87</v>
      </c>
      <c r="C60" s="111" t="s">
        <v>88</v>
      </c>
      <c r="D60" s="98"/>
      <c r="E60" s="58"/>
      <c r="F60" s="52"/>
      <c r="G60" s="52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20"/>
      <c r="X60" s="20"/>
      <c r="Y60" s="2"/>
      <c r="Z60" s="2"/>
    </row>
    <row r="61" ht="15.75" hidden="1" customHeight="1">
      <c r="A61" s="35"/>
      <c r="B61" s="68" t="s">
        <v>89</v>
      </c>
      <c r="C61" s="111" t="s">
        <v>90</v>
      </c>
      <c r="D61" s="98"/>
      <c r="E61" s="58"/>
      <c r="F61" s="52"/>
      <c r="G61" s="52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20"/>
      <c r="X61" s="20"/>
      <c r="Y61" s="2"/>
      <c r="Z61" s="2"/>
    </row>
    <row r="62" ht="15.75" hidden="1" customHeight="1">
      <c r="A62" s="35"/>
      <c r="B62" s="68" t="s">
        <v>91</v>
      </c>
      <c r="C62" s="111" t="s">
        <v>92</v>
      </c>
      <c r="D62" s="98"/>
      <c r="E62" s="58"/>
      <c r="F62" s="52"/>
      <c r="G62" s="52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20"/>
      <c r="X62" s="20"/>
      <c r="Y62" s="2"/>
      <c r="Z62" s="2"/>
    </row>
    <row r="63" ht="15.75" hidden="1" customHeight="1">
      <c r="A63" s="35"/>
      <c r="B63" s="68" t="s">
        <v>93</v>
      </c>
      <c r="C63" s="111" t="s">
        <v>57</v>
      </c>
      <c r="D63" s="98"/>
      <c r="E63" s="58"/>
      <c r="F63" s="52"/>
      <c r="G63" s="52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20"/>
      <c r="X63" s="20"/>
      <c r="Y63" s="2"/>
      <c r="Z63" s="2"/>
    </row>
    <row r="64" ht="15.75" hidden="1" customHeight="1">
      <c r="A64" s="35"/>
      <c r="B64" s="68" t="s">
        <v>94</v>
      </c>
      <c r="C64" s="111" t="s">
        <v>57</v>
      </c>
      <c r="D64" s="98"/>
      <c r="E64" s="58"/>
      <c r="F64" s="52"/>
      <c r="G64" s="52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20"/>
      <c r="X64" s="20"/>
      <c r="Y64" s="2"/>
      <c r="Z64" s="2"/>
    </row>
    <row r="65" ht="15.75" hidden="1" customHeight="1">
      <c r="A65" s="35"/>
      <c r="B65" s="68" t="s">
        <v>95</v>
      </c>
      <c r="C65" s="111" t="s">
        <v>55</v>
      </c>
      <c r="D65" s="98"/>
      <c r="E65" s="58"/>
      <c r="F65" s="52"/>
      <c r="G65" s="52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20"/>
      <c r="X65" s="20"/>
      <c r="Y65" s="2"/>
      <c r="Z65" s="2"/>
    </row>
    <row r="66" ht="15.75" hidden="1" customHeight="1">
      <c r="A66" s="35"/>
      <c r="B66" s="68" t="s">
        <v>96</v>
      </c>
      <c r="C66" s="111" t="s">
        <v>55</v>
      </c>
      <c r="D66" s="98"/>
      <c r="E66" s="58"/>
      <c r="F66" s="52"/>
      <c r="G66" s="52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20"/>
      <c r="X66" s="20"/>
      <c r="Y66" s="2"/>
      <c r="Z66" s="2"/>
    </row>
    <row r="67" ht="15.75" hidden="1" customHeight="1">
      <c r="A67" s="35"/>
      <c r="B67" s="68" t="s">
        <v>97</v>
      </c>
      <c r="C67" s="111" t="s">
        <v>55</v>
      </c>
      <c r="D67" s="98"/>
      <c r="E67" s="58"/>
      <c r="F67" s="52"/>
      <c r="G67" s="52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20"/>
      <c r="X67" s="20"/>
      <c r="Y67" s="2"/>
      <c r="Z67" s="2"/>
    </row>
    <row r="68" ht="15.75" hidden="1" customHeight="1">
      <c r="A68" s="35"/>
      <c r="B68" s="68" t="s">
        <v>98</v>
      </c>
      <c r="C68" s="111" t="s">
        <v>55</v>
      </c>
      <c r="D68" s="98"/>
      <c r="E68" s="58"/>
      <c r="F68" s="52"/>
      <c r="G68" s="52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20"/>
      <c r="X68" s="20"/>
      <c r="Y68" s="2"/>
      <c r="Z68" s="2"/>
    </row>
    <row r="69" ht="15.75" hidden="1" customHeight="1">
      <c r="A69" s="35"/>
      <c r="B69" s="68" t="s">
        <v>99</v>
      </c>
      <c r="C69" s="111" t="s">
        <v>57</v>
      </c>
      <c r="D69" s="98"/>
      <c r="E69" s="58"/>
      <c r="F69" s="52"/>
      <c r="G69" s="52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20"/>
      <c r="X69" s="20"/>
      <c r="Y69" s="2"/>
      <c r="Z69" s="2"/>
    </row>
    <row r="70" ht="15.75" customHeight="1">
      <c r="A70" s="35"/>
      <c r="B70" s="68"/>
      <c r="C70" s="108"/>
      <c r="D70" s="98"/>
      <c r="E70" s="58"/>
      <c r="F70" s="102"/>
      <c r="G70" s="52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20"/>
      <c r="X70" s="20"/>
      <c r="Y70" s="2"/>
      <c r="Z70" s="2"/>
    </row>
    <row r="71" ht="42.75" customHeight="1">
      <c r="A71" s="35"/>
      <c r="B71" s="68" t="s">
        <v>100</v>
      </c>
      <c r="C71" s="111" t="s">
        <v>101</v>
      </c>
      <c r="D71" s="112">
        <v>3800.0</v>
      </c>
      <c r="E71" s="58">
        <f t="shared" ref="E71:E72" si="4">D71*10</f>
        <v>38000</v>
      </c>
      <c r="F71" s="115" t="s">
        <v>102</v>
      </c>
      <c r="G71" s="116" t="s">
        <v>103</v>
      </c>
      <c r="H71" s="40"/>
      <c r="I71" s="73">
        <v>10.0</v>
      </c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20"/>
      <c r="X71" s="20"/>
      <c r="Y71" s="2"/>
      <c r="Z71" s="2"/>
    </row>
    <row r="72">
      <c r="A72" s="35"/>
      <c r="B72" s="68" t="s">
        <v>104</v>
      </c>
      <c r="C72" s="111" t="s">
        <v>105</v>
      </c>
      <c r="D72" s="112">
        <v>3000.0</v>
      </c>
      <c r="E72" s="58">
        <f t="shared" si="4"/>
        <v>30000</v>
      </c>
      <c r="F72" s="115" t="s">
        <v>102</v>
      </c>
      <c r="G72" s="52"/>
      <c r="H72" s="40"/>
      <c r="I72" s="73">
        <v>100.0</v>
      </c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20"/>
      <c r="X72" s="20"/>
      <c r="Y72" s="2"/>
      <c r="Z72" s="2"/>
    </row>
    <row r="73">
      <c r="A73" s="35"/>
      <c r="B73" s="68" t="s">
        <v>106</v>
      </c>
      <c r="C73" s="111" t="s">
        <v>107</v>
      </c>
      <c r="D73" s="112">
        <v>6500.0</v>
      </c>
      <c r="E73" s="58">
        <f t="shared" ref="E73:E74" si="5">D73*12</f>
        <v>78000</v>
      </c>
      <c r="F73" s="115" t="s">
        <v>102</v>
      </c>
      <c r="G73" s="52"/>
      <c r="H73" s="40"/>
      <c r="I73" s="73">
        <v>12.0</v>
      </c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20"/>
      <c r="X73" s="20"/>
      <c r="Y73" s="2"/>
      <c r="Z73" s="2"/>
    </row>
    <row r="74">
      <c r="A74" s="35"/>
      <c r="B74" s="68" t="s">
        <v>108</v>
      </c>
      <c r="C74" s="111" t="s">
        <v>107</v>
      </c>
      <c r="D74" s="112">
        <v>5000.0</v>
      </c>
      <c r="E74" s="58">
        <f t="shared" si="5"/>
        <v>60000</v>
      </c>
      <c r="F74" s="115" t="s">
        <v>102</v>
      </c>
      <c r="G74" s="52"/>
      <c r="H74" s="40"/>
      <c r="I74" s="73">
        <v>12.0</v>
      </c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20"/>
      <c r="X74" s="20"/>
      <c r="Y74" s="2"/>
      <c r="Z74" s="2"/>
    </row>
    <row r="75">
      <c r="A75" s="35"/>
      <c r="B75" s="68" t="s">
        <v>109</v>
      </c>
      <c r="C75" s="111" t="s">
        <v>101</v>
      </c>
      <c r="D75" s="112">
        <v>5000.0</v>
      </c>
      <c r="E75" s="58">
        <f>D75*10</f>
        <v>50000</v>
      </c>
      <c r="F75" s="115" t="s">
        <v>102</v>
      </c>
      <c r="G75" s="52"/>
      <c r="H75" s="40"/>
      <c r="I75" s="73">
        <v>10.0</v>
      </c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20"/>
      <c r="X75" s="20"/>
      <c r="Y75" s="2"/>
      <c r="Z75" s="2"/>
    </row>
    <row r="76">
      <c r="A76" s="35"/>
      <c r="B76" s="68" t="s">
        <v>110</v>
      </c>
      <c r="C76" s="111" t="s">
        <v>111</v>
      </c>
      <c r="D76" s="112">
        <v>8000.0</v>
      </c>
      <c r="E76" s="58">
        <f t="shared" ref="E76:E79" si="6">D76*5</f>
        <v>40000</v>
      </c>
      <c r="F76" s="115" t="s">
        <v>102</v>
      </c>
      <c r="G76" s="52"/>
      <c r="H76" s="40"/>
      <c r="I76" s="73">
        <v>5.0</v>
      </c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20"/>
      <c r="X76" s="20"/>
      <c r="Y76" s="2"/>
      <c r="Z76" s="2"/>
    </row>
    <row r="77">
      <c r="A77" s="35"/>
      <c r="B77" s="68" t="s">
        <v>112</v>
      </c>
      <c r="C77" s="111" t="s">
        <v>113</v>
      </c>
      <c r="D77" s="112">
        <v>2000.0</v>
      </c>
      <c r="E77" s="58">
        <f t="shared" si="6"/>
        <v>10000</v>
      </c>
      <c r="F77" s="115" t="s">
        <v>102</v>
      </c>
      <c r="G77" s="52"/>
      <c r="H77" s="40"/>
      <c r="I77" s="73">
        <v>5.0</v>
      </c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20"/>
      <c r="X77" s="20"/>
      <c r="Y77" s="2"/>
      <c r="Z77" s="2"/>
    </row>
    <row r="78">
      <c r="A78" s="35"/>
      <c r="B78" s="68" t="s">
        <v>114</v>
      </c>
      <c r="C78" s="111" t="s">
        <v>113</v>
      </c>
      <c r="D78" s="112">
        <v>1000.0</v>
      </c>
      <c r="E78" s="58">
        <f t="shared" si="6"/>
        <v>5000</v>
      </c>
      <c r="F78" s="115" t="s">
        <v>102</v>
      </c>
      <c r="G78" s="52"/>
      <c r="H78" s="40"/>
      <c r="I78" s="73">
        <v>5.0</v>
      </c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20"/>
      <c r="X78" s="20"/>
      <c r="Y78" s="2"/>
      <c r="Z78" s="2"/>
    </row>
    <row r="79">
      <c r="A79" s="35"/>
      <c r="B79" s="68" t="s">
        <v>115</v>
      </c>
      <c r="C79" s="111" t="s">
        <v>111</v>
      </c>
      <c r="D79" s="112">
        <v>1000.0</v>
      </c>
      <c r="E79" s="58">
        <f t="shared" si="6"/>
        <v>5000</v>
      </c>
      <c r="F79" s="115" t="s">
        <v>102</v>
      </c>
      <c r="G79" s="52"/>
      <c r="H79" s="40"/>
      <c r="I79" s="73">
        <v>5.0</v>
      </c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20"/>
      <c r="X79" s="20"/>
      <c r="Y79" s="2"/>
      <c r="Z79" s="2"/>
    </row>
    <row r="80">
      <c r="A80" s="35"/>
      <c r="B80" s="40" t="s">
        <v>116</v>
      </c>
      <c r="C80" s="117"/>
      <c r="D80" s="112"/>
      <c r="E80" s="118"/>
      <c r="F80" s="115" t="s">
        <v>102</v>
      </c>
      <c r="G80" s="11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20"/>
      <c r="X80" s="20"/>
      <c r="Y80" s="2"/>
      <c r="Z80" s="2"/>
    </row>
    <row r="81">
      <c r="A81" s="35"/>
      <c r="B81" s="120" t="s">
        <v>117</v>
      </c>
      <c r="C81" s="117" t="s">
        <v>118</v>
      </c>
      <c r="D81" s="112">
        <v>5000.0</v>
      </c>
      <c r="E81" s="118">
        <f>10*D81</f>
        <v>50000</v>
      </c>
      <c r="F81" s="115" t="s">
        <v>102</v>
      </c>
      <c r="G81" s="116" t="s">
        <v>119</v>
      </c>
      <c r="H81" s="40"/>
      <c r="I81" s="73">
        <v>10.0</v>
      </c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20"/>
      <c r="X81" s="20"/>
      <c r="Y81" s="2"/>
      <c r="Z81" s="2"/>
    </row>
    <row r="82">
      <c r="A82" s="35"/>
      <c r="B82" s="121" t="s">
        <v>120</v>
      </c>
      <c r="C82" s="122" t="s">
        <v>118</v>
      </c>
      <c r="D82" s="123">
        <v>5000.0</v>
      </c>
      <c r="E82" s="48">
        <f>D82*10</f>
        <v>50000</v>
      </c>
      <c r="F82" s="115" t="s">
        <v>102</v>
      </c>
      <c r="G82" s="52"/>
      <c r="H82" s="40"/>
      <c r="I82" s="73">
        <v>10.0</v>
      </c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20"/>
      <c r="X82" s="20"/>
      <c r="Y82" s="2"/>
      <c r="Z82" s="2"/>
    </row>
    <row r="83">
      <c r="A83" s="35"/>
      <c r="B83" s="68" t="s">
        <v>121</v>
      </c>
      <c r="C83" s="111" t="s">
        <v>122</v>
      </c>
      <c r="D83" s="123">
        <v>20000.0</v>
      </c>
      <c r="E83" s="124">
        <v>20000.0</v>
      </c>
      <c r="F83" s="115" t="s">
        <v>102</v>
      </c>
      <c r="G83" s="11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20"/>
      <c r="X83" s="20"/>
      <c r="Y83" s="2"/>
      <c r="Z83" s="2"/>
    </row>
    <row r="84" ht="15.75" customHeight="1">
      <c r="A84" s="103"/>
      <c r="B84" s="125" t="s">
        <v>123</v>
      </c>
      <c r="C84" s="126"/>
      <c r="D84" s="127"/>
      <c r="E84" s="128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90"/>
      <c r="X84" s="90"/>
      <c r="Y84" s="90"/>
      <c r="Z84" s="90"/>
    </row>
    <row r="85" ht="32.25" customHeight="1">
      <c r="A85" s="130"/>
      <c r="B85" s="131" t="s">
        <v>124</v>
      </c>
      <c r="C85" s="132" t="s">
        <v>125</v>
      </c>
      <c r="D85" s="100">
        <v>500.0</v>
      </c>
      <c r="E85" s="133">
        <f>D85*60</f>
        <v>30000</v>
      </c>
      <c r="F85" s="63" t="s">
        <v>30</v>
      </c>
      <c r="G85" s="134" t="s">
        <v>126</v>
      </c>
      <c r="H85" s="85"/>
      <c r="I85" s="135">
        <v>60.0</v>
      </c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90"/>
      <c r="X85" s="90"/>
      <c r="Y85" s="90"/>
      <c r="Z85" s="90"/>
    </row>
    <row r="86" ht="15.75" customHeight="1">
      <c r="A86" s="130"/>
      <c r="B86" s="136"/>
      <c r="C86" s="137"/>
      <c r="D86" s="138"/>
      <c r="E86" s="133"/>
      <c r="F86" s="63"/>
      <c r="G86" s="85"/>
      <c r="H86" s="85"/>
      <c r="I86" s="139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90"/>
      <c r="X86" s="90"/>
      <c r="Y86" s="90"/>
      <c r="Z86" s="90"/>
    </row>
    <row r="87" ht="15.75" customHeight="1">
      <c r="A87" s="130"/>
      <c r="B87" s="140"/>
      <c r="C87" s="137"/>
      <c r="D87" s="138"/>
      <c r="E87" s="133"/>
      <c r="F87" s="63"/>
      <c r="G87" s="85"/>
      <c r="H87" s="85"/>
      <c r="I87" s="139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90"/>
      <c r="X87" s="90"/>
      <c r="Y87" s="90"/>
      <c r="Z87" s="90"/>
    </row>
    <row r="88" ht="15.75" customHeight="1">
      <c r="A88" s="103"/>
      <c r="B88" s="125" t="s">
        <v>127</v>
      </c>
      <c r="C88" s="126"/>
      <c r="D88" s="127"/>
      <c r="E88" s="128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90"/>
      <c r="X88" s="90"/>
      <c r="Y88" s="90"/>
      <c r="Z88" s="90"/>
    </row>
    <row r="89" ht="15.75" customHeight="1">
      <c r="A89" s="130"/>
      <c r="B89" s="141" t="s">
        <v>128</v>
      </c>
      <c r="C89" s="132" t="s">
        <v>129</v>
      </c>
      <c r="D89" s="100">
        <v>1000.0</v>
      </c>
      <c r="E89" s="133">
        <f t="shared" ref="E89:E104" si="7">D89*1</f>
        <v>1000</v>
      </c>
      <c r="F89" s="72" t="s">
        <v>127</v>
      </c>
      <c r="G89" s="142" t="s">
        <v>130</v>
      </c>
      <c r="H89" s="85"/>
      <c r="I89" s="135"/>
      <c r="J89" s="143">
        <v>1.0</v>
      </c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90"/>
      <c r="X89" s="90"/>
      <c r="Y89" s="90"/>
      <c r="Z89" s="90"/>
    </row>
    <row r="90" ht="15.75" customHeight="1">
      <c r="A90" s="130"/>
      <c r="B90" s="141" t="s">
        <v>131</v>
      </c>
      <c r="C90" s="132" t="s">
        <v>129</v>
      </c>
      <c r="D90" s="100">
        <v>1000.0</v>
      </c>
      <c r="E90" s="133">
        <f t="shared" si="7"/>
        <v>1000</v>
      </c>
      <c r="F90" s="72" t="s">
        <v>127</v>
      </c>
      <c r="G90" s="51"/>
      <c r="H90" s="85"/>
      <c r="I90" s="135"/>
      <c r="J90" s="143">
        <v>1.0</v>
      </c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90"/>
      <c r="X90" s="90"/>
      <c r="Y90" s="90"/>
      <c r="Z90" s="90"/>
    </row>
    <row r="91" ht="15.75" customHeight="1">
      <c r="A91" s="130"/>
      <c r="B91" s="141" t="s">
        <v>132</v>
      </c>
      <c r="C91" s="132" t="s">
        <v>129</v>
      </c>
      <c r="D91" s="100">
        <v>1000.0</v>
      </c>
      <c r="E91" s="133">
        <f t="shared" si="7"/>
        <v>1000</v>
      </c>
      <c r="F91" s="72" t="s">
        <v>127</v>
      </c>
      <c r="G91" s="51"/>
      <c r="H91" s="85"/>
      <c r="I91" s="139"/>
      <c r="J91" s="143">
        <v>1.0</v>
      </c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90"/>
      <c r="X91" s="90"/>
      <c r="Y91" s="90"/>
      <c r="Z91" s="90"/>
    </row>
    <row r="92" ht="15.75" customHeight="1">
      <c r="A92" s="130"/>
      <c r="B92" s="141" t="s">
        <v>133</v>
      </c>
      <c r="C92" s="132" t="s">
        <v>129</v>
      </c>
      <c r="D92" s="100">
        <v>1000.0</v>
      </c>
      <c r="E92" s="133">
        <f t="shared" si="7"/>
        <v>1000</v>
      </c>
      <c r="F92" s="72" t="s">
        <v>127</v>
      </c>
      <c r="G92" s="51"/>
      <c r="H92" s="85"/>
      <c r="I92" s="139"/>
      <c r="J92" s="143">
        <v>1.0</v>
      </c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90"/>
      <c r="X92" s="90"/>
      <c r="Y92" s="90"/>
      <c r="Z92" s="90"/>
    </row>
    <row r="93" ht="15.75" customHeight="1">
      <c r="A93" s="130"/>
      <c r="B93" s="141" t="s">
        <v>134</v>
      </c>
      <c r="C93" s="132" t="s">
        <v>129</v>
      </c>
      <c r="D93" s="100">
        <v>1000.0</v>
      </c>
      <c r="E93" s="133">
        <f t="shared" si="7"/>
        <v>1000</v>
      </c>
      <c r="F93" s="72" t="s">
        <v>127</v>
      </c>
      <c r="G93" s="51"/>
      <c r="H93" s="85"/>
      <c r="I93" s="139"/>
      <c r="J93" s="143">
        <v>1.0</v>
      </c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90"/>
      <c r="X93" s="90"/>
      <c r="Y93" s="90"/>
      <c r="Z93" s="90"/>
    </row>
    <row r="94" ht="15.75" customHeight="1">
      <c r="A94" s="130"/>
      <c r="B94" s="141" t="s">
        <v>135</v>
      </c>
      <c r="C94" s="132" t="s">
        <v>129</v>
      </c>
      <c r="D94" s="100">
        <v>1000.0</v>
      </c>
      <c r="E94" s="133">
        <f t="shared" si="7"/>
        <v>1000</v>
      </c>
      <c r="F94" s="72" t="s">
        <v>127</v>
      </c>
      <c r="G94" s="51"/>
      <c r="H94" s="85"/>
      <c r="I94" s="139"/>
      <c r="J94" s="143">
        <v>1.0</v>
      </c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90"/>
      <c r="X94" s="90"/>
      <c r="Y94" s="90"/>
      <c r="Z94" s="90"/>
    </row>
    <row r="95" ht="15.75" customHeight="1">
      <c r="A95" s="130"/>
      <c r="B95" s="141" t="s">
        <v>136</v>
      </c>
      <c r="C95" s="132" t="s">
        <v>129</v>
      </c>
      <c r="D95" s="100">
        <v>1000.0</v>
      </c>
      <c r="E95" s="133">
        <f t="shared" si="7"/>
        <v>1000</v>
      </c>
      <c r="F95" s="72" t="s">
        <v>127</v>
      </c>
      <c r="G95" s="51"/>
      <c r="H95" s="85"/>
      <c r="I95" s="139"/>
      <c r="J95" s="143">
        <v>1.0</v>
      </c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90"/>
      <c r="X95" s="90"/>
      <c r="Y95" s="90"/>
      <c r="Z95" s="90"/>
    </row>
    <row r="96" ht="15.75" customHeight="1">
      <c r="A96" s="130"/>
      <c r="B96" s="141" t="s">
        <v>137</v>
      </c>
      <c r="C96" s="132" t="s">
        <v>129</v>
      </c>
      <c r="D96" s="100">
        <v>1000.0</v>
      </c>
      <c r="E96" s="133">
        <f t="shared" si="7"/>
        <v>1000</v>
      </c>
      <c r="F96" s="72" t="s">
        <v>127</v>
      </c>
      <c r="G96" s="51"/>
      <c r="H96" s="85"/>
      <c r="I96" s="139"/>
      <c r="J96" s="143">
        <v>1.0</v>
      </c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90"/>
      <c r="X96" s="90"/>
      <c r="Y96" s="90"/>
      <c r="Z96" s="90"/>
    </row>
    <row r="97" ht="15.75" customHeight="1">
      <c r="A97" s="130"/>
      <c r="B97" s="141" t="s">
        <v>138</v>
      </c>
      <c r="C97" s="132" t="s">
        <v>129</v>
      </c>
      <c r="D97" s="100">
        <v>1000.0</v>
      </c>
      <c r="E97" s="133">
        <f t="shared" si="7"/>
        <v>1000</v>
      </c>
      <c r="F97" s="72" t="s">
        <v>127</v>
      </c>
      <c r="G97" s="51"/>
      <c r="H97" s="85"/>
      <c r="I97" s="139"/>
      <c r="J97" s="143">
        <v>1.0</v>
      </c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90"/>
      <c r="X97" s="90"/>
      <c r="Y97" s="90"/>
      <c r="Z97" s="90"/>
    </row>
    <row r="98" ht="15.75" customHeight="1">
      <c r="A98" s="130"/>
      <c r="B98" s="141" t="s">
        <v>139</v>
      </c>
      <c r="C98" s="132" t="s">
        <v>129</v>
      </c>
      <c r="D98" s="100">
        <v>1000.0</v>
      </c>
      <c r="E98" s="133">
        <f t="shared" si="7"/>
        <v>1000</v>
      </c>
      <c r="F98" s="72" t="s">
        <v>127</v>
      </c>
      <c r="G98" s="51"/>
      <c r="H98" s="85"/>
      <c r="I98" s="139"/>
      <c r="J98" s="143">
        <v>1.0</v>
      </c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90"/>
      <c r="X98" s="90"/>
      <c r="Y98" s="90"/>
      <c r="Z98" s="90"/>
    </row>
    <row r="99" ht="15.75" customHeight="1">
      <c r="A99" s="130"/>
      <c r="B99" s="141" t="s">
        <v>140</v>
      </c>
      <c r="C99" s="132" t="s">
        <v>129</v>
      </c>
      <c r="D99" s="100">
        <v>1000.0</v>
      </c>
      <c r="E99" s="133">
        <f t="shared" si="7"/>
        <v>1000</v>
      </c>
      <c r="F99" s="72" t="s">
        <v>127</v>
      </c>
      <c r="G99" s="51"/>
      <c r="H99" s="85"/>
      <c r="I99" s="139"/>
      <c r="J99" s="143">
        <v>1.0</v>
      </c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90"/>
      <c r="X99" s="90"/>
      <c r="Y99" s="90"/>
      <c r="Z99" s="90"/>
    </row>
    <row r="100" ht="15.75" customHeight="1">
      <c r="A100" s="130"/>
      <c r="B100" s="141" t="s">
        <v>141</v>
      </c>
      <c r="C100" s="132" t="s">
        <v>129</v>
      </c>
      <c r="D100" s="100">
        <v>1000.0</v>
      </c>
      <c r="E100" s="133">
        <f t="shared" si="7"/>
        <v>1000</v>
      </c>
      <c r="F100" s="72" t="s">
        <v>127</v>
      </c>
      <c r="G100" s="51"/>
      <c r="H100" s="85"/>
      <c r="I100" s="139"/>
      <c r="J100" s="143">
        <v>1.0</v>
      </c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90"/>
      <c r="X100" s="90"/>
      <c r="Y100" s="90"/>
      <c r="Z100" s="90"/>
    </row>
    <row r="101" ht="15.75" customHeight="1">
      <c r="A101" s="130"/>
      <c r="B101" s="141" t="s">
        <v>142</v>
      </c>
      <c r="C101" s="132" t="s">
        <v>129</v>
      </c>
      <c r="D101" s="100">
        <v>1000.0</v>
      </c>
      <c r="E101" s="133">
        <f t="shared" si="7"/>
        <v>1000</v>
      </c>
      <c r="F101" s="72" t="s">
        <v>127</v>
      </c>
      <c r="G101" s="51"/>
      <c r="H101" s="85"/>
      <c r="I101" s="139"/>
      <c r="J101" s="143">
        <v>1.0</v>
      </c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90"/>
      <c r="X101" s="90"/>
      <c r="Y101" s="90"/>
      <c r="Z101" s="90"/>
    </row>
    <row r="102" ht="15.75" customHeight="1">
      <c r="A102" s="130"/>
      <c r="B102" s="141" t="s">
        <v>143</v>
      </c>
      <c r="C102" s="132" t="s">
        <v>129</v>
      </c>
      <c r="D102" s="100">
        <v>1000.0</v>
      </c>
      <c r="E102" s="133">
        <f t="shared" si="7"/>
        <v>1000</v>
      </c>
      <c r="F102" s="72" t="s">
        <v>127</v>
      </c>
      <c r="G102" s="51"/>
      <c r="H102" s="85"/>
      <c r="I102" s="139"/>
      <c r="J102" s="143">
        <v>1.0</v>
      </c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90"/>
      <c r="X102" s="90"/>
      <c r="Y102" s="90"/>
      <c r="Z102" s="90"/>
    </row>
    <row r="103" ht="15.75" customHeight="1">
      <c r="A103" s="130"/>
      <c r="B103" s="141" t="s">
        <v>144</v>
      </c>
      <c r="C103" s="132" t="s">
        <v>129</v>
      </c>
      <c r="D103" s="100">
        <v>1000.0</v>
      </c>
      <c r="E103" s="133">
        <f t="shared" si="7"/>
        <v>1000</v>
      </c>
      <c r="F103" s="72" t="s">
        <v>127</v>
      </c>
      <c r="G103" s="51"/>
      <c r="H103" s="85"/>
      <c r="I103" s="139"/>
      <c r="J103" s="143">
        <v>1.0</v>
      </c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90"/>
      <c r="X103" s="90"/>
      <c r="Y103" s="90"/>
      <c r="Z103" s="90"/>
    </row>
    <row r="104" ht="15.75" customHeight="1">
      <c r="A104" s="130"/>
      <c r="B104" s="141" t="s">
        <v>145</v>
      </c>
      <c r="C104" s="132" t="s">
        <v>129</v>
      </c>
      <c r="D104" s="100">
        <v>1000.0</v>
      </c>
      <c r="E104" s="133">
        <f t="shared" si="7"/>
        <v>1000</v>
      </c>
      <c r="F104" s="72" t="s">
        <v>127</v>
      </c>
      <c r="G104" s="144"/>
      <c r="H104" s="85"/>
      <c r="I104" s="139"/>
      <c r="J104" s="143">
        <v>1.0</v>
      </c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90"/>
      <c r="X104" s="90"/>
      <c r="Y104" s="90"/>
      <c r="Z104" s="90"/>
    </row>
    <row r="105" ht="15.75" customHeight="1">
      <c r="A105" s="103"/>
      <c r="B105" s="125" t="s">
        <v>146</v>
      </c>
      <c r="C105" s="126"/>
      <c r="D105" s="127"/>
      <c r="E105" s="128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90"/>
      <c r="X105" s="90"/>
      <c r="Y105" s="90"/>
      <c r="Z105" s="90"/>
    </row>
    <row r="106" ht="15.75" customHeight="1">
      <c r="A106" s="103"/>
      <c r="B106" s="145" t="s">
        <v>147</v>
      </c>
      <c r="C106" s="146" t="s">
        <v>29</v>
      </c>
      <c r="D106" s="147">
        <v>1200000.0</v>
      </c>
      <c r="E106" s="148">
        <f t="shared" ref="E106:E109" si="8">D106</f>
        <v>1200000</v>
      </c>
      <c r="F106" s="72" t="s">
        <v>148</v>
      </c>
      <c r="G106" s="46" t="s">
        <v>119</v>
      </c>
      <c r="H106" s="85"/>
      <c r="I106" s="135">
        <v>1.0</v>
      </c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90"/>
      <c r="X106" s="90"/>
      <c r="Y106" s="90"/>
      <c r="Z106" s="90"/>
    </row>
    <row r="107" ht="15.75" customHeight="1">
      <c r="A107" s="103"/>
      <c r="B107" s="145" t="s">
        <v>149</v>
      </c>
      <c r="C107" s="146" t="s">
        <v>29</v>
      </c>
      <c r="D107" s="147">
        <v>1266666.67</v>
      </c>
      <c r="E107" s="148">
        <f t="shared" si="8"/>
        <v>1266666.67</v>
      </c>
      <c r="F107" s="72" t="s">
        <v>148</v>
      </c>
      <c r="G107" s="51"/>
      <c r="H107" s="85"/>
      <c r="I107" s="135">
        <v>1.0</v>
      </c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90"/>
      <c r="X107" s="90"/>
      <c r="Y107" s="90"/>
      <c r="Z107" s="90"/>
    </row>
    <row r="108" ht="15.75" customHeight="1">
      <c r="A108" s="103"/>
      <c r="B108" s="145" t="s">
        <v>150</v>
      </c>
      <c r="C108" s="146" t="s">
        <v>29</v>
      </c>
      <c r="D108" s="147">
        <v>1266666.67</v>
      </c>
      <c r="E108" s="148">
        <f t="shared" si="8"/>
        <v>1266666.67</v>
      </c>
      <c r="F108" s="72" t="s">
        <v>148</v>
      </c>
      <c r="G108" s="51"/>
      <c r="H108" s="85"/>
      <c r="I108" s="135">
        <v>1.0</v>
      </c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90"/>
      <c r="X108" s="90"/>
      <c r="Y108" s="90"/>
      <c r="Z108" s="90"/>
    </row>
    <row r="109" ht="15.75" customHeight="1">
      <c r="A109" s="103"/>
      <c r="B109" s="145" t="s">
        <v>151</v>
      </c>
      <c r="C109" s="146" t="s">
        <v>29</v>
      </c>
      <c r="D109" s="147">
        <v>1266666.67</v>
      </c>
      <c r="E109" s="148">
        <f t="shared" si="8"/>
        <v>1266666.67</v>
      </c>
      <c r="F109" s="72" t="s">
        <v>148</v>
      </c>
      <c r="G109" s="144"/>
      <c r="H109" s="85"/>
      <c r="I109" s="135">
        <v>1.0</v>
      </c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90"/>
      <c r="X109" s="90"/>
      <c r="Y109" s="90"/>
      <c r="Z109" s="90"/>
    </row>
    <row r="110" ht="15.75" customHeight="1">
      <c r="A110" s="103"/>
      <c r="B110" s="149" t="s">
        <v>152</v>
      </c>
      <c r="C110" s="126"/>
      <c r="D110" s="127"/>
      <c r="E110" s="128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90"/>
      <c r="X110" s="90"/>
      <c r="Y110" s="90"/>
      <c r="Z110" s="90"/>
    </row>
    <row r="111" ht="54.75" customHeight="1">
      <c r="A111" s="103"/>
      <c r="B111" s="150" t="s">
        <v>153</v>
      </c>
      <c r="C111" s="151" t="s">
        <v>154</v>
      </c>
      <c r="D111" s="152">
        <v>9000.0</v>
      </c>
      <c r="E111" s="148">
        <f>20*9000</f>
        <v>180000</v>
      </c>
      <c r="F111" s="63" t="s">
        <v>155</v>
      </c>
      <c r="G111" s="153" t="s">
        <v>130</v>
      </c>
      <c r="H111" s="139"/>
      <c r="I111" s="85">
        <v>20.0</v>
      </c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90"/>
      <c r="X111" s="90"/>
      <c r="Y111" s="90"/>
      <c r="Z111" s="90"/>
    </row>
    <row r="112" ht="66.75" customHeight="1">
      <c r="A112" s="154"/>
      <c r="B112" s="155" t="s">
        <v>156</v>
      </c>
      <c r="C112" s="137" t="s">
        <v>157</v>
      </c>
      <c r="D112" s="138">
        <v>2500.0</v>
      </c>
      <c r="E112" s="156">
        <f>20*2500</f>
        <v>50000</v>
      </c>
      <c r="F112" s="157" t="s">
        <v>155</v>
      </c>
      <c r="G112" s="153" t="s">
        <v>130</v>
      </c>
      <c r="H112" s="158"/>
      <c r="I112" s="159">
        <v>20.0</v>
      </c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90"/>
      <c r="X112" s="90"/>
      <c r="Y112" s="90"/>
      <c r="Z112" s="90"/>
    </row>
    <row r="113" ht="15.75" customHeight="1">
      <c r="A113" s="103"/>
      <c r="B113" s="149" t="s">
        <v>158</v>
      </c>
      <c r="C113" s="126"/>
      <c r="D113" s="127"/>
      <c r="E113" s="128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90"/>
      <c r="X113" s="90"/>
      <c r="Y113" s="90"/>
      <c r="Z113" s="90"/>
    </row>
    <row r="114" ht="15.75" customHeight="1">
      <c r="A114" s="35"/>
      <c r="B114" s="160" t="s">
        <v>159</v>
      </c>
      <c r="C114" s="97" t="s">
        <v>160</v>
      </c>
      <c r="D114" s="161">
        <v>250000.0</v>
      </c>
      <c r="E114" s="58">
        <f>6*D114</f>
        <v>1500000</v>
      </c>
      <c r="F114" s="44" t="s">
        <v>161</v>
      </c>
      <c r="G114" s="40"/>
      <c r="H114" s="40">
        <v>6.0</v>
      </c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20"/>
      <c r="X114" s="20"/>
      <c r="Y114" s="2"/>
      <c r="Z114" s="2"/>
    </row>
    <row r="115" ht="15.75" customHeight="1">
      <c r="A115" s="35"/>
      <c r="B115" s="160" t="s">
        <v>162</v>
      </c>
      <c r="C115" s="97" t="s">
        <v>163</v>
      </c>
      <c r="D115" s="161">
        <v>1500000.0</v>
      </c>
      <c r="E115" s="58">
        <f>D115*3</f>
        <v>4500000</v>
      </c>
      <c r="F115" s="44" t="s">
        <v>161</v>
      </c>
      <c r="G115" s="40"/>
      <c r="H115" s="40">
        <v>3.0</v>
      </c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20"/>
      <c r="X115" s="20"/>
      <c r="Y115" s="2"/>
      <c r="Z115" s="2"/>
    </row>
    <row r="116" ht="15.75" customHeight="1">
      <c r="A116" s="35"/>
      <c r="B116" s="160" t="s">
        <v>164</v>
      </c>
      <c r="C116" s="97" t="s">
        <v>160</v>
      </c>
      <c r="D116" s="161">
        <v>600000.0</v>
      </c>
      <c r="E116" s="58">
        <f>D116*6</f>
        <v>3600000</v>
      </c>
      <c r="F116" s="44" t="s">
        <v>161</v>
      </c>
      <c r="G116" s="40"/>
      <c r="H116" s="40">
        <v>6.0</v>
      </c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20"/>
      <c r="X116" s="20"/>
      <c r="Y116" s="2"/>
      <c r="Z116" s="2"/>
    </row>
    <row r="117" ht="15.75" customHeight="1">
      <c r="A117" s="35"/>
      <c r="B117" s="160" t="s">
        <v>165</v>
      </c>
      <c r="C117" s="97" t="s">
        <v>163</v>
      </c>
      <c r="D117" s="161">
        <v>800000.0</v>
      </c>
      <c r="E117" s="58">
        <f t="shared" ref="E117:E118" si="9">D117*3</f>
        <v>2400000</v>
      </c>
      <c r="F117" s="44" t="s">
        <v>161</v>
      </c>
      <c r="G117" s="40"/>
      <c r="H117" s="40">
        <v>3.0</v>
      </c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20"/>
      <c r="X117" s="20"/>
      <c r="Y117" s="2"/>
      <c r="Z117" s="2"/>
    </row>
    <row r="118" ht="15.75" customHeight="1">
      <c r="A118" s="35"/>
      <c r="B118" s="160" t="s">
        <v>166</v>
      </c>
      <c r="C118" s="97" t="s">
        <v>163</v>
      </c>
      <c r="D118" s="161">
        <v>800000.0</v>
      </c>
      <c r="E118" s="58">
        <f t="shared" si="9"/>
        <v>2400000</v>
      </c>
      <c r="F118" s="44" t="s">
        <v>161</v>
      </c>
      <c r="G118" s="40"/>
      <c r="H118" s="40">
        <v>3.0</v>
      </c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20"/>
      <c r="X118" s="20"/>
      <c r="Y118" s="2"/>
      <c r="Z118" s="2"/>
    </row>
    <row r="119" ht="15.75" hidden="1" customHeight="1">
      <c r="A119" s="35"/>
      <c r="B119" s="160"/>
      <c r="C119" s="97"/>
      <c r="D119" s="161"/>
      <c r="E119" s="162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20"/>
      <c r="X119" s="20"/>
      <c r="Y119" s="2"/>
      <c r="Z119" s="2"/>
    </row>
    <row r="120" ht="15.75" hidden="1" customHeight="1">
      <c r="A120" s="35"/>
      <c r="B120" s="160"/>
      <c r="C120" s="97"/>
      <c r="D120" s="161"/>
      <c r="E120" s="162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20"/>
      <c r="X120" s="20"/>
      <c r="Y120" s="2"/>
      <c r="Z120" s="2"/>
    </row>
    <row r="121" ht="15.75" hidden="1" customHeight="1">
      <c r="A121" s="35"/>
      <c r="B121" s="160"/>
      <c r="C121" s="97"/>
      <c r="D121" s="161"/>
      <c r="E121" s="162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20"/>
      <c r="X121" s="20"/>
      <c r="Y121" s="2"/>
      <c r="Z121" s="2"/>
    </row>
    <row r="122" ht="15.75" hidden="1" customHeight="1">
      <c r="A122" s="35"/>
      <c r="B122" s="160"/>
      <c r="C122" s="97"/>
      <c r="D122" s="161"/>
      <c r="E122" s="162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20"/>
      <c r="X122" s="20"/>
      <c r="Y122" s="2"/>
      <c r="Z122" s="2"/>
    </row>
    <row r="123" ht="15.75" hidden="1" customHeight="1">
      <c r="A123" s="35"/>
      <c r="B123" s="160"/>
      <c r="C123" s="97"/>
      <c r="D123" s="161"/>
      <c r="E123" s="1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20"/>
      <c r="X123" s="20"/>
      <c r="Y123" s="2"/>
      <c r="Z123" s="2"/>
    </row>
    <row r="124" ht="15.75" hidden="1" customHeight="1">
      <c r="A124" s="35"/>
      <c r="B124" s="160"/>
      <c r="C124" s="97"/>
      <c r="D124" s="161"/>
      <c r="E124" s="1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20"/>
      <c r="X124" s="20"/>
      <c r="Y124" s="2"/>
      <c r="Z124" s="2"/>
    </row>
    <row r="125" ht="15.75" hidden="1" customHeight="1">
      <c r="A125" s="163"/>
      <c r="B125" s="164"/>
      <c r="C125" s="165"/>
      <c r="D125" s="67"/>
      <c r="E125" s="166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20"/>
      <c r="X125" s="20"/>
      <c r="Y125" s="2"/>
      <c r="Z125" s="2"/>
    </row>
    <row r="126" ht="15.75" hidden="1" customHeight="1">
      <c r="A126" s="35"/>
      <c r="B126" s="167" t="s">
        <v>167</v>
      </c>
      <c r="C126" s="168"/>
      <c r="D126" s="169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20"/>
      <c r="X126" s="20"/>
      <c r="Y126" s="2"/>
      <c r="Z126" s="2"/>
    </row>
    <row r="127" ht="15.75" hidden="1" customHeight="1">
      <c r="A127" s="35"/>
      <c r="B127" s="160"/>
      <c r="C127" s="97"/>
      <c r="D127" s="161"/>
      <c r="E127" s="162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20"/>
      <c r="X127" s="20"/>
      <c r="Y127" s="2"/>
      <c r="Z127" s="2"/>
    </row>
    <row r="128" ht="15.75" hidden="1" customHeight="1">
      <c r="A128" s="35"/>
      <c r="B128" s="160"/>
      <c r="C128" s="97"/>
      <c r="D128" s="161"/>
      <c r="E128" s="162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20"/>
      <c r="X128" s="20"/>
      <c r="Y128" s="2"/>
      <c r="Z128" s="2"/>
    </row>
    <row r="129" ht="15.75" hidden="1" customHeight="1">
      <c r="A129" s="35"/>
      <c r="B129" s="160"/>
      <c r="C129" s="97"/>
      <c r="D129" s="161"/>
      <c r="E129" s="162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20"/>
      <c r="X129" s="20"/>
      <c r="Y129" s="2"/>
      <c r="Z129" s="2"/>
    </row>
    <row r="130" ht="15.75" hidden="1" customHeight="1">
      <c r="A130" s="35"/>
      <c r="B130" s="160"/>
      <c r="C130" s="97"/>
      <c r="D130" s="161"/>
      <c r="E130" s="162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20"/>
      <c r="X130" s="20"/>
      <c r="Y130" s="2"/>
      <c r="Z130" s="2"/>
    </row>
    <row r="131" ht="15.75" hidden="1" customHeight="1">
      <c r="A131" s="35"/>
      <c r="B131" s="167" t="s">
        <v>168</v>
      </c>
      <c r="C131" s="168"/>
      <c r="D131" s="169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20"/>
      <c r="X131" s="20"/>
      <c r="Y131" s="2"/>
      <c r="Z131" s="2"/>
    </row>
    <row r="132" ht="15.75" hidden="1" customHeight="1">
      <c r="A132" s="35"/>
      <c r="B132" s="160"/>
      <c r="C132" s="97"/>
      <c r="D132" s="161"/>
      <c r="E132" s="162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20"/>
      <c r="X132" s="20"/>
      <c r="Y132" s="2"/>
      <c r="Z132" s="2"/>
    </row>
    <row r="133" ht="15.75" hidden="1" customHeight="1">
      <c r="A133" s="35"/>
      <c r="B133" s="160"/>
      <c r="C133" s="97"/>
      <c r="D133" s="161"/>
      <c r="E133" s="162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20"/>
      <c r="X133" s="20"/>
      <c r="Y133" s="2"/>
      <c r="Z133" s="2"/>
    </row>
    <row r="134" ht="15.75" hidden="1" customHeight="1">
      <c r="A134" s="35"/>
      <c r="B134" s="160"/>
      <c r="C134" s="97"/>
      <c r="D134" s="161"/>
      <c r="E134" s="162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20"/>
      <c r="X134" s="20"/>
      <c r="Y134" s="2"/>
      <c r="Z134" s="2"/>
    </row>
    <row r="135" ht="15.75" customHeight="1">
      <c r="A135" s="163"/>
      <c r="B135" s="170" t="s">
        <v>169</v>
      </c>
      <c r="C135" s="171"/>
      <c r="D135" s="171"/>
      <c r="E135" s="171"/>
      <c r="F135" s="171"/>
      <c r="G135" s="171"/>
      <c r="H135" s="171"/>
      <c r="I135" s="172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20"/>
      <c r="X135" s="20"/>
      <c r="Y135" s="2"/>
      <c r="Z135" s="2"/>
    </row>
    <row r="136" ht="15.75" customHeight="1">
      <c r="A136" s="173"/>
      <c r="B136" s="174"/>
      <c r="C136" s="2"/>
      <c r="D136" s="8"/>
      <c r="E136" s="175"/>
      <c r="F136" s="10"/>
      <c r="G136" s="1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76" t="s">
        <v>170</v>
      </c>
      <c r="B137" s="5"/>
      <c r="C137" s="177">
        <f>sum(E11:E118)</f>
        <v>20262700.01</v>
      </c>
      <c r="F137" s="10"/>
      <c r="G137" s="1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hidden="1" customHeight="1">
      <c r="A138" s="178" t="s">
        <v>171</v>
      </c>
      <c r="B138" s="179"/>
      <c r="C138" s="180">
        <f>PRODUCT(C137,0.1)</f>
        <v>2026270.001</v>
      </c>
      <c r="D138" s="181"/>
      <c r="E138" s="144"/>
      <c r="F138" s="10"/>
      <c r="G138" s="10"/>
      <c r="H138" s="182"/>
      <c r="J138" s="182"/>
      <c r="U138" s="182"/>
      <c r="V138" s="2"/>
      <c r="W138" s="2"/>
      <c r="X138" s="2"/>
      <c r="Y138" s="2"/>
      <c r="Z138" s="2"/>
    </row>
    <row r="139" ht="15.75" hidden="1" customHeight="1">
      <c r="A139" s="183" t="s">
        <v>172</v>
      </c>
      <c r="B139" s="184"/>
      <c r="C139" s="185">
        <f>PRODUCT(C137,0.1)</f>
        <v>2026270.001</v>
      </c>
      <c r="D139" s="171"/>
      <c r="E139" s="172"/>
      <c r="F139" s="10"/>
      <c r="G139" s="10"/>
      <c r="H139" s="186"/>
      <c r="I139" s="186"/>
      <c r="J139" s="187"/>
      <c r="U139" s="187"/>
      <c r="V139" s="2"/>
      <c r="W139" s="2"/>
      <c r="X139" s="2"/>
      <c r="Y139" s="2"/>
      <c r="Z139" s="2"/>
    </row>
    <row r="140" ht="15.75" hidden="1" customHeight="1">
      <c r="A140" s="183" t="s">
        <v>173</v>
      </c>
      <c r="B140" s="184"/>
      <c r="C140" s="185">
        <f>SUM(C137:E139)</f>
        <v>24315240.01</v>
      </c>
      <c r="D140" s="171"/>
      <c r="E140" s="172"/>
      <c r="F140" s="10"/>
      <c r="G140" s="10"/>
      <c r="H140" s="186"/>
      <c r="I140" s="186"/>
      <c r="J140" s="187"/>
      <c r="U140" s="187"/>
      <c r="V140" s="2"/>
      <c r="W140" s="2"/>
      <c r="X140" s="2"/>
      <c r="Y140" s="2"/>
      <c r="Z140" s="2"/>
    </row>
    <row r="141" ht="15.75" customHeight="1">
      <c r="A141" s="188"/>
      <c r="B141" s="5"/>
      <c r="C141" s="2"/>
      <c r="D141" s="8"/>
      <c r="E141" s="9"/>
      <c r="F141" s="10"/>
      <c r="G141" s="10"/>
      <c r="H141" s="186"/>
      <c r="I141" s="186"/>
      <c r="J141" s="187"/>
      <c r="U141" s="187"/>
      <c r="V141" s="2"/>
      <c r="W141" s="2"/>
      <c r="X141" s="2"/>
      <c r="Y141" s="2"/>
      <c r="Z141" s="2"/>
    </row>
    <row r="142" ht="15.75" customHeight="1">
      <c r="A142" s="189" t="s">
        <v>174</v>
      </c>
      <c r="B142" s="5"/>
      <c r="C142" s="2"/>
      <c r="D142" s="8"/>
      <c r="E142" s="9"/>
      <c r="F142" s="10"/>
      <c r="G142" s="1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90"/>
      <c r="B143" s="5"/>
      <c r="C143" s="2"/>
      <c r="D143" s="8"/>
      <c r="E143" s="9"/>
      <c r="F143" s="10"/>
      <c r="G143" s="1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91" t="s">
        <v>175</v>
      </c>
      <c r="B144" s="174"/>
      <c r="C144" s="192" t="s">
        <v>176</v>
      </c>
      <c r="F144" s="186"/>
      <c r="G144" s="186"/>
      <c r="H144" s="2"/>
      <c r="I144" s="192" t="s">
        <v>177</v>
      </c>
      <c r="O144" s="2"/>
      <c r="P144" s="2"/>
      <c r="Q144" s="192" t="s">
        <v>178</v>
      </c>
      <c r="U144" s="2"/>
      <c r="V144" s="2"/>
      <c r="X144" s="186"/>
      <c r="Y144" s="2"/>
      <c r="Z144" s="2"/>
    </row>
    <row r="145" ht="15.75" customHeight="1">
      <c r="A145" s="191"/>
      <c r="B145" s="174"/>
      <c r="C145" s="192"/>
      <c r="D145" s="193"/>
      <c r="E145" s="192"/>
      <c r="F145" s="186"/>
      <c r="G145" s="186"/>
      <c r="H145" s="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86"/>
      <c r="X145" s="186"/>
      <c r="Y145" s="2"/>
      <c r="Z145" s="2"/>
    </row>
    <row r="146" ht="15.75" customHeight="1">
      <c r="A146" s="174"/>
      <c r="B146" s="174"/>
      <c r="C146" s="186"/>
      <c r="D146" s="194"/>
      <c r="E146" s="195"/>
      <c r="F146" s="186"/>
      <c r="G146" s="186"/>
      <c r="H146" s="2"/>
      <c r="I146" s="186"/>
      <c r="J146" s="195"/>
      <c r="K146" s="195"/>
      <c r="L146" s="195"/>
      <c r="M146" s="195"/>
      <c r="N146" s="195"/>
      <c r="O146" s="195"/>
      <c r="P146" s="195"/>
      <c r="Q146" s="186"/>
      <c r="R146" s="195"/>
      <c r="S146" s="186"/>
      <c r="T146" s="186"/>
      <c r="U146" s="186"/>
      <c r="V146" s="186"/>
      <c r="W146" s="186"/>
      <c r="X146" s="186"/>
      <c r="Y146" s="2"/>
      <c r="Z146" s="2"/>
    </row>
    <row r="147" ht="15.75" customHeight="1">
      <c r="A147" s="196" t="s">
        <v>179</v>
      </c>
      <c r="C147" s="197" t="s">
        <v>180</v>
      </c>
      <c r="G147" s="2"/>
      <c r="H147" s="2"/>
      <c r="I147" s="197" t="s">
        <v>181</v>
      </c>
      <c r="O147" s="2"/>
      <c r="P147" s="2"/>
      <c r="Q147" s="197" t="s">
        <v>182</v>
      </c>
      <c r="U147" s="2"/>
      <c r="V147" s="2"/>
      <c r="Y147" s="2"/>
      <c r="Z147" s="2"/>
    </row>
    <row r="148" ht="15.0" customHeight="1">
      <c r="A148" s="198" t="s">
        <v>183</v>
      </c>
      <c r="C148" s="199" t="s">
        <v>184</v>
      </c>
      <c r="G148" s="200"/>
      <c r="H148" s="2"/>
      <c r="I148" s="201" t="s">
        <v>185</v>
      </c>
      <c r="O148" s="2"/>
      <c r="P148" s="2"/>
      <c r="Q148" s="199" t="s">
        <v>186</v>
      </c>
      <c r="U148" s="2"/>
      <c r="V148" s="2"/>
      <c r="W148" s="186"/>
      <c r="X148" s="186"/>
      <c r="Y148" s="2"/>
      <c r="Z148" s="2"/>
    </row>
    <row r="149" ht="15.75" customHeight="1">
      <c r="A149" s="2"/>
      <c r="B149" s="2"/>
      <c r="C149" s="2"/>
      <c r="D149" s="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187</v>
      </c>
      <c r="B150" s="2"/>
      <c r="C150" s="2" t="s">
        <v>187</v>
      </c>
      <c r="D150" s="8"/>
      <c r="E150" s="2"/>
      <c r="F150" s="2"/>
      <c r="G150" s="2"/>
      <c r="H150" s="2"/>
      <c r="I150" s="2" t="s">
        <v>187</v>
      </c>
      <c r="J150" s="2"/>
      <c r="K150" s="2"/>
      <c r="L150" s="2"/>
      <c r="M150" s="2"/>
      <c r="N150" s="2"/>
      <c r="O150" s="2"/>
      <c r="P150" s="2"/>
      <c r="Q150" s="2" t="s">
        <v>187</v>
      </c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02"/>
      <c r="E151" s="2"/>
      <c r="F151" s="2"/>
      <c r="G151" s="2"/>
      <c r="H151" s="203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02"/>
      <c r="E152" s="2"/>
      <c r="F152" s="2"/>
      <c r="G152" s="2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02"/>
      <c r="E153" s="2"/>
      <c r="F153" s="2"/>
      <c r="G153" s="2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02"/>
      <c r="E154" s="2"/>
      <c r="F154" s="2"/>
      <c r="G154" s="2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02"/>
      <c r="E155" s="2"/>
      <c r="F155" s="2"/>
      <c r="G155" s="2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02"/>
      <c r="E156" s="2"/>
      <c r="F156" s="2"/>
      <c r="G156" s="2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02"/>
      <c r="E157" s="2"/>
      <c r="F157" s="2"/>
      <c r="G157" s="2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02"/>
      <c r="E158" s="2"/>
      <c r="F158" s="2"/>
      <c r="G158" s="2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02"/>
      <c r="E159" s="2"/>
      <c r="F159" s="2"/>
      <c r="G159" s="2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02"/>
      <c r="E160" s="2"/>
      <c r="F160" s="2"/>
      <c r="G160" s="2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02"/>
      <c r="E161" s="2"/>
      <c r="F161" s="2"/>
      <c r="G161" s="2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02"/>
      <c r="E162" s="2"/>
      <c r="F162" s="2"/>
      <c r="G162" s="2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02"/>
      <c r="E163" s="2"/>
      <c r="F163" s="2"/>
      <c r="G163" s="2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02"/>
      <c r="E164" s="2"/>
      <c r="F164" s="2"/>
      <c r="G164" s="2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02"/>
      <c r="E165" s="2"/>
      <c r="F165" s="2"/>
      <c r="G165" s="2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02"/>
      <c r="E166" s="2"/>
      <c r="F166" s="2"/>
      <c r="G166" s="2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02"/>
      <c r="E167" s="2"/>
      <c r="F167" s="2"/>
      <c r="G167" s="2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02"/>
      <c r="E168" s="2"/>
      <c r="F168" s="2"/>
      <c r="G168" s="2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02"/>
      <c r="E169" s="2"/>
      <c r="F169" s="2"/>
      <c r="G169" s="2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02"/>
      <c r="E170" s="2"/>
      <c r="F170" s="2"/>
      <c r="G170" s="2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02"/>
      <c r="E171" s="2"/>
      <c r="F171" s="2"/>
      <c r="G171" s="2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02"/>
      <c r="E172" s="2"/>
      <c r="F172" s="2"/>
      <c r="G172" s="2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02"/>
      <c r="E173" s="2"/>
      <c r="F173" s="2"/>
      <c r="G173" s="2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02"/>
      <c r="E174" s="2"/>
      <c r="F174" s="2"/>
      <c r="G174" s="2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02"/>
      <c r="E175" s="2"/>
      <c r="F175" s="2"/>
      <c r="G175" s="2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02"/>
      <c r="E176" s="2"/>
      <c r="F176" s="2"/>
      <c r="G176" s="2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02"/>
      <c r="E177" s="2"/>
      <c r="F177" s="2"/>
      <c r="G177" s="2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02"/>
      <c r="E178" s="2"/>
      <c r="F178" s="2"/>
      <c r="G178" s="2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02"/>
      <c r="E179" s="2"/>
      <c r="F179" s="2"/>
      <c r="G179" s="2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02"/>
      <c r="E180" s="2"/>
      <c r="F180" s="2"/>
      <c r="G180" s="2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02"/>
      <c r="E181" s="2"/>
      <c r="F181" s="2"/>
      <c r="G181" s="2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02"/>
      <c r="E182" s="2"/>
      <c r="F182" s="2"/>
      <c r="G182" s="2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02"/>
      <c r="E183" s="2"/>
      <c r="F183" s="2"/>
      <c r="G183" s="2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02"/>
      <c r="E184" s="2"/>
      <c r="F184" s="2"/>
      <c r="G184" s="2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02"/>
      <c r="E185" s="2"/>
      <c r="F185" s="2"/>
      <c r="G185" s="2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02"/>
      <c r="E186" s="2"/>
      <c r="F186" s="2"/>
      <c r="G186" s="2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02"/>
      <c r="E187" s="2"/>
      <c r="F187" s="2"/>
      <c r="G187" s="2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02"/>
      <c r="E188" s="2"/>
      <c r="F188" s="2"/>
      <c r="G188" s="2"/>
      <c r="H188" s="204"/>
      <c r="I188" s="205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02"/>
      <c r="E189" s="2"/>
      <c r="F189" s="2"/>
      <c r="G189" s="2"/>
      <c r="H189" s="207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02"/>
      <c r="E190" s="2"/>
      <c r="F190" s="2"/>
      <c r="G190" s="2"/>
      <c r="H190" s="208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0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0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0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0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0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0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0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0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0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0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0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0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0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0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0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0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0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0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0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0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0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0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0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0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0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0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0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0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0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0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0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0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0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0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0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0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0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0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0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0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0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0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0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0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0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0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0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0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0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0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0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0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0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0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0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0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0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0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0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0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0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0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0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0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0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0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0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0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0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0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0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0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0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0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0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0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0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0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0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0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0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0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0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0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0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0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0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0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0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0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0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0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0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0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0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0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0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0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0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0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0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0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0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0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0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0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0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0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0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0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0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0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0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0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0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0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0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0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0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0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0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0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0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0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0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0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0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0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0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0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0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0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0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0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0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0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0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0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0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0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0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0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0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0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0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0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0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0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0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0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0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0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0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0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0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0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0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0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0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0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0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0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0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0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0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0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0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0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0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0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0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0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0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0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0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0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0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0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0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0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0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0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0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0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0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0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0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0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0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0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0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0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0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0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0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</sheetData>
  <mergeCells count="47"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  <mergeCell ref="C12:C31"/>
    <mergeCell ref="C32:C34"/>
    <mergeCell ref="C38:C45"/>
    <mergeCell ref="G38:G42"/>
    <mergeCell ref="G12:G35"/>
    <mergeCell ref="C140:E140"/>
    <mergeCell ref="C144:E144"/>
    <mergeCell ref="A147:B147"/>
    <mergeCell ref="C147:F147"/>
    <mergeCell ref="A148:B148"/>
    <mergeCell ref="C148:F148"/>
    <mergeCell ref="I147:N147"/>
    <mergeCell ref="Q147:T147"/>
    <mergeCell ref="V147:X147"/>
    <mergeCell ref="I148:N148"/>
    <mergeCell ref="Q148:T148"/>
    <mergeCell ref="H151:T151"/>
    <mergeCell ref="H189:T189"/>
    <mergeCell ref="H190:T190"/>
    <mergeCell ref="J138:T138"/>
    <mergeCell ref="J139:T139"/>
    <mergeCell ref="J140:T140"/>
    <mergeCell ref="J141:T141"/>
    <mergeCell ref="I144:N144"/>
    <mergeCell ref="Q144:T144"/>
    <mergeCell ref="V144:W144"/>
    <mergeCell ref="G71:G79"/>
    <mergeCell ref="G81:G82"/>
    <mergeCell ref="G106:G109"/>
    <mergeCell ref="G89:G104"/>
    <mergeCell ref="B135:I135"/>
    <mergeCell ref="C137:E137"/>
    <mergeCell ref="C138:E138"/>
    <mergeCell ref="H138:I138"/>
    <mergeCell ref="C139:E139"/>
    <mergeCell ref="G47:G70"/>
    <mergeCell ref="F47:F70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209" t="s">
        <v>188</v>
      </c>
      <c r="W1" s="2"/>
      <c r="X1" s="2"/>
    </row>
    <row r="2">
      <c r="A2" s="210" t="s">
        <v>189</v>
      </c>
      <c r="W2" s="2"/>
      <c r="X2" s="2"/>
    </row>
    <row r="3">
      <c r="A3" s="4" t="s">
        <v>190</v>
      </c>
      <c r="W3" s="2"/>
      <c r="X3" s="2"/>
    </row>
    <row r="4">
      <c r="A4" s="1" t="s">
        <v>2</v>
      </c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2"/>
      <c r="W4" s="2"/>
      <c r="X4" s="2"/>
    </row>
    <row r="5">
      <c r="A5" s="7"/>
      <c r="B5" s="5"/>
      <c r="C5" s="2"/>
      <c r="D5" s="8"/>
      <c r="E5" s="9"/>
      <c r="F5" s="10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 t="s">
        <v>191</v>
      </c>
      <c r="B6" s="5"/>
      <c r="C6" s="2"/>
      <c r="D6" s="8"/>
      <c r="E6" s="9"/>
      <c r="F6" s="10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7" t="s">
        <v>3</v>
      </c>
      <c r="B7" s="5"/>
      <c r="C7" s="2"/>
      <c r="D7" s="8"/>
      <c r="E7" s="9"/>
      <c r="F7" s="10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1" t="s">
        <v>4</v>
      </c>
      <c r="B8" s="12" t="s">
        <v>5</v>
      </c>
      <c r="C8" s="13" t="s">
        <v>6</v>
      </c>
      <c r="D8" s="14" t="s">
        <v>7</v>
      </c>
      <c r="E8" s="15" t="s">
        <v>8</v>
      </c>
      <c r="F8" s="16" t="s">
        <v>9</v>
      </c>
      <c r="G8" s="12" t="s">
        <v>10</v>
      </c>
      <c r="H8" s="17" t="s">
        <v>11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>
      <c r="A9" s="21"/>
      <c r="B9" s="22"/>
      <c r="C9" s="23" t="s">
        <v>12</v>
      </c>
      <c r="D9" s="22"/>
      <c r="E9" s="22"/>
      <c r="F9" s="22"/>
      <c r="G9" s="22"/>
      <c r="H9" s="24" t="s">
        <v>13</v>
      </c>
      <c r="I9" s="24" t="s">
        <v>14</v>
      </c>
      <c r="J9" s="24" t="s">
        <v>15</v>
      </c>
      <c r="K9" s="24" t="s">
        <v>16</v>
      </c>
      <c r="L9" s="24" t="s">
        <v>17</v>
      </c>
      <c r="M9" s="24" t="s">
        <v>18</v>
      </c>
      <c r="N9" s="24" t="s">
        <v>19</v>
      </c>
      <c r="O9" s="24" t="s">
        <v>20</v>
      </c>
      <c r="P9" s="24" t="s">
        <v>21</v>
      </c>
      <c r="Q9" s="24" t="s">
        <v>22</v>
      </c>
      <c r="R9" s="24" t="s">
        <v>23</v>
      </c>
      <c r="S9" s="24" t="s">
        <v>24</v>
      </c>
      <c r="T9" s="24" t="s">
        <v>25</v>
      </c>
      <c r="U9" s="25" t="str">
        <f>$V$9</f>
        <v>REMARKS</v>
      </c>
      <c r="V9" s="25" t="s">
        <v>26</v>
      </c>
      <c r="W9" s="26"/>
      <c r="X9" s="20"/>
    </row>
    <row r="10">
      <c r="A10" s="27"/>
      <c r="B10" s="211" t="s">
        <v>27</v>
      </c>
      <c r="C10" s="29"/>
      <c r="D10" s="30"/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20"/>
      <c r="X10" s="20"/>
    </row>
    <row r="11">
      <c r="A11" s="35"/>
      <c r="B11" s="160" t="s">
        <v>192</v>
      </c>
      <c r="C11" s="212" t="s">
        <v>193</v>
      </c>
      <c r="D11" s="61">
        <f>50000/80</f>
        <v>625</v>
      </c>
      <c r="E11" s="61">
        <v>50000.0</v>
      </c>
      <c r="F11" s="40" t="s">
        <v>102</v>
      </c>
      <c r="G11" s="40"/>
      <c r="H11" s="40">
        <v>80.0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20"/>
      <c r="X11" s="20"/>
    </row>
    <row r="12">
      <c r="A12" s="35"/>
      <c r="B12" s="160" t="s">
        <v>194</v>
      </c>
      <c r="C12" s="213" t="s">
        <v>195</v>
      </c>
      <c r="D12" s="57">
        <f>3000/5</f>
        <v>600</v>
      </c>
      <c r="E12" s="57">
        <v>3000.0</v>
      </c>
      <c r="F12" s="40" t="s">
        <v>102</v>
      </c>
      <c r="G12" s="40"/>
      <c r="H12" s="40">
        <v>5.0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20"/>
      <c r="X12" s="20"/>
    </row>
    <row r="13">
      <c r="A13" s="35"/>
      <c r="B13" s="214" t="s">
        <v>196</v>
      </c>
      <c r="C13" s="97" t="s">
        <v>197</v>
      </c>
      <c r="D13" s="161">
        <f>10000/10</f>
        <v>1000</v>
      </c>
      <c r="E13" s="162">
        <v>10000.0</v>
      </c>
      <c r="F13" s="40" t="s">
        <v>102</v>
      </c>
      <c r="G13" s="40"/>
      <c r="H13" s="40">
        <v>10.0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20"/>
      <c r="X13" s="20"/>
    </row>
    <row r="14">
      <c r="A14" s="35"/>
      <c r="B14" s="215" t="s">
        <v>198</v>
      </c>
      <c r="C14" s="97" t="s">
        <v>197</v>
      </c>
      <c r="D14" s="161">
        <f>50000/10</f>
        <v>5000</v>
      </c>
      <c r="E14" s="162">
        <v>50000.0</v>
      </c>
      <c r="F14" s="40" t="s">
        <v>102</v>
      </c>
      <c r="G14" s="40"/>
      <c r="H14" s="40">
        <v>10.0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20"/>
      <c r="X14" s="20"/>
    </row>
    <row r="15">
      <c r="A15" s="35"/>
      <c r="B15" s="215" t="s">
        <v>199</v>
      </c>
      <c r="C15" s="97" t="s">
        <v>195</v>
      </c>
      <c r="D15" s="161">
        <f>2500/5</f>
        <v>500</v>
      </c>
      <c r="E15" s="162">
        <v>2500.0</v>
      </c>
      <c r="F15" s="40" t="s">
        <v>102</v>
      </c>
      <c r="G15" s="40"/>
      <c r="H15" s="40">
        <v>5.0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20"/>
      <c r="X15" s="20"/>
    </row>
    <row r="16">
      <c r="A16" s="35"/>
      <c r="B16" s="214" t="s">
        <v>200</v>
      </c>
      <c r="C16" s="97" t="s">
        <v>201</v>
      </c>
      <c r="D16" s="161">
        <f>500/20</f>
        <v>25</v>
      </c>
      <c r="E16" s="162">
        <v>500.0</v>
      </c>
      <c r="F16" s="40" t="s">
        <v>30</v>
      </c>
      <c r="G16" s="40"/>
      <c r="H16" s="40">
        <v>20.0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20"/>
      <c r="X16" s="20"/>
    </row>
    <row r="17">
      <c r="A17" s="35"/>
      <c r="B17" s="214" t="s">
        <v>202</v>
      </c>
      <c r="C17" s="97" t="s">
        <v>203</v>
      </c>
      <c r="D17" s="161">
        <f>300/15</f>
        <v>20</v>
      </c>
      <c r="E17" s="162">
        <v>300.0</v>
      </c>
      <c r="F17" s="40" t="s">
        <v>30</v>
      </c>
      <c r="G17" s="40"/>
      <c r="H17" s="40">
        <v>15.0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20"/>
      <c r="X17" s="20"/>
    </row>
    <row r="18">
      <c r="A18" s="35"/>
      <c r="B18" s="214" t="s">
        <v>204</v>
      </c>
      <c r="C18" s="97" t="s">
        <v>205</v>
      </c>
      <c r="D18" s="161">
        <f>150/5</f>
        <v>30</v>
      </c>
      <c r="E18" s="162">
        <v>150.0</v>
      </c>
      <c r="F18" s="40" t="s">
        <v>30</v>
      </c>
      <c r="G18" s="40"/>
      <c r="H18" s="40">
        <v>5.0</v>
      </c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20"/>
      <c r="X18" s="20"/>
    </row>
    <row r="19">
      <c r="A19" s="35"/>
      <c r="B19" s="215" t="s">
        <v>206</v>
      </c>
      <c r="C19" s="97" t="s">
        <v>207</v>
      </c>
      <c r="D19" s="161">
        <f>300/10</f>
        <v>30</v>
      </c>
      <c r="E19" s="162">
        <v>300.0</v>
      </c>
      <c r="F19" s="40" t="s">
        <v>30</v>
      </c>
      <c r="G19" s="40"/>
      <c r="H19" s="40">
        <v>10.0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20"/>
      <c r="X19" s="20"/>
    </row>
    <row r="20">
      <c r="A20" s="35"/>
      <c r="B20" s="214" t="s">
        <v>208</v>
      </c>
      <c r="C20" s="97" t="s">
        <v>209</v>
      </c>
      <c r="D20" s="161">
        <f>300/30</f>
        <v>10</v>
      </c>
      <c r="E20" s="162">
        <v>300.0</v>
      </c>
      <c r="F20" s="40" t="s">
        <v>30</v>
      </c>
      <c r="G20" s="40"/>
      <c r="H20" s="40">
        <v>30.0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20"/>
      <c r="X20" s="20"/>
    </row>
    <row r="21" ht="15.75" customHeight="1">
      <c r="A21" s="35"/>
      <c r="B21" s="214" t="s">
        <v>210</v>
      </c>
      <c r="C21" s="97" t="s">
        <v>201</v>
      </c>
      <c r="D21" s="216">
        <f>2000/20</f>
        <v>100</v>
      </c>
      <c r="E21" s="162">
        <v>2000.0</v>
      </c>
      <c r="F21" s="40" t="s">
        <v>30</v>
      </c>
      <c r="G21" s="40"/>
      <c r="H21" s="40">
        <v>20.0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20"/>
      <c r="X21" s="20"/>
    </row>
    <row r="22" ht="15.75" customHeight="1">
      <c r="A22" s="35"/>
      <c r="B22" s="215" t="s">
        <v>211</v>
      </c>
      <c r="C22" s="97" t="s">
        <v>195</v>
      </c>
      <c r="D22" s="161">
        <v>15.0</v>
      </c>
      <c r="E22" s="162">
        <v>75.0</v>
      </c>
      <c r="F22" s="40" t="s">
        <v>30</v>
      </c>
      <c r="G22" s="40"/>
      <c r="H22" s="40">
        <v>5.0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20"/>
      <c r="X22" s="20"/>
    </row>
    <row r="23" ht="15.75" customHeight="1">
      <c r="A23" s="35"/>
      <c r="B23" s="215" t="s">
        <v>212</v>
      </c>
      <c r="C23" s="97" t="s">
        <v>207</v>
      </c>
      <c r="D23" s="161">
        <f>300/10</f>
        <v>30</v>
      </c>
      <c r="E23" s="162">
        <v>300.0</v>
      </c>
      <c r="F23" s="40" t="s">
        <v>30</v>
      </c>
      <c r="G23" s="40"/>
      <c r="H23" s="40">
        <v>10.0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20"/>
      <c r="X23" s="20"/>
    </row>
    <row r="24" ht="15.75" customHeight="1">
      <c r="A24" s="35"/>
      <c r="B24" s="214" t="s">
        <v>213</v>
      </c>
      <c r="C24" s="97" t="s">
        <v>214</v>
      </c>
      <c r="D24" s="161">
        <f>1000/50</f>
        <v>20</v>
      </c>
      <c r="E24" s="162">
        <v>1000.0</v>
      </c>
      <c r="F24" s="40" t="s">
        <v>30</v>
      </c>
      <c r="G24" s="40"/>
      <c r="H24" s="40">
        <v>50.0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20"/>
      <c r="X24" s="20"/>
    </row>
    <row r="25" ht="15.75" customHeight="1">
      <c r="A25" s="35"/>
      <c r="B25" s="214" t="s">
        <v>215</v>
      </c>
      <c r="C25" s="97" t="s">
        <v>216</v>
      </c>
      <c r="D25" s="161">
        <f>2000/15</f>
        <v>133.3333333</v>
      </c>
      <c r="E25" s="162">
        <v>2000.0</v>
      </c>
      <c r="F25" s="40" t="s">
        <v>30</v>
      </c>
      <c r="G25" s="40"/>
      <c r="H25" s="40">
        <v>15.0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20"/>
      <c r="X25" s="20"/>
    </row>
    <row r="26" ht="15.75" customHeight="1">
      <c r="A26" s="35"/>
      <c r="B26" s="214" t="s">
        <v>217</v>
      </c>
      <c r="C26" s="97" t="s">
        <v>218</v>
      </c>
      <c r="D26" s="161">
        <f>1000/1</f>
        <v>1000</v>
      </c>
      <c r="E26" s="162">
        <v>1000.0</v>
      </c>
      <c r="F26" s="40" t="s">
        <v>102</v>
      </c>
      <c r="G26" s="40"/>
      <c r="H26" s="40"/>
      <c r="I26" s="40">
        <v>1.0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20"/>
      <c r="X26" s="20"/>
    </row>
    <row r="27" ht="15.75" customHeight="1">
      <c r="A27" s="35"/>
      <c r="B27" s="214" t="s">
        <v>219</v>
      </c>
      <c r="C27" s="97" t="s">
        <v>220</v>
      </c>
      <c r="D27" s="161">
        <f>30000/3</f>
        <v>10000</v>
      </c>
      <c r="E27" s="162">
        <v>30000.0</v>
      </c>
      <c r="F27" s="40" t="s">
        <v>102</v>
      </c>
      <c r="G27" s="40"/>
      <c r="H27" s="40"/>
      <c r="I27" s="40">
        <v>3.0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20"/>
      <c r="X27" s="20"/>
    </row>
    <row r="28" ht="15.75" customHeight="1">
      <c r="A28" s="35"/>
      <c r="B28" s="215" t="s">
        <v>221</v>
      </c>
      <c r="C28" s="97" t="s">
        <v>222</v>
      </c>
      <c r="D28" s="161">
        <f>1000/100</f>
        <v>10</v>
      </c>
      <c r="E28" s="162">
        <v>1000.0</v>
      </c>
      <c r="F28" s="40" t="s">
        <v>30</v>
      </c>
      <c r="G28" s="40"/>
      <c r="H28" s="40"/>
      <c r="I28" s="40">
        <v>100.0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20"/>
      <c r="X28" s="20"/>
    </row>
    <row r="29" ht="15.75" customHeight="1">
      <c r="A29" s="35"/>
      <c r="B29" s="215" t="s">
        <v>223</v>
      </c>
      <c r="C29" s="97" t="s">
        <v>222</v>
      </c>
      <c r="D29" s="161">
        <f>2000/100</f>
        <v>20</v>
      </c>
      <c r="E29" s="162">
        <v>2000.0</v>
      </c>
      <c r="F29" s="40" t="s">
        <v>30</v>
      </c>
      <c r="G29" s="40"/>
      <c r="H29" s="40"/>
      <c r="I29" s="40">
        <v>100.0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20"/>
      <c r="X29" s="20"/>
    </row>
    <row r="30" ht="15.75" customHeight="1">
      <c r="A30" s="35"/>
      <c r="B30" s="214" t="s">
        <v>224</v>
      </c>
      <c r="C30" s="97" t="s">
        <v>225</v>
      </c>
      <c r="D30" s="161">
        <f>250/50</f>
        <v>5</v>
      </c>
      <c r="E30" s="162">
        <v>250.0</v>
      </c>
      <c r="F30" s="40" t="s">
        <v>30</v>
      </c>
      <c r="G30" s="40"/>
      <c r="H30" s="40"/>
      <c r="I30" s="40">
        <v>50.0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20"/>
      <c r="X30" s="20"/>
    </row>
    <row r="31" ht="15.75" customHeight="1">
      <c r="A31" s="35"/>
      <c r="B31" s="214" t="s">
        <v>226</v>
      </c>
      <c r="C31" s="97" t="s">
        <v>220</v>
      </c>
      <c r="D31" s="161">
        <f t="shared" ref="D31:D32" si="1">400/3</f>
        <v>133.3333333</v>
      </c>
      <c r="E31" s="162">
        <v>400.0</v>
      </c>
      <c r="F31" s="40" t="s">
        <v>102</v>
      </c>
      <c r="G31" s="40"/>
      <c r="H31" s="40"/>
      <c r="I31" s="40">
        <v>3.0</v>
      </c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20"/>
      <c r="X31" s="20"/>
    </row>
    <row r="32" ht="15.75" customHeight="1">
      <c r="A32" s="35"/>
      <c r="B32" s="214" t="s">
        <v>227</v>
      </c>
      <c r="C32" s="97" t="s">
        <v>220</v>
      </c>
      <c r="D32" s="161">
        <f t="shared" si="1"/>
        <v>133.3333333</v>
      </c>
      <c r="E32" s="162">
        <v>400.0</v>
      </c>
      <c r="F32" s="40" t="s">
        <v>102</v>
      </c>
      <c r="G32" s="40"/>
      <c r="H32" s="40"/>
      <c r="I32" s="40">
        <v>3.0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20"/>
      <c r="X32" s="20"/>
    </row>
    <row r="33" ht="15.75" customHeight="1">
      <c r="A33" s="35"/>
      <c r="B33" s="214" t="s">
        <v>228</v>
      </c>
      <c r="C33" s="97" t="s">
        <v>229</v>
      </c>
      <c r="D33" s="161">
        <f>5500/30</f>
        <v>183.3333333</v>
      </c>
      <c r="E33" s="162">
        <v>5500.0</v>
      </c>
      <c r="F33" s="40" t="s">
        <v>30</v>
      </c>
      <c r="G33" s="40"/>
      <c r="H33" s="40"/>
      <c r="I33" s="40">
        <v>30.0</v>
      </c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20"/>
      <c r="X33" s="20"/>
    </row>
    <row r="34" ht="15.75" customHeight="1">
      <c r="A34" s="35"/>
      <c r="B34" s="214" t="s">
        <v>230</v>
      </c>
      <c r="C34" s="97" t="s">
        <v>218</v>
      </c>
      <c r="D34" s="161">
        <v>5000.0</v>
      </c>
      <c r="E34" s="162">
        <v>5000.0</v>
      </c>
      <c r="F34" s="40" t="s">
        <v>102</v>
      </c>
      <c r="G34" s="40"/>
      <c r="H34" s="40"/>
      <c r="I34" s="40">
        <v>1.0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20"/>
      <c r="X34" s="20"/>
    </row>
    <row r="35" ht="15.75" customHeight="1">
      <c r="A35" s="35"/>
      <c r="B35" s="214" t="s">
        <v>231</v>
      </c>
      <c r="C35" s="97" t="s">
        <v>232</v>
      </c>
      <c r="D35" s="161">
        <f t="shared" ref="D35:D36" si="2">3200/8</f>
        <v>400</v>
      </c>
      <c r="E35" s="162">
        <v>3200.0</v>
      </c>
      <c r="F35" s="40" t="s">
        <v>30</v>
      </c>
      <c r="G35" s="40"/>
      <c r="H35" s="40"/>
      <c r="I35" s="40">
        <v>8.0</v>
      </c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20"/>
      <c r="X35" s="20"/>
    </row>
    <row r="36" ht="15.75" customHeight="1">
      <c r="A36" s="35"/>
      <c r="B36" s="214" t="s">
        <v>233</v>
      </c>
      <c r="C36" s="97" t="s">
        <v>232</v>
      </c>
      <c r="D36" s="161">
        <f t="shared" si="2"/>
        <v>400</v>
      </c>
      <c r="E36" s="162">
        <v>3200.0</v>
      </c>
      <c r="F36" s="40" t="s">
        <v>30</v>
      </c>
      <c r="G36" s="40"/>
      <c r="H36" s="40"/>
      <c r="I36" s="40">
        <v>8.0</v>
      </c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20"/>
      <c r="X36" s="20"/>
    </row>
    <row r="37" ht="15.75" customHeight="1">
      <c r="A37" s="35"/>
      <c r="B37" s="214" t="s">
        <v>234</v>
      </c>
      <c r="C37" s="97" t="s">
        <v>235</v>
      </c>
      <c r="D37" s="161">
        <f>200/3</f>
        <v>66.66666667</v>
      </c>
      <c r="E37" s="162">
        <v>200.0</v>
      </c>
      <c r="F37" s="40" t="s">
        <v>30</v>
      </c>
      <c r="G37" s="40"/>
      <c r="H37" s="40"/>
      <c r="I37" s="40">
        <v>3.0</v>
      </c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20"/>
      <c r="X37" s="20"/>
    </row>
    <row r="38" ht="15.75" customHeight="1">
      <c r="A38" s="35"/>
      <c r="B38" s="214" t="s">
        <v>236</v>
      </c>
      <c r="C38" s="97" t="s">
        <v>201</v>
      </c>
      <c r="D38" s="161">
        <f>1000/20</f>
        <v>50</v>
      </c>
      <c r="E38" s="162">
        <v>1000.0</v>
      </c>
      <c r="F38" s="40" t="s">
        <v>30</v>
      </c>
      <c r="G38" s="40"/>
      <c r="H38" s="40"/>
      <c r="I38" s="40"/>
      <c r="J38" s="40">
        <v>20.0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20"/>
      <c r="X38" s="20"/>
    </row>
    <row r="39" ht="15.75" customHeight="1">
      <c r="A39" s="35"/>
      <c r="B39" s="214" t="s">
        <v>237</v>
      </c>
      <c r="C39" s="97" t="s">
        <v>238</v>
      </c>
      <c r="D39" s="161">
        <f>600/20</f>
        <v>30</v>
      </c>
      <c r="E39" s="162">
        <v>600.0</v>
      </c>
      <c r="F39" s="40" t="s">
        <v>30</v>
      </c>
      <c r="G39" s="40"/>
      <c r="H39" s="40"/>
      <c r="I39" s="40"/>
      <c r="J39" s="40">
        <v>20.0</v>
      </c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20"/>
      <c r="X39" s="20"/>
    </row>
    <row r="40" ht="15.75" customHeight="1">
      <c r="A40" s="35"/>
      <c r="B40" s="214" t="s">
        <v>239</v>
      </c>
      <c r="C40" s="97" t="s">
        <v>222</v>
      </c>
      <c r="D40" s="161">
        <f>1000/100</f>
        <v>10</v>
      </c>
      <c r="E40" s="162">
        <v>1000.0</v>
      </c>
      <c r="F40" s="40" t="s">
        <v>30</v>
      </c>
      <c r="G40" s="40"/>
      <c r="H40" s="40"/>
      <c r="I40" s="40"/>
      <c r="J40" s="40">
        <v>100.0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20"/>
      <c r="X40" s="20"/>
    </row>
    <row r="41" ht="15.75" customHeight="1">
      <c r="A41" s="35"/>
      <c r="B41" s="214" t="s">
        <v>240</v>
      </c>
      <c r="C41" s="97" t="s">
        <v>225</v>
      </c>
      <c r="D41" s="161">
        <f>1000/50</f>
        <v>20</v>
      </c>
      <c r="E41" s="162">
        <v>1000.0</v>
      </c>
      <c r="F41" s="40" t="s">
        <v>30</v>
      </c>
      <c r="G41" s="40"/>
      <c r="H41" s="40"/>
      <c r="I41" s="40"/>
      <c r="J41" s="40">
        <v>50.0</v>
      </c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20"/>
      <c r="X41" s="20"/>
    </row>
    <row r="42" ht="15.75" customHeight="1">
      <c r="A42" s="35"/>
      <c r="B42" s="214" t="s">
        <v>241</v>
      </c>
      <c r="C42" s="97" t="s">
        <v>238</v>
      </c>
      <c r="D42" s="161">
        <f>400/20</f>
        <v>20</v>
      </c>
      <c r="E42" s="162">
        <v>400.0</v>
      </c>
      <c r="F42" s="40" t="s">
        <v>30</v>
      </c>
      <c r="G42" s="40"/>
      <c r="H42" s="40"/>
      <c r="I42" s="40"/>
      <c r="J42" s="40">
        <v>20.0</v>
      </c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20"/>
      <c r="X42" s="20"/>
    </row>
    <row r="43" ht="15.75" customHeight="1">
      <c r="A43" s="35"/>
      <c r="B43" s="214" t="s">
        <v>242</v>
      </c>
      <c r="C43" s="97" t="s">
        <v>243</v>
      </c>
      <c r="D43" s="161">
        <f>300/3</f>
        <v>100</v>
      </c>
      <c r="E43" s="162">
        <v>300.0</v>
      </c>
      <c r="F43" s="40" t="s">
        <v>30</v>
      </c>
      <c r="G43" s="40"/>
      <c r="H43" s="40"/>
      <c r="I43" s="40"/>
      <c r="J43" s="40">
        <v>3.0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20"/>
      <c r="X43" s="20"/>
    </row>
    <row r="44" ht="15.75" customHeight="1">
      <c r="A44" s="35"/>
      <c r="B44" s="214" t="s">
        <v>244</v>
      </c>
      <c r="C44" s="97" t="s">
        <v>245</v>
      </c>
      <c r="D44" s="161">
        <f>500/10</f>
        <v>50</v>
      </c>
      <c r="E44" s="162">
        <v>500.0</v>
      </c>
      <c r="F44" s="40" t="s">
        <v>30</v>
      </c>
      <c r="G44" s="40"/>
      <c r="H44" s="40"/>
      <c r="I44" s="40"/>
      <c r="J44" s="40">
        <v>10.0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20"/>
      <c r="X44" s="20"/>
    </row>
    <row r="45" ht="15.75" customHeight="1">
      <c r="A45" s="35"/>
      <c r="B45" s="214" t="s">
        <v>246</v>
      </c>
      <c r="C45" s="97" t="s">
        <v>197</v>
      </c>
      <c r="D45" s="161">
        <f t="shared" ref="D45:D46" si="3">300/10</f>
        <v>30</v>
      </c>
      <c r="E45" s="162">
        <v>300.0</v>
      </c>
      <c r="F45" s="40" t="s">
        <v>30</v>
      </c>
      <c r="G45" s="40"/>
      <c r="H45" s="40"/>
      <c r="I45" s="40"/>
      <c r="J45" s="40">
        <v>10.0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20"/>
      <c r="X45" s="20"/>
    </row>
    <row r="46" ht="15.75" customHeight="1">
      <c r="A46" s="35"/>
      <c r="B46" s="214" t="s">
        <v>247</v>
      </c>
      <c r="C46" s="97" t="s">
        <v>197</v>
      </c>
      <c r="D46" s="161">
        <f t="shared" si="3"/>
        <v>30</v>
      </c>
      <c r="E46" s="162">
        <v>300.0</v>
      </c>
      <c r="F46" s="40" t="s">
        <v>30</v>
      </c>
      <c r="G46" s="40"/>
      <c r="H46" s="40"/>
      <c r="I46" s="40"/>
      <c r="J46" s="40">
        <v>10.0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20"/>
      <c r="X46" s="20"/>
    </row>
    <row r="47" ht="15.75" customHeight="1">
      <c r="A47" s="35"/>
      <c r="B47" s="214"/>
      <c r="C47" s="97"/>
      <c r="D47" s="161"/>
      <c r="E47" s="162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20"/>
      <c r="X47" s="20"/>
    </row>
    <row r="48" ht="15.75" customHeight="1">
      <c r="A48" s="35"/>
      <c r="B48" s="167" t="s">
        <v>68</v>
      </c>
      <c r="C48" s="168"/>
      <c r="D48" s="169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20"/>
      <c r="X48" s="20"/>
    </row>
    <row r="49" ht="15.75" customHeight="1">
      <c r="A49" s="35"/>
      <c r="B49" s="160" t="s">
        <v>248</v>
      </c>
      <c r="C49" s="212" t="s">
        <v>249</v>
      </c>
      <c r="D49" s="161">
        <f>6560/4</f>
        <v>1640</v>
      </c>
      <c r="E49" s="61">
        <v>6560.0</v>
      </c>
      <c r="F49" s="40" t="s">
        <v>102</v>
      </c>
      <c r="G49" s="40"/>
      <c r="H49" s="40">
        <v>4.0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20"/>
      <c r="X49" s="20"/>
    </row>
    <row r="50" ht="15.75" customHeight="1">
      <c r="A50" s="35"/>
      <c r="B50" s="214" t="s">
        <v>250</v>
      </c>
      <c r="C50" s="97" t="s">
        <v>249</v>
      </c>
      <c r="D50" s="161">
        <f>3440/4</f>
        <v>860</v>
      </c>
      <c r="E50" s="162">
        <v>3440.0</v>
      </c>
      <c r="F50" s="40" t="s">
        <v>102</v>
      </c>
      <c r="G50" s="40"/>
      <c r="H50" s="40">
        <v>4.0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20"/>
      <c r="X50" s="20"/>
    </row>
    <row r="51" ht="15.75" customHeight="1">
      <c r="A51" s="35"/>
      <c r="B51" s="215" t="s">
        <v>251</v>
      </c>
      <c r="C51" s="97" t="s">
        <v>252</v>
      </c>
      <c r="D51" s="161">
        <f>8000/8</f>
        <v>1000</v>
      </c>
      <c r="E51" s="162">
        <v>8000.0</v>
      </c>
      <c r="F51" s="40" t="s">
        <v>102</v>
      </c>
      <c r="G51" s="40"/>
      <c r="H51" s="40">
        <v>8.0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20"/>
      <c r="X51" s="20"/>
    </row>
    <row r="52" ht="15.75" customHeight="1">
      <c r="A52" s="35"/>
      <c r="B52" s="160" t="s">
        <v>253</v>
      </c>
      <c r="C52" s="97" t="s">
        <v>254</v>
      </c>
      <c r="D52" s="161">
        <f>15000/300</f>
        <v>50</v>
      </c>
      <c r="E52" s="162">
        <v>15000.0</v>
      </c>
      <c r="F52" s="40" t="s">
        <v>102</v>
      </c>
      <c r="G52" s="40"/>
      <c r="H52" s="40">
        <v>300.0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20"/>
      <c r="X52" s="20"/>
    </row>
    <row r="53" ht="15.75" customHeight="1">
      <c r="A53" s="35"/>
      <c r="B53" s="160" t="s">
        <v>255</v>
      </c>
      <c r="C53" s="97" t="s">
        <v>256</v>
      </c>
      <c r="D53" s="161">
        <f>5700/100</f>
        <v>57</v>
      </c>
      <c r="E53" s="162">
        <v>5700.0</v>
      </c>
      <c r="F53" s="40" t="s">
        <v>102</v>
      </c>
      <c r="G53" s="40"/>
      <c r="H53" s="40">
        <v>100.0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20"/>
      <c r="X53" s="20"/>
    </row>
    <row r="54" ht="15.75" customHeight="1">
      <c r="A54" s="35"/>
      <c r="B54" s="160" t="s">
        <v>257</v>
      </c>
      <c r="C54" s="97" t="s">
        <v>249</v>
      </c>
      <c r="D54" s="161">
        <f>5500/4</f>
        <v>1375</v>
      </c>
      <c r="E54" s="162">
        <v>5500.0</v>
      </c>
      <c r="F54" s="40" t="s">
        <v>102</v>
      </c>
      <c r="G54" s="40"/>
      <c r="H54" s="40"/>
      <c r="I54" s="40">
        <v>4.0</v>
      </c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20"/>
      <c r="X54" s="20"/>
    </row>
    <row r="55" ht="15.75" customHeight="1">
      <c r="A55" s="35"/>
      <c r="B55" s="160" t="s">
        <v>258</v>
      </c>
      <c r="C55" s="97" t="s">
        <v>259</v>
      </c>
      <c r="D55" s="161">
        <f>7200/4</f>
        <v>1800</v>
      </c>
      <c r="E55" s="162">
        <v>7200.0</v>
      </c>
      <c r="F55" s="40" t="s">
        <v>102</v>
      </c>
      <c r="G55" s="40"/>
      <c r="H55" s="40"/>
      <c r="I55" s="40">
        <v>4.0</v>
      </c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20"/>
      <c r="X55" s="20"/>
    </row>
    <row r="56" ht="15.75" customHeight="1">
      <c r="A56" s="35"/>
      <c r="B56" s="160" t="s">
        <v>260</v>
      </c>
      <c r="C56" s="97" t="s">
        <v>261</v>
      </c>
      <c r="D56" s="161">
        <f>8000/6</f>
        <v>1333.333333</v>
      </c>
      <c r="E56" s="162">
        <v>8000.0</v>
      </c>
      <c r="F56" s="40" t="s">
        <v>102</v>
      </c>
      <c r="G56" s="40"/>
      <c r="H56" s="40"/>
      <c r="I56" s="40">
        <v>6.0</v>
      </c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20"/>
      <c r="X56" s="20"/>
    </row>
    <row r="57" ht="15.75" customHeight="1">
      <c r="A57" s="35"/>
      <c r="B57" s="160" t="s">
        <v>262</v>
      </c>
      <c r="C57" s="97" t="s">
        <v>263</v>
      </c>
      <c r="D57" s="161">
        <f>280/10</f>
        <v>28</v>
      </c>
      <c r="E57" s="162">
        <v>280.0</v>
      </c>
      <c r="F57" s="40" t="s">
        <v>102</v>
      </c>
      <c r="G57" s="40"/>
      <c r="H57" s="40"/>
      <c r="I57" s="40">
        <v>10.0</v>
      </c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20"/>
      <c r="X57" s="20"/>
    </row>
    <row r="58" ht="15.75" customHeight="1">
      <c r="A58" s="35"/>
      <c r="B58" s="160" t="s">
        <v>264</v>
      </c>
      <c r="C58" s="97" t="s">
        <v>265</v>
      </c>
      <c r="D58" s="161">
        <f>2100/6</f>
        <v>350</v>
      </c>
      <c r="E58" s="162">
        <v>2100.0</v>
      </c>
      <c r="F58" s="40" t="s">
        <v>102</v>
      </c>
      <c r="G58" s="40"/>
      <c r="H58" s="40"/>
      <c r="I58" s="40"/>
      <c r="J58" s="40">
        <v>6.0</v>
      </c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20"/>
      <c r="X58" s="20"/>
    </row>
    <row r="59" ht="15.75" customHeight="1">
      <c r="A59" s="35"/>
      <c r="B59" s="160" t="s">
        <v>266</v>
      </c>
      <c r="C59" s="97" t="s">
        <v>245</v>
      </c>
      <c r="D59" s="161">
        <f>3000/10</f>
        <v>300</v>
      </c>
      <c r="E59" s="162">
        <v>3000.0</v>
      </c>
      <c r="F59" s="40" t="s">
        <v>102</v>
      </c>
      <c r="G59" s="40"/>
      <c r="H59" s="40"/>
      <c r="I59" s="40"/>
      <c r="J59" s="40">
        <v>10.0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20"/>
      <c r="X59" s="20"/>
    </row>
    <row r="60" ht="15.75" customHeight="1">
      <c r="A60" s="35"/>
      <c r="B60" s="160" t="s">
        <v>267</v>
      </c>
      <c r="C60" s="97" t="s">
        <v>265</v>
      </c>
      <c r="D60" s="161">
        <f>2400/6</f>
        <v>400</v>
      </c>
      <c r="E60" s="162">
        <v>2400.0</v>
      </c>
      <c r="F60" s="40" t="s">
        <v>102</v>
      </c>
      <c r="G60" s="40"/>
      <c r="H60" s="40"/>
      <c r="I60" s="40"/>
      <c r="J60" s="40">
        <v>6.0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20"/>
      <c r="X60" s="20"/>
    </row>
    <row r="61" ht="15.75" hidden="1" customHeight="1">
      <c r="A61" s="35"/>
      <c r="B61" s="160"/>
      <c r="C61" s="97"/>
      <c r="D61" s="161"/>
      <c r="E61" s="162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20"/>
      <c r="X61" s="20"/>
    </row>
    <row r="62" ht="15.75" hidden="1" customHeight="1">
      <c r="A62" s="35"/>
      <c r="B62" s="160"/>
      <c r="C62" s="97"/>
      <c r="D62" s="161"/>
      <c r="E62" s="162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20"/>
      <c r="X62" s="20"/>
    </row>
    <row r="63" ht="15.75" hidden="1" customHeight="1">
      <c r="A63" s="35"/>
      <c r="B63" s="160"/>
      <c r="C63" s="97"/>
      <c r="D63" s="161"/>
      <c r="E63" s="162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20"/>
      <c r="X63" s="20"/>
    </row>
    <row r="64" ht="15.75" hidden="1" customHeight="1">
      <c r="A64" s="35"/>
      <c r="B64" s="160"/>
      <c r="C64" s="97"/>
      <c r="D64" s="161"/>
      <c r="E64" s="162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20"/>
      <c r="X64" s="20"/>
    </row>
    <row r="65" ht="15.75" hidden="1" customHeight="1">
      <c r="A65" s="35"/>
      <c r="B65" s="160"/>
      <c r="C65" s="97"/>
      <c r="D65" s="161"/>
      <c r="E65" s="162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20"/>
      <c r="X65" s="20"/>
    </row>
    <row r="66" ht="15.75" hidden="1" customHeight="1">
      <c r="A66" s="35"/>
      <c r="B66" s="160"/>
      <c r="C66" s="97"/>
      <c r="D66" s="161"/>
      <c r="E66" s="162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20"/>
      <c r="X66" s="20"/>
    </row>
    <row r="67" ht="15.75" hidden="1" customHeight="1">
      <c r="A67" s="163"/>
      <c r="B67" s="164"/>
      <c r="C67" s="165"/>
      <c r="D67" s="67"/>
      <c r="E67" s="166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20"/>
      <c r="X67" s="20"/>
    </row>
    <row r="68" ht="15.75" hidden="1" customHeight="1">
      <c r="A68" s="35"/>
      <c r="B68" s="167" t="s">
        <v>167</v>
      </c>
      <c r="C68" s="168"/>
      <c r="D68" s="169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20"/>
      <c r="X68" s="20"/>
    </row>
    <row r="69" ht="15.75" hidden="1" customHeight="1">
      <c r="A69" s="35"/>
      <c r="B69" s="160"/>
      <c r="C69" s="97"/>
      <c r="D69" s="161"/>
      <c r="E69" s="162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20"/>
      <c r="X69" s="20"/>
    </row>
    <row r="70" ht="15.75" hidden="1" customHeight="1">
      <c r="A70" s="35"/>
      <c r="B70" s="160"/>
      <c r="C70" s="97"/>
      <c r="D70" s="161"/>
      <c r="E70" s="162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20"/>
      <c r="X70" s="20"/>
    </row>
    <row r="71" ht="15.75" hidden="1" customHeight="1">
      <c r="A71" s="35"/>
      <c r="B71" s="160"/>
      <c r="C71" s="97"/>
      <c r="D71" s="161"/>
      <c r="E71" s="162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20"/>
      <c r="X71" s="20"/>
    </row>
    <row r="72" ht="15.75" hidden="1" customHeight="1">
      <c r="A72" s="35"/>
      <c r="B72" s="160"/>
      <c r="C72" s="97"/>
      <c r="D72" s="161"/>
      <c r="E72" s="162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20"/>
      <c r="X72" s="20"/>
    </row>
    <row r="73" ht="15.75" hidden="1" customHeight="1">
      <c r="A73" s="35"/>
      <c r="B73" s="167" t="s">
        <v>168</v>
      </c>
      <c r="C73" s="168"/>
      <c r="D73" s="169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20"/>
      <c r="X73" s="20"/>
    </row>
    <row r="74" ht="15.75" hidden="1" customHeight="1">
      <c r="A74" s="35"/>
      <c r="B74" s="160"/>
      <c r="C74" s="97"/>
      <c r="D74" s="161"/>
      <c r="E74" s="162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20"/>
      <c r="X74" s="20"/>
    </row>
    <row r="75" ht="15.75" hidden="1" customHeight="1">
      <c r="A75" s="35"/>
      <c r="B75" s="160"/>
      <c r="C75" s="97"/>
      <c r="D75" s="161"/>
      <c r="E75" s="162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20"/>
      <c r="X75" s="20"/>
    </row>
    <row r="76" ht="15.75" hidden="1" customHeight="1">
      <c r="A76" s="35"/>
      <c r="B76" s="160"/>
      <c r="C76" s="97"/>
      <c r="D76" s="161"/>
      <c r="E76" s="162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20"/>
      <c r="X76" s="20"/>
    </row>
    <row r="77" ht="15.75" customHeight="1">
      <c r="A77" s="163"/>
      <c r="B77" s="170" t="s">
        <v>169</v>
      </c>
      <c r="C77" s="171"/>
      <c r="D77" s="171"/>
      <c r="E77" s="171"/>
      <c r="F77" s="171"/>
      <c r="G77" s="171"/>
      <c r="H77" s="171"/>
      <c r="I77" s="172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20"/>
      <c r="X77" s="20"/>
    </row>
    <row r="78" ht="15.75" customHeight="1">
      <c r="A78" s="173"/>
      <c r="B78" s="174"/>
      <c r="C78" s="2"/>
      <c r="D78" s="8"/>
      <c r="E78" s="175"/>
      <c r="F78" s="10"/>
      <c r="G78" s="10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76" t="s">
        <v>170</v>
      </c>
      <c r="B79" s="5"/>
      <c r="C79" s="177">
        <v>247155.0</v>
      </c>
      <c r="F79" s="10"/>
      <c r="G79" s="10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178" t="s">
        <v>171</v>
      </c>
      <c r="B80" s="179"/>
      <c r="C80" s="180">
        <f>PRODUCT(C79,0.1)</f>
        <v>24715.5</v>
      </c>
      <c r="D80" s="181"/>
      <c r="E80" s="144"/>
      <c r="F80" s="10"/>
      <c r="G80" s="10"/>
      <c r="H80" s="182"/>
      <c r="J80" s="182"/>
      <c r="U80" s="182"/>
      <c r="V80" s="2"/>
      <c r="W80" s="2"/>
      <c r="X80" s="2"/>
    </row>
    <row r="81" ht="15.75" hidden="1" customHeight="1">
      <c r="A81" s="183" t="s">
        <v>172</v>
      </c>
      <c r="B81" s="184"/>
      <c r="C81" s="185">
        <f>PRODUCT(C79,0.1)</f>
        <v>24715.5</v>
      </c>
      <c r="D81" s="171"/>
      <c r="E81" s="172"/>
      <c r="F81" s="10"/>
      <c r="G81" s="10"/>
      <c r="H81" s="186"/>
      <c r="I81" s="186"/>
      <c r="J81" s="187"/>
      <c r="U81" s="187"/>
      <c r="V81" s="2"/>
      <c r="W81" s="2"/>
      <c r="X81" s="2"/>
    </row>
    <row r="82" ht="15.75" hidden="1" customHeight="1">
      <c r="A82" s="183" t="s">
        <v>173</v>
      </c>
      <c r="B82" s="184"/>
      <c r="C82" s="185">
        <f>SUM(C79:E81)</f>
        <v>296586</v>
      </c>
      <c r="D82" s="171"/>
      <c r="E82" s="172"/>
      <c r="F82" s="10"/>
      <c r="G82" s="10"/>
      <c r="H82" s="186"/>
      <c r="I82" s="186"/>
      <c r="J82" s="187"/>
      <c r="U82" s="187"/>
      <c r="V82" s="2"/>
      <c r="W82" s="2"/>
      <c r="X82" s="2"/>
    </row>
    <row r="83" ht="15.75" customHeight="1">
      <c r="A83" s="188"/>
      <c r="B83" s="5"/>
      <c r="C83" s="2"/>
      <c r="D83" s="8"/>
      <c r="E83" s="9"/>
      <c r="F83" s="10"/>
      <c r="G83" s="10"/>
      <c r="H83" s="186"/>
      <c r="I83" s="186"/>
      <c r="J83" s="187"/>
      <c r="U83" s="187"/>
      <c r="V83" s="2"/>
      <c r="W83" s="2"/>
      <c r="X83" s="2"/>
    </row>
    <row r="84" ht="15.75" customHeight="1">
      <c r="A84" s="189" t="s">
        <v>174</v>
      </c>
      <c r="B84" s="5"/>
      <c r="C84" s="2"/>
      <c r="D84" s="8"/>
      <c r="E84" s="9"/>
      <c r="F84" s="10"/>
      <c r="G84" s="10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90"/>
      <c r="B85" s="5"/>
      <c r="C85" s="2"/>
      <c r="D85" s="8"/>
      <c r="E85" s="9"/>
      <c r="F85" s="10"/>
      <c r="G85" s="1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91" t="s">
        <v>175</v>
      </c>
      <c r="B86" s="174"/>
      <c r="C86" s="192" t="s">
        <v>176</v>
      </c>
      <c r="F86" s="186"/>
      <c r="G86" s="186"/>
      <c r="H86" s="2"/>
      <c r="I86" s="192" t="s">
        <v>177</v>
      </c>
      <c r="O86" s="2"/>
      <c r="P86" s="2"/>
      <c r="Q86" s="192" t="s">
        <v>178</v>
      </c>
      <c r="U86" s="2"/>
      <c r="V86" s="2"/>
      <c r="X86" s="186"/>
    </row>
    <row r="87" ht="15.75" customHeight="1">
      <c r="A87" s="191"/>
      <c r="B87" s="174"/>
      <c r="C87" s="192"/>
      <c r="D87" s="193"/>
      <c r="E87" s="192"/>
      <c r="F87" s="186"/>
      <c r="G87" s="186"/>
      <c r="H87" s="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86"/>
      <c r="X87" s="186"/>
    </row>
    <row r="88" ht="15.75" customHeight="1">
      <c r="A88" s="174"/>
      <c r="B88" s="174"/>
      <c r="C88" s="186"/>
      <c r="D88" s="194"/>
      <c r="E88" s="195"/>
      <c r="F88" s="186"/>
      <c r="G88" s="186"/>
      <c r="H88" s="2"/>
      <c r="I88" s="186"/>
      <c r="J88" s="195"/>
      <c r="K88" s="195"/>
      <c r="L88" s="195"/>
      <c r="M88" s="195"/>
      <c r="N88" s="195"/>
      <c r="O88" s="195"/>
      <c r="P88" s="195"/>
      <c r="Q88" s="186"/>
      <c r="R88" s="195"/>
      <c r="S88" s="186"/>
      <c r="T88" s="186"/>
      <c r="U88" s="186"/>
      <c r="V88" s="186"/>
      <c r="W88" s="186"/>
      <c r="X88" s="186"/>
    </row>
    <row r="89" ht="15.75" customHeight="1">
      <c r="A89" s="196" t="s">
        <v>268</v>
      </c>
      <c r="C89" s="197" t="s">
        <v>180</v>
      </c>
      <c r="G89" s="2"/>
      <c r="H89" s="2"/>
      <c r="I89" s="197" t="s">
        <v>181</v>
      </c>
      <c r="O89" s="2"/>
      <c r="P89" s="2"/>
      <c r="Q89" s="197" t="s">
        <v>182</v>
      </c>
      <c r="U89" s="2"/>
      <c r="V89" s="2"/>
    </row>
    <row r="90" ht="15.0" customHeight="1">
      <c r="A90" s="198" t="s">
        <v>183</v>
      </c>
      <c r="C90" s="199" t="s">
        <v>184</v>
      </c>
      <c r="G90" s="200"/>
      <c r="H90" s="2"/>
      <c r="I90" s="201" t="s">
        <v>185</v>
      </c>
      <c r="O90" s="2"/>
      <c r="P90" s="2"/>
      <c r="Q90" s="199" t="s">
        <v>186</v>
      </c>
      <c r="U90" s="2"/>
      <c r="V90" s="2"/>
      <c r="W90" s="186"/>
      <c r="X90" s="186"/>
    </row>
    <row r="91" ht="15.75" customHeight="1">
      <c r="A91" s="2"/>
      <c r="B91" s="2"/>
      <c r="C91" s="2"/>
      <c r="D91" s="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187</v>
      </c>
      <c r="B92" s="2"/>
      <c r="C92" s="2" t="s">
        <v>187</v>
      </c>
      <c r="D92" s="8"/>
      <c r="E92" s="2"/>
      <c r="F92" s="2"/>
      <c r="G92" s="2"/>
      <c r="H92" s="2"/>
      <c r="I92" s="2" t="s">
        <v>187</v>
      </c>
      <c r="J92" s="2"/>
      <c r="K92" s="2"/>
      <c r="L92" s="2"/>
      <c r="M92" s="2"/>
      <c r="N92" s="2"/>
      <c r="O92" s="2"/>
      <c r="P92" s="2"/>
      <c r="Q92" s="2" t="s">
        <v>187</v>
      </c>
      <c r="R92" s="2"/>
      <c r="S92" s="2"/>
      <c r="T92" s="2"/>
      <c r="U92" s="2"/>
      <c r="V92" s="2"/>
      <c r="W92" s="2"/>
      <c r="X92" s="2"/>
    </row>
    <row r="93" ht="15.75" customHeight="1">
      <c r="D93" s="202"/>
      <c r="H93" s="203"/>
    </row>
    <row r="94" ht="15.75" customHeight="1">
      <c r="D94" s="202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</row>
    <row r="95" ht="15.75" customHeight="1">
      <c r="D95" s="202"/>
      <c r="H95" s="204"/>
      <c r="I95" s="205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</row>
    <row r="96" ht="15.75" customHeight="1">
      <c r="D96" s="202"/>
      <c r="H96" s="207"/>
    </row>
    <row r="97" ht="15.75" customHeight="1">
      <c r="D97" s="202"/>
      <c r="H97" s="208"/>
    </row>
    <row r="98" ht="15.75" customHeight="1">
      <c r="D98" s="202"/>
    </row>
    <row r="99" ht="15.75" customHeight="1">
      <c r="D99" s="202"/>
    </row>
    <row r="100" ht="15.75" customHeight="1">
      <c r="D100" s="202"/>
    </row>
    <row r="101" ht="15.75" customHeight="1">
      <c r="D101" s="202"/>
    </row>
    <row r="102" ht="15.75" customHeight="1">
      <c r="D102" s="202"/>
    </row>
    <row r="103" ht="15.75" customHeight="1">
      <c r="D103" s="202"/>
    </row>
    <row r="104" ht="15.75" customHeight="1">
      <c r="D104" s="202"/>
    </row>
    <row r="105" ht="15.75" customHeight="1">
      <c r="D105" s="202"/>
    </row>
    <row r="106" ht="15.75" customHeight="1">
      <c r="D106" s="202"/>
    </row>
    <row r="107" ht="15.75" customHeight="1">
      <c r="D107" s="202"/>
    </row>
    <row r="108" ht="15.75" customHeight="1">
      <c r="D108" s="202"/>
    </row>
    <row r="109" ht="15.75" customHeight="1">
      <c r="D109" s="202"/>
    </row>
    <row r="110" ht="15.75" customHeight="1">
      <c r="D110" s="202"/>
    </row>
    <row r="111" ht="15.75" customHeight="1">
      <c r="D111" s="202"/>
    </row>
    <row r="112" ht="15.75" customHeight="1">
      <c r="D112" s="202"/>
    </row>
    <row r="113" ht="15.75" customHeight="1">
      <c r="D113" s="202"/>
    </row>
    <row r="114" ht="15.75" customHeight="1">
      <c r="D114" s="202"/>
    </row>
    <row r="115" ht="15.75" customHeight="1">
      <c r="D115" s="202"/>
    </row>
    <row r="116" ht="15.75" customHeight="1">
      <c r="D116" s="202"/>
    </row>
    <row r="117" ht="15.75" customHeight="1">
      <c r="D117" s="202"/>
    </row>
    <row r="118" ht="15.75" customHeight="1">
      <c r="D118" s="202"/>
    </row>
    <row r="119" ht="15.75" customHeight="1">
      <c r="D119" s="202"/>
    </row>
    <row r="120" ht="15.75" customHeight="1">
      <c r="D120" s="202"/>
    </row>
    <row r="121" ht="15.75" customHeight="1">
      <c r="D121" s="202"/>
    </row>
    <row r="122" ht="15.75" customHeight="1">
      <c r="D122" s="202"/>
    </row>
    <row r="123" ht="15.75" customHeight="1">
      <c r="D123" s="202"/>
    </row>
    <row r="124" ht="15.75" customHeight="1">
      <c r="D124" s="202"/>
    </row>
    <row r="125" ht="15.75" customHeight="1">
      <c r="D125" s="202"/>
    </row>
    <row r="126" ht="15.75" customHeight="1">
      <c r="D126" s="202"/>
    </row>
    <row r="127" ht="15.75" customHeight="1">
      <c r="D127" s="202"/>
    </row>
    <row r="128" ht="15.75" customHeight="1">
      <c r="D128" s="202"/>
    </row>
    <row r="129" ht="15.75" customHeight="1">
      <c r="D129" s="202"/>
    </row>
    <row r="130" ht="15.75" customHeight="1">
      <c r="D130" s="202"/>
    </row>
    <row r="131" ht="15.75" customHeight="1">
      <c r="D131" s="202"/>
    </row>
    <row r="132" ht="15.75" customHeight="1">
      <c r="D132" s="202"/>
    </row>
    <row r="133" ht="15.75" customHeight="1">
      <c r="D133" s="202"/>
    </row>
    <row r="134" ht="15.75" customHeight="1">
      <c r="D134" s="202"/>
    </row>
    <row r="135" ht="15.75" customHeight="1">
      <c r="D135" s="202"/>
    </row>
    <row r="136" ht="15.75" customHeight="1">
      <c r="D136" s="202"/>
    </row>
    <row r="137" ht="15.75" customHeight="1">
      <c r="D137" s="202"/>
    </row>
    <row r="138" ht="15.75" customHeight="1">
      <c r="D138" s="202"/>
    </row>
    <row r="139" ht="15.75" customHeight="1">
      <c r="D139" s="202"/>
    </row>
    <row r="140" ht="15.75" customHeight="1">
      <c r="D140" s="202"/>
    </row>
    <row r="141" ht="15.75" customHeight="1">
      <c r="D141" s="202"/>
    </row>
    <row r="142" ht="15.75" customHeight="1">
      <c r="D142" s="202"/>
    </row>
    <row r="143" ht="15.75" customHeight="1">
      <c r="D143" s="202"/>
    </row>
    <row r="144" ht="15.75" customHeight="1">
      <c r="D144" s="202"/>
    </row>
    <row r="145" ht="15.75" customHeight="1">
      <c r="D145" s="202"/>
    </row>
    <row r="146" ht="15.75" customHeight="1">
      <c r="D146" s="202"/>
    </row>
    <row r="147" ht="15.75" customHeight="1">
      <c r="D147" s="202"/>
    </row>
    <row r="148" ht="15.75" customHeight="1">
      <c r="D148" s="202"/>
    </row>
    <row r="149" ht="15.75" customHeight="1">
      <c r="D149" s="202"/>
    </row>
    <row r="150" ht="15.75" customHeight="1">
      <c r="D150" s="202"/>
    </row>
    <row r="151" ht="15.75" customHeight="1">
      <c r="D151" s="202"/>
    </row>
    <row r="152" ht="15.75" customHeight="1">
      <c r="D152" s="202"/>
    </row>
    <row r="153" ht="15.75" customHeight="1">
      <c r="D153" s="202"/>
    </row>
    <row r="154" ht="15.75" customHeight="1">
      <c r="D154" s="202"/>
    </row>
    <row r="155" ht="15.75" customHeight="1">
      <c r="D155" s="202"/>
    </row>
    <row r="156" ht="15.75" customHeight="1">
      <c r="D156" s="202"/>
    </row>
    <row r="157" ht="15.75" customHeight="1">
      <c r="D157" s="202"/>
    </row>
    <row r="158" ht="15.75" customHeight="1">
      <c r="D158" s="202"/>
    </row>
    <row r="159" ht="15.75" customHeight="1">
      <c r="D159" s="202"/>
    </row>
    <row r="160" ht="15.75" customHeight="1">
      <c r="D160" s="202"/>
    </row>
    <row r="161" ht="15.75" customHeight="1">
      <c r="D161" s="202"/>
    </row>
    <row r="162" ht="15.75" customHeight="1">
      <c r="D162" s="202"/>
    </row>
    <row r="163" ht="15.75" customHeight="1">
      <c r="D163" s="202"/>
    </row>
    <row r="164" ht="15.75" customHeight="1">
      <c r="D164" s="202"/>
    </row>
    <row r="165" ht="15.75" customHeight="1">
      <c r="D165" s="202"/>
    </row>
    <row r="166" ht="15.75" customHeight="1">
      <c r="D166" s="202"/>
    </row>
    <row r="167" ht="15.75" customHeight="1">
      <c r="D167" s="202"/>
    </row>
    <row r="168" ht="15.75" customHeight="1">
      <c r="D168" s="202"/>
    </row>
    <row r="169" ht="15.75" customHeight="1">
      <c r="D169" s="202"/>
    </row>
    <row r="170" ht="15.75" customHeight="1">
      <c r="D170" s="202"/>
    </row>
    <row r="171" ht="15.75" customHeight="1">
      <c r="D171" s="202"/>
    </row>
    <row r="172" ht="15.75" customHeight="1">
      <c r="D172" s="202"/>
    </row>
    <row r="173" ht="15.75" customHeight="1">
      <c r="D173" s="202"/>
    </row>
    <row r="174" ht="15.75" customHeight="1">
      <c r="D174" s="202"/>
    </row>
    <row r="175" ht="15.75" customHeight="1">
      <c r="D175" s="202"/>
    </row>
    <row r="176" ht="15.75" customHeight="1">
      <c r="D176" s="202"/>
    </row>
    <row r="177" ht="15.75" customHeight="1">
      <c r="D177" s="202"/>
    </row>
    <row r="178" ht="15.75" customHeight="1">
      <c r="D178" s="202"/>
    </row>
    <row r="179" ht="15.75" customHeight="1">
      <c r="D179" s="202"/>
    </row>
    <row r="180" ht="15.75" customHeight="1">
      <c r="D180" s="202"/>
    </row>
    <row r="181" ht="15.75" customHeight="1">
      <c r="D181" s="202"/>
    </row>
    <row r="182" ht="15.75" customHeight="1">
      <c r="D182" s="202"/>
    </row>
    <row r="183" ht="15.75" customHeight="1">
      <c r="D183" s="202"/>
    </row>
    <row r="184" ht="15.75" customHeight="1">
      <c r="D184" s="202"/>
    </row>
    <row r="185" ht="15.75" customHeight="1">
      <c r="D185" s="202"/>
    </row>
    <row r="186" ht="15.75" customHeight="1">
      <c r="D186" s="202"/>
    </row>
    <row r="187" ht="15.75" customHeight="1">
      <c r="D187" s="202"/>
    </row>
    <row r="188" ht="15.75" customHeight="1">
      <c r="D188" s="202"/>
    </row>
    <row r="189" ht="15.75" customHeight="1">
      <c r="D189" s="202"/>
    </row>
    <row r="190" ht="15.75" customHeight="1">
      <c r="D190" s="202"/>
    </row>
    <row r="191" ht="15.75" customHeight="1">
      <c r="D191" s="202"/>
    </row>
    <row r="192" ht="15.75" customHeight="1">
      <c r="D192" s="202"/>
    </row>
    <row r="193" ht="15.75" customHeight="1">
      <c r="D193" s="202"/>
    </row>
    <row r="194" ht="15.75" customHeight="1">
      <c r="D194" s="202"/>
    </row>
    <row r="195" ht="15.75" customHeight="1">
      <c r="D195" s="202"/>
    </row>
    <row r="196" ht="15.75" customHeight="1">
      <c r="D196" s="202"/>
    </row>
    <row r="197" ht="15.75" customHeight="1">
      <c r="D197" s="202"/>
    </row>
    <row r="198" ht="15.75" customHeight="1">
      <c r="D198" s="202"/>
    </row>
    <row r="199" ht="15.75" customHeight="1">
      <c r="D199" s="202"/>
    </row>
    <row r="200" ht="15.75" customHeight="1">
      <c r="D200" s="202"/>
    </row>
    <row r="201" ht="15.75" customHeight="1">
      <c r="D201" s="202"/>
    </row>
    <row r="202" ht="15.75" customHeight="1">
      <c r="D202" s="202"/>
    </row>
    <row r="203" ht="15.75" customHeight="1">
      <c r="D203" s="202"/>
    </row>
    <row r="204" ht="15.75" customHeight="1">
      <c r="D204" s="202"/>
    </row>
    <row r="205" ht="15.75" customHeight="1">
      <c r="D205" s="202"/>
    </row>
    <row r="206" ht="15.75" customHeight="1">
      <c r="D206" s="202"/>
    </row>
    <row r="207" ht="15.75" customHeight="1">
      <c r="D207" s="202"/>
    </row>
    <row r="208" ht="15.75" customHeight="1">
      <c r="D208" s="202"/>
    </row>
    <row r="209" ht="15.75" customHeight="1">
      <c r="D209" s="202"/>
    </row>
    <row r="210" ht="15.75" customHeight="1">
      <c r="D210" s="202"/>
    </row>
    <row r="211" ht="15.75" customHeight="1">
      <c r="D211" s="202"/>
    </row>
    <row r="212" ht="15.75" customHeight="1">
      <c r="D212" s="202"/>
    </row>
    <row r="213" ht="15.75" customHeight="1">
      <c r="D213" s="202"/>
    </row>
    <row r="214" ht="15.75" customHeight="1">
      <c r="D214" s="202"/>
    </row>
    <row r="215" ht="15.75" customHeight="1">
      <c r="D215" s="202"/>
    </row>
    <row r="216" ht="15.75" customHeight="1">
      <c r="D216" s="202"/>
    </row>
    <row r="217" ht="15.75" customHeight="1">
      <c r="D217" s="202"/>
    </row>
    <row r="218" ht="15.75" customHeight="1">
      <c r="D218" s="202"/>
    </row>
    <row r="219" ht="15.75" customHeight="1">
      <c r="D219" s="202"/>
    </row>
    <row r="220" ht="15.75" customHeight="1">
      <c r="D220" s="202"/>
    </row>
    <row r="221" ht="15.75" customHeight="1">
      <c r="D221" s="202"/>
    </row>
    <row r="222" ht="15.75" customHeight="1">
      <c r="D222" s="202"/>
    </row>
    <row r="223" ht="15.75" customHeight="1">
      <c r="D223" s="202"/>
    </row>
    <row r="224" ht="15.75" customHeight="1">
      <c r="D224" s="202"/>
    </row>
    <row r="225" ht="15.75" customHeight="1">
      <c r="D225" s="202"/>
    </row>
    <row r="226" ht="15.75" customHeight="1">
      <c r="D226" s="202"/>
    </row>
    <row r="227" ht="15.75" customHeight="1">
      <c r="D227" s="202"/>
    </row>
    <row r="228" ht="15.75" customHeight="1">
      <c r="D228" s="202"/>
    </row>
    <row r="229" ht="15.75" customHeight="1">
      <c r="D229" s="202"/>
    </row>
    <row r="230" ht="15.75" customHeight="1">
      <c r="D230" s="202"/>
    </row>
    <row r="231" ht="15.75" customHeight="1">
      <c r="D231" s="202"/>
    </row>
    <row r="232" ht="15.75" customHeight="1">
      <c r="D232" s="202"/>
    </row>
    <row r="233" ht="15.75" customHeight="1">
      <c r="D233" s="202"/>
    </row>
    <row r="234" ht="15.75" customHeight="1">
      <c r="D234" s="202"/>
    </row>
    <row r="235" ht="15.75" customHeight="1">
      <c r="D235" s="202"/>
    </row>
    <row r="236" ht="15.75" customHeight="1">
      <c r="D236" s="202"/>
    </row>
    <row r="237" ht="15.75" customHeight="1">
      <c r="D237" s="202"/>
    </row>
    <row r="238" ht="15.75" customHeight="1">
      <c r="D238" s="202"/>
    </row>
    <row r="239" ht="15.75" customHeight="1">
      <c r="D239" s="202"/>
    </row>
    <row r="240" ht="15.75" customHeight="1">
      <c r="D240" s="202"/>
    </row>
    <row r="241" ht="15.75" customHeight="1">
      <c r="D241" s="202"/>
    </row>
    <row r="242" ht="15.75" customHeight="1">
      <c r="D242" s="202"/>
    </row>
    <row r="243" ht="15.75" customHeight="1">
      <c r="D243" s="202"/>
    </row>
    <row r="244" ht="15.75" customHeight="1">
      <c r="D244" s="202"/>
    </row>
    <row r="245" ht="15.75" customHeight="1">
      <c r="D245" s="202"/>
    </row>
    <row r="246" ht="15.75" customHeight="1">
      <c r="D246" s="202"/>
    </row>
    <row r="247" ht="15.75" customHeight="1">
      <c r="D247" s="202"/>
    </row>
    <row r="248" ht="15.75" customHeight="1">
      <c r="D248" s="202"/>
    </row>
    <row r="249" ht="15.75" customHeight="1">
      <c r="D249" s="202"/>
    </row>
    <row r="250" ht="15.75" customHeight="1">
      <c r="D250" s="202"/>
    </row>
    <row r="251" ht="15.75" customHeight="1">
      <c r="D251" s="202"/>
    </row>
    <row r="252" ht="15.75" customHeight="1">
      <c r="D252" s="202"/>
    </row>
    <row r="253" ht="15.75" customHeight="1">
      <c r="D253" s="202"/>
    </row>
    <row r="254" ht="15.75" customHeight="1">
      <c r="D254" s="202"/>
    </row>
    <row r="255" ht="15.75" customHeight="1">
      <c r="D255" s="202"/>
    </row>
    <row r="256" ht="15.75" customHeight="1">
      <c r="D256" s="202"/>
    </row>
    <row r="257" ht="15.75" customHeight="1">
      <c r="D257" s="202"/>
    </row>
    <row r="258" ht="15.75" customHeight="1">
      <c r="D258" s="202"/>
    </row>
    <row r="259" ht="15.75" customHeight="1">
      <c r="D259" s="202"/>
    </row>
    <row r="260" ht="15.75" customHeight="1">
      <c r="D260" s="202"/>
    </row>
    <row r="261" ht="15.75" customHeight="1">
      <c r="D261" s="202"/>
    </row>
    <row r="262" ht="15.75" customHeight="1">
      <c r="D262" s="202"/>
    </row>
    <row r="263" ht="15.75" customHeight="1">
      <c r="D263" s="202"/>
    </row>
    <row r="264" ht="15.75" customHeight="1">
      <c r="D264" s="202"/>
    </row>
    <row r="265" ht="15.75" customHeight="1">
      <c r="D265" s="202"/>
    </row>
    <row r="266" ht="15.75" customHeight="1">
      <c r="D266" s="202"/>
    </row>
    <row r="267" ht="15.75" customHeight="1">
      <c r="D267" s="202"/>
    </row>
    <row r="268" ht="15.75" customHeight="1">
      <c r="D268" s="202"/>
    </row>
    <row r="269" ht="15.75" customHeight="1">
      <c r="D269" s="202"/>
    </row>
    <row r="270" ht="15.75" customHeight="1">
      <c r="D270" s="202"/>
    </row>
    <row r="271" ht="15.75" customHeight="1">
      <c r="D271" s="202"/>
    </row>
    <row r="272" ht="15.75" customHeight="1">
      <c r="D272" s="202"/>
    </row>
    <row r="273" ht="15.75" customHeight="1">
      <c r="D273" s="202"/>
    </row>
    <row r="274" ht="15.75" customHeight="1">
      <c r="D274" s="202"/>
    </row>
    <row r="275" ht="15.75" customHeight="1">
      <c r="D275" s="202"/>
    </row>
    <row r="276" ht="15.75" customHeight="1">
      <c r="D276" s="202"/>
    </row>
    <row r="277" ht="15.75" customHeight="1">
      <c r="D277" s="202"/>
    </row>
    <row r="278" ht="15.75" customHeight="1">
      <c r="D278" s="202"/>
    </row>
    <row r="279" ht="15.75" customHeight="1">
      <c r="D279" s="202"/>
    </row>
    <row r="280" ht="15.75" customHeight="1">
      <c r="D280" s="202"/>
    </row>
    <row r="281" ht="15.75" customHeight="1">
      <c r="D281" s="202"/>
    </row>
    <row r="282" ht="15.75" customHeight="1">
      <c r="D282" s="202"/>
    </row>
    <row r="283" ht="15.75" customHeight="1">
      <c r="D283" s="202"/>
    </row>
    <row r="284" ht="15.75" customHeight="1">
      <c r="D284" s="202"/>
    </row>
    <row r="285" ht="15.75" customHeight="1">
      <c r="D285" s="202"/>
    </row>
    <row r="286" ht="15.75" customHeight="1">
      <c r="D286" s="202"/>
    </row>
    <row r="287" ht="15.75" customHeight="1">
      <c r="D287" s="202"/>
    </row>
    <row r="288" ht="15.75" customHeight="1">
      <c r="D288" s="202"/>
    </row>
    <row r="289" ht="15.75" customHeight="1">
      <c r="D289" s="202"/>
    </row>
    <row r="290" ht="15.75" customHeight="1">
      <c r="D290" s="202"/>
    </row>
    <row r="291" ht="15.75" customHeight="1">
      <c r="D291" s="202"/>
    </row>
    <row r="292" ht="15.75" customHeight="1">
      <c r="D292" s="20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