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Q2" sheetId="2" r:id="rId1"/>
  </sheets>
  <calcPr calcId="144525"/>
</workbook>
</file>

<file path=xl/sharedStrings.xml><?xml version="1.0" encoding="utf-8"?>
<sst xmlns="http://schemas.openxmlformats.org/spreadsheetml/2006/main" count="206" uniqueCount="155">
  <si>
    <t xml:space="preserve">  PROJECT PROCUREMENT MANAGEMENT PLAN (PPMP) 2024</t>
  </si>
  <si>
    <t>For 2nd Quarter of CY 2024</t>
  </si>
  <si>
    <t>END-USER/UNIT: RDD-CDABUS</t>
  </si>
  <si>
    <t>Charged to: RDD-GAA 2024: Melt-Spun Fibers and Meltblown Fabrics from Poly(lactic Acid) and Polypropylene through Incorporation of Plasticizers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</si>
  <si>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</si>
  <si>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</si>
  <si>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</si>
  <si>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</si>
  <si>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</si>
  <si>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</si>
  <si>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</si>
  <si>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</si>
  <si>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</si>
  <si>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</si>
  <si>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</si>
  <si>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</si>
  <si>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</si>
  <si>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</si>
  <si>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</si>
  <si>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</si>
  <si>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</si>
  <si>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</si>
  <si>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</si>
  <si>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</si>
  <si>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</si>
  <si>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</si>
  <si>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BAC Reso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</si>
  <si>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</si>
  <si>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</si>
  <si>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</si>
  <si>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</si>
  <si>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</si>
  <si>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</si>
  <si>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</si>
  <si>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</si>
  <si>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</si>
  <si>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</si>
  <si>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</si>
  <si>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OR / Invoice and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</si>
  <si>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</si>
  <si>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</si>
  <si>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</si>
  <si>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</si>
  <si>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</si>
  <si>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</si>
  <si>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</si>
  <si>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</si>
  <si>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</si>
  <si>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</si>
  <si>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</si>
  <si>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</si>
  <si>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</si>
  <si>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</si>
  <si>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</si>
  <si>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</si>
  <si>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</si>
  <si>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</si>
  <si>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</si>
  <si>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</si>
  <si>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</si>
  <si>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</si>
  <si>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</si>
  <si>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</si>
  <si>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</si>
  <si>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</si>
  <si>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</si>
  <si>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</si>
  <si>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</si>
  <si>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</si>
  <si>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</si>
  <si>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</si>
  <si>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</si>
  <si>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</si>
  <si>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</si>
  <si>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</si>
  <si>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</si>
  <si>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</si>
  <si>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</si>
  <si>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</si>
  <si>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</si>
  <si>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</si>
  <si>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</si>
  <si>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</si>
  <si>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</si>
  <si>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</si>
  <si>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</si>
  <si>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</si>
  <si>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50203010 02</t>
  </si>
  <si>
    <t>Office Supplies Expenses</t>
  </si>
  <si>
    <t>Whiteboard, double faced, fixed stand (4' x 8')</t>
  </si>
  <si>
    <t>10 pcs</t>
  </si>
  <si>
    <t>Negotiated Procurement - Small Value Procurement</t>
  </si>
  <si>
    <t>15 working days</t>
  </si>
  <si>
    <t>OS-172</t>
  </si>
  <si>
    <t>Whiteboard marker (black), 12 pcs per box</t>
  </si>
  <si>
    <t>5 boxes</t>
  </si>
  <si>
    <t>Shopping</t>
  </si>
  <si>
    <t>Whiteboard marker (red), 12 pcs per box</t>
  </si>
  <si>
    <t>50203080 00</t>
  </si>
  <si>
    <t>Medical, Dental Laboratory Supplies Expenses</t>
  </si>
  <si>
    <t>Poly(lactic acid), fiber-grade (25 kg)</t>
  </si>
  <si>
    <t>1 bag</t>
  </si>
  <si>
    <t>60 working days</t>
  </si>
  <si>
    <t>Poly(butylene succinate), MW=40000 g/mol</t>
  </si>
  <si>
    <t>1 lot</t>
  </si>
  <si>
    <t>Poly(ethylene glycol), MW=400 g/mol, 500 g</t>
  </si>
  <si>
    <t>3 lots</t>
  </si>
  <si>
    <t>Tributyl acetyl citrate</t>
  </si>
  <si>
    <t>1 kg</t>
  </si>
  <si>
    <t>BHT Antioxidant</t>
  </si>
  <si>
    <t>Irgafos 168 Antioxidant, 500 g</t>
  </si>
  <si>
    <t>Uvinul 3039 Antioxidant, 250 mL</t>
  </si>
  <si>
    <t>Trinuvin 900 UV Stabilizer, 100 g</t>
  </si>
  <si>
    <t>5 lots</t>
  </si>
  <si>
    <t>Calcium Stearate</t>
  </si>
  <si>
    <t>Stearic Acid</t>
  </si>
  <si>
    <t>Peroxide masterbatch (25 kg)</t>
  </si>
  <si>
    <t>Sodium Alginate, analytical grade</t>
  </si>
  <si>
    <t>2 bottles</t>
  </si>
  <si>
    <t xml:space="preserve">Nitrogen gas tank refill </t>
  </si>
  <si>
    <t>1 tank</t>
  </si>
  <si>
    <t>50211990 00</t>
  </si>
  <si>
    <t>Other Professional Services</t>
  </si>
  <si>
    <t>Fiber fineness testing (ASTM D1577)</t>
  </si>
  <si>
    <t>24 samples</t>
  </si>
  <si>
    <t>per schedule</t>
  </si>
  <si>
    <t>SEM Imaging of fibers and fabrics</t>
  </si>
  <si>
    <t>16 samples</t>
  </si>
  <si>
    <t>Thermogravimetric analysis (TGA)</t>
  </si>
  <si>
    <t>Differential scanning calorimetry (DSC)</t>
  </si>
  <si>
    <t>Polymer molecular weight (GPC)</t>
  </si>
  <si>
    <t>8 samples</t>
  </si>
  <si>
    <t>Representation Expenses</t>
  </si>
  <si>
    <t>Research Writeshop</t>
  </si>
  <si>
    <t>Cash Advance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</si>
  <si>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</si>
  <si>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</si>
  <si>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</si>
  <si>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</si>
  <si>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</si>
  <si>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</si>
  <si>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</si>
  <si>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</si>
  <si>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</si>
  <si>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</si>
  <si>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AUDRIC ZURIEL C. CRUZ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</si>
  <si>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</si>
  <si>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</si>
  <si>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</si>
  <si>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</si>
  <si>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</si>
  <si>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</si>
  <si>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</si>
  <si>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r>
      <rPr>
        <sz val="11"/>
        <color theme="1"/>
        <rFont val="Arial"/>
        <charset val="134"/>
      </rPr>
      <t xml:space="preserve">Date: </t>
    </r>
    <r>
      <rPr>
        <u/>
        <sz val="11"/>
        <color theme="1"/>
        <rFont val="Arial"/>
        <charset val="134"/>
      </rPr>
      <t>June 3, 2024</t>
    </r>
  </si>
  <si>
    <t>Date: ______________________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</si>
</sst>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</numFmts>
  <fonts count="40">
    <font>
      <sz val="11"/>
      <color theme="1"/>
      <name val="Arial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i/>
      <sz val="12"/>
      <color theme="1"/>
      <name val="Arial"/>
      <charset val="134"/>
    </font>
    <font>
      <i/>
      <sz val="12"/>
      <color theme="1"/>
      <name val="Arial"/>
      <charset val="134"/>
    </font>
    <font>
      <b/>
      <sz val="9"/>
      <color theme="1"/>
      <name val="Arial"/>
      <charset val="134"/>
    </font>
    <font>
      <sz val="11"/>
      <name val="Arial"/>
      <charset val="134"/>
      <scheme val="minor"/>
    </font>
    <font>
      <sz val="9"/>
      <color theme="1"/>
      <name val="Arial"/>
      <charset val="134"/>
    </font>
    <font>
      <sz val="9"/>
      <color theme="1"/>
      <name val="Arial"/>
      <charset val="134"/>
      <scheme val="minor"/>
    </font>
    <font>
      <sz val="10"/>
      <color theme="1"/>
      <name val="Arial"/>
      <charset val="134"/>
    </font>
    <font>
      <b/>
      <u/>
      <sz val="9"/>
      <color theme="1"/>
      <name val="Arial"/>
      <charset val="134"/>
    </font>
    <font>
      <b/>
      <sz val="8"/>
      <color theme="1"/>
      <name val="Arial"/>
      <charset val="134"/>
    </font>
    <font>
      <u/>
      <sz val="8"/>
      <color theme="1"/>
      <name val="Arial"/>
      <charset val="134"/>
    </font>
    <font>
      <b/>
      <sz val="10"/>
      <color theme="1"/>
      <name val="Arial"/>
      <charset val="134"/>
    </font>
    <font>
      <b/>
      <u/>
      <sz val="10"/>
      <color theme="1"/>
      <name val="Arial"/>
      <charset val="134"/>
    </font>
    <font>
      <sz val="11"/>
      <color theme="1"/>
      <name val="Calibri"/>
      <charset val="134"/>
    </font>
    <font>
      <b/>
      <sz val="10"/>
      <color theme="1"/>
      <name val="Verdana"/>
      <charset val="134"/>
    </font>
    <font>
      <sz val="10"/>
      <color theme="1"/>
      <name val="Calibri"/>
      <charset val="134"/>
    </font>
    <font>
      <sz val="10"/>
      <color theme="1"/>
      <name val="Verdana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" borderId="2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27" applyNumberFormat="0" applyAlignment="0" applyProtection="0">
      <alignment vertical="center"/>
    </xf>
    <xf numFmtId="0" fontId="29" fillId="5" borderId="28" applyNumberFormat="0" applyAlignment="0" applyProtection="0">
      <alignment vertical="center"/>
    </xf>
    <xf numFmtId="0" fontId="30" fillId="5" borderId="27" applyNumberFormat="0" applyAlignment="0" applyProtection="0">
      <alignment vertical="center"/>
    </xf>
    <xf numFmtId="0" fontId="31" fillId="6" borderId="29" applyNumberFormat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3" fillId="0" borderId="31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11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2" fillId="0" borderId="0" xfId="0" applyFont="1"/>
    <xf numFmtId="4" fontId="2" fillId="0" borderId="0" xfId="0" applyNumberFormat="1" applyFont="1" applyAlignment="1">
      <alignment horizontal="right"/>
    </xf>
    <xf numFmtId="176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4" fontId="6" fillId="0" borderId="2" xfId="0" applyNumberFormat="1" applyFont="1" applyBorder="1" applyAlignment="1">
      <alignment horizontal="center" wrapText="1"/>
    </xf>
    <xf numFmtId="176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wrapText="1"/>
    </xf>
    <xf numFmtId="0" fontId="7" fillId="0" borderId="4" xfId="0" applyFont="1" applyBorder="1"/>
    <xf numFmtId="0" fontId="7" fillId="0" borderId="5" xfId="0" applyFont="1" applyBorder="1"/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4" fontId="6" fillId="0" borderId="5" xfId="0" applyNumberFormat="1" applyFont="1" applyBorder="1" applyAlignment="1">
      <alignment horizontal="center" wrapText="1"/>
    </xf>
    <xf numFmtId="176" fontId="6" fillId="0" borderId="5" xfId="0" applyNumberFormat="1" applyFont="1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" fontId="6" fillId="2" borderId="9" xfId="0" applyNumberFormat="1" applyFont="1" applyFill="1" applyBorder="1" applyAlignment="1">
      <alignment horizontal="right" vertical="center" wrapText="1"/>
    </xf>
    <xf numFmtId="176" fontId="6" fillId="2" borderId="9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vertical="center"/>
    </xf>
    <xf numFmtId="49" fontId="8" fillId="0" borderId="11" xfId="0" applyNumberFormat="1" applyFont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4" fontId="8" fillId="0" borderId="9" xfId="0" applyNumberFormat="1" applyFont="1" applyBorder="1" applyAlignment="1">
      <alignment horizontal="right" vertical="center" wrapText="1"/>
    </xf>
    <xf numFmtId="176" fontId="8" fillId="0" borderId="9" xfId="0" applyNumberFormat="1" applyFont="1" applyBorder="1" applyAlignment="1">
      <alignment horizontal="righ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/>
    </xf>
    <xf numFmtId="49" fontId="8" fillId="0" borderId="11" xfId="0" applyNumberFormat="1" applyFont="1" applyBorder="1" applyAlignment="1"/>
    <xf numFmtId="0" fontId="8" fillId="0" borderId="7" xfId="0" applyFont="1" applyBorder="1" applyAlignment="1">
      <alignment horizontal="center"/>
    </xf>
    <xf numFmtId="49" fontId="8" fillId="0" borderId="7" xfId="0" applyNumberFormat="1" applyFont="1" applyBorder="1"/>
    <xf numFmtId="49" fontId="8" fillId="0" borderId="11" xfId="0" applyNumberFormat="1" applyFont="1" applyBorder="1"/>
    <xf numFmtId="0" fontId="6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8" fillId="2" borderId="7" xfId="0" applyFont="1" applyFill="1" applyBorder="1"/>
    <xf numFmtId="4" fontId="8" fillId="2" borderId="7" xfId="0" applyNumberFormat="1" applyFont="1" applyFill="1" applyBorder="1" applyAlignment="1">
      <alignment horizontal="right"/>
    </xf>
    <xf numFmtId="0" fontId="8" fillId="2" borderId="7" xfId="0" applyFont="1" applyFill="1" applyBorder="1" applyAlignment="1">
      <alignment horizontal="right"/>
    </xf>
    <xf numFmtId="0" fontId="8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left" vertical="center"/>
    </xf>
    <xf numFmtId="49" fontId="8" fillId="0" borderId="11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horizontal="center" wrapText="1"/>
    </xf>
    <xf numFmtId="0" fontId="8" fillId="0" borderId="7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4" fontId="8" fillId="0" borderId="7" xfId="0" applyNumberFormat="1" applyFont="1" applyBorder="1" applyAlignment="1">
      <alignment horizontal="right" vertical="center" wrapText="1"/>
    </xf>
    <xf numFmtId="176" fontId="8" fillId="0" borderId="7" xfId="0" applyNumberFormat="1" applyFont="1" applyBorder="1" applyAlignment="1">
      <alignment horizontal="right" vertical="center" wrapText="1"/>
    </xf>
    <xf numFmtId="0" fontId="9" fillId="0" borderId="7" xfId="0" applyFont="1" applyBorder="1" applyAlignment="1"/>
    <xf numFmtId="176" fontId="8" fillId="0" borderId="9" xfId="0" applyNumberFormat="1" applyFont="1" applyBorder="1" applyAlignment="1">
      <alignment horizontal="center" vertical="center" wrapText="1"/>
    </xf>
    <xf numFmtId="0" fontId="8" fillId="0" borderId="7" xfId="0" applyFont="1" applyBorder="1"/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7" fillId="0" borderId="15" xfId="0" applyFont="1" applyBorder="1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76" fontId="2" fillId="0" borderId="16" xfId="0" applyNumberFormat="1" applyFont="1" applyBorder="1"/>
    <xf numFmtId="0" fontId="11" fillId="0" borderId="0" xfId="0" applyFont="1" applyAlignment="1">
      <alignment vertical="center"/>
    </xf>
    <xf numFmtId="176" fontId="1" fillId="0" borderId="0" xfId="0" applyNumberFormat="1" applyFont="1" applyAlignment="1">
      <alignment horizontal="center"/>
    </xf>
    <xf numFmtId="0" fontId="6" fillId="0" borderId="1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76" fontId="1" fillId="0" borderId="17" xfId="0" applyNumberFormat="1" applyFont="1" applyBorder="1" applyAlignment="1">
      <alignment horizontal="center"/>
    </xf>
    <xf numFmtId="0" fontId="7" fillId="0" borderId="18" xfId="0" applyFont="1" applyBorder="1"/>
    <xf numFmtId="0" fontId="7" fillId="0" borderId="19" xfId="0" applyFont="1" applyBorder="1"/>
    <xf numFmtId="0" fontId="6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76" fontId="1" fillId="0" borderId="14" xfId="0" applyNumberFormat="1" applyFont="1" applyBorder="1" applyAlignment="1">
      <alignment horizontal="center"/>
    </xf>
    <xf numFmtId="0" fontId="7" fillId="0" borderId="13" xfId="0" applyFont="1" applyBorder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wrapText="1"/>
    </xf>
    <xf numFmtId="0" fontId="10" fillId="0" borderId="0" xfId="0" applyFont="1"/>
    <xf numFmtId="4" fontId="14" fillId="0" borderId="0" xfId="0" applyNumberFormat="1" applyFont="1" applyAlignment="1">
      <alignment horizontal="right" vertical="center" wrapText="1"/>
    </xf>
    <xf numFmtId="4" fontId="10" fillId="0" borderId="0" xfId="0" applyNumberFormat="1" applyFont="1" applyAlignment="1">
      <alignment horizontal="right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/>
    <xf numFmtId="4" fontId="16" fillId="0" borderId="0" xfId="0" applyNumberFormat="1" applyFont="1" applyAlignment="1">
      <alignment horizontal="right"/>
    </xf>
    <xf numFmtId="0" fontId="6" fillId="0" borderId="20" xfId="0" applyFont="1" applyBorder="1" applyAlignment="1">
      <alignment horizontal="center" wrapText="1"/>
    </xf>
    <xf numFmtId="0" fontId="7" fillId="0" borderId="20" xfId="0" applyFont="1" applyBorder="1"/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horizontal="left"/>
    </xf>
    <xf numFmtId="176" fontId="10" fillId="0" borderId="0" xfId="0" applyNumberFormat="1" applyFont="1" applyAlignment="1">
      <alignment horizontal="center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0" fontId="17" fillId="0" borderId="0" xfId="0" applyFont="1" applyAlignment="1">
      <alignment wrapText="1"/>
    </xf>
    <xf numFmtId="0" fontId="19" fillId="0" borderId="0" xfId="0" applyFont="1"/>
    <xf numFmtId="0" fontId="17" fillId="0" borderId="0" xfId="0" applyFont="1" applyAlignment="1">
      <alignment horizontal="left" wrapText="1"/>
    </xf>
    <xf numFmtId="176" fontId="19" fillId="0" borderId="0" xfId="0" applyNumberFormat="1" applyFont="1" applyAlignment="1">
      <alignment horizontal="left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22" xfId="0" applyFont="1" applyBorder="1"/>
    <xf numFmtId="0" fontId="6" fillId="0" borderId="23" xfId="0" applyFont="1" applyBorder="1" applyAlignment="1">
      <alignment horizontal="center" wrapText="1"/>
    </xf>
    <xf numFmtId="0" fontId="6" fillId="0" borderId="6" xfId="0" applyFont="1" applyBorder="1" applyAlignment="1" quotePrefix="1">
      <alignment horizontal="center" wrapText="1"/>
    </xf>
    <xf numFmtId="0" fontId="6" fillId="0" borderId="5" xfId="0" applyFont="1" applyBorder="1" applyAlignment="1" quotePrefix="1">
      <alignment horizontal="center" wrapText="1"/>
    </xf>
    <xf numFmtId="4" fontId="6" fillId="0" borderId="5" xfId="0" applyNumberFormat="1" applyFont="1" applyBorder="1" applyAlignment="1" quotePrefix="1">
      <alignment horizontal="center" wrapText="1"/>
    </xf>
    <xf numFmtId="176" fontId="6" fillId="0" borderId="5" xfId="0" applyNumberFormat="1" applyFont="1" applyBorder="1" applyAlignment="1" quotePrefix="1">
      <alignment horizontal="center" wrapText="1"/>
    </xf>
    <xf numFmtId="0" fontId="6" fillId="0" borderId="5" xfId="0" applyFont="1" applyBorder="1" applyAlignment="1" quotePrefix="1">
      <alignment wrapText="1"/>
    </xf>
    <xf numFmtId="0" fontId="6" fillId="0" borderId="23" xfId="0" applyFont="1" applyBorder="1" applyAlignment="1" quotePrefix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N1005"/>
  <sheetViews>
    <sheetView tabSelected="1" workbookViewId="0">
      <selection activeCell="A1" sqref="A1:W1"/>
    </sheetView>
  </sheetViews>
  <sheetFormatPr defaultColWidth="12.6333333333333" defaultRowHeight="15" customHeight="1"/>
  <cols>
    <col min="1" max="1" width="12.8833333333333" customWidth="1"/>
    <col min="2" max="2" width="10.5" customWidth="1"/>
    <col min="3" max="3" width="38.8833333333333" customWidth="1"/>
    <col min="4" max="4" width="11.6333333333333" customWidth="1"/>
    <col min="5" max="5" width="10.1333333333333" customWidth="1"/>
    <col min="6" max="6" width="11.1333333333333" customWidth="1"/>
    <col min="7" max="7" width="23.1333333333333" customWidth="1"/>
    <col min="8" max="8" width="15.5" customWidth="1"/>
    <col min="9" max="13" width="7.63333333333333" customWidth="1"/>
    <col min="14" max="14" width="11.3833333333333" customWidth="1"/>
    <col min="15" max="16" width="7.63333333333333" customWidth="1"/>
    <col min="17" max="39" width="0.383333333333333" customWidth="1"/>
  </cols>
  <sheetData>
    <row r="1" ht="15.75" spans="1:25">
      <c r="A1" s="1" t="s">
        <v>0</v>
      </c>
      <c r="X1" s="8"/>
      <c r="Y1" s="8"/>
    </row>
    <row r="2" ht="14.25" spans="1:25">
      <c r="A2" s="2" t="s">
        <v>1</v>
      </c>
      <c r="X2" s="8"/>
      <c r="Y2" s="8"/>
    </row>
    <row r="3" spans="1:25">
      <c r="A3" s="3"/>
      <c r="X3" s="8"/>
      <c r="Y3" s="8"/>
    </row>
    <row r="4" ht="15.75" spans="1:25">
      <c r="A4" s="4" t="s">
        <v>2</v>
      </c>
      <c r="B4" s="5"/>
      <c r="C4" s="5"/>
      <c r="D4" s="5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8"/>
      <c r="X4" s="8"/>
      <c r="Y4" s="8"/>
    </row>
    <row r="5" spans="1:25">
      <c r="A5" s="7"/>
      <c r="B5" s="5"/>
      <c r="C5" s="5"/>
      <c r="D5" s="8"/>
      <c r="E5" s="9"/>
      <c r="F5" s="10"/>
      <c r="G5" s="11"/>
      <c r="H5" s="1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spans="1:25">
      <c r="A6" s="4" t="s">
        <v>3</v>
      </c>
      <c r="B6" s="5"/>
      <c r="C6" s="5"/>
      <c r="D6" s="8"/>
      <c r="E6" s="9"/>
      <c r="F6" s="10"/>
      <c r="G6" s="11"/>
      <c r="H6" s="1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spans="1:25">
      <c r="A7" s="7" t="s">
        <v>4</v>
      </c>
      <c r="B7" s="5"/>
      <c r="C7" s="5"/>
      <c r="D7" s="8"/>
      <c r="E7" s="9"/>
      <c r="F7" s="10"/>
      <c r="G7" s="11"/>
      <c r="H7" s="1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22.5" customHeight="1" spans="1:40">
      <c r="A8" s="12" t="s">
        <v>5</v>
      </c>
      <c r="B8" s="13" t="s">
        <v>6</v>
      </c>
      <c r="C8" s="13" t="s">
        <v>7</v>
      </c>
      <c r="D8" s="14" t="s">
        <v>8</v>
      </c>
      <c r="E8" s="15" t="s">
        <v>9</v>
      </c>
      <c r="F8" s="16" t="s">
        <v>10</v>
      </c>
      <c r="G8" s="13" t="s">
        <v>11</v>
      </c>
      <c r="H8" s="17" t="s">
        <v>12</v>
      </c>
      <c r="I8" s="96" t="s">
        <v>13</v>
      </c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110"/>
    </row>
    <row r="9" ht="324.75" spans="1:40">
      <c r="A9" s="18"/>
      <c r="B9" s="19"/>
      <c r="C9" s="19"/>
      <c r="D9" s="20" t="s">
        <v>14</v>
      </c>
      <c r="E9" s="19"/>
      <c r="F9" s="19"/>
      <c r="G9" s="19"/>
      <c r="H9" s="19"/>
      <c r="I9" s="20" t="s">
        <v>15</v>
      </c>
      <c r="J9" s="20" t="s">
        <v>16</v>
      </c>
      <c r="K9" s="20" t="s">
        <v>17</v>
      </c>
      <c r="L9" s="20" t="s">
        <v>18</v>
      </c>
      <c r="M9" s="20" t="s">
        <v>19</v>
      </c>
      <c r="N9" s="20" t="s">
        <v>20</v>
      </c>
      <c r="O9" s="20" t="s">
        <v>21</v>
      </c>
      <c r="P9" s="20" t="s">
        <v>22</v>
      </c>
      <c r="Q9" s="20" t="s">
        <v>23</v>
      </c>
      <c r="R9" s="20" t="s">
        <v>24</v>
      </c>
      <c r="S9" s="20" t="s">
        <v>25</v>
      </c>
      <c r="T9" s="20" t="s">
        <v>26</v>
      </c>
      <c r="U9" s="20" t="s">
        <v>27</v>
      </c>
      <c r="V9" s="20" t="s">
        <v>28</v>
      </c>
      <c r="W9" s="20" t="s">
        <v>29</v>
      </c>
      <c r="X9" s="20" t="s">
        <v>30</v>
      </c>
      <c r="Y9" s="20" t="s">
        <v>31</v>
      </c>
      <c r="Z9" s="20" t="s">
        <v>32</v>
      </c>
      <c r="AA9" s="20" t="s">
        <v>33</v>
      </c>
      <c r="AB9" s="20" t="s">
        <v>34</v>
      </c>
      <c r="AC9" s="20" t="s">
        <v>35</v>
      </c>
      <c r="AD9" s="20" t="s">
        <v>36</v>
      </c>
      <c r="AE9" s="20" t="s">
        <v>37</v>
      </c>
      <c r="AF9" s="20" t="s">
        <v>38</v>
      </c>
      <c r="AG9" s="20" t="s">
        <v>39</v>
      </c>
      <c r="AH9" s="20" t="s">
        <v>40</v>
      </c>
      <c r="AI9" s="20" t="s">
        <v>41</v>
      </c>
      <c r="AJ9" s="20" t="s">
        <v>42</v>
      </c>
      <c r="AK9" s="20" t="s">
        <v>43</v>
      </c>
      <c r="AL9" s="20" t="s">
        <v>44</v>
      </c>
      <c r="AM9" s="20" t="s">
        <v>45</v>
      </c>
      <c r="AN9" s="111" t="s">
        <v>46</v>
      </c>
    </row>
    <row r="10" ht="48.75" spans="1:40">
      <c r="A10" s="112" t="s">
        <v>47</v>
      </c>
      <c r="B10" s="113" t="s">
        <v>48</v>
      </c>
      <c r="C10" s="113" t="s">
        <v>49</v>
      </c>
      <c r="D10" s="113" t="s">
        <v>50</v>
      </c>
      <c r="E10" s="114" t="s">
        <v>51</v>
      </c>
      <c r="F10" s="115" t="s">
        <v>52</v>
      </c>
      <c r="G10" s="113" t="s">
        <v>53</v>
      </c>
      <c r="H10" s="116" t="s">
        <v>54</v>
      </c>
      <c r="I10" s="113" t="s">
        <v>55</v>
      </c>
      <c r="J10" s="113" t="s">
        <v>56</v>
      </c>
      <c r="K10" s="113" t="s">
        <v>57</v>
      </c>
      <c r="L10" s="113" t="s">
        <v>58</v>
      </c>
      <c r="M10" s="113" t="s">
        <v>59</v>
      </c>
      <c r="N10" s="113" t="s">
        <v>60</v>
      </c>
      <c r="O10" s="113" t="s">
        <v>61</v>
      </c>
      <c r="P10" s="113" t="s">
        <v>62</v>
      </c>
      <c r="Q10" s="113" t="s">
        <v>63</v>
      </c>
      <c r="R10" s="113" t="s">
        <v>64</v>
      </c>
      <c r="S10" s="113" t="s">
        <v>65</v>
      </c>
      <c r="T10" s="113" t="s">
        <v>66</v>
      </c>
      <c r="U10" s="113" t="s">
        <v>67</v>
      </c>
      <c r="V10" s="113" t="s">
        <v>68</v>
      </c>
      <c r="W10" s="113" t="s">
        <v>69</v>
      </c>
      <c r="X10" s="113" t="s">
        <v>70</v>
      </c>
      <c r="Y10" s="113" t="s">
        <v>71</v>
      </c>
      <c r="Z10" s="113" t="s">
        <v>72</v>
      </c>
      <c r="AA10" s="113" t="s">
        <v>73</v>
      </c>
      <c r="AB10" s="113" t="s">
        <v>74</v>
      </c>
      <c r="AC10" s="113" t="s">
        <v>75</v>
      </c>
      <c r="AD10" s="113" t="s">
        <v>76</v>
      </c>
      <c r="AE10" s="113" t="s">
        <v>77</v>
      </c>
      <c r="AF10" s="113" t="s">
        <v>78</v>
      </c>
      <c r="AG10" s="113" t="s">
        <v>79</v>
      </c>
      <c r="AH10" s="113" t="s">
        <v>80</v>
      </c>
      <c r="AI10" s="117" t="s">
        <v>81</v>
      </c>
      <c r="AJ10" s="113" t="s">
        <v>82</v>
      </c>
      <c r="AK10" s="113" t="s">
        <v>83</v>
      </c>
      <c r="AL10" s="117" t="s">
        <v>84</v>
      </c>
      <c r="AM10" s="117" t="s">
        <v>85</v>
      </c>
      <c r="AN10" s="117" t="s">
        <v>86</v>
      </c>
    </row>
    <row r="11" ht="14.25" spans="1:40">
      <c r="A11" s="25" t="s">
        <v>87</v>
      </c>
      <c r="B11" s="26"/>
      <c r="C11" s="27" t="s">
        <v>88</v>
      </c>
      <c r="D11" s="28"/>
      <c r="E11" s="29"/>
      <c r="F11" s="30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108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</row>
    <row r="12" ht="23.25" customHeight="1" spans="1:40">
      <c r="A12" s="31"/>
      <c r="B12" s="32"/>
      <c r="C12" s="33" t="s">
        <v>89</v>
      </c>
      <c r="D12" s="34" t="s">
        <v>90</v>
      </c>
      <c r="E12" s="35">
        <v>10000</v>
      </c>
      <c r="F12" s="36">
        <f>10*E12</f>
        <v>100000</v>
      </c>
      <c r="G12" s="37" t="s">
        <v>91</v>
      </c>
      <c r="H12" s="38" t="s">
        <v>92</v>
      </c>
      <c r="I12" s="98"/>
      <c r="J12" s="38">
        <v>10</v>
      </c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</row>
    <row r="13" ht="15.75" customHeight="1" spans="1:40">
      <c r="A13" s="31"/>
      <c r="B13" s="39" t="s">
        <v>93</v>
      </c>
      <c r="C13" s="40" t="s">
        <v>94</v>
      </c>
      <c r="D13" s="34" t="s">
        <v>95</v>
      </c>
      <c r="E13" s="35">
        <v>1000</v>
      </c>
      <c r="F13" s="36">
        <v>5000</v>
      </c>
      <c r="G13" s="41" t="s">
        <v>96</v>
      </c>
      <c r="H13" s="38" t="s">
        <v>92</v>
      </c>
      <c r="I13" s="62"/>
      <c r="J13" s="41">
        <v>5</v>
      </c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</row>
    <row r="14" ht="15.75" customHeight="1" spans="1:40">
      <c r="A14" s="31"/>
      <c r="B14" s="39" t="s">
        <v>93</v>
      </c>
      <c r="C14" s="40" t="s">
        <v>97</v>
      </c>
      <c r="D14" s="34" t="s">
        <v>95</v>
      </c>
      <c r="E14" s="35">
        <v>1000</v>
      </c>
      <c r="F14" s="36">
        <v>5000</v>
      </c>
      <c r="G14" s="41" t="s">
        <v>96</v>
      </c>
      <c r="H14" s="38" t="s">
        <v>92</v>
      </c>
      <c r="I14" s="62"/>
      <c r="J14" s="41">
        <v>5</v>
      </c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</row>
    <row r="15" ht="15.75" customHeight="1" spans="1:40">
      <c r="A15" s="31"/>
      <c r="B15" s="42"/>
      <c r="C15" s="43"/>
      <c r="D15" s="34"/>
      <c r="E15" s="35"/>
      <c r="F15" s="36"/>
      <c r="G15" s="41"/>
      <c r="H15" s="38"/>
      <c r="I15" s="62"/>
      <c r="J15" s="41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</row>
    <row r="16" ht="15.75" customHeight="1" spans="1:40">
      <c r="A16" s="44" t="s">
        <v>98</v>
      </c>
      <c r="B16" s="45"/>
      <c r="C16" s="46" t="s">
        <v>99</v>
      </c>
      <c r="D16" s="47"/>
      <c r="E16" s="48"/>
      <c r="F16" s="49"/>
      <c r="G16" s="50"/>
      <c r="H16" s="51"/>
      <c r="I16" s="47"/>
      <c r="J16" s="50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</row>
    <row r="17" ht="24.75" customHeight="1" spans="1:40">
      <c r="A17" s="31"/>
      <c r="B17" s="52"/>
      <c r="C17" s="53" t="s">
        <v>100</v>
      </c>
      <c r="D17" s="34" t="s">
        <v>101</v>
      </c>
      <c r="E17" s="35">
        <v>50000</v>
      </c>
      <c r="F17" s="36">
        <v>50000</v>
      </c>
      <c r="G17" s="54" t="s">
        <v>91</v>
      </c>
      <c r="H17" s="38" t="s">
        <v>102</v>
      </c>
      <c r="I17" s="62"/>
      <c r="J17" s="41">
        <v>1</v>
      </c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</row>
    <row r="18" ht="15.75" customHeight="1" spans="1:40">
      <c r="A18" s="31"/>
      <c r="B18" s="55"/>
      <c r="C18" s="56" t="s">
        <v>103</v>
      </c>
      <c r="D18" s="34" t="s">
        <v>104</v>
      </c>
      <c r="E18" s="35">
        <v>90000</v>
      </c>
      <c r="F18" s="36">
        <v>90000</v>
      </c>
      <c r="G18" s="41" t="s">
        <v>96</v>
      </c>
      <c r="H18" s="38" t="s">
        <v>102</v>
      </c>
      <c r="I18" s="62"/>
      <c r="J18" s="41">
        <v>1</v>
      </c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</row>
    <row r="19" ht="15.75" customHeight="1" spans="1:40">
      <c r="A19" s="31"/>
      <c r="B19" s="55"/>
      <c r="C19" s="56" t="s">
        <v>105</v>
      </c>
      <c r="D19" s="34" t="s">
        <v>106</v>
      </c>
      <c r="E19" s="35">
        <v>15000</v>
      </c>
      <c r="F19" s="36">
        <v>45000</v>
      </c>
      <c r="G19" s="41" t="s">
        <v>96</v>
      </c>
      <c r="H19" s="38" t="s">
        <v>102</v>
      </c>
      <c r="I19" s="62"/>
      <c r="J19" s="41">
        <v>3</v>
      </c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</row>
    <row r="20" ht="15.75" customHeight="1" spans="1:40">
      <c r="A20" s="31"/>
      <c r="B20" s="55"/>
      <c r="C20" s="56" t="s">
        <v>107</v>
      </c>
      <c r="D20" s="34" t="s">
        <v>108</v>
      </c>
      <c r="E20" s="35">
        <v>10000</v>
      </c>
      <c r="F20" s="36">
        <v>10000</v>
      </c>
      <c r="G20" s="41" t="s">
        <v>96</v>
      </c>
      <c r="H20" s="38" t="s">
        <v>102</v>
      </c>
      <c r="I20" s="62"/>
      <c r="J20" s="41">
        <v>1</v>
      </c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</row>
    <row r="21" ht="15.75" customHeight="1" spans="1:40">
      <c r="A21" s="31"/>
      <c r="B21" s="55"/>
      <c r="C21" s="56" t="s">
        <v>109</v>
      </c>
      <c r="D21" s="34" t="s">
        <v>108</v>
      </c>
      <c r="E21" s="35">
        <v>40000</v>
      </c>
      <c r="F21" s="36">
        <v>40000</v>
      </c>
      <c r="G21" s="41" t="s">
        <v>96</v>
      </c>
      <c r="H21" s="38" t="s">
        <v>102</v>
      </c>
      <c r="I21" s="62"/>
      <c r="J21" s="41">
        <v>1</v>
      </c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</row>
    <row r="22" ht="15.75" customHeight="1" spans="1:40">
      <c r="A22" s="31"/>
      <c r="B22" s="55"/>
      <c r="C22" s="56" t="s">
        <v>110</v>
      </c>
      <c r="D22" s="34" t="s">
        <v>104</v>
      </c>
      <c r="E22" s="35">
        <v>15000</v>
      </c>
      <c r="F22" s="36">
        <v>15000</v>
      </c>
      <c r="G22" s="41" t="s">
        <v>96</v>
      </c>
      <c r="H22" s="38" t="s">
        <v>102</v>
      </c>
      <c r="I22" s="62"/>
      <c r="J22" s="41">
        <v>1</v>
      </c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</row>
    <row r="23" ht="15.75" customHeight="1" spans="1:40">
      <c r="A23" s="31"/>
      <c r="B23" s="55"/>
      <c r="C23" s="56" t="s">
        <v>111</v>
      </c>
      <c r="D23" s="34" t="s">
        <v>104</v>
      </c>
      <c r="E23" s="35">
        <v>30000</v>
      </c>
      <c r="F23" s="36">
        <v>30000</v>
      </c>
      <c r="G23" s="41" t="s">
        <v>96</v>
      </c>
      <c r="H23" s="38" t="s">
        <v>102</v>
      </c>
      <c r="I23" s="62"/>
      <c r="J23" s="41">
        <v>1</v>
      </c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</row>
    <row r="24" ht="15.75" customHeight="1" spans="1:40">
      <c r="A24" s="31"/>
      <c r="B24" s="55"/>
      <c r="C24" s="56" t="s">
        <v>112</v>
      </c>
      <c r="D24" s="34" t="s">
        <v>113</v>
      </c>
      <c r="E24" s="35">
        <v>11000</v>
      </c>
      <c r="F24" s="36">
        <v>55000</v>
      </c>
      <c r="G24" s="41" t="s">
        <v>96</v>
      </c>
      <c r="H24" s="38" t="s">
        <v>102</v>
      </c>
      <c r="I24" s="62"/>
      <c r="J24" s="41">
        <v>5</v>
      </c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</row>
    <row r="25" ht="15.75" customHeight="1" spans="1:40">
      <c r="A25" s="31"/>
      <c r="B25" s="55"/>
      <c r="C25" s="56" t="s">
        <v>114</v>
      </c>
      <c r="D25" s="34" t="s">
        <v>108</v>
      </c>
      <c r="E25" s="35">
        <v>12000</v>
      </c>
      <c r="F25" s="36">
        <v>12000</v>
      </c>
      <c r="G25" s="41" t="s">
        <v>96</v>
      </c>
      <c r="H25" s="38" t="s">
        <v>102</v>
      </c>
      <c r="I25" s="62"/>
      <c r="J25" s="41">
        <v>1</v>
      </c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</row>
    <row r="26" ht="14.25" spans="1:40">
      <c r="A26" s="31"/>
      <c r="B26" s="55"/>
      <c r="C26" s="56" t="s">
        <v>115</v>
      </c>
      <c r="D26" s="34" t="s">
        <v>108</v>
      </c>
      <c r="E26" s="35">
        <v>9000</v>
      </c>
      <c r="F26" s="36">
        <v>9000</v>
      </c>
      <c r="G26" s="41" t="s">
        <v>96</v>
      </c>
      <c r="H26" s="38" t="s">
        <v>102</v>
      </c>
      <c r="I26" s="62"/>
      <c r="J26" s="41">
        <v>1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</row>
    <row r="27" ht="24" customHeight="1" spans="1:40">
      <c r="A27" s="31"/>
      <c r="B27" s="55"/>
      <c r="C27" s="56" t="s">
        <v>116</v>
      </c>
      <c r="D27" s="34" t="s">
        <v>101</v>
      </c>
      <c r="E27" s="35">
        <v>80000</v>
      </c>
      <c r="F27" s="36">
        <v>80000</v>
      </c>
      <c r="G27" s="54" t="s">
        <v>91</v>
      </c>
      <c r="H27" s="38" t="s">
        <v>102</v>
      </c>
      <c r="I27" s="62"/>
      <c r="J27" s="41">
        <v>1</v>
      </c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</row>
    <row r="28" ht="15.75" customHeight="1" spans="1:40">
      <c r="A28" s="31"/>
      <c r="B28" s="55"/>
      <c r="C28" s="56" t="s">
        <v>117</v>
      </c>
      <c r="D28" s="34" t="s">
        <v>118</v>
      </c>
      <c r="E28" s="35">
        <v>20000</v>
      </c>
      <c r="F28" s="36">
        <v>40000</v>
      </c>
      <c r="G28" s="41" t="s">
        <v>96</v>
      </c>
      <c r="H28" s="38" t="s">
        <v>102</v>
      </c>
      <c r="I28" s="62"/>
      <c r="J28" s="41">
        <v>2</v>
      </c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</row>
    <row r="29" ht="15.75" customHeight="1" spans="1:40">
      <c r="A29" s="31"/>
      <c r="B29" s="55"/>
      <c r="C29" s="56" t="s">
        <v>119</v>
      </c>
      <c r="D29" s="34" t="s">
        <v>120</v>
      </c>
      <c r="E29" s="35">
        <v>3000</v>
      </c>
      <c r="F29" s="36">
        <v>3000</v>
      </c>
      <c r="G29" s="41" t="s">
        <v>96</v>
      </c>
      <c r="H29" s="38" t="s">
        <v>102</v>
      </c>
      <c r="I29" s="62"/>
      <c r="J29" s="41">
        <v>1</v>
      </c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</row>
    <row r="30" ht="15.75" customHeight="1" spans="1:40">
      <c r="A30" s="57"/>
      <c r="B30" s="55"/>
      <c r="C30" s="55"/>
      <c r="D30" s="37"/>
      <c r="E30" s="58"/>
      <c r="F30" s="59"/>
      <c r="G30" s="41"/>
      <c r="H30" s="38"/>
      <c r="I30" s="62"/>
      <c r="J30" s="41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</row>
    <row r="31" ht="15.75" customHeight="1" spans="1:40">
      <c r="A31" s="44" t="s">
        <v>121</v>
      </c>
      <c r="B31" s="45"/>
      <c r="C31" s="46" t="s">
        <v>122</v>
      </c>
      <c r="D31" s="47"/>
      <c r="E31" s="48"/>
      <c r="F31" s="49"/>
      <c r="G31" s="50"/>
      <c r="H31" s="51"/>
      <c r="I31" s="47"/>
      <c r="J31" s="50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</row>
    <row r="32" ht="15.75" customHeight="1" spans="1:40">
      <c r="A32" s="31"/>
      <c r="B32" s="60"/>
      <c r="C32" s="60" t="s">
        <v>123</v>
      </c>
      <c r="D32" s="34" t="s">
        <v>124</v>
      </c>
      <c r="E32" s="35">
        <v>600</v>
      </c>
      <c r="F32" s="36">
        <f>24*E32</f>
        <v>14400</v>
      </c>
      <c r="G32" s="41" t="s">
        <v>96</v>
      </c>
      <c r="H32" s="38" t="s">
        <v>125</v>
      </c>
      <c r="I32" s="62"/>
      <c r="J32" s="41">
        <v>24</v>
      </c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</row>
    <row r="33" ht="25.5" customHeight="1" spans="1:40">
      <c r="A33" s="31"/>
      <c r="B33" s="55"/>
      <c r="C33" s="55" t="s">
        <v>126</v>
      </c>
      <c r="D33" s="34" t="s">
        <v>127</v>
      </c>
      <c r="E33" s="35">
        <v>8000</v>
      </c>
      <c r="F33" s="36">
        <f>E33*16</f>
        <v>128000</v>
      </c>
      <c r="G33" s="54" t="s">
        <v>91</v>
      </c>
      <c r="H33" s="38" t="s">
        <v>125</v>
      </c>
      <c r="I33" s="62"/>
      <c r="J33" s="41">
        <v>16</v>
      </c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</row>
    <row r="34" ht="15.75" customHeight="1" spans="1:40">
      <c r="A34" s="31"/>
      <c r="B34" s="55"/>
      <c r="C34" s="56" t="s">
        <v>128</v>
      </c>
      <c r="D34" s="34" t="s">
        <v>127</v>
      </c>
      <c r="E34" s="35">
        <v>3000</v>
      </c>
      <c r="F34" s="36">
        <f t="shared" ref="F34:F35" si="0">16*E34</f>
        <v>48000</v>
      </c>
      <c r="G34" s="41" t="s">
        <v>96</v>
      </c>
      <c r="H34" s="38" t="s">
        <v>125</v>
      </c>
      <c r="I34" s="62"/>
      <c r="J34" s="41">
        <v>16</v>
      </c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</row>
    <row r="35" ht="15.75" customHeight="1" spans="1:40">
      <c r="A35" s="31"/>
      <c r="B35" s="55"/>
      <c r="C35" s="56" t="s">
        <v>129</v>
      </c>
      <c r="D35" s="34" t="s">
        <v>127</v>
      </c>
      <c r="E35" s="35">
        <v>3000</v>
      </c>
      <c r="F35" s="36">
        <f t="shared" si="0"/>
        <v>48000</v>
      </c>
      <c r="G35" s="41" t="s">
        <v>96</v>
      </c>
      <c r="H35" s="38" t="s">
        <v>125</v>
      </c>
      <c r="I35" s="62"/>
      <c r="J35" s="41">
        <v>16</v>
      </c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</row>
    <row r="36" ht="24" customHeight="1" spans="1:40">
      <c r="A36" s="31"/>
      <c r="B36" s="55"/>
      <c r="C36" s="56" t="s">
        <v>130</v>
      </c>
      <c r="D36" s="34" t="s">
        <v>131</v>
      </c>
      <c r="E36" s="35">
        <v>8000</v>
      </c>
      <c r="F36" s="36">
        <v>64000</v>
      </c>
      <c r="G36" s="54" t="s">
        <v>91</v>
      </c>
      <c r="H36" s="38" t="s">
        <v>125</v>
      </c>
      <c r="I36" s="62"/>
      <c r="J36" s="41">
        <v>8</v>
      </c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</row>
    <row r="37" ht="15.75" customHeight="1" spans="1:40">
      <c r="A37" s="31"/>
      <c r="B37" s="55"/>
      <c r="C37" s="56"/>
      <c r="D37" s="34"/>
      <c r="E37" s="35"/>
      <c r="F37" s="61"/>
      <c r="G37" s="41"/>
      <c r="H37" s="38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</row>
    <row r="38" ht="15.75" customHeight="1" spans="1:40">
      <c r="A38" s="45"/>
      <c r="B38" s="45"/>
      <c r="C38" s="46" t="s">
        <v>132</v>
      </c>
      <c r="D38" s="47"/>
      <c r="E38" s="48"/>
      <c r="F38" s="47"/>
      <c r="G38" s="50"/>
      <c r="H38" s="51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</row>
    <row r="39" ht="15.75" customHeight="1" spans="1:40">
      <c r="A39" s="31"/>
      <c r="B39" s="55"/>
      <c r="C39" s="56" t="s">
        <v>133</v>
      </c>
      <c r="D39" s="34" t="s">
        <v>104</v>
      </c>
      <c r="E39" s="61">
        <v>130000</v>
      </c>
      <c r="F39" s="61">
        <v>130000</v>
      </c>
      <c r="G39" s="41" t="s">
        <v>134</v>
      </c>
      <c r="H39" s="38" t="s">
        <v>125</v>
      </c>
      <c r="I39" s="62"/>
      <c r="J39" s="41">
        <v>1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</row>
    <row r="40" ht="15.75" customHeight="1" spans="1:40">
      <c r="A40" s="31"/>
      <c r="B40" s="55"/>
      <c r="C40" s="56"/>
      <c r="D40" s="34"/>
      <c r="E40" s="35"/>
      <c r="F40" s="61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</row>
    <row r="41" ht="57.75" customHeight="1" spans="1:40">
      <c r="A41" s="31"/>
      <c r="B41" s="55"/>
      <c r="C41" s="56"/>
      <c r="D41" s="34"/>
      <c r="E41" s="35"/>
      <c r="F41" s="61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</row>
    <row r="42" ht="15.75" customHeight="1" spans="1:40">
      <c r="A42" s="57"/>
      <c r="B42" s="63"/>
      <c r="C42" s="64" t="s">
        <v>135</v>
      </c>
      <c r="D42" s="65"/>
      <c r="E42" s="65"/>
      <c r="F42" s="65"/>
      <c r="G42" s="65"/>
      <c r="H42" s="65"/>
      <c r="I42" s="65"/>
      <c r="J42" s="79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</row>
    <row r="43" ht="15.75" customHeight="1" spans="1:25">
      <c r="A43" s="66"/>
      <c r="B43" s="67"/>
      <c r="C43" s="67"/>
      <c r="D43" s="8"/>
      <c r="E43" s="9"/>
      <c r="F43" s="68"/>
      <c r="G43" s="11"/>
      <c r="H43" s="11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 spans="1:25">
      <c r="A44" s="69" t="s">
        <v>136</v>
      </c>
      <c r="B44" s="5"/>
      <c r="C44" s="5"/>
      <c r="D44" s="70">
        <f>SUM(F12:F39)</f>
        <v>1021400</v>
      </c>
      <c r="G44" s="11"/>
      <c r="H44" s="11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hidden="1" customHeight="1" spans="1:25">
      <c r="A45" s="71" t="s">
        <v>137</v>
      </c>
      <c r="B45" s="72"/>
      <c r="C45" s="72"/>
      <c r="D45" s="73">
        <f>PRODUCT(D44,0.1)</f>
        <v>102140</v>
      </c>
      <c r="E45" s="74"/>
      <c r="F45" s="75"/>
      <c r="G45" s="11"/>
      <c r="H45" s="11"/>
      <c r="I45" s="99"/>
      <c r="K45" s="99"/>
      <c r="V45" s="99"/>
      <c r="W45" s="8"/>
      <c r="X45" s="8"/>
      <c r="Y45" s="8"/>
    </row>
    <row r="46" ht="15.75" hidden="1" customHeight="1" spans="1:25">
      <c r="A46" s="76" t="s">
        <v>138</v>
      </c>
      <c r="B46" s="77"/>
      <c r="C46" s="77"/>
      <c r="D46" s="78">
        <f>PRODUCT(D44,0.1)</f>
        <v>102140</v>
      </c>
      <c r="E46" s="65"/>
      <c r="F46" s="79"/>
      <c r="G46" s="11"/>
      <c r="H46" s="11"/>
      <c r="I46" s="85"/>
      <c r="J46" s="85"/>
      <c r="K46" s="100"/>
      <c r="V46" s="100"/>
      <c r="W46" s="8"/>
      <c r="X46" s="8"/>
      <c r="Y46" s="8"/>
    </row>
    <row r="47" ht="15.75" hidden="1" customHeight="1" spans="1:25">
      <c r="A47" s="76" t="s">
        <v>139</v>
      </c>
      <c r="B47" s="77"/>
      <c r="C47" s="77"/>
      <c r="D47" s="78">
        <f>SUM(D44:F46)</f>
        <v>1225680</v>
      </c>
      <c r="E47" s="65"/>
      <c r="F47" s="79"/>
      <c r="G47" s="11"/>
      <c r="H47" s="11"/>
      <c r="I47" s="85"/>
      <c r="J47" s="85"/>
      <c r="K47" s="100"/>
      <c r="V47" s="100"/>
      <c r="W47" s="8"/>
      <c r="X47" s="8"/>
      <c r="Y47" s="8"/>
    </row>
    <row r="48" ht="15.75" customHeight="1" spans="1:25">
      <c r="A48" s="80"/>
      <c r="B48" s="5"/>
      <c r="C48" s="5"/>
      <c r="D48" s="8"/>
      <c r="E48" s="9"/>
      <c r="F48" s="10"/>
      <c r="G48" s="11"/>
      <c r="H48" s="11"/>
      <c r="I48" s="85"/>
      <c r="J48" s="85"/>
      <c r="K48" s="100"/>
      <c r="V48" s="100"/>
      <c r="W48" s="8"/>
      <c r="X48" s="8"/>
      <c r="Y48" s="8"/>
    </row>
    <row r="49" ht="15.75" customHeight="1" spans="1:25">
      <c r="A49" s="81" t="s">
        <v>140</v>
      </c>
      <c r="B49" s="5"/>
      <c r="C49" s="5"/>
      <c r="D49" s="8"/>
      <c r="E49" s="9"/>
      <c r="F49" s="10"/>
      <c r="G49" s="11"/>
      <c r="H49" s="11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 spans="1:25">
      <c r="A50" s="82"/>
      <c r="B50" s="5"/>
      <c r="C50" s="5"/>
      <c r="D50" s="8"/>
      <c r="E50" s="9"/>
      <c r="F50" s="10"/>
      <c r="G50" s="11"/>
      <c r="H50" s="11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 spans="1:25">
      <c r="A51" s="83" t="s">
        <v>141</v>
      </c>
      <c r="B51" s="67"/>
      <c r="C51" s="67"/>
      <c r="D51" s="84" t="s">
        <v>142</v>
      </c>
      <c r="G51" s="85"/>
      <c r="H51" s="85"/>
      <c r="I51" s="8"/>
      <c r="J51" s="84" t="s">
        <v>143</v>
      </c>
      <c r="P51" s="8"/>
      <c r="Q51" s="8"/>
      <c r="R51" s="84" t="s">
        <v>144</v>
      </c>
      <c r="V51" s="8"/>
      <c r="W51" s="8"/>
      <c r="Y51" s="85"/>
    </row>
    <row r="52" ht="15.75" customHeight="1" spans="1:25">
      <c r="A52" s="83"/>
      <c r="B52" s="67"/>
      <c r="C52" s="67"/>
      <c r="D52" s="84"/>
      <c r="E52" s="86"/>
      <c r="F52" s="84"/>
      <c r="G52" s="85"/>
      <c r="H52" s="85"/>
      <c r="I52" s="8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5"/>
      <c r="Y52" s="85"/>
    </row>
    <row r="53" ht="15.75" customHeight="1" spans="1:25">
      <c r="A53" s="67"/>
      <c r="B53" s="67"/>
      <c r="C53" s="67"/>
      <c r="D53" s="85"/>
      <c r="E53" s="87"/>
      <c r="F53" s="88"/>
      <c r="G53" s="85"/>
      <c r="H53" s="85"/>
      <c r="I53" s="8"/>
      <c r="J53" s="85"/>
      <c r="K53" s="88"/>
      <c r="L53" s="88"/>
      <c r="M53" s="88"/>
      <c r="N53" s="88"/>
      <c r="O53" s="88"/>
      <c r="P53" s="88"/>
      <c r="Q53" s="88"/>
      <c r="R53" s="85"/>
      <c r="S53" s="88"/>
      <c r="T53" s="85"/>
      <c r="U53" s="85"/>
      <c r="V53" s="85"/>
      <c r="W53" s="85"/>
      <c r="X53" s="85"/>
      <c r="Y53" s="85"/>
    </row>
    <row r="54" ht="15.75" customHeight="1" spans="1:23">
      <c r="A54" s="89" t="s">
        <v>145</v>
      </c>
      <c r="D54" s="90" t="s">
        <v>146</v>
      </c>
      <c r="H54" s="8"/>
      <c r="I54" s="8"/>
      <c r="J54" s="90" t="s">
        <v>147</v>
      </c>
      <c r="P54" s="8"/>
      <c r="Q54" s="8"/>
      <c r="R54" s="90" t="s">
        <v>148</v>
      </c>
      <c r="V54" s="8"/>
      <c r="W54" s="8"/>
    </row>
    <row r="55" customHeight="1" spans="1:25">
      <c r="A55" s="91" t="s">
        <v>149</v>
      </c>
      <c r="D55" s="92" t="s">
        <v>150</v>
      </c>
      <c r="H55" s="93"/>
      <c r="I55" s="8"/>
      <c r="J55" s="101" t="s">
        <v>151</v>
      </c>
      <c r="P55" s="8"/>
      <c r="Q55" s="8"/>
      <c r="R55" s="92" t="s">
        <v>152</v>
      </c>
      <c r="V55" s="8"/>
      <c r="W55" s="8"/>
      <c r="X55" s="85"/>
      <c r="Y55" s="85"/>
    </row>
    <row r="56" ht="15.75" customHeight="1" spans="1: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 spans="1:25">
      <c r="A57" s="94" t="s">
        <v>153</v>
      </c>
      <c r="B57" s="8"/>
      <c r="C57" s="8"/>
      <c r="D57" s="8" t="s">
        <v>154</v>
      </c>
      <c r="E57" s="9"/>
      <c r="F57" s="8"/>
      <c r="G57" s="8"/>
      <c r="H57" s="8"/>
      <c r="I57" s="8"/>
      <c r="J57" s="8" t="s">
        <v>154</v>
      </c>
      <c r="K57" s="8"/>
      <c r="L57" s="8"/>
      <c r="M57" s="8"/>
      <c r="N57" s="8"/>
      <c r="O57" s="8"/>
      <c r="P57" s="8"/>
      <c r="Q57" s="8"/>
      <c r="R57" s="8" t="s">
        <v>154</v>
      </c>
      <c r="S57" s="8"/>
      <c r="T57" s="8"/>
      <c r="U57" s="8"/>
      <c r="V57" s="8"/>
      <c r="W57" s="8"/>
      <c r="X57" s="8"/>
      <c r="Y57" s="8"/>
    </row>
    <row r="58" ht="15.75" customHeight="1" spans="5:9">
      <c r="E58" s="95"/>
      <c r="I58" s="102"/>
    </row>
    <row r="59" ht="15.75" customHeight="1" spans="5:22">
      <c r="E59" s="95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</row>
    <row r="60" ht="15.75" customHeight="1" spans="5:22">
      <c r="E60" s="95"/>
      <c r="I60" s="103"/>
      <c r="J60" s="104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</row>
    <row r="61" ht="15.75" customHeight="1" spans="5:9">
      <c r="E61" s="95"/>
      <c r="I61" s="106"/>
    </row>
    <row r="62" ht="15.75" customHeight="1" spans="5:9">
      <c r="E62" s="95"/>
      <c r="I62" s="107"/>
    </row>
    <row r="63" ht="15.75" customHeight="1" spans="5:5">
      <c r="E63" s="95"/>
    </row>
    <row r="64" ht="15.75" customHeight="1" spans="5:5">
      <c r="E64" s="95"/>
    </row>
    <row r="65" ht="15.75" customHeight="1" spans="5:5">
      <c r="E65" s="95"/>
    </row>
    <row r="66" ht="15.75" customHeight="1" spans="5:5">
      <c r="E66" s="95"/>
    </row>
    <row r="67" ht="15.75" customHeight="1" spans="5:5">
      <c r="E67" s="95"/>
    </row>
    <row r="68" ht="15.75" customHeight="1" spans="5:5">
      <c r="E68" s="95"/>
    </row>
    <row r="69" ht="15.75" customHeight="1" spans="5:5">
      <c r="E69" s="95"/>
    </row>
    <row r="70" ht="15.75" customHeight="1" spans="5:5">
      <c r="E70" s="95"/>
    </row>
    <row r="71" ht="15.75" customHeight="1" spans="5:5">
      <c r="E71" s="95"/>
    </row>
    <row r="72" ht="15.75" customHeight="1" spans="5:5">
      <c r="E72" s="95"/>
    </row>
    <row r="73" ht="15.75" customHeight="1" spans="5:5">
      <c r="E73" s="95"/>
    </row>
    <row r="74" ht="15.75" customHeight="1" spans="5:5">
      <c r="E74" s="95"/>
    </row>
    <row r="75" ht="15.75" customHeight="1" spans="5:5">
      <c r="E75" s="95"/>
    </row>
    <row r="76" ht="15.75" customHeight="1" spans="5:5">
      <c r="E76" s="95"/>
    </row>
    <row r="77" ht="15.75" customHeight="1" spans="5:5">
      <c r="E77" s="95"/>
    </row>
    <row r="78" ht="15.75" customHeight="1" spans="5:5">
      <c r="E78" s="95"/>
    </row>
    <row r="79" ht="15.75" customHeight="1" spans="5:5">
      <c r="E79" s="95"/>
    </row>
    <row r="80" ht="15.75" customHeight="1" spans="5:5">
      <c r="E80" s="95"/>
    </row>
    <row r="81" ht="15.75" customHeight="1" spans="5:5">
      <c r="E81" s="95"/>
    </row>
    <row r="82" ht="15.75" customHeight="1" spans="5:5">
      <c r="E82" s="95"/>
    </row>
    <row r="83" ht="15.75" customHeight="1" spans="5:5">
      <c r="E83" s="95"/>
    </row>
    <row r="84" ht="15.75" customHeight="1" spans="5:5">
      <c r="E84" s="95"/>
    </row>
    <row r="85" ht="15.75" customHeight="1" spans="5:5">
      <c r="E85" s="95"/>
    </row>
    <row r="86" ht="15.75" customHeight="1" spans="5:5">
      <c r="E86" s="95"/>
    </row>
    <row r="87" ht="15.75" customHeight="1" spans="5:5">
      <c r="E87" s="95"/>
    </row>
    <row r="88" ht="15.75" customHeight="1" spans="5:5">
      <c r="E88" s="95"/>
    </row>
    <row r="89" ht="15.75" customHeight="1" spans="5:5">
      <c r="E89" s="95"/>
    </row>
    <row r="90" ht="15.75" customHeight="1" spans="5:5">
      <c r="E90" s="95"/>
    </row>
    <row r="91" ht="15.75" customHeight="1" spans="5:5">
      <c r="E91" s="95"/>
    </row>
    <row r="92" ht="15.75" customHeight="1" spans="5:5">
      <c r="E92" s="95"/>
    </row>
    <row r="93" ht="15.75" customHeight="1" spans="5:5">
      <c r="E93" s="95"/>
    </row>
    <row r="94" ht="15.75" customHeight="1" spans="5:5">
      <c r="E94" s="95"/>
    </row>
    <row r="95" ht="15.75" customHeight="1" spans="5:5">
      <c r="E95" s="95"/>
    </row>
    <row r="96" ht="15.75" customHeight="1" spans="5:5">
      <c r="E96" s="95"/>
    </row>
    <row r="97" ht="15.75" customHeight="1" spans="5:5">
      <c r="E97" s="95"/>
    </row>
    <row r="98" ht="15.75" customHeight="1" spans="5:5">
      <c r="E98" s="95"/>
    </row>
    <row r="99" ht="15.75" customHeight="1" spans="5:5">
      <c r="E99" s="95"/>
    </row>
    <row r="100" ht="15.75" customHeight="1" spans="5:5">
      <c r="E100" s="95"/>
    </row>
    <row r="101" ht="15.75" customHeight="1" spans="5:5">
      <c r="E101" s="95"/>
    </row>
    <row r="102" ht="15.75" customHeight="1" spans="5:5">
      <c r="E102" s="95"/>
    </row>
    <row r="103" ht="15.75" customHeight="1" spans="5:5">
      <c r="E103" s="95"/>
    </row>
    <row r="104" ht="15.75" customHeight="1" spans="5:5">
      <c r="E104" s="95"/>
    </row>
    <row r="105" ht="15.75" customHeight="1" spans="5:5">
      <c r="E105" s="95"/>
    </row>
    <row r="106" ht="15.75" customHeight="1" spans="5:5">
      <c r="E106" s="95"/>
    </row>
    <row r="107" ht="15.75" customHeight="1" spans="5:5">
      <c r="E107" s="95"/>
    </row>
    <row r="108" ht="15.75" customHeight="1" spans="5:5">
      <c r="E108" s="95"/>
    </row>
    <row r="109" ht="15.75" customHeight="1" spans="5:5">
      <c r="E109" s="95"/>
    </row>
    <row r="110" ht="15.75" customHeight="1" spans="5:5">
      <c r="E110" s="95"/>
    </row>
    <row r="111" ht="15.75" customHeight="1" spans="5:5">
      <c r="E111" s="95"/>
    </row>
    <row r="112" ht="15.75" customHeight="1" spans="5:5">
      <c r="E112" s="95"/>
    </row>
    <row r="113" ht="15.75" customHeight="1" spans="5:5">
      <c r="E113" s="95"/>
    </row>
    <row r="114" ht="15.75" customHeight="1" spans="5:5">
      <c r="E114" s="95"/>
    </row>
    <row r="115" ht="15.75" customHeight="1" spans="5:5">
      <c r="E115" s="95"/>
    </row>
    <row r="116" ht="15.75" customHeight="1" spans="5:5">
      <c r="E116" s="95"/>
    </row>
    <row r="117" ht="15.75" customHeight="1" spans="5:5">
      <c r="E117" s="95"/>
    </row>
    <row r="118" ht="15.75" customHeight="1" spans="5:5">
      <c r="E118" s="95"/>
    </row>
    <row r="119" ht="15.75" customHeight="1" spans="5:5">
      <c r="E119" s="95"/>
    </row>
    <row r="120" ht="15.75" customHeight="1" spans="5:5">
      <c r="E120" s="95"/>
    </row>
    <row r="121" ht="15.75" customHeight="1" spans="5:5">
      <c r="E121" s="95"/>
    </row>
    <row r="122" ht="15.75" customHeight="1" spans="5:5">
      <c r="E122" s="95"/>
    </row>
    <row r="123" ht="15.75" customHeight="1" spans="5:5">
      <c r="E123" s="95"/>
    </row>
    <row r="124" ht="15.75" customHeight="1" spans="5:5">
      <c r="E124" s="95"/>
    </row>
    <row r="125" ht="15.75" customHeight="1" spans="5:5">
      <c r="E125" s="95"/>
    </row>
    <row r="126" ht="15.75" customHeight="1" spans="5:5">
      <c r="E126" s="95"/>
    </row>
    <row r="127" ht="15.75" customHeight="1" spans="5:5">
      <c r="E127" s="95"/>
    </row>
    <row r="128" ht="15.75" customHeight="1" spans="5:5">
      <c r="E128" s="95"/>
    </row>
    <row r="129" ht="15.75" customHeight="1" spans="5:5">
      <c r="E129" s="95"/>
    </row>
    <row r="130" ht="15.75" customHeight="1" spans="5:5">
      <c r="E130" s="95"/>
    </row>
    <row r="131" ht="15.75" customHeight="1" spans="5:5">
      <c r="E131" s="95"/>
    </row>
    <row r="132" ht="15.75" customHeight="1" spans="5:5">
      <c r="E132" s="95"/>
    </row>
    <row r="133" ht="15.75" customHeight="1" spans="5:5">
      <c r="E133" s="95"/>
    </row>
    <row r="134" ht="15.75" customHeight="1" spans="5:5">
      <c r="E134" s="95"/>
    </row>
    <row r="135" ht="15.75" customHeight="1" spans="5:5">
      <c r="E135" s="95"/>
    </row>
    <row r="136" ht="15.75" customHeight="1" spans="5:5">
      <c r="E136" s="95"/>
    </row>
    <row r="137" ht="15.75" customHeight="1" spans="5:5">
      <c r="E137" s="95"/>
    </row>
    <row r="138" ht="15.75" customHeight="1" spans="5:5">
      <c r="E138" s="95"/>
    </row>
    <row r="139" ht="15.75" customHeight="1" spans="5:5">
      <c r="E139" s="95"/>
    </row>
    <row r="140" ht="15.75" customHeight="1" spans="5:5">
      <c r="E140" s="95"/>
    </row>
    <row r="141" ht="15.75" customHeight="1" spans="5:5">
      <c r="E141" s="95"/>
    </row>
    <row r="142" ht="15.75" customHeight="1" spans="5:5">
      <c r="E142" s="95"/>
    </row>
    <row r="143" ht="15.75" customHeight="1" spans="5:5">
      <c r="E143" s="95"/>
    </row>
    <row r="144" ht="15.75" customHeight="1" spans="5:5">
      <c r="E144" s="95"/>
    </row>
    <row r="145" ht="15.75" customHeight="1" spans="5:5">
      <c r="E145" s="95"/>
    </row>
    <row r="146" ht="15.75" customHeight="1" spans="5:5">
      <c r="E146" s="95"/>
    </row>
    <row r="147" ht="15.75" customHeight="1" spans="5:5">
      <c r="E147" s="95"/>
    </row>
    <row r="148" ht="15.75" customHeight="1" spans="5:5">
      <c r="E148" s="95"/>
    </row>
    <row r="149" ht="15.75" customHeight="1" spans="5:5">
      <c r="E149" s="95"/>
    </row>
    <row r="150" ht="15.75" customHeight="1" spans="5:5">
      <c r="E150" s="95"/>
    </row>
    <row r="151" ht="15.75" customHeight="1" spans="5:5">
      <c r="E151" s="95"/>
    </row>
    <row r="152" ht="15.75" customHeight="1" spans="5:5">
      <c r="E152" s="95"/>
    </row>
    <row r="153" ht="15.75" customHeight="1" spans="5:5">
      <c r="E153" s="95"/>
    </row>
    <row r="154" ht="15.75" customHeight="1" spans="5:5">
      <c r="E154" s="95"/>
    </row>
    <row r="155" ht="15.75" customHeight="1" spans="5:5">
      <c r="E155" s="95"/>
    </row>
    <row r="156" ht="15.75" customHeight="1" spans="5:5">
      <c r="E156" s="95"/>
    </row>
    <row r="157" ht="15.75" customHeight="1" spans="5:5">
      <c r="E157" s="95"/>
    </row>
    <row r="158" ht="15.75" customHeight="1" spans="5:5">
      <c r="E158" s="95"/>
    </row>
    <row r="159" ht="15.75" customHeight="1" spans="5:5">
      <c r="E159" s="95"/>
    </row>
    <row r="160" ht="15.75" customHeight="1" spans="5:5">
      <c r="E160" s="95"/>
    </row>
    <row r="161" ht="15.75" customHeight="1" spans="5:5">
      <c r="E161" s="95"/>
    </row>
    <row r="162" ht="15.75" customHeight="1" spans="5:5">
      <c r="E162" s="95"/>
    </row>
    <row r="163" ht="15.75" customHeight="1" spans="5:5">
      <c r="E163" s="95"/>
    </row>
    <row r="164" ht="15.75" customHeight="1" spans="5:5">
      <c r="E164" s="95"/>
    </row>
    <row r="165" ht="15.75" customHeight="1" spans="5:5">
      <c r="E165" s="95"/>
    </row>
    <row r="166" ht="15.75" customHeight="1" spans="5:5">
      <c r="E166" s="95"/>
    </row>
    <row r="167" ht="15.75" customHeight="1" spans="5:5">
      <c r="E167" s="95"/>
    </row>
    <row r="168" ht="15.75" customHeight="1" spans="5:5">
      <c r="E168" s="95"/>
    </row>
    <row r="169" ht="15.75" customHeight="1" spans="5:5">
      <c r="E169" s="95"/>
    </row>
    <row r="170" ht="15.75" customHeight="1" spans="5:5">
      <c r="E170" s="95"/>
    </row>
    <row r="171" ht="15.75" customHeight="1" spans="5:5">
      <c r="E171" s="95"/>
    </row>
    <row r="172" ht="15.75" customHeight="1" spans="5:5">
      <c r="E172" s="95"/>
    </row>
    <row r="173" ht="15.75" customHeight="1" spans="5:5">
      <c r="E173" s="95"/>
    </row>
    <row r="174" ht="15.75" customHeight="1" spans="5:5">
      <c r="E174" s="95"/>
    </row>
    <row r="175" ht="15.75" customHeight="1" spans="5:5">
      <c r="E175" s="95"/>
    </row>
    <row r="176" ht="15.75" customHeight="1" spans="5:5">
      <c r="E176" s="95"/>
    </row>
    <row r="177" ht="15.75" customHeight="1" spans="5:5">
      <c r="E177" s="95"/>
    </row>
    <row r="178" ht="15.75" customHeight="1" spans="5:5">
      <c r="E178" s="95"/>
    </row>
    <row r="179" ht="15.75" customHeight="1" spans="5:5">
      <c r="E179" s="95"/>
    </row>
    <row r="180" ht="15.75" customHeight="1" spans="5:5">
      <c r="E180" s="95"/>
    </row>
    <row r="181" ht="15.75" customHeight="1" spans="5:5">
      <c r="E181" s="95"/>
    </row>
    <row r="182" ht="15.75" customHeight="1" spans="5:5">
      <c r="E182" s="95"/>
    </row>
    <row r="183" ht="15.75" customHeight="1" spans="5:5">
      <c r="E183" s="95"/>
    </row>
    <row r="184" ht="15.75" customHeight="1" spans="5:5">
      <c r="E184" s="95"/>
    </row>
    <row r="185" ht="15.75" customHeight="1" spans="5:5">
      <c r="E185" s="95"/>
    </row>
    <row r="186" ht="15.75" customHeight="1" spans="5:5">
      <c r="E186" s="95"/>
    </row>
    <row r="187" ht="15.75" customHeight="1" spans="5:5">
      <c r="E187" s="95"/>
    </row>
    <row r="188" ht="15.75" customHeight="1" spans="5:5">
      <c r="E188" s="95"/>
    </row>
    <row r="189" ht="15.75" customHeight="1" spans="5:5">
      <c r="E189" s="95"/>
    </row>
    <row r="190" ht="15.75" customHeight="1" spans="5:5">
      <c r="E190" s="95"/>
    </row>
    <row r="191" ht="15.75" customHeight="1" spans="5:5">
      <c r="E191" s="95"/>
    </row>
    <row r="192" ht="15.75" customHeight="1" spans="5:5">
      <c r="E192" s="95"/>
    </row>
    <row r="193" ht="15.75" customHeight="1" spans="5:5">
      <c r="E193" s="95"/>
    </row>
    <row r="194" ht="15.75" customHeight="1" spans="5:5">
      <c r="E194" s="95"/>
    </row>
    <row r="195" ht="15.75" customHeight="1" spans="5:5">
      <c r="E195" s="95"/>
    </row>
    <row r="196" ht="15.75" customHeight="1" spans="5:5">
      <c r="E196" s="95"/>
    </row>
    <row r="197" ht="15.75" customHeight="1" spans="5:5">
      <c r="E197" s="95"/>
    </row>
    <row r="198" ht="15.75" customHeight="1" spans="5:5">
      <c r="E198" s="95"/>
    </row>
    <row r="199" ht="15.75" customHeight="1" spans="5:5">
      <c r="E199" s="95"/>
    </row>
    <row r="200" ht="15.75" customHeight="1" spans="5:5">
      <c r="E200" s="95"/>
    </row>
    <row r="201" ht="15.75" customHeight="1" spans="5:5">
      <c r="E201" s="95"/>
    </row>
    <row r="202" ht="15.75" customHeight="1" spans="5:5">
      <c r="E202" s="95"/>
    </row>
    <row r="203" ht="15.75" customHeight="1" spans="5:5">
      <c r="E203" s="95"/>
    </row>
    <row r="204" ht="15.75" customHeight="1" spans="5:5">
      <c r="E204" s="95"/>
    </row>
    <row r="205" ht="15.75" customHeight="1" spans="5:5">
      <c r="E205" s="95"/>
    </row>
    <row r="206" ht="15.75" customHeight="1" spans="5:5">
      <c r="E206" s="95"/>
    </row>
    <row r="207" ht="15.75" customHeight="1" spans="5:5">
      <c r="E207" s="95"/>
    </row>
    <row r="208" ht="15.75" customHeight="1" spans="5:5">
      <c r="E208" s="95"/>
    </row>
    <row r="209" ht="15.75" customHeight="1" spans="5:5">
      <c r="E209" s="95"/>
    </row>
    <row r="210" ht="15.75" customHeight="1" spans="5:5">
      <c r="E210" s="95"/>
    </row>
    <row r="211" ht="15.75" customHeight="1" spans="5:5">
      <c r="E211" s="95"/>
    </row>
    <row r="212" ht="15.75" customHeight="1" spans="5:5">
      <c r="E212" s="95"/>
    </row>
    <row r="213" ht="15.75" customHeight="1" spans="5:5">
      <c r="E213" s="95"/>
    </row>
    <row r="214" ht="15.75" customHeight="1" spans="5:5">
      <c r="E214" s="95"/>
    </row>
    <row r="215" ht="15.75" customHeight="1" spans="5:5">
      <c r="E215" s="95"/>
    </row>
    <row r="216" ht="15.75" customHeight="1" spans="5:5">
      <c r="E216" s="95"/>
    </row>
    <row r="217" ht="15.75" customHeight="1" spans="5:5">
      <c r="E217" s="95"/>
    </row>
    <row r="218" ht="15.75" customHeight="1" spans="5:5">
      <c r="E218" s="95"/>
    </row>
    <row r="219" ht="15.75" customHeight="1" spans="5:5">
      <c r="E219" s="95"/>
    </row>
    <row r="220" ht="15.75" customHeight="1" spans="5:5">
      <c r="E220" s="95"/>
    </row>
    <row r="221" ht="15.75" customHeight="1" spans="5:5">
      <c r="E221" s="95"/>
    </row>
    <row r="222" ht="15.75" customHeight="1" spans="5:5">
      <c r="E222" s="95"/>
    </row>
    <row r="223" ht="15.75" customHeight="1" spans="5:5">
      <c r="E223" s="95"/>
    </row>
    <row r="224" ht="15.75" customHeight="1" spans="5:5">
      <c r="E224" s="95"/>
    </row>
    <row r="225" ht="15.75" customHeight="1" spans="5:5">
      <c r="E225" s="95"/>
    </row>
    <row r="226" ht="15.75" customHeight="1" spans="5:5">
      <c r="E226" s="95"/>
    </row>
    <row r="227" ht="15.75" customHeight="1" spans="5:5">
      <c r="E227" s="95"/>
    </row>
    <row r="228" ht="15.75" customHeight="1" spans="5:5">
      <c r="E228" s="95"/>
    </row>
    <row r="229" ht="15.75" customHeight="1" spans="5:5">
      <c r="E229" s="95"/>
    </row>
    <row r="230" ht="15.75" customHeight="1" spans="5:5">
      <c r="E230" s="95"/>
    </row>
    <row r="231" ht="15.75" customHeight="1" spans="5:5">
      <c r="E231" s="95"/>
    </row>
    <row r="232" ht="15.75" customHeight="1" spans="5:5">
      <c r="E232" s="95"/>
    </row>
    <row r="233" ht="15.75" customHeight="1" spans="5:5">
      <c r="E233" s="95"/>
    </row>
    <row r="234" ht="15.75" customHeight="1" spans="5:5">
      <c r="E234" s="95"/>
    </row>
    <row r="235" ht="15.75" customHeight="1" spans="5:5">
      <c r="E235" s="95"/>
    </row>
    <row r="236" ht="15.75" customHeight="1" spans="5:5">
      <c r="E236" s="95"/>
    </row>
    <row r="237" ht="15.75" customHeight="1" spans="5:5">
      <c r="E237" s="95"/>
    </row>
    <row r="238" ht="15.75" customHeight="1" spans="5:5">
      <c r="E238" s="95"/>
    </row>
    <row r="239" ht="15.75" customHeight="1" spans="5:5">
      <c r="E239" s="95"/>
    </row>
    <row r="240" ht="15.75" customHeight="1" spans="5:5">
      <c r="E240" s="95"/>
    </row>
    <row r="241" ht="15.75" customHeight="1" spans="5:5">
      <c r="E241" s="95"/>
    </row>
    <row r="242" ht="15.75" customHeight="1" spans="5:5">
      <c r="E242" s="95"/>
    </row>
    <row r="243" ht="15.75" customHeight="1" spans="5:5">
      <c r="E243" s="95"/>
    </row>
    <row r="244" ht="15.75" customHeight="1" spans="5:5">
      <c r="E244" s="95"/>
    </row>
    <row r="245" ht="15.75" customHeight="1" spans="5:5">
      <c r="E245" s="95"/>
    </row>
    <row r="246" ht="15.75" customHeight="1" spans="5:5">
      <c r="E246" s="95"/>
    </row>
    <row r="247" ht="15.75" customHeight="1" spans="5:5">
      <c r="E247" s="95"/>
    </row>
    <row r="248" ht="15.75" customHeight="1" spans="5:5">
      <c r="E248" s="95"/>
    </row>
    <row r="249" ht="15.75" customHeight="1" spans="5:5">
      <c r="E249" s="95"/>
    </row>
    <row r="250" ht="15.75" customHeight="1" spans="5:5">
      <c r="E250" s="95"/>
    </row>
    <row r="251" ht="15.75" customHeight="1" spans="5:5">
      <c r="E251" s="95"/>
    </row>
    <row r="252" ht="15.75" customHeight="1" spans="5:5">
      <c r="E252" s="95"/>
    </row>
    <row r="253" ht="15.75" customHeight="1" spans="5:5">
      <c r="E253" s="95"/>
    </row>
    <row r="254" ht="15.75" customHeight="1" spans="5:5">
      <c r="E254" s="95"/>
    </row>
    <row r="255" ht="15.75" customHeight="1" spans="5:5">
      <c r="E255" s="95"/>
    </row>
    <row r="256" ht="15.75" customHeight="1" spans="5:5">
      <c r="E256" s="95"/>
    </row>
    <row r="257" ht="15.75" customHeight="1" spans="5:5">
      <c r="E257" s="95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7">
    <mergeCell ref="A1:W1"/>
    <mergeCell ref="A2:W2"/>
    <mergeCell ref="A3:W3"/>
    <mergeCell ref="I8:AN8"/>
    <mergeCell ref="C42:J42"/>
    <mergeCell ref="D44:F44"/>
    <mergeCell ref="D45:F45"/>
    <mergeCell ref="I45:J45"/>
    <mergeCell ref="K45:U45"/>
    <mergeCell ref="D46:F46"/>
    <mergeCell ref="K46:U46"/>
    <mergeCell ref="D47:F47"/>
    <mergeCell ref="K47:U47"/>
    <mergeCell ref="K48:U48"/>
    <mergeCell ref="D51:F51"/>
    <mergeCell ref="J51:O51"/>
    <mergeCell ref="R51:U51"/>
    <mergeCell ref="W51:X51"/>
    <mergeCell ref="A54:C54"/>
    <mergeCell ref="D54:G54"/>
    <mergeCell ref="J54:O54"/>
    <mergeCell ref="R54:U54"/>
    <mergeCell ref="W54:Y54"/>
    <mergeCell ref="A55:C55"/>
    <mergeCell ref="D55:G55"/>
    <mergeCell ref="J55:O55"/>
    <mergeCell ref="R55:U55"/>
    <mergeCell ref="I58:U58"/>
    <mergeCell ref="I61:U61"/>
    <mergeCell ref="I62:U62"/>
    <mergeCell ref="A8:A9"/>
    <mergeCell ref="B8:B9"/>
    <mergeCell ref="C8:C9"/>
    <mergeCell ref="E8:E9"/>
    <mergeCell ref="F8:F9"/>
    <mergeCell ref="G8:G9"/>
    <mergeCell ref="H8:H9"/>
  </mergeCells>
  <pageMargins left="0.7" right="0.7" top="0.75" bottom="0.75" header="0" footer="0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2024-01-03T07:55:00Z</dcterms:created>
  <dcterms:modified xsi:type="dcterms:W3CDTF">2024-06-04T06:47:24Z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5075E09A4B5E4C4EAAD3F2F1EB7EE41B_12</vt:lpwstr>
  </property>
  <property fmtid="{D5CDD505-2E9C-101B-9397-08002B2CF9AE}" pid="3" name="KSOProductBuildVer">
    <vt:lpwstr>1033-12.2.0.13472</vt:lpwstr>
  </property>
</Properties>
</file>