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Q1" sheetId="1" r:id="rId4"/>
    <sheet state="visible" name="Q2" sheetId="2" r:id="rId5"/>
  </sheets>
  <definedNames/>
  <calcPr/>
  <extLst>
    <ext uri="GoogleSheetsCustomDataVersion2">
      <go:sheetsCustomData xmlns:go="http://customooxmlschemas.google.com/" r:id="rId6" roundtripDataChecksum="g4zF8kXnc0ICEs4ZVUjWOUV1cXgqzLuYZHktUZd7xuQ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46">
      <text>
        <t xml:space="preserve">======
ID#AAABELXhRPE
upmnih    (2021-04-08 04:25:07)
Prepared by: Project Staff/ Research Associate</t>
      </text>
    </comment>
    <comment authorId="0" ref="C46">
      <text>
        <t xml:space="preserve">======
ID#AAABELXhRPI
upmnih    (2021-04-08 04:25:07)
Submitted by: Project Leader</t>
      </text>
    </comment>
  </commentList>
  <extLst>
    <ext uri="GoogleSheetsCustomDataVersion2">
      <go:sheetsCustomData xmlns:go="http://customooxmlschemas.google.com/" r:id="rId1" roundtripDataSignature="AMtx7miwAL36E/KSFyUCPtqVPJXaYpwsdQ=="/>
    </ext>
  </extLst>
</comments>
</file>

<file path=xl/sharedStrings.xml><?xml version="1.0" encoding="utf-8"?>
<sst xmlns="http://schemas.openxmlformats.org/spreadsheetml/2006/main" count="295" uniqueCount="174">
  <si>
    <t xml:space="preserve">  PROJECT PROCUREMENT MANAGEMENT PLAN (PPMP) 2024</t>
  </si>
  <si>
    <t>For 1st Quarter of CY 2024</t>
  </si>
  <si>
    <t>END-USER/UNIT: RDD-CDABUS</t>
  </si>
  <si>
    <t>Charged to: RDD-GAA 2024: Melt-Spun Fibers and Meltblown Fabrics from Poly(lactic Acid) and Polypropylene through Incorporation of Plasticizers</t>
  </si>
  <si>
    <t>Projects, Programs and Activities (PAPs)</t>
  </si>
  <si>
    <t>CODE</t>
  </si>
  <si>
    <t>GENERAL DESCRIPTION</t>
  </si>
  <si>
    <t>QUANTITY/</t>
  </si>
  <si>
    <t>UNIT PRICE</t>
  </si>
  <si>
    <t>ESTIMATED BUDGET</t>
  </si>
  <si>
    <t>Mode of Procurement</t>
  </si>
  <si>
    <t>DELIVERY TERM</t>
  </si>
  <si>
    <t>SCHEDULE/MILESTONE OF ACTIVITIES</t>
  </si>
  <si>
    <t>SIZE</t>
  </si>
  <si>
    <t>Jan</t>
  </si>
  <si>
    <t>Feb</t>
  </si>
  <si>
    <t>Mar</t>
  </si>
  <si>
    <t>PR No.</t>
  </si>
  <si>
    <t>RFQ No.</t>
  </si>
  <si>
    <t>PhilGEPS Reference No.</t>
  </si>
  <si>
    <t>AOC No.</t>
  </si>
  <si>
    <t>PO No.</t>
  </si>
  <si>
    <t>COA Received Date</t>
  </si>
  <si>
    <t>NTP No.</t>
  </si>
  <si>
    <t>IAR No.</t>
  </si>
  <si>
    <t>ICS/PAR No.</t>
  </si>
  <si>
    <t>RIS/RSMI No.</t>
  </si>
  <si>
    <t>REMARKS</t>
  </si>
  <si>
    <t>Office Supplies</t>
  </si>
  <si>
    <t>Ultra Fine Felt Tip Pen (blue)</t>
  </si>
  <si>
    <t>20 pieces</t>
  </si>
  <si>
    <t>Shopping</t>
  </si>
  <si>
    <t>Laboratory Supplies</t>
  </si>
  <si>
    <t>Polypropylene resin, MB grade (25 kg)</t>
  </si>
  <si>
    <t>1 bag</t>
  </si>
  <si>
    <t>Small Value Procurement</t>
  </si>
  <si>
    <t>Polypropylene resin, SB grade (25 kg)</t>
  </si>
  <si>
    <t>Poly(lactic acid), fiber-grade (25 kg)</t>
  </si>
  <si>
    <t>Poly(butylene succinate), MW=40000 g/mol</t>
  </si>
  <si>
    <t>1 lot</t>
  </si>
  <si>
    <t>Poly(ethylene glycol), MW=400 g/mol, 500 g</t>
  </si>
  <si>
    <t>3 lots</t>
  </si>
  <si>
    <t>Tributyl acetyl citrate</t>
  </si>
  <si>
    <t>1 kg</t>
  </si>
  <si>
    <t>BHT Antioxidant</t>
  </si>
  <si>
    <t>Irgafos 168 Antioxidant, 500 g</t>
  </si>
  <si>
    <t>Uvinul 3039 Antioxidant, 250 mL</t>
  </si>
  <si>
    <t>Trinuvin 900 UV Stabilizer, 100 g</t>
  </si>
  <si>
    <t>5 lots</t>
  </si>
  <si>
    <t>Calcium Stearate</t>
  </si>
  <si>
    <t>Stearic Acid</t>
  </si>
  <si>
    <t>Office Equipment</t>
  </si>
  <si>
    <t>Laboratory Equipment</t>
  </si>
  <si>
    <t>&lt;-- INSERT ROW IF NEEDED</t>
  </si>
  <si>
    <t>TOTAL BUDGET:</t>
  </si>
  <si>
    <t>+ 10% Provision for Inflation</t>
  </si>
  <si>
    <t xml:space="preserve">+ 10% Contingency  </t>
  </si>
  <si>
    <t xml:space="preserve">TOTAL ESTIMATED BUDGET:  </t>
  </si>
  <si>
    <t>NOTE:      Technical Specifications for each Item/Project being proposed shall be submitted as part of the PPMP</t>
  </si>
  <si>
    <t>Prepared by:</t>
  </si>
  <si>
    <t>Reviewed by:</t>
  </si>
  <si>
    <t>Recommending Approval:</t>
  </si>
  <si>
    <t>Approved by:</t>
  </si>
  <si>
    <t>AUDRIC ZURIEL C. CRUZ</t>
  </si>
  <si>
    <t>MARILOU G. AGUSTIN</t>
  </si>
  <si>
    <t>MERLITA R. ODI</t>
  </si>
  <si>
    <t>JULIUS L. LEAÑO JR., Ph.D.</t>
  </si>
  <si>
    <t>Project Leader</t>
  </si>
  <si>
    <t>Head, Property, Procurement and General Services Section</t>
  </si>
  <si>
    <t>Head, Budget and Treasury Section</t>
  </si>
  <si>
    <t>Director IV</t>
  </si>
  <si>
    <t>Date: ______________________</t>
  </si>
  <si>
    <t>For 2nd Quarter of CY 2024</t>
  </si>
  <si>
    <t>UACS CODE</t>
  </si>
  <si>
    <t>Stock No.</t>
  </si>
  <si>
    <t>Apr</t>
  </si>
  <si>
    <t>May</t>
  </si>
  <si>
    <t>Jun</t>
  </si>
  <si>
    <t>PR No. and Date</t>
  </si>
  <si>
    <t>RFQ No. and Date</t>
  </si>
  <si>
    <t>PhilGEPS Reference No. and Date</t>
  </si>
  <si>
    <t>PhilGEPS Closing Date</t>
  </si>
  <si>
    <t>AOC No. and Date</t>
  </si>
  <si>
    <t>BAC Reso</t>
  </si>
  <si>
    <t>PO No. and Date</t>
  </si>
  <si>
    <t>Name of Payee</t>
  </si>
  <si>
    <t>BURS/ORS Amount</t>
  </si>
  <si>
    <t>Budget Utilization Rate</t>
  </si>
  <si>
    <t>Conforme of PO Date</t>
  </si>
  <si>
    <t>COA Received of PO Date</t>
  </si>
  <si>
    <t>NTP Date</t>
  </si>
  <si>
    <t>Contract Effectivity Date</t>
  </si>
  <si>
    <t>End of Contract</t>
  </si>
  <si>
    <t>Extended End of Contract</t>
  </si>
  <si>
    <t>Delivery Date</t>
  </si>
  <si>
    <t>OR / Invoice and date</t>
  </si>
  <si>
    <t>IAR No. and Date</t>
  </si>
  <si>
    <t>ICS/PAR No. and Date</t>
  </si>
  <si>
    <t>RIS No. and Date</t>
  </si>
  <si>
    <t>RSMI No. and Date</t>
  </si>
  <si>
    <t>DV Release Date</t>
  </si>
  <si>
    <t>DV Amount</t>
  </si>
  <si>
    <t>Disbursement Rate</t>
  </si>
  <si>
    <t>(1)</t>
  </si>
  <si>
    <t>(2)</t>
  </si>
  <si>
    <t>(3)</t>
  </si>
  <si>
    <t>(4)</t>
  </si>
  <si>
    <t>(5)</t>
  </si>
  <si>
    <t>(6)</t>
  </si>
  <si>
    <t>(7)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</si>
  <si>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</si>
  <si>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</si>
  <si>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</si>
  <si>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</si>
  <si>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</si>
  <si>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</si>
  <si>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</si>
  <si>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</si>
  <si>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</si>
  <si>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</si>
  <si>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</si>
  <si>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</si>
  <si>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(20)</t>
  </si>
  <si>
    <t>(21)</t>
  </si>
  <si>
    <t>(22)</t>
  </si>
  <si>
    <t>(23)</t>
  </si>
  <si>
    <t>(24)</t>
  </si>
  <si>
    <t>(25)</t>
  </si>
  <si>
    <t>(26)</t>
  </si>
  <si>
    <t>(27)</t>
  </si>
  <si>
    <t>(28)</t>
  </si>
  <si>
    <t>(29)</t>
  </si>
  <si>
    <t>(30)</t>
  </si>
  <si>
    <t>(31)</t>
  </si>
  <si>
    <t>(32)</t>
  </si>
  <si>
    <t>(33)</t>
  </si>
  <si>
    <t>(34)</t>
  </si>
  <si>
    <t>(35)</t>
  </si>
  <si>
    <t>(36)</t>
  </si>
  <si>
    <t>(37)</t>
  </si>
  <si>
    <t>(38)</t>
  </si>
  <si>
    <t>(39)</t>
  </si>
  <si>
    <t>(40)</t>
  </si>
  <si>
    <t>50203010 02</t>
  </si>
  <si>
    <t>Office Supplies Expenses</t>
  </si>
  <si>
    <t>Whiteboard, double faced, fixed stand (4' x 8')</t>
  </si>
  <si>
    <t>10 pcs</t>
  </si>
  <si>
    <t>Negotiated Procurement - Small Value Procurement</t>
  </si>
  <si>
    <t>15 working days</t>
  </si>
  <si>
    <t>OS-172</t>
  </si>
  <si>
    <t>Whiteboard marker (black), 12 pcs per box</t>
  </si>
  <si>
    <t>5 boxes</t>
  </si>
  <si>
    <t>Whiteboard marker (red), 12 pcs per box</t>
  </si>
  <si>
    <t>50203080 00</t>
  </si>
  <si>
    <t>Medical, Dental Laboratory Supplies Expenses</t>
  </si>
  <si>
    <t>60 working days</t>
  </si>
  <si>
    <t>Peroxide masterbatch (25 kg)</t>
  </si>
  <si>
    <t>Sodium Alginate, analytical grade</t>
  </si>
  <si>
    <t>2 bottles</t>
  </si>
  <si>
    <t>50211990 00</t>
  </si>
  <si>
    <t>Other Professional Services</t>
  </si>
  <si>
    <t>Fiber fineness testing (ASTM D1577)</t>
  </si>
  <si>
    <t>24 samples</t>
  </si>
  <si>
    <t>per schedule</t>
  </si>
  <si>
    <t>SEM Imaging of fibers and fabrics</t>
  </si>
  <si>
    <t>16 samples</t>
  </si>
  <si>
    <t>Thermogravimetric analysis (TGA)</t>
  </si>
  <si>
    <t>Differential scanning calorimetry (DSC)</t>
  </si>
  <si>
    <t>Polymer molecular weight (GPC)</t>
  </si>
  <si>
    <t>8 samples</t>
  </si>
  <si>
    <t>Representation Expenses</t>
  </si>
  <si>
    <t>Research Writeshop</t>
  </si>
  <si>
    <t>Cash Advance</t>
  </si>
  <si>
    <r>
      <rPr>
        <rFont val="Arial"/>
        <color theme="1"/>
        <sz val="11.0"/>
      </rPr>
      <t xml:space="preserve">Date: </t>
    </r>
    <r>
      <rPr>
        <rFont val="Arial"/>
        <color theme="1"/>
        <sz val="11.0"/>
        <u/>
      </rPr>
      <t>June 3, 2024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</si>
</sst>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_(* #,##0.00_);_(* \(#,##0.00\);_(* &quot;-&quot;??_);_(@_)"/>
  </numFmts>
  <fonts count="21">
    <font>
      <sz val="11.0"/>
      <color theme="1"/>
      <name val="Arial"/>
      <scheme val="minor"/>
    </font>
    <font>
      <b/>
      <sz val="12.0"/>
      <color theme="1"/>
      <name val="Arial"/>
    </font>
    <font>
      <sz val="11.0"/>
      <color theme="1"/>
      <name val="Arial"/>
    </font>
    <font>
      <b/>
      <sz val="11.0"/>
      <color rgb="FFFF0000"/>
      <name val="Arial"/>
    </font>
    <font>
      <b/>
      <i/>
      <sz val="12.0"/>
      <color theme="1"/>
      <name val="Arial"/>
    </font>
    <font>
      <i/>
      <sz val="12.0"/>
      <color theme="1"/>
      <name val="Arial"/>
    </font>
    <font>
      <b/>
      <sz val="9.0"/>
      <color theme="1"/>
      <name val="Arial"/>
    </font>
    <font>
      <b/>
      <sz val="10.0"/>
      <color theme="1"/>
      <name val="Arial"/>
    </font>
    <font/>
    <font>
      <sz val="9.0"/>
      <color theme="1"/>
      <name val="Arial"/>
    </font>
    <font>
      <b/>
      <sz val="11.0"/>
      <color theme="1"/>
      <name val="Arial"/>
    </font>
    <font>
      <sz val="10.0"/>
      <color theme="1"/>
      <name val="Arial"/>
    </font>
    <font>
      <b/>
      <u/>
      <sz val="9.0"/>
      <color theme="1"/>
      <name val="Arial"/>
    </font>
    <font>
      <b/>
      <sz val="8.0"/>
      <color theme="1"/>
      <name val="Arial"/>
    </font>
    <font>
      <u/>
      <sz val="8.0"/>
      <color theme="1"/>
      <name val="Arial"/>
    </font>
    <font>
      <b/>
      <u/>
      <sz val="10.0"/>
      <color theme="1"/>
      <name val="Arial"/>
    </font>
    <font>
      <sz val="11.0"/>
      <color theme="1"/>
      <name val="Calibri"/>
    </font>
    <font>
      <b/>
      <sz val="10.0"/>
      <color theme="1"/>
      <name val="Verdana"/>
    </font>
    <font>
      <sz val="10.0"/>
      <color theme="1"/>
      <name val="Calibri"/>
    </font>
    <font>
      <sz val="10.0"/>
      <color theme="1"/>
      <name val="Verdana"/>
    </font>
    <font>
      <sz val="9.0"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8D8D8"/>
        <bgColor rgb="FFD8D8D8"/>
      </patternFill>
    </fill>
  </fills>
  <borders count="31">
    <border/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left style="medium">
        <color rgb="FF000000"/>
      </left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bottom style="double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medium">
        <color rgb="FF000000"/>
      </top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16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Font="1"/>
    <xf borderId="0" fillId="0" fontId="2" numFmtId="0" xfId="0" applyAlignment="1" applyFont="1">
      <alignment horizontal="center"/>
    </xf>
    <xf borderId="0" fillId="0" fontId="3" numFmtId="0" xfId="0" applyAlignment="1" applyFont="1">
      <alignment horizontal="center" shrinkToFit="0" wrapText="1"/>
    </xf>
    <xf borderId="0" fillId="0" fontId="4" numFmtId="0" xfId="0" applyAlignment="1" applyFont="1">
      <alignment readingOrder="0" vertical="center"/>
    </xf>
    <xf borderId="0" fillId="0" fontId="2" numFmtId="0" xfId="0" applyAlignment="1" applyFont="1">
      <alignment vertical="center"/>
    </xf>
    <xf borderId="0" fillId="0" fontId="2" numFmtId="4" xfId="0" applyAlignment="1" applyFont="1" applyNumberFormat="1">
      <alignment horizontal="right" vertical="center"/>
    </xf>
    <xf borderId="0" fillId="0" fontId="5" numFmtId="0" xfId="0" applyAlignment="1" applyFont="1">
      <alignment vertical="center"/>
    </xf>
    <xf borderId="0" fillId="0" fontId="2" numFmtId="4" xfId="0" applyAlignment="1" applyFont="1" applyNumberFormat="1">
      <alignment horizontal="right"/>
    </xf>
    <xf borderId="0" fillId="0" fontId="2" numFmtId="164" xfId="0" applyFont="1" applyNumberFormat="1"/>
    <xf borderId="0" fillId="0" fontId="2" numFmtId="0" xfId="0" applyAlignment="1" applyFont="1">
      <alignment horizontal="center" shrinkToFit="0" wrapText="1"/>
    </xf>
    <xf borderId="0" fillId="0" fontId="4" numFmtId="0" xfId="0" applyAlignment="1" applyFont="1">
      <alignment vertical="center"/>
    </xf>
    <xf borderId="1" fillId="0" fontId="6" numFmtId="0" xfId="0" applyAlignment="1" applyBorder="1" applyFont="1">
      <alignment horizontal="center" shrinkToFit="0" vertical="center" wrapText="1"/>
    </xf>
    <xf borderId="2" fillId="0" fontId="6" numFmtId="0" xfId="0" applyAlignment="1" applyBorder="1" applyFont="1">
      <alignment horizontal="center" shrinkToFit="0" vertical="center" wrapText="1"/>
    </xf>
    <xf borderId="3" fillId="0" fontId="6" numFmtId="0" xfId="0" applyAlignment="1" applyBorder="1" applyFont="1">
      <alignment horizontal="center" shrinkToFit="0" vertical="center" wrapText="1"/>
    </xf>
    <xf borderId="2" fillId="0" fontId="6" numFmtId="4" xfId="0" applyAlignment="1" applyBorder="1" applyFont="1" applyNumberFormat="1">
      <alignment horizontal="center" shrinkToFit="0" vertical="center" wrapText="1"/>
    </xf>
    <xf borderId="2" fillId="0" fontId="6" numFmtId="164" xfId="0" applyAlignment="1" applyBorder="1" applyFont="1" applyNumberFormat="1">
      <alignment horizontal="center" shrinkToFit="0" vertical="center" wrapText="1"/>
    </xf>
    <xf borderId="2" fillId="0" fontId="7" numFmtId="0" xfId="0" applyAlignment="1" applyBorder="1" applyFont="1">
      <alignment horizontal="center" shrinkToFit="0" vertical="center" wrapText="1"/>
    </xf>
    <xf borderId="4" fillId="0" fontId="6" numFmtId="0" xfId="0" applyAlignment="1" applyBorder="1" applyFont="1">
      <alignment horizontal="center" shrinkToFit="0" vertical="center" wrapText="1"/>
    </xf>
    <xf borderId="5" fillId="0" fontId="8" numFmtId="0" xfId="0" applyBorder="1" applyFont="1"/>
    <xf borderId="6" fillId="0" fontId="8" numFmtId="0" xfId="0" applyBorder="1" applyFont="1"/>
    <xf borderId="0" fillId="0" fontId="9" numFmtId="0" xfId="0" applyFont="1"/>
    <xf borderId="7" fillId="0" fontId="8" numFmtId="0" xfId="0" applyBorder="1" applyFont="1"/>
    <xf borderId="8" fillId="0" fontId="8" numFmtId="0" xfId="0" applyBorder="1" applyFont="1"/>
    <xf borderId="9" fillId="0" fontId="6" numFmtId="0" xfId="0" applyAlignment="1" applyBorder="1" applyFont="1">
      <alignment horizontal="center" shrinkToFit="0" vertical="center" wrapText="1"/>
    </xf>
    <xf borderId="9" fillId="0" fontId="7" numFmtId="0" xfId="0" applyAlignment="1" applyBorder="1" applyFont="1">
      <alignment horizontal="center" shrinkToFit="0" vertical="center" wrapText="1"/>
    </xf>
    <xf borderId="10" fillId="0" fontId="7" numFmtId="0" xfId="0" applyAlignment="1" applyBorder="1" applyFont="1">
      <alignment horizontal="center" shrinkToFit="0" vertical="center" wrapText="1"/>
    </xf>
    <xf borderId="11" fillId="0" fontId="9" numFmtId="0" xfId="0" applyBorder="1" applyFont="1"/>
    <xf borderId="12" fillId="0" fontId="6" numFmtId="0" xfId="0" applyAlignment="1" applyBorder="1" applyFont="1">
      <alignment horizontal="center" shrinkToFit="0" vertical="center" wrapText="1"/>
    </xf>
    <xf borderId="3" fillId="2" fontId="6" numFmtId="0" xfId="0" applyAlignment="1" applyBorder="1" applyFill="1" applyFont="1">
      <alignment horizontal="left" shrinkToFit="0" vertical="center" wrapText="1"/>
    </xf>
    <xf borderId="13" fillId="2" fontId="6" numFmtId="0" xfId="0" applyAlignment="1" applyBorder="1" applyFont="1">
      <alignment horizontal="center" shrinkToFit="0" vertical="center" wrapText="1"/>
    </xf>
    <xf borderId="13" fillId="2" fontId="6" numFmtId="4" xfId="0" applyAlignment="1" applyBorder="1" applyFont="1" applyNumberFormat="1">
      <alignment horizontal="right" shrinkToFit="0" vertical="center" wrapText="1"/>
    </xf>
    <xf borderId="13" fillId="2" fontId="6" numFmtId="164" xfId="0" applyAlignment="1" applyBorder="1" applyFont="1" applyNumberFormat="1">
      <alignment horizontal="center" shrinkToFit="0" vertical="center" wrapText="1"/>
    </xf>
    <xf borderId="13" fillId="2" fontId="7" numFmtId="0" xfId="0" applyAlignment="1" applyBorder="1" applyFont="1">
      <alignment horizontal="center" shrinkToFit="0" vertical="center" wrapText="1"/>
    </xf>
    <xf borderId="14" fillId="2" fontId="7" numFmtId="0" xfId="0" applyAlignment="1" applyBorder="1" applyFont="1">
      <alignment horizontal="center" shrinkToFit="0" vertical="center" wrapText="1"/>
    </xf>
    <xf borderId="3" fillId="2" fontId="7" numFmtId="0" xfId="0" applyAlignment="1" applyBorder="1" applyFont="1">
      <alignment horizontal="center" shrinkToFit="0" vertical="center" wrapText="1"/>
    </xf>
    <xf borderId="12" fillId="0" fontId="10" numFmtId="0" xfId="0" applyAlignment="1" applyBorder="1" applyFont="1">
      <alignment horizontal="center" shrinkToFit="0" vertical="center" wrapText="1"/>
    </xf>
    <xf borderId="15" fillId="0" fontId="2" numFmtId="49" xfId="0" applyBorder="1" applyFont="1" applyNumberFormat="1"/>
    <xf borderId="16" fillId="0" fontId="2" numFmtId="0" xfId="0" applyAlignment="1" applyBorder="1" applyFont="1">
      <alignment horizontal="center" readingOrder="0" shrinkToFit="0" vertical="center" wrapText="1"/>
    </xf>
    <xf borderId="16" fillId="0" fontId="2" numFmtId="4" xfId="0" applyAlignment="1" applyBorder="1" applyFont="1" applyNumberFormat="1">
      <alignment horizontal="right" shrinkToFit="0" vertical="center" wrapText="1"/>
    </xf>
    <xf borderId="16" fillId="0" fontId="2" numFmtId="164" xfId="0" applyAlignment="1" applyBorder="1" applyFont="1" applyNumberFormat="1">
      <alignment horizontal="center" readingOrder="0" shrinkToFit="0" vertical="center" wrapText="1"/>
    </xf>
    <xf borderId="17" fillId="0" fontId="2" numFmtId="0" xfId="0" applyBorder="1" applyFont="1"/>
    <xf borderId="16" fillId="0" fontId="2" numFmtId="0" xfId="0" applyAlignment="1" applyBorder="1" applyFont="1">
      <alignment horizontal="center" shrinkToFit="0" vertical="center" wrapText="1"/>
    </xf>
    <xf borderId="16" fillId="0" fontId="2" numFmtId="164" xfId="0" applyAlignment="1" applyBorder="1" applyFont="1" applyNumberFormat="1">
      <alignment horizontal="center" shrinkToFit="0" vertical="center" wrapText="1"/>
    </xf>
    <xf borderId="18" fillId="2" fontId="10" numFmtId="0" xfId="0" applyAlignment="1" applyBorder="1" applyFont="1">
      <alignment horizontal="left" vertical="center"/>
    </xf>
    <xf borderId="17" fillId="2" fontId="2" numFmtId="0" xfId="0" applyBorder="1" applyFont="1"/>
    <xf borderId="17" fillId="2" fontId="2" numFmtId="4" xfId="0" applyAlignment="1" applyBorder="1" applyFont="1" applyNumberFormat="1">
      <alignment horizontal="right"/>
    </xf>
    <xf borderId="15" fillId="0" fontId="2" numFmtId="0" xfId="0" applyAlignment="1" applyBorder="1" applyFont="1">
      <alignment horizontal="left" vertical="center"/>
    </xf>
    <xf borderId="17" fillId="0" fontId="2" numFmtId="0" xfId="0" applyAlignment="1" applyBorder="1" applyFont="1">
      <alignment horizontal="center"/>
    </xf>
    <xf borderId="17" fillId="0" fontId="2" numFmtId="4" xfId="0" applyAlignment="1" applyBorder="1" applyFont="1" applyNumberFormat="1">
      <alignment horizontal="right"/>
    </xf>
    <xf borderId="15" fillId="0" fontId="2" numFmtId="49" xfId="0" applyAlignment="1" applyBorder="1" applyFont="1" applyNumberFormat="1">
      <alignment horizontal="left" vertical="center"/>
    </xf>
    <xf borderId="19" fillId="0" fontId="10" numFmtId="0" xfId="0" applyAlignment="1" applyBorder="1" applyFont="1">
      <alignment horizontal="center" shrinkToFit="0" vertical="center" wrapText="1"/>
    </xf>
    <xf borderId="17" fillId="0" fontId="2" numFmtId="0" xfId="0" applyAlignment="1" applyBorder="1" applyFont="1">
      <alignment horizontal="left" vertical="center"/>
    </xf>
    <xf borderId="17" fillId="0" fontId="2" numFmtId="0" xfId="0" applyAlignment="1" applyBorder="1" applyFont="1">
      <alignment horizontal="center" shrinkToFit="0" vertical="center" wrapText="1"/>
    </xf>
    <xf borderId="17" fillId="0" fontId="2" numFmtId="4" xfId="0" applyAlignment="1" applyBorder="1" applyFont="1" applyNumberFormat="1">
      <alignment horizontal="right" shrinkToFit="0" vertical="center" wrapText="1"/>
    </xf>
    <xf borderId="17" fillId="0" fontId="2" numFmtId="164" xfId="0" applyAlignment="1" applyBorder="1" applyFont="1" applyNumberFormat="1">
      <alignment horizontal="center" shrinkToFit="0" vertical="center" wrapText="1"/>
    </xf>
    <xf borderId="20" fillId="0" fontId="6" numFmtId="0" xfId="0" applyAlignment="1" applyBorder="1" applyFont="1">
      <alignment horizontal="left" shrinkToFit="0" vertical="center" wrapText="1"/>
    </xf>
    <xf borderId="21" fillId="0" fontId="8" numFmtId="0" xfId="0" applyBorder="1" applyFont="1"/>
    <xf borderId="22" fillId="0" fontId="8" numFmtId="0" xfId="0" applyBorder="1" applyFont="1"/>
    <xf borderId="0" fillId="0" fontId="6" numFmtId="0" xfId="0" applyAlignment="1" applyFont="1">
      <alignment vertical="center"/>
    </xf>
    <xf borderId="0" fillId="0" fontId="11" numFmtId="0" xfId="0" applyAlignment="1" applyFont="1">
      <alignment vertical="center"/>
    </xf>
    <xf borderId="23" fillId="0" fontId="2" numFmtId="164" xfId="0" applyBorder="1" applyFont="1" applyNumberFormat="1"/>
    <xf borderId="0" fillId="0" fontId="12" numFmtId="0" xfId="0" applyAlignment="1" applyFont="1">
      <alignment vertical="center"/>
    </xf>
    <xf borderId="0" fillId="0" fontId="1" numFmtId="164" xfId="0" applyAlignment="1" applyFont="1" applyNumberFormat="1">
      <alignment horizontal="center"/>
    </xf>
    <xf borderId="15" fillId="0" fontId="6" numFmtId="0" xfId="0" applyAlignment="1" applyBorder="1" applyFont="1">
      <alignment vertical="center"/>
    </xf>
    <xf borderId="15" fillId="0" fontId="2" numFmtId="0" xfId="0" applyAlignment="1" applyBorder="1" applyFont="1">
      <alignment vertical="center"/>
    </xf>
    <xf borderId="24" fillId="0" fontId="1" numFmtId="164" xfId="0" applyAlignment="1" applyBorder="1" applyFont="1" applyNumberFormat="1">
      <alignment horizontal="center"/>
    </xf>
    <xf borderId="25" fillId="0" fontId="8" numFmtId="0" xfId="0" applyBorder="1" applyFont="1"/>
    <xf borderId="26" fillId="0" fontId="8" numFmtId="0" xfId="0" applyBorder="1" applyFont="1"/>
    <xf borderId="0" fillId="0" fontId="9" numFmtId="0" xfId="0" applyAlignment="1" applyFont="1">
      <alignment horizontal="left"/>
    </xf>
    <xf borderId="17" fillId="0" fontId="6" numFmtId="0" xfId="0" applyAlignment="1" applyBorder="1" applyFont="1">
      <alignment vertical="center"/>
    </xf>
    <xf borderId="17" fillId="0" fontId="2" numFmtId="0" xfId="0" applyAlignment="1" applyBorder="1" applyFont="1">
      <alignment vertical="center"/>
    </xf>
    <xf borderId="20" fillId="0" fontId="1" numFmtId="164" xfId="0" applyAlignment="1" applyBorder="1" applyFont="1" applyNumberFormat="1">
      <alignment horizontal="center"/>
    </xf>
    <xf borderId="0" fillId="0" fontId="11" numFmtId="0" xfId="0" applyFont="1"/>
    <xf borderId="0" fillId="0" fontId="11" numFmtId="164" xfId="0" applyAlignment="1" applyFont="1" applyNumberFormat="1">
      <alignment horizontal="center"/>
    </xf>
    <xf borderId="0" fillId="0" fontId="13" numFmtId="0" xfId="0" applyAlignment="1" applyFont="1">
      <alignment vertical="center"/>
    </xf>
    <xf borderId="0" fillId="0" fontId="14" numFmtId="0" xfId="0" applyAlignment="1" applyFont="1">
      <alignment vertical="center"/>
    </xf>
    <xf borderId="0" fillId="0" fontId="9" numFmtId="0" xfId="0" applyAlignment="1" applyFont="1">
      <alignment vertical="center"/>
    </xf>
    <xf borderId="0" fillId="0" fontId="7" numFmtId="0" xfId="0" applyAlignment="1" applyFont="1">
      <alignment vertical="center"/>
    </xf>
    <xf borderId="0" fillId="0" fontId="7" numFmtId="0" xfId="0" applyAlignment="1" applyFont="1">
      <alignment horizontal="left" shrinkToFit="0" vertical="center" wrapText="1"/>
    </xf>
    <xf borderId="0" fillId="0" fontId="7" numFmtId="4" xfId="0" applyAlignment="1" applyFont="1" applyNumberFormat="1">
      <alignment horizontal="right" shrinkToFit="0" vertical="center" wrapText="1"/>
    </xf>
    <xf borderId="0" fillId="0" fontId="11" numFmtId="4" xfId="0" applyAlignment="1" applyFont="1" applyNumberFormat="1">
      <alignment horizontal="right"/>
    </xf>
    <xf borderId="0" fillId="0" fontId="7" numFmtId="0" xfId="0" applyAlignment="1" applyFont="1">
      <alignment shrinkToFit="0" wrapText="1"/>
    </xf>
    <xf borderId="0" fillId="0" fontId="15" numFmtId="0" xfId="0" applyAlignment="1" applyFont="1">
      <alignment horizontal="left" vertical="center"/>
    </xf>
    <xf borderId="0" fillId="0" fontId="7" numFmtId="0" xfId="0" applyAlignment="1" applyFont="1">
      <alignment horizontal="left" shrinkToFit="0" wrapText="1"/>
    </xf>
    <xf borderId="0" fillId="0" fontId="11" numFmtId="0" xfId="0" applyAlignment="1" applyFont="1">
      <alignment horizontal="left" vertical="center"/>
    </xf>
    <xf borderId="0" fillId="0" fontId="11" numFmtId="0" xfId="0" applyAlignment="1" applyFont="1">
      <alignment horizontal="left" shrinkToFit="0" vertical="center" wrapText="1"/>
    </xf>
    <xf borderId="0" fillId="0" fontId="2" numFmtId="0" xfId="0" applyAlignment="1" applyFont="1">
      <alignment horizontal="left"/>
    </xf>
    <xf borderId="0" fillId="0" fontId="11" numFmtId="0" xfId="0" applyAlignment="1" applyFont="1">
      <alignment shrinkToFit="0" vertical="center" wrapText="1"/>
    </xf>
    <xf borderId="0" fillId="0" fontId="16" numFmtId="4" xfId="0" applyAlignment="1" applyFont="1" applyNumberFormat="1">
      <alignment horizontal="right"/>
    </xf>
    <xf borderId="0" fillId="0" fontId="17" numFmtId="0" xfId="0" applyAlignment="1" applyFont="1">
      <alignment horizontal="left" shrinkToFit="0" vertical="center" wrapText="1"/>
    </xf>
    <xf borderId="0" fillId="0" fontId="18" numFmtId="0" xfId="0" applyFont="1"/>
    <xf borderId="0" fillId="0" fontId="17" numFmtId="0" xfId="0" applyAlignment="1" applyFont="1">
      <alignment shrinkToFit="0" wrapText="1"/>
    </xf>
    <xf borderId="0" fillId="0" fontId="19" numFmtId="0" xfId="0" applyFont="1"/>
    <xf borderId="0" fillId="0" fontId="17" numFmtId="0" xfId="0" applyAlignment="1" applyFont="1">
      <alignment horizontal="left" shrinkToFit="0" wrapText="1"/>
    </xf>
    <xf borderId="0" fillId="0" fontId="19" numFmtId="164" xfId="0" applyAlignment="1" applyFont="1" applyNumberFormat="1">
      <alignment horizontal="left" shrinkToFit="0" vertical="center" wrapText="1"/>
    </xf>
    <xf borderId="0" fillId="0" fontId="2" numFmtId="0" xfId="0" applyAlignment="1" applyFont="1">
      <alignment horizontal="center" readingOrder="0"/>
    </xf>
    <xf borderId="1" fillId="0" fontId="6" numFmtId="0" xfId="0" applyAlignment="1" applyBorder="1" applyFont="1">
      <alignment horizontal="center" shrinkToFit="0" wrapText="1"/>
    </xf>
    <xf borderId="27" fillId="0" fontId="6" numFmtId="0" xfId="0" applyAlignment="1" applyBorder="1" applyFont="1">
      <alignment horizontal="center" shrinkToFit="0" wrapText="1"/>
    </xf>
    <xf borderId="27" fillId="0" fontId="6" numFmtId="0" xfId="0" applyAlignment="1" applyBorder="1" applyFont="1">
      <alignment horizontal="center" shrinkToFit="0" wrapText="1"/>
    </xf>
    <xf borderId="28" fillId="0" fontId="6" numFmtId="0" xfId="0" applyAlignment="1" applyBorder="1" applyFont="1">
      <alignment horizontal="center" shrinkToFit="0" wrapText="1"/>
    </xf>
    <xf borderId="27" fillId="0" fontId="6" numFmtId="4" xfId="0" applyAlignment="1" applyBorder="1" applyFont="1" applyNumberFormat="1">
      <alignment horizontal="center" shrinkToFit="0" wrapText="1"/>
    </xf>
    <xf borderId="27" fillId="0" fontId="6" numFmtId="164" xfId="0" applyAlignment="1" applyBorder="1" applyFont="1" applyNumberFormat="1">
      <alignment horizontal="center" shrinkToFit="0" wrapText="1"/>
    </xf>
    <xf borderId="27" fillId="0" fontId="6" numFmtId="0" xfId="0" applyAlignment="1" applyBorder="1" applyFont="1">
      <alignment shrinkToFit="0" wrapText="1"/>
    </xf>
    <xf borderId="5" fillId="0" fontId="6" numFmtId="0" xfId="0" applyAlignment="1" applyBorder="1" applyFont="1">
      <alignment horizontal="center" shrinkToFit="0" wrapText="1"/>
    </xf>
    <xf borderId="29" fillId="0" fontId="8" numFmtId="0" xfId="0" applyBorder="1" applyFont="1"/>
    <xf borderId="29" fillId="0" fontId="6" numFmtId="0" xfId="0" applyAlignment="1" applyBorder="1" applyFont="1">
      <alignment horizontal="center" shrinkToFit="0" wrapText="1"/>
    </xf>
    <xf borderId="29" fillId="0" fontId="6" numFmtId="0" xfId="0" applyAlignment="1" applyBorder="1" applyFont="1">
      <alignment horizontal="center" shrinkToFit="0" wrapText="1"/>
    </xf>
    <xf borderId="29" fillId="0" fontId="6" numFmtId="0" xfId="0" applyAlignment="1" applyBorder="1" applyFont="1">
      <alignment horizontal="center" shrinkToFit="0" wrapText="1"/>
    </xf>
    <xf borderId="30" fillId="0" fontId="6" numFmtId="0" xfId="0" applyAlignment="1" applyBorder="1" applyFont="1">
      <alignment horizontal="center" shrinkToFit="0" wrapText="1"/>
    </xf>
    <xf quotePrefix="1" borderId="8" fillId="0" fontId="6" numFmtId="0" xfId="0" applyAlignment="1" applyBorder="1" applyFont="1">
      <alignment horizontal="center" shrinkToFit="0" wrapText="1"/>
    </xf>
    <xf quotePrefix="1" borderId="29" fillId="0" fontId="6" numFmtId="0" xfId="0" applyAlignment="1" applyBorder="1" applyFont="1">
      <alignment horizontal="center" shrinkToFit="0" wrapText="1"/>
    </xf>
    <xf quotePrefix="1" borderId="29" fillId="0" fontId="6" numFmtId="0" xfId="0" applyAlignment="1" applyBorder="1" applyFont="1">
      <alignment horizontal="center" shrinkToFit="0" wrapText="1"/>
    </xf>
    <xf quotePrefix="1" borderId="29" fillId="0" fontId="6" numFmtId="4" xfId="0" applyAlignment="1" applyBorder="1" applyFont="1" applyNumberFormat="1">
      <alignment horizontal="center" shrinkToFit="0" wrapText="1"/>
    </xf>
    <xf quotePrefix="1" borderId="29" fillId="0" fontId="6" numFmtId="164" xfId="0" applyAlignment="1" applyBorder="1" applyFont="1" applyNumberFormat="1">
      <alignment horizontal="center" shrinkToFit="0" wrapText="1"/>
    </xf>
    <xf quotePrefix="1" borderId="29" fillId="0" fontId="6" numFmtId="0" xfId="0" applyAlignment="1" applyBorder="1" applyFont="1">
      <alignment shrinkToFit="0" wrapText="1"/>
    </xf>
    <xf quotePrefix="1" borderId="29" fillId="0" fontId="6" numFmtId="0" xfId="0" applyAlignment="1" applyBorder="1" applyFont="1">
      <alignment horizontal="center" shrinkToFit="0" wrapText="1"/>
    </xf>
    <xf quotePrefix="1" borderId="30" fillId="0" fontId="6" numFmtId="0" xfId="0" applyAlignment="1" applyBorder="1" applyFont="1">
      <alignment horizontal="center" shrinkToFit="0" wrapText="1"/>
    </xf>
    <xf borderId="17" fillId="2" fontId="6" numFmtId="0" xfId="0" applyAlignment="1" applyBorder="1" applyFont="1">
      <alignment horizontal="center" readingOrder="0" shrinkToFit="0" vertical="center" wrapText="1"/>
    </xf>
    <xf borderId="17" fillId="2" fontId="6" numFmtId="0" xfId="0" applyAlignment="1" applyBorder="1" applyFont="1">
      <alignment horizontal="left" shrinkToFit="0" vertical="center" wrapText="1"/>
    </xf>
    <xf borderId="3" fillId="2" fontId="6" numFmtId="0" xfId="0" applyAlignment="1" applyBorder="1" applyFont="1">
      <alignment horizontal="left" readingOrder="0" shrinkToFit="0" vertical="center" wrapText="1"/>
    </xf>
    <xf borderId="14" fillId="2" fontId="6" numFmtId="0" xfId="0" applyAlignment="1" applyBorder="1" applyFont="1">
      <alignment horizontal="center" shrinkToFit="0" vertical="center" wrapText="1"/>
    </xf>
    <xf borderId="3" fillId="2" fontId="6" numFmtId="0" xfId="0" applyAlignment="1" applyBorder="1" applyFont="1">
      <alignment horizontal="center" shrinkToFit="0" vertical="center" wrapText="1"/>
    </xf>
    <xf borderId="17" fillId="0" fontId="9" numFmtId="49" xfId="0" applyAlignment="1" applyBorder="1" applyFont="1" applyNumberFormat="1">
      <alignment readingOrder="0" vertical="center"/>
    </xf>
    <xf borderId="15" fillId="0" fontId="9" numFmtId="49" xfId="0" applyAlignment="1" applyBorder="1" applyFont="1" applyNumberFormat="1">
      <alignment readingOrder="0" vertical="center"/>
    </xf>
    <xf borderId="16" fillId="0" fontId="9" numFmtId="0" xfId="0" applyAlignment="1" applyBorder="1" applyFont="1">
      <alignment horizontal="center" readingOrder="0" shrinkToFit="0" vertical="center" wrapText="1"/>
    </xf>
    <xf borderId="16" fillId="0" fontId="9" numFmtId="4" xfId="0" applyAlignment="1" applyBorder="1" applyFont="1" applyNumberFormat="1">
      <alignment horizontal="right" readingOrder="0" shrinkToFit="0" vertical="center" wrapText="1"/>
    </xf>
    <xf borderId="16" fillId="0" fontId="9" numFmtId="164" xfId="0" applyAlignment="1" applyBorder="1" applyFont="1" applyNumberFormat="1">
      <alignment horizontal="right" readingOrder="0" shrinkToFit="0" vertical="center" wrapText="1"/>
    </xf>
    <xf borderId="17" fillId="0" fontId="9" numFmtId="0" xfId="0" applyAlignment="1" applyBorder="1" applyFont="1">
      <alignment horizontal="center" readingOrder="0" shrinkToFit="0" vertical="center" wrapText="1"/>
    </xf>
    <xf borderId="17" fillId="0" fontId="9" numFmtId="0" xfId="0" applyAlignment="1" applyBorder="1" applyFont="1">
      <alignment horizontal="center" readingOrder="0" vertical="center"/>
    </xf>
    <xf borderId="17" fillId="0" fontId="9" numFmtId="0" xfId="0" applyAlignment="1" applyBorder="1" applyFont="1">
      <alignment vertical="center"/>
    </xf>
    <xf borderId="17" fillId="0" fontId="9" numFmtId="49" xfId="0" applyAlignment="1" applyBorder="1" applyFont="1" applyNumberFormat="1">
      <alignment horizontal="center" readingOrder="0"/>
    </xf>
    <xf borderId="15" fillId="0" fontId="9" numFmtId="49" xfId="0" applyAlignment="1" applyBorder="1" applyFont="1" applyNumberFormat="1">
      <alignment readingOrder="0"/>
    </xf>
    <xf borderId="17" fillId="0" fontId="9" numFmtId="0" xfId="0" applyAlignment="1" applyBorder="1" applyFont="1">
      <alignment horizontal="center" readingOrder="0"/>
    </xf>
    <xf borderId="17" fillId="0" fontId="9" numFmtId="0" xfId="0" applyBorder="1" applyFont="1"/>
    <xf borderId="17" fillId="0" fontId="9" numFmtId="49" xfId="0" applyBorder="1" applyFont="1" applyNumberFormat="1"/>
    <xf borderId="15" fillId="0" fontId="9" numFmtId="49" xfId="0" applyBorder="1" applyFont="1" applyNumberFormat="1"/>
    <xf borderId="16" fillId="0" fontId="9" numFmtId="0" xfId="0" applyAlignment="1" applyBorder="1" applyFont="1">
      <alignment horizontal="center" shrinkToFit="0" vertical="center" wrapText="1"/>
    </xf>
    <xf borderId="16" fillId="0" fontId="9" numFmtId="4" xfId="0" applyAlignment="1" applyBorder="1" applyFont="1" applyNumberFormat="1">
      <alignment horizontal="right" shrinkToFit="0" vertical="center" wrapText="1"/>
    </xf>
    <xf borderId="16" fillId="0" fontId="9" numFmtId="164" xfId="0" applyAlignment="1" applyBorder="1" applyFont="1" applyNumberFormat="1">
      <alignment horizontal="right" shrinkToFit="0" vertical="center" wrapText="1"/>
    </xf>
    <xf borderId="17" fillId="0" fontId="9" numFmtId="0" xfId="0" applyAlignment="1" applyBorder="1" applyFont="1">
      <alignment horizontal="center"/>
    </xf>
    <xf borderId="17" fillId="0" fontId="9" numFmtId="0" xfId="0" applyAlignment="1" applyBorder="1" applyFont="1">
      <alignment horizontal="center" vertical="center"/>
    </xf>
    <xf borderId="17" fillId="2" fontId="6" numFmtId="0" xfId="0" applyAlignment="1" applyBorder="1" applyFont="1">
      <alignment horizontal="center" readingOrder="0" vertical="center"/>
    </xf>
    <xf borderId="17" fillId="2" fontId="6" numFmtId="0" xfId="0" applyAlignment="1" applyBorder="1" applyFont="1">
      <alignment horizontal="left" vertical="center"/>
    </xf>
    <xf borderId="18" fillId="2" fontId="6" numFmtId="0" xfId="0" applyAlignment="1" applyBorder="1" applyFont="1">
      <alignment horizontal="left" readingOrder="0" vertical="center"/>
    </xf>
    <xf borderId="17" fillId="2" fontId="9" numFmtId="0" xfId="0" applyBorder="1" applyFont="1"/>
    <xf borderId="17" fillId="2" fontId="9" numFmtId="4" xfId="0" applyAlignment="1" applyBorder="1" applyFont="1" applyNumberFormat="1">
      <alignment horizontal="right"/>
    </xf>
    <xf borderId="17" fillId="2" fontId="9" numFmtId="0" xfId="0" applyAlignment="1" applyBorder="1" applyFont="1">
      <alignment horizontal="right"/>
    </xf>
    <xf borderId="17" fillId="2" fontId="9" numFmtId="0" xfId="0" applyAlignment="1" applyBorder="1" applyFont="1">
      <alignment horizontal="center"/>
    </xf>
    <xf borderId="17" fillId="2" fontId="9" numFmtId="0" xfId="0" applyAlignment="1" applyBorder="1" applyFont="1">
      <alignment horizontal="center" vertical="center"/>
    </xf>
    <xf borderId="17" fillId="0" fontId="9" numFmtId="49" xfId="0" applyAlignment="1" applyBorder="1" applyFont="1" applyNumberFormat="1">
      <alignment horizontal="left" vertical="center"/>
    </xf>
    <xf borderId="15" fillId="0" fontId="9" numFmtId="49" xfId="0" applyAlignment="1" applyBorder="1" applyFont="1" applyNumberFormat="1">
      <alignment horizontal="left" vertical="center"/>
    </xf>
    <xf borderId="17" fillId="0" fontId="9" numFmtId="0" xfId="0" applyAlignment="1" applyBorder="1" applyFont="1">
      <alignment horizontal="center" readingOrder="0" shrinkToFit="0" wrapText="1"/>
    </xf>
    <xf borderId="17" fillId="0" fontId="9" numFmtId="0" xfId="0" applyAlignment="1" applyBorder="1" applyFont="1">
      <alignment horizontal="left" vertical="center"/>
    </xf>
    <xf borderId="15" fillId="0" fontId="9" numFmtId="0" xfId="0" applyAlignment="1" applyBorder="1" applyFont="1">
      <alignment horizontal="left" vertical="center"/>
    </xf>
    <xf borderId="17" fillId="0" fontId="9" numFmtId="0" xfId="0" applyAlignment="1" applyBorder="1" applyFont="1">
      <alignment horizontal="left" readingOrder="0" vertical="center"/>
    </xf>
    <xf borderId="15" fillId="0" fontId="9" numFmtId="0" xfId="0" applyAlignment="1" applyBorder="1" applyFont="1">
      <alignment horizontal="left" readingOrder="0" vertical="center"/>
    </xf>
    <xf borderId="19" fillId="0" fontId="6" numFmtId="0" xfId="0" applyAlignment="1" applyBorder="1" applyFont="1">
      <alignment horizontal="center" shrinkToFit="0" vertical="center" wrapText="1"/>
    </xf>
    <xf borderId="17" fillId="0" fontId="9" numFmtId="0" xfId="0" applyAlignment="1" applyBorder="1" applyFont="1">
      <alignment horizontal="center" shrinkToFit="0" vertical="center" wrapText="1"/>
    </xf>
    <xf borderId="17" fillId="0" fontId="9" numFmtId="4" xfId="0" applyAlignment="1" applyBorder="1" applyFont="1" applyNumberFormat="1">
      <alignment horizontal="right" shrinkToFit="0" vertical="center" wrapText="1"/>
    </xf>
    <xf borderId="17" fillId="0" fontId="9" numFmtId="164" xfId="0" applyAlignment="1" applyBorder="1" applyFont="1" applyNumberFormat="1">
      <alignment horizontal="right" shrinkToFit="0" vertical="center" wrapText="1"/>
    </xf>
    <xf borderId="17" fillId="2" fontId="6" numFmtId="0" xfId="0" applyAlignment="1" applyBorder="1" applyFont="1">
      <alignment horizontal="left" readingOrder="0" vertical="center"/>
    </xf>
    <xf borderId="17" fillId="0" fontId="20" numFmtId="0" xfId="0" applyAlignment="1" applyBorder="1" applyFont="1">
      <alignment readingOrder="0"/>
    </xf>
    <xf borderId="16" fillId="0" fontId="9" numFmtId="164" xfId="0" applyAlignment="1" applyBorder="1" applyFont="1" applyNumberFormat="1">
      <alignment horizontal="center" shrinkToFit="0" vertical="center" wrapText="1"/>
    </xf>
    <xf borderId="16" fillId="0" fontId="9" numFmtId="164" xfId="0" applyAlignment="1" applyBorder="1" applyFont="1" applyNumberFormat="1">
      <alignment horizontal="center" readingOrder="0" shrinkToFit="0" vertical="center" wrapText="1"/>
    </xf>
    <xf borderId="22" fillId="0" fontId="6" numFmtId="0" xfId="0" applyAlignment="1" applyBorder="1" applyFont="1">
      <alignment horizontal="left" shrinkToFit="0" vertical="center" wrapText="1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7.63"/>
    <col customWidth="1" min="2" max="2" width="39.0"/>
    <col customWidth="1" min="3" max="3" width="11.63"/>
    <col customWidth="1" min="4" max="4" width="10.13"/>
    <col customWidth="1" min="5" max="5" width="11.13"/>
    <col customWidth="1" min="6" max="6" width="23.13"/>
    <col customWidth="1" min="7" max="7" width="10.38"/>
    <col customWidth="1" min="8" max="12" width="7.63"/>
    <col customWidth="1" min="13" max="13" width="11.38"/>
    <col customWidth="1" min="14" max="15" width="7.63"/>
    <col customWidth="1" min="16" max="16" width="10.13"/>
    <col customWidth="1" min="17" max="17" width="9.13"/>
    <col customWidth="1" min="18" max="18" width="7.63"/>
    <col customWidth="1" min="19" max="19" width="9.5"/>
    <col customWidth="1" min="20" max="21" width="9.88"/>
    <col customWidth="1" min="22" max="22" width="22.63"/>
    <col customWidth="1" min="23" max="24" width="7.63"/>
  </cols>
  <sheetData>
    <row r="1">
      <c r="A1" s="1" t="s">
        <v>0</v>
      </c>
      <c r="W1" s="2"/>
      <c r="X1" s="2"/>
    </row>
    <row r="2">
      <c r="A2" s="3" t="s">
        <v>1</v>
      </c>
      <c r="W2" s="2"/>
      <c r="X2" s="2"/>
    </row>
    <row r="3">
      <c r="A3" s="4"/>
      <c r="W3" s="2"/>
      <c r="X3" s="2"/>
    </row>
    <row r="4">
      <c r="A4" s="5" t="s">
        <v>2</v>
      </c>
      <c r="B4" s="6"/>
      <c r="C4" s="6"/>
      <c r="D4" s="7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2"/>
      <c r="W4" s="2"/>
      <c r="X4" s="2"/>
    </row>
    <row r="5">
      <c r="A5" s="8"/>
      <c r="B5" s="6"/>
      <c r="C5" s="2"/>
      <c r="D5" s="9"/>
      <c r="E5" s="10"/>
      <c r="F5" s="11"/>
      <c r="G5" s="11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>
      <c r="A6" s="12" t="s">
        <v>3</v>
      </c>
      <c r="B6" s="6"/>
      <c r="C6" s="2"/>
      <c r="D6" s="9"/>
      <c r="E6" s="10"/>
      <c r="F6" s="11"/>
      <c r="G6" s="11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</row>
    <row r="7">
      <c r="A7" s="8" t="s">
        <v>4</v>
      </c>
      <c r="B7" s="6"/>
      <c r="C7" s="2"/>
      <c r="D7" s="9"/>
      <c r="E7" s="10"/>
      <c r="F7" s="11"/>
      <c r="G7" s="11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</row>
    <row r="8" ht="22.5" customHeight="1">
      <c r="A8" s="13" t="s">
        <v>5</v>
      </c>
      <c r="B8" s="14" t="s">
        <v>6</v>
      </c>
      <c r="C8" s="15" t="s">
        <v>7</v>
      </c>
      <c r="D8" s="16" t="s">
        <v>8</v>
      </c>
      <c r="E8" s="17" t="s">
        <v>9</v>
      </c>
      <c r="F8" s="18" t="s">
        <v>10</v>
      </c>
      <c r="G8" s="14" t="s">
        <v>11</v>
      </c>
      <c r="H8" s="19" t="s">
        <v>12</v>
      </c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1"/>
      <c r="W8" s="22"/>
      <c r="X8" s="22"/>
    </row>
    <row r="9">
      <c r="A9" s="23"/>
      <c r="B9" s="24"/>
      <c r="C9" s="25" t="s">
        <v>13</v>
      </c>
      <c r="D9" s="24"/>
      <c r="E9" s="24"/>
      <c r="F9" s="24"/>
      <c r="G9" s="24"/>
      <c r="H9" s="26" t="s">
        <v>14</v>
      </c>
      <c r="I9" s="26" t="s">
        <v>15</v>
      </c>
      <c r="J9" s="26" t="s">
        <v>16</v>
      </c>
      <c r="K9" s="26" t="s">
        <v>17</v>
      </c>
      <c r="L9" s="26" t="s">
        <v>18</v>
      </c>
      <c r="M9" s="26" t="s">
        <v>19</v>
      </c>
      <c r="N9" s="26" t="s">
        <v>20</v>
      </c>
      <c r="O9" s="26" t="s">
        <v>21</v>
      </c>
      <c r="P9" s="26" t="s">
        <v>22</v>
      </c>
      <c r="Q9" s="26" t="s">
        <v>23</v>
      </c>
      <c r="R9" s="26" t="s">
        <v>24</v>
      </c>
      <c r="S9" s="26" t="s">
        <v>25</v>
      </c>
      <c r="T9" s="26" t="s">
        <v>26</v>
      </c>
      <c r="U9" s="27" t="str">
        <f>$V$9</f>
        <v>REMARKS</v>
      </c>
      <c r="V9" s="27" t="s">
        <v>27</v>
      </c>
      <c r="W9" s="28"/>
      <c r="X9" s="22"/>
    </row>
    <row r="10">
      <c r="A10" s="29"/>
      <c r="B10" s="30" t="s">
        <v>28</v>
      </c>
      <c r="C10" s="31"/>
      <c r="D10" s="32"/>
      <c r="E10" s="33"/>
      <c r="F10" s="34"/>
      <c r="G10" s="34"/>
      <c r="H10" s="34"/>
      <c r="I10" s="34"/>
      <c r="J10" s="34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5"/>
      <c r="V10" s="36"/>
      <c r="W10" s="22"/>
      <c r="X10" s="22"/>
    </row>
    <row r="11" ht="15.75" customHeight="1">
      <c r="A11" s="37"/>
      <c r="B11" s="38" t="s">
        <v>29</v>
      </c>
      <c r="C11" s="39" t="s">
        <v>30</v>
      </c>
      <c r="D11" s="40">
        <v>90.0</v>
      </c>
      <c r="E11" s="41">
        <v>1800.0</v>
      </c>
      <c r="F11" s="42" t="s">
        <v>31</v>
      </c>
      <c r="G11" s="42"/>
      <c r="H11" s="42"/>
      <c r="I11" s="42"/>
      <c r="J11" s="42"/>
      <c r="K11" s="42"/>
      <c r="L11" s="42"/>
      <c r="M11" s="42"/>
      <c r="N11" s="42"/>
      <c r="O11" s="42"/>
      <c r="P11" s="42"/>
      <c r="Q11" s="42"/>
      <c r="R11" s="42"/>
      <c r="S11" s="42"/>
      <c r="T11" s="42"/>
      <c r="U11" s="42"/>
      <c r="V11" s="42"/>
      <c r="W11" s="22"/>
      <c r="X11" s="22"/>
    </row>
    <row r="12" ht="15.75" customHeight="1">
      <c r="A12" s="37"/>
      <c r="B12" s="38"/>
      <c r="C12" s="43"/>
      <c r="D12" s="40"/>
      <c r="E12" s="44"/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42"/>
      <c r="W12" s="22"/>
      <c r="X12" s="22"/>
    </row>
    <row r="13" ht="15.75" customHeight="1">
      <c r="A13" s="37"/>
      <c r="B13" s="45" t="s">
        <v>32</v>
      </c>
      <c r="C13" s="46"/>
      <c r="D13" s="47"/>
      <c r="E13" s="46"/>
      <c r="F13" s="46"/>
      <c r="G13" s="46"/>
      <c r="H13" s="46"/>
      <c r="I13" s="46"/>
      <c r="J13" s="46"/>
      <c r="K13" s="46"/>
      <c r="L13" s="46"/>
      <c r="M13" s="46"/>
      <c r="N13" s="46"/>
      <c r="O13" s="46"/>
      <c r="P13" s="46"/>
      <c r="Q13" s="46"/>
      <c r="R13" s="46"/>
      <c r="S13" s="46"/>
      <c r="T13" s="46"/>
      <c r="U13" s="46"/>
      <c r="V13" s="46"/>
      <c r="W13" s="22"/>
      <c r="X13" s="22"/>
    </row>
    <row r="14" ht="15.75" customHeight="1">
      <c r="A14" s="37"/>
      <c r="B14" s="48" t="s">
        <v>33</v>
      </c>
      <c r="C14" s="49" t="s">
        <v>34</v>
      </c>
      <c r="D14" s="40">
        <v>45000.0</v>
      </c>
      <c r="E14" s="50">
        <v>45000.0</v>
      </c>
      <c r="F14" s="42" t="s">
        <v>35</v>
      </c>
      <c r="G14" s="42"/>
      <c r="H14" s="42"/>
      <c r="I14" s="42"/>
      <c r="J14" s="42"/>
      <c r="K14" s="42"/>
      <c r="L14" s="42"/>
      <c r="M14" s="42"/>
      <c r="N14" s="42"/>
      <c r="O14" s="42"/>
      <c r="P14" s="42"/>
      <c r="Q14" s="42"/>
      <c r="R14" s="42"/>
      <c r="S14" s="42"/>
      <c r="T14" s="42"/>
      <c r="U14" s="42"/>
      <c r="V14" s="42"/>
      <c r="W14" s="22"/>
      <c r="X14" s="22"/>
    </row>
    <row r="15" ht="15.75" customHeight="1">
      <c r="A15" s="37"/>
      <c r="B15" s="38" t="s">
        <v>36</v>
      </c>
      <c r="C15" s="43" t="s">
        <v>34</v>
      </c>
      <c r="D15" s="40">
        <v>45000.0</v>
      </c>
      <c r="E15" s="44">
        <v>45000.0</v>
      </c>
      <c r="F15" s="42" t="s">
        <v>35</v>
      </c>
      <c r="G15" s="42"/>
      <c r="H15" s="42"/>
      <c r="I15" s="42"/>
      <c r="J15" s="42"/>
      <c r="K15" s="42"/>
      <c r="L15" s="42"/>
      <c r="M15" s="42"/>
      <c r="N15" s="42"/>
      <c r="O15" s="42"/>
      <c r="P15" s="42"/>
      <c r="Q15" s="42"/>
      <c r="R15" s="42"/>
      <c r="S15" s="42"/>
      <c r="T15" s="42"/>
      <c r="U15" s="42"/>
      <c r="V15" s="42"/>
      <c r="W15" s="22"/>
      <c r="X15" s="22"/>
    </row>
    <row r="16" ht="15.75" customHeight="1">
      <c r="A16" s="37"/>
      <c r="B16" s="51" t="s">
        <v>37</v>
      </c>
      <c r="C16" s="43" t="s">
        <v>34</v>
      </c>
      <c r="D16" s="40">
        <v>50000.0</v>
      </c>
      <c r="E16" s="44">
        <v>50000.0</v>
      </c>
      <c r="F16" s="42" t="s">
        <v>35</v>
      </c>
      <c r="G16" s="42"/>
      <c r="H16" s="42"/>
      <c r="I16" s="42"/>
      <c r="J16" s="42"/>
      <c r="K16" s="42"/>
      <c r="L16" s="42"/>
      <c r="M16" s="42"/>
      <c r="N16" s="42"/>
      <c r="O16" s="42"/>
      <c r="P16" s="42"/>
      <c r="Q16" s="42"/>
      <c r="R16" s="42"/>
      <c r="S16" s="42"/>
      <c r="T16" s="42"/>
      <c r="U16" s="42"/>
      <c r="V16" s="42"/>
      <c r="W16" s="22"/>
      <c r="X16" s="22"/>
    </row>
    <row r="17" ht="15.75" customHeight="1">
      <c r="A17" s="37"/>
      <c r="B17" s="48" t="s">
        <v>38</v>
      </c>
      <c r="C17" s="43" t="s">
        <v>39</v>
      </c>
      <c r="D17" s="40">
        <v>40000.0</v>
      </c>
      <c r="E17" s="44">
        <v>40000.0</v>
      </c>
      <c r="F17" s="42" t="s">
        <v>35</v>
      </c>
      <c r="G17" s="42"/>
      <c r="H17" s="42"/>
      <c r="I17" s="42"/>
      <c r="J17" s="42"/>
      <c r="K17" s="42"/>
      <c r="L17" s="42"/>
      <c r="M17" s="42"/>
      <c r="N17" s="42"/>
      <c r="O17" s="42"/>
      <c r="P17" s="42"/>
      <c r="Q17" s="42"/>
      <c r="R17" s="42"/>
      <c r="S17" s="42"/>
      <c r="T17" s="42"/>
      <c r="U17" s="42"/>
      <c r="V17" s="42"/>
      <c r="W17" s="22"/>
      <c r="X17" s="22"/>
    </row>
    <row r="18" ht="15.75" customHeight="1">
      <c r="A18" s="37"/>
      <c r="B18" s="48" t="s">
        <v>40</v>
      </c>
      <c r="C18" s="43" t="s">
        <v>41</v>
      </c>
      <c r="D18" s="40">
        <v>15000.0</v>
      </c>
      <c r="E18" s="44">
        <v>45000.0</v>
      </c>
      <c r="F18" s="42" t="s">
        <v>35</v>
      </c>
      <c r="G18" s="42"/>
      <c r="H18" s="42"/>
      <c r="I18" s="42"/>
      <c r="J18" s="42"/>
      <c r="K18" s="42"/>
      <c r="L18" s="42"/>
      <c r="M18" s="42"/>
      <c r="N18" s="42"/>
      <c r="O18" s="42"/>
      <c r="P18" s="42"/>
      <c r="Q18" s="42"/>
      <c r="R18" s="42"/>
      <c r="S18" s="42"/>
      <c r="T18" s="42"/>
      <c r="U18" s="42"/>
      <c r="V18" s="42"/>
      <c r="W18" s="22"/>
      <c r="X18" s="22"/>
    </row>
    <row r="19" ht="15.75" customHeight="1">
      <c r="A19" s="37"/>
      <c r="B19" s="48" t="s">
        <v>42</v>
      </c>
      <c r="C19" s="43" t="s">
        <v>43</v>
      </c>
      <c r="D19" s="40">
        <v>10000.0</v>
      </c>
      <c r="E19" s="44">
        <v>10000.0</v>
      </c>
      <c r="F19" s="42" t="s">
        <v>35</v>
      </c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22"/>
      <c r="X19" s="22"/>
    </row>
    <row r="20" ht="15.75" customHeight="1">
      <c r="A20" s="37"/>
      <c r="B20" s="48" t="s">
        <v>44</v>
      </c>
      <c r="C20" s="43" t="s">
        <v>43</v>
      </c>
      <c r="D20" s="40">
        <v>10000.0</v>
      </c>
      <c r="E20" s="44">
        <v>10000.0</v>
      </c>
      <c r="F20" s="42" t="s">
        <v>35</v>
      </c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22"/>
      <c r="X20" s="22"/>
    </row>
    <row r="21" ht="15.75" customHeight="1">
      <c r="A21" s="37"/>
      <c r="B21" s="48" t="s">
        <v>45</v>
      </c>
      <c r="C21" s="43" t="s">
        <v>39</v>
      </c>
      <c r="D21" s="40">
        <v>15000.0</v>
      </c>
      <c r="E21" s="44">
        <v>15000.0</v>
      </c>
      <c r="F21" s="42" t="s">
        <v>35</v>
      </c>
      <c r="G21" s="42"/>
      <c r="H21" s="42"/>
      <c r="I21" s="42"/>
      <c r="J21" s="42"/>
      <c r="K21" s="42"/>
      <c r="L21" s="42"/>
      <c r="M21" s="42"/>
      <c r="N21" s="42"/>
      <c r="O21" s="42"/>
      <c r="P21" s="42"/>
      <c r="Q21" s="42"/>
      <c r="R21" s="42"/>
      <c r="S21" s="42"/>
      <c r="T21" s="42"/>
      <c r="U21" s="42"/>
      <c r="V21" s="42"/>
      <c r="W21" s="22"/>
      <c r="X21" s="22"/>
    </row>
    <row r="22" ht="15.75" customHeight="1">
      <c r="A22" s="37"/>
      <c r="B22" s="48" t="s">
        <v>46</v>
      </c>
      <c r="C22" s="43" t="s">
        <v>39</v>
      </c>
      <c r="D22" s="40">
        <v>20000.0</v>
      </c>
      <c r="E22" s="44">
        <v>20000.0</v>
      </c>
      <c r="F22" s="42" t="s">
        <v>35</v>
      </c>
      <c r="G22" s="42"/>
      <c r="H22" s="42"/>
      <c r="I22" s="42"/>
      <c r="J22" s="42"/>
      <c r="K22" s="42"/>
      <c r="L22" s="42"/>
      <c r="M22" s="42"/>
      <c r="N22" s="42"/>
      <c r="O22" s="42"/>
      <c r="P22" s="42"/>
      <c r="Q22" s="42"/>
      <c r="R22" s="42"/>
      <c r="S22" s="42"/>
      <c r="T22" s="42"/>
      <c r="U22" s="42"/>
      <c r="V22" s="42"/>
      <c r="W22" s="22"/>
      <c r="X22" s="22"/>
    </row>
    <row r="23" ht="15.75" customHeight="1">
      <c r="A23" s="37"/>
      <c r="B23" s="48" t="s">
        <v>47</v>
      </c>
      <c r="C23" s="43" t="s">
        <v>48</v>
      </c>
      <c r="D23" s="40">
        <v>7000.0</v>
      </c>
      <c r="E23" s="44">
        <v>35000.0</v>
      </c>
      <c r="F23" s="42" t="s">
        <v>35</v>
      </c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22"/>
      <c r="X23" s="22"/>
    </row>
    <row r="24" ht="15.75" customHeight="1">
      <c r="A24" s="37"/>
      <c r="B24" s="48" t="s">
        <v>49</v>
      </c>
      <c r="C24" s="43" t="s">
        <v>43</v>
      </c>
      <c r="D24" s="40">
        <v>12000.0</v>
      </c>
      <c r="E24" s="44">
        <v>12000.0</v>
      </c>
      <c r="F24" s="42" t="s">
        <v>35</v>
      </c>
      <c r="G24" s="42"/>
      <c r="H24" s="42"/>
      <c r="I24" s="42"/>
      <c r="J24" s="42"/>
      <c r="K24" s="42"/>
      <c r="L24" s="42"/>
      <c r="M24" s="42"/>
      <c r="N24" s="42"/>
      <c r="O24" s="42"/>
      <c r="P24" s="42"/>
      <c r="Q24" s="42"/>
      <c r="R24" s="42"/>
      <c r="S24" s="42"/>
      <c r="T24" s="42"/>
      <c r="U24" s="42"/>
      <c r="V24" s="42"/>
      <c r="W24" s="22"/>
      <c r="X24" s="22"/>
    </row>
    <row r="25" ht="15.75" customHeight="1">
      <c r="A25" s="37"/>
      <c r="B25" s="48" t="s">
        <v>50</v>
      </c>
      <c r="C25" s="43" t="s">
        <v>43</v>
      </c>
      <c r="D25" s="40">
        <v>7000.0</v>
      </c>
      <c r="E25" s="44">
        <v>7000.0</v>
      </c>
      <c r="F25" s="42" t="s">
        <v>35</v>
      </c>
      <c r="G25" s="42"/>
      <c r="H25" s="42"/>
      <c r="I25" s="42"/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2"/>
      <c r="V25" s="42"/>
      <c r="W25" s="22"/>
      <c r="X25" s="22"/>
    </row>
    <row r="26" ht="15.75" hidden="1" customHeight="1">
      <c r="A26" s="37"/>
      <c r="B26" s="48"/>
      <c r="C26" s="43"/>
      <c r="D26" s="40"/>
      <c r="E26" s="44"/>
      <c r="F26" s="42"/>
      <c r="G26" s="42"/>
      <c r="H26" s="42"/>
      <c r="I26" s="42"/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22"/>
      <c r="X26" s="22"/>
    </row>
    <row r="27" ht="15.75" hidden="1" customHeight="1">
      <c r="A27" s="52"/>
      <c r="B27" s="53"/>
      <c r="C27" s="54"/>
      <c r="D27" s="55"/>
      <c r="E27" s="56"/>
      <c r="F27" s="42"/>
      <c r="G27" s="42"/>
      <c r="H27" s="42"/>
      <c r="I27" s="42"/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22"/>
      <c r="X27" s="22"/>
    </row>
    <row r="28" ht="15.75" hidden="1" customHeight="1">
      <c r="A28" s="37"/>
      <c r="B28" s="45" t="s">
        <v>51</v>
      </c>
      <c r="C28" s="46"/>
      <c r="D28" s="47"/>
      <c r="E28" s="46"/>
      <c r="F28" s="46"/>
      <c r="G28" s="46"/>
      <c r="H28" s="46"/>
      <c r="I28" s="46"/>
      <c r="J28" s="46"/>
      <c r="K28" s="46"/>
      <c r="L28" s="46"/>
      <c r="M28" s="46"/>
      <c r="N28" s="46"/>
      <c r="O28" s="46"/>
      <c r="P28" s="46"/>
      <c r="Q28" s="46"/>
      <c r="R28" s="46"/>
      <c r="S28" s="46"/>
      <c r="T28" s="46"/>
      <c r="U28" s="46"/>
      <c r="V28" s="46"/>
      <c r="W28" s="22"/>
      <c r="X28" s="22"/>
    </row>
    <row r="29" ht="15.75" hidden="1" customHeight="1">
      <c r="A29" s="37"/>
      <c r="B29" s="48"/>
      <c r="C29" s="43"/>
      <c r="D29" s="40"/>
      <c r="E29" s="44"/>
      <c r="F29" s="42"/>
      <c r="G29" s="42"/>
      <c r="H29" s="42"/>
      <c r="I29" s="42"/>
      <c r="J29" s="42"/>
      <c r="K29" s="42"/>
      <c r="L29" s="42"/>
      <c r="M29" s="42"/>
      <c r="N29" s="42"/>
      <c r="O29" s="42"/>
      <c r="P29" s="42"/>
      <c r="Q29" s="42"/>
      <c r="R29" s="42"/>
      <c r="S29" s="42"/>
      <c r="T29" s="42"/>
      <c r="U29" s="42"/>
      <c r="V29" s="42"/>
      <c r="W29" s="22"/>
      <c r="X29" s="22"/>
    </row>
    <row r="30" ht="15.75" hidden="1" customHeight="1">
      <c r="A30" s="37"/>
      <c r="B30" s="48"/>
      <c r="C30" s="43"/>
      <c r="D30" s="40"/>
      <c r="E30" s="44"/>
      <c r="F30" s="42"/>
      <c r="G30" s="42"/>
      <c r="H30" s="42"/>
      <c r="I30" s="42"/>
      <c r="J30" s="42"/>
      <c r="K30" s="42"/>
      <c r="L30" s="42"/>
      <c r="M30" s="42"/>
      <c r="N30" s="42"/>
      <c r="O30" s="42"/>
      <c r="P30" s="42"/>
      <c r="Q30" s="42"/>
      <c r="R30" s="42"/>
      <c r="S30" s="42"/>
      <c r="T30" s="42"/>
      <c r="U30" s="42"/>
      <c r="V30" s="42"/>
      <c r="W30" s="22"/>
      <c r="X30" s="22"/>
    </row>
    <row r="31" ht="15.75" hidden="1" customHeight="1">
      <c r="A31" s="37"/>
      <c r="B31" s="48"/>
      <c r="C31" s="43"/>
      <c r="D31" s="40"/>
      <c r="E31" s="44"/>
      <c r="F31" s="42"/>
      <c r="G31" s="42"/>
      <c r="H31" s="42"/>
      <c r="I31" s="42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22"/>
      <c r="X31" s="22"/>
    </row>
    <row r="32" ht="15.75" hidden="1" customHeight="1">
      <c r="A32" s="37"/>
      <c r="B32" s="48"/>
      <c r="C32" s="43"/>
      <c r="D32" s="40"/>
      <c r="E32" s="44"/>
      <c r="F32" s="42"/>
      <c r="G32" s="42"/>
      <c r="H32" s="42"/>
      <c r="I32" s="42"/>
      <c r="J32" s="42"/>
      <c r="K32" s="42"/>
      <c r="L32" s="42"/>
      <c r="M32" s="42"/>
      <c r="N32" s="42"/>
      <c r="O32" s="42"/>
      <c r="P32" s="42"/>
      <c r="Q32" s="42"/>
      <c r="R32" s="42"/>
      <c r="S32" s="42"/>
      <c r="T32" s="42"/>
      <c r="U32" s="42"/>
      <c r="V32" s="42"/>
      <c r="W32" s="22"/>
      <c r="X32" s="22"/>
    </row>
    <row r="33" ht="15.75" hidden="1" customHeight="1">
      <c r="A33" s="37"/>
      <c r="B33" s="45" t="s">
        <v>52</v>
      </c>
      <c r="C33" s="46"/>
      <c r="D33" s="47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22"/>
      <c r="X33" s="22"/>
    </row>
    <row r="34" ht="15.75" hidden="1" customHeight="1">
      <c r="A34" s="37"/>
      <c r="B34" s="48"/>
      <c r="C34" s="43"/>
      <c r="D34" s="40"/>
      <c r="E34" s="44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22"/>
      <c r="X34" s="22"/>
    </row>
    <row r="35" ht="15.75" hidden="1" customHeight="1">
      <c r="A35" s="37"/>
      <c r="B35" s="48"/>
      <c r="C35" s="43"/>
      <c r="D35" s="40"/>
      <c r="E35" s="44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22"/>
      <c r="X35" s="22"/>
    </row>
    <row r="36" ht="57.75" hidden="1" customHeight="1">
      <c r="A36" s="37"/>
      <c r="B36" s="48"/>
      <c r="C36" s="43"/>
      <c r="D36" s="40"/>
      <c r="E36" s="44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22"/>
      <c r="X36" s="22"/>
    </row>
    <row r="37" ht="15.75" customHeight="1">
      <c r="A37" s="52"/>
      <c r="B37" s="57" t="s">
        <v>53</v>
      </c>
      <c r="C37" s="58"/>
      <c r="D37" s="58"/>
      <c r="E37" s="58"/>
      <c r="F37" s="58"/>
      <c r="G37" s="58"/>
      <c r="H37" s="58"/>
      <c r="I37" s="59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22"/>
      <c r="X37" s="22"/>
    </row>
    <row r="38" ht="15.75" customHeight="1">
      <c r="A38" s="60"/>
      <c r="B38" s="61"/>
      <c r="C38" s="2"/>
      <c r="D38" s="9"/>
      <c r="E38" s="62"/>
      <c r="F38" s="11"/>
      <c r="G38" s="11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</row>
    <row r="39" ht="15.75" customHeight="1">
      <c r="A39" s="63" t="s">
        <v>54</v>
      </c>
      <c r="B39" s="6"/>
      <c r="C39" s="64">
        <f>SUM(E11:E27)</f>
        <v>335800</v>
      </c>
      <c r="F39" s="11"/>
      <c r="G39" s="11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</row>
    <row r="40" ht="15.75" hidden="1" customHeight="1">
      <c r="A40" s="65" t="s">
        <v>55</v>
      </c>
      <c r="B40" s="66"/>
      <c r="C40" s="67">
        <f>PRODUCT(C39,0.1)</f>
        <v>33580</v>
      </c>
      <c r="D40" s="68"/>
      <c r="E40" s="69"/>
      <c r="F40" s="11"/>
      <c r="G40" s="11"/>
      <c r="H40" s="70"/>
      <c r="J40" s="70"/>
      <c r="U40" s="70"/>
      <c r="V40" s="2"/>
      <c r="W40" s="2"/>
      <c r="X40" s="2"/>
    </row>
    <row r="41" ht="15.75" hidden="1" customHeight="1">
      <c r="A41" s="71" t="s">
        <v>56</v>
      </c>
      <c r="B41" s="72"/>
      <c r="C41" s="73">
        <f>PRODUCT(C39,0.1)</f>
        <v>33580</v>
      </c>
      <c r="D41" s="58"/>
      <c r="E41" s="59"/>
      <c r="F41" s="11"/>
      <c r="G41" s="11"/>
      <c r="H41" s="74"/>
      <c r="I41" s="74"/>
      <c r="J41" s="75"/>
      <c r="U41" s="75"/>
      <c r="V41" s="2"/>
      <c r="W41" s="2"/>
      <c r="X41" s="2"/>
    </row>
    <row r="42" ht="15.75" hidden="1" customHeight="1">
      <c r="A42" s="71" t="s">
        <v>57</v>
      </c>
      <c r="B42" s="72"/>
      <c r="C42" s="73">
        <f>SUM(C39:E41)</f>
        <v>402960</v>
      </c>
      <c r="D42" s="58"/>
      <c r="E42" s="59"/>
      <c r="F42" s="11"/>
      <c r="G42" s="11"/>
      <c r="H42" s="74"/>
      <c r="I42" s="74"/>
      <c r="J42" s="75"/>
      <c r="U42" s="75"/>
      <c r="V42" s="2"/>
      <c r="W42" s="2"/>
      <c r="X42" s="2"/>
    </row>
    <row r="43" ht="15.75" customHeight="1">
      <c r="A43" s="76"/>
      <c r="B43" s="6"/>
      <c r="C43" s="2"/>
      <c r="D43" s="9"/>
      <c r="E43" s="10"/>
      <c r="F43" s="11"/>
      <c r="G43" s="11"/>
      <c r="H43" s="74"/>
      <c r="I43" s="74"/>
      <c r="J43" s="75"/>
      <c r="U43" s="75"/>
      <c r="V43" s="2"/>
      <c r="W43" s="2"/>
      <c r="X43" s="2"/>
    </row>
    <row r="44" ht="15.75" customHeight="1">
      <c r="A44" s="77" t="s">
        <v>58</v>
      </c>
      <c r="B44" s="6"/>
      <c r="C44" s="2"/>
      <c r="D44" s="9"/>
      <c r="E44" s="10"/>
      <c r="F44" s="11"/>
      <c r="G44" s="11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</row>
    <row r="45" ht="15.75" customHeight="1">
      <c r="A45" s="78"/>
      <c r="B45" s="6"/>
      <c r="C45" s="2"/>
      <c r="D45" s="9"/>
      <c r="E45" s="10"/>
      <c r="F45" s="11"/>
      <c r="G45" s="11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</row>
    <row r="46" ht="15.75" customHeight="1">
      <c r="A46" s="79" t="s">
        <v>59</v>
      </c>
      <c r="B46" s="61"/>
      <c r="C46" s="80" t="s">
        <v>60</v>
      </c>
      <c r="F46" s="74"/>
      <c r="G46" s="74"/>
      <c r="H46" s="2"/>
      <c r="I46" s="80" t="s">
        <v>61</v>
      </c>
      <c r="O46" s="2"/>
      <c r="P46" s="2"/>
      <c r="Q46" s="80" t="s">
        <v>62</v>
      </c>
      <c r="U46" s="2"/>
      <c r="V46" s="2"/>
      <c r="X46" s="74"/>
    </row>
    <row r="47" ht="15.75" customHeight="1">
      <c r="A47" s="79"/>
      <c r="B47" s="61"/>
      <c r="C47" s="80"/>
      <c r="D47" s="81"/>
      <c r="E47" s="80"/>
      <c r="F47" s="74"/>
      <c r="G47" s="74"/>
      <c r="H47" s="2"/>
      <c r="I47" s="80"/>
      <c r="J47" s="80"/>
      <c r="K47" s="80"/>
      <c r="L47" s="80"/>
      <c r="M47" s="80"/>
      <c r="N47" s="80"/>
      <c r="O47" s="80"/>
      <c r="P47" s="80"/>
      <c r="Q47" s="80"/>
      <c r="R47" s="80"/>
      <c r="S47" s="80"/>
      <c r="T47" s="80"/>
      <c r="U47" s="80"/>
      <c r="V47" s="80"/>
      <c r="W47" s="74"/>
      <c r="X47" s="74"/>
    </row>
    <row r="48" ht="15.75" customHeight="1">
      <c r="A48" s="61"/>
      <c r="B48" s="61"/>
      <c r="C48" s="74"/>
      <c r="D48" s="82"/>
      <c r="E48" s="83"/>
      <c r="F48" s="74"/>
      <c r="G48" s="74"/>
      <c r="H48" s="2"/>
      <c r="I48" s="74"/>
      <c r="J48" s="83"/>
      <c r="K48" s="83"/>
      <c r="L48" s="83"/>
      <c r="M48" s="83"/>
      <c r="N48" s="83"/>
      <c r="O48" s="83"/>
      <c r="P48" s="83"/>
      <c r="Q48" s="74"/>
      <c r="R48" s="83"/>
      <c r="S48" s="74"/>
      <c r="T48" s="74"/>
      <c r="U48" s="74"/>
      <c r="V48" s="74"/>
      <c r="W48" s="74"/>
      <c r="X48" s="74"/>
    </row>
    <row r="49" ht="15.75" customHeight="1">
      <c r="A49" s="84" t="s">
        <v>63</v>
      </c>
      <c r="C49" s="85" t="s">
        <v>64</v>
      </c>
      <c r="G49" s="2"/>
      <c r="H49" s="2"/>
      <c r="I49" s="85" t="s">
        <v>65</v>
      </c>
      <c r="O49" s="2"/>
      <c r="P49" s="2"/>
      <c r="Q49" s="85" t="s">
        <v>66</v>
      </c>
      <c r="U49" s="2"/>
      <c r="V49" s="2"/>
    </row>
    <row r="50" ht="15.0" customHeight="1">
      <c r="A50" s="86" t="s">
        <v>67</v>
      </c>
      <c r="C50" s="87" t="s">
        <v>68</v>
      </c>
      <c r="G50" s="88"/>
      <c r="H50" s="2"/>
      <c r="I50" s="89" t="s">
        <v>69</v>
      </c>
      <c r="O50" s="2"/>
      <c r="P50" s="2"/>
      <c r="Q50" s="87" t="s">
        <v>70</v>
      </c>
      <c r="U50" s="2"/>
      <c r="V50" s="2"/>
      <c r="W50" s="74"/>
      <c r="X50" s="74"/>
    </row>
    <row r="51" ht="15.75" customHeight="1">
      <c r="A51" s="2"/>
      <c r="B51" s="2"/>
      <c r="C51" s="2"/>
      <c r="D51" s="9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</row>
    <row r="52" ht="15.75" customHeight="1">
      <c r="A52" s="2" t="s">
        <v>71</v>
      </c>
      <c r="B52" s="2"/>
      <c r="C52" s="2" t="s">
        <v>71</v>
      </c>
      <c r="D52" s="9"/>
      <c r="E52" s="2"/>
      <c r="F52" s="2"/>
      <c r="G52" s="2"/>
      <c r="H52" s="2"/>
      <c r="I52" s="2" t="s">
        <v>71</v>
      </c>
      <c r="J52" s="2"/>
      <c r="K52" s="2"/>
      <c r="L52" s="2"/>
      <c r="M52" s="2"/>
      <c r="N52" s="2"/>
      <c r="O52" s="2"/>
      <c r="P52" s="2"/>
      <c r="Q52" s="2" t="s">
        <v>71</v>
      </c>
      <c r="R52" s="2"/>
      <c r="S52" s="2"/>
      <c r="T52" s="2"/>
      <c r="U52" s="2"/>
      <c r="V52" s="2"/>
      <c r="W52" s="2"/>
      <c r="X52" s="2"/>
    </row>
    <row r="53" ht="15.75" customHeight="1">
      <c r="D53" s="90"/>
      <c r="H53" s="91"/>
    </row>
    <row r="54" ht="15.75" customHeight="1">
      <c r="D54" s="90"/>
      <c r="H54" s="91"/>
      <c r="I54" s="91"/>
      <c r="J54" s="91"/>
      <c r="K54" s="91"/>
      <c r="L54" s="91"/>
      <c r="M54" s="91"/>
      <c r="N54" s="91"/>
      <c r="O54" s="91"/>
      <c r="P54" s="91"/>
      <c r="Q54" s="91"/>
      <c r="R54" s="91"/>
      <c r="S54" s="91"/>
      <c r="T54" s="91"/>
      <c r="U54" s="91"/>
    </row>
    <row r="55" ht="15.75" customHeight="1">
      <c r="D55" s="90"/>
      <c r="H55" s="92"/>
      <c r="I55" s="93"/>
      <c r="J55" s="94"/>
      <c r="K55" s="94"/>
      <c r="L55" s="94"/>
      <c r="M55" s="94"/>
      <c r="N55" s="94"/>
      <c r="O55" s="94"/>
      <c r="P55" s="94"/>
      <c r="Q55" s="94"/>
      <c r="R55" s="94"/>
      <c r="S55" s="94"/>
      <c r="T55" s="94"/>
      <c r="U55" s="94"/>
    </row>
    <row r="56" ht="15.75" customHeight="1">
      <c r="D56" s="90"/>
      <c r="H56" s="95"/>
    </row>
    <row r="57" ht="15.75" customHeight="1">
      <c r="D57" s="90"/>
      <c r="H57" s="96"/>
    </row>
    <row r="58" ht="15.75" customHeight="1">
      <c r="D58" s="90"/>
    </row>
    <row r="59" ht="15.75" customHeight="1">
      <c r="D59" s="90"/>
    </row>
    <row r="60" ht="15.75" customHeight="1">
      <c r="D60" s="90"/>
    </row>
    <row r="61" ht="15.75" customHeight="1">
      <c r="D61" s="90"/>
    </row>
    <row r="62" ht="15.75" customHeight="1">
      <c r="D62" s="90"/>
    </row>
    <row r="63" ht="15.75" customHeight="1">
      <c r="D63" s="90"/>
    </row>
    <row r="64" ht="15.75" customHeight="1">
      <c r="D64" s="90"/>
    </row>
    <row r="65" ht="15.75" customHeight="1">
      <c r="D65" s="90"/>
    </row>
    <row r="66" ht="15.75" customHeight="1">
      <c r="D66" s="90"/>
    </row>
    <row r="67" ht="15.75" customHeight="1">
      <c r="D67" s="90"/>
    </row>
    <row r="68" ht="15.75" customHeight="1">
      <c r="D68" s="90"/>
    </row>
    <row r="69" ht="15.75" customHeight="1">
      <c r="D69" s="90"/>
    </row>
    <row r="70" ht="15.75" customHeight="1">
      <c r="D70" s="90"/>
    </row>
    <row r="71" ht="15.75" customHeight="1">
      <c r="D71" s="90"/>
    </row>
    <row r="72" ht="15.75" customHeight="1">
      <c r="D72" s="90"/>
    </row>
    <row r="73" ht="15.75" customHeight="1">
      <c r="D73" s="90"/>
    </row>
    <row r="74" ht="15.75" customHeight="1">
      <c r="D74" s="90"/>
    </row>
    <row r="75" ht="15.75" customHeight="1">
      <c r="D75" s="90"/>
    </row>
    <row r="76" ht="15.75" customHeight="1">
      <c r="D76" s="90"/>
    </row>
    <row r="77" ht="15.75" customHeight="1">
      <c r="D77" s="90"/>
    </row>
    <row r="78" ht="15.75" customHeight="1">
      <c r="D78" s="90"/>
    </row>
    <row r="79" ht="15.75" customHeight="1">
      <c r="D79" s="90"/>
    </row>
    <row r="80" ht="15.75" customHeight="1">
      <c r="D80" s="90"/>
    </row>
    <row r="81" ht="15.75" customHeight="1">
      <c r="D81" s="90"/>
    </row>
    <row r="82" ht="15.75" customHeight="1">
      <c r="D82" s="90"/>
    </row>
    <row r="83" ht="15.75" customHeight="1">
      <c r="D83" s="90"/>
    </row>
    <row r="84" ht="15.75" customHeight="1">
      <c r="D84" s="90"/>
    </row>
    <row r="85" ht="15.75" customHeight="1">
      <c r="D85" s="90"/>
    </row>
    <row r="86" ht="15.75" customHeight="1">
      <c r="D86" s="90"/>
    </row>
    <row r="87" ht="15.75" customHeight="1">
      <c r="D87" s="90"/>
    </row>
    <row r="88" ht="15.75" customHeight="1">
      <c r="D88" s="90"/>
    </row>
    <row r="89" ht="15.75" customHeight="1">
      <c r="D89" s="90"/>
    </row>
    <row r="90" ht="15.75" customHeight="1">
      <c r="D90" s="90"/>
    </row>
    <row r="91" ht="15.75" customHeight="1">
      <c r="D91" s="90"/>
    </row>
    <row r="92" ht="15.75" customHeight="1">
      <c r="D92" s="90"/>
    </row>
    <row r="93" ht="15.75" customHeight="1">
      <c r="D93" s="90"/>
    </row>
    <row r="94" ht="15.75" customHeight="1">
      <c r="D94" s="90"/>
    </row>
    <row r="95" ht="15.75" customHeight="1">
      <c r="D95" s="90"/>
    </row>
    <row r="96" ht="15.75" customHeight="1">
      <c r="D96" s="90"/>
    </row>
    <row r="97" ht="15.75" customHeight="1">
      <c r="D97" s="90"/>
    </row>
    <row r="98" ht="15.75" customHeight="1">
      <c r="D98" s="90"/>
    </row>
    <row r="99" ht="15.75" customHeight="1">
      <c r="D99" s="90"/>
    </row>
    <row r="100" ht="15.75" customHeight="1">
      <c r="D100" s="90"/>
    </row>
    <row r="101" ht="15.75" customHeight="1">
      <c r="D101" s="90"/>
    </row>
    <row r="102" ht="15.75" customHeight="1">
      <c r="D102" s="90"/>
    </row>
    <row r="103" ht="15.75" customHeight="1">
      <c r="D103" s="90"/>
    </row>
    <row r="104" ht="15.75" customHeight="1">
      <c r="D104" s="90"/>
    </row>
    <row r="105" ht="15.75" customHeight="1">
      <c r="D105" s="90"/>
    </row>
    <row r="106" ht="15.75" customHeight="1">
      <c r="D106" s="90"/>
    </row>
    <row r="107" ht="15.75" customHeight="1">
      <c r="D107" s="90"/>
    </row>
    <row r="108" ht="15.75" customHeight="1">
      <c r="D108" s="90"/>
    </row>
    <row r="109" ht="15.75" customHeight="1">
      <c r="D109" s="90"/>
    </row>
    <row r="110" ht="15.75" customHeight="1">
      <c r="D110" s="90"/>
    </row>
    <row r="111" ht="15.75" customHeight="1">
      <c r="D111" s="90"/>
    </row>
    <row r="112" ht="15.75" customHeight="1">
      <c r="D112" s="90"/>
    </row>
    <row r="113" ht="15.75" customHeight="1">
      <c r="D113" s="90"/>
    </row>
    <row r="114" ht="15.75" customHeight="1">
      <c r="D114" s="90"/>
    </row>
    <row r="115" ht="15.75" customHeight="1">
      <c r="D115" s="90"/>
    </row>
    <row r="116" ht="15.75" customHeight="1">
      <c r="D116" s="90"/>
    </row>
    <row r="117" ht="15.75" customHeight="1">
      <c r="D117" s="90"/>
    </row>
    <row r="118" ht="15.75" customHeight="1">
      <c r="D118" s="90"/>
    </row>
    <row r="119" ht="15.75" customHeight="1">
      <c r="D119" s="90"/>
    </row>
    <row r="120" ht="15.75" customHeight="1">
      <c r="D120" s="90"/>
    </row>
    <row r="121" ht="15.75" customHeight="1">
      <c r="D121" s="90"/>
    </row>
    <row r="122" ht="15.75" customHeight="1">
      <c r="D122" s="90"/>
    </row>
    <row r="123" ht="15.75" customHeight="1">
      <c r="D123" s="90"/>
    </row>
    <row r="124" ht="15.75" customHeight="1">
      <c r="D124" s="90"/>
    </row>
    <row r="125" ht="15.75" customHeight="1">
      <c r="D125" s="90"/>
    </row>
    <row r="126" ht="15.75" customHeight="1">
      <c r="D126" s="90"/>
    </row>
    <row r="127" ht="15.75" customHeight="1">
      <c r="D127" s="90"/>
    </row>
    <row r="128" ht="15.75" customHeight="1">
      <c r="D128" s="90"/>
    </row>
    <row r="129" ht="15.75" customHeight="1">
      <c r="D129" s="90"/>
    </row>
    <row r="130" ht="15.75" customHeight="1">
      <c r="D130" s="90"/>
    </row>
    <row r="131" ht="15.75" customHeight="1">
      <c r="D131" s="90"/>
    </row>
    <row r="132" ht="15.75" customHeight="1">
      <c r="D132" s="90"/>
    </row>
    <row r="133" ht="15.75" customHeight="1">
      <c r="D133" s="90"/>
    </row>
    <row r="134" ht="15.75" customHeight="1">
      <c r="D134" s="90"/>
    </row>
    <row r="135" ht="15.75" customHeight="1">
      <c r="D135" s="90"/>
    </row>
    <row r="136" ht="15.75" customHeight="1">
      <c r="D136" s="90"/>
    </row>
    <row r="137" ht="15.75" customHeight="1">
      <c r="D137" s="90"/>
    </row>
    <row r="138" ht="15.75" customHeight="1">
      <c r="D138" s="90"/>
    </row>
    <row r="139" ht="15.75" customHeight="1">
      <c r="D139" s="90"/>
    </row>
    <row r="140" ht="15.75" customHeight="1">
      <c r="D140" s="90"/>
    </row>
    <row r="141" ht="15.75" customHeight="1">
      <c r="D141" s="90"/>
    </row>
    <row r="142" ht="15.75" customHeight="1">
      <c r="D142" s="90"/>
    </row>
    <row r="143" ht="15.75" customHeight="1">
      <c r="D143" s="90"/>
    </row>
    <row r="144" ht="15.75" customHeight="1">
      <c r="D144" s="90"/>
    </row>
    <row r="145" ht="15.75" customHeight="1">
      <c r="D145" s="90"/>
    </row>
    <row r="146" ht="15.75" customHeight="1">
      <c r="D146" s="90"/>
    </row>
    <row r="147" ht="15.75" customHeight="1">
      <c r="D147" s="90"/>
    </row>
    <row r="148" ht="15.75" customHeight="1">
      <c r="D148" s="90"/>
    </row>
    <row r="149" ht="15.75" customHeight="1">
      <c r="D149" s="90"/>
    </row>
    <row r="150" ht="15.75" customHeight="1">
      <c r="D150" s="90"/>
    </row>
    <row r="151" ht="15.75" customHeight="1">
      <c r="D151" s="90"/>
    </row>
    <row r="152" ht="15.75" customHeight="1">
      <c r="D152" s="90"/>
    </row>
    <row r="153" ht="15.75" customHeight="1">
      <c r="D153" s="90"/>
    </row>
    <row r="154" ht="15.75" customHeight="1">
      <c r="D154" s="90"/>
    </row>
    <row r="155" ht="15.75" customHeight="1">
      <c r="D155" s="90"/>
    </row>
    <row r="156" ht="15.75" customHeight="1">
      <c r="D156" s="90"/>
    </row>
    <row r="157" ht="15.75" customHeight="1">
      <c r="D157" s="90"/>
    </row>
    <row r="158" ht="15.75" customHeight="1">
      <c r="D158" s="90"/>
    </row>
    <row r="159" ht="15.75" customHeight="1">
      <c r="D159" s="90"/>
    </row>
    <row r="160" ht="15.75" customHeight="1">
      <c r="D160" s="90"/>
    </row>
    <row r="161" ht="15.75" customHeight="1">
      <c r="D161" s="90"/>
    </row>
    <row r="162" ht="15.75" customHeight="1">
      <c r="D162" s="90"/>
    </row>
    <row r="163" ht="15.75" customHeight="1">
      <c r="D163" s="90"/>
    </row>
    <row r="164" ht="15.75" customHeight="1">
      <c r="D164" s="90"/>
    </row>
    <row r="165" ht="15.75" customHeight="1">
      <c r="D165" s="90"/>
    </row>
    <row r="166" ht="15.75" customHeight="1">
      <c r="D166" s="90"/>
    </row>
    <row r="167" ht="15.75" customHeight="1">
      <c r="D167" s="90"/>
    </row>
    <row r="168" ht="15.75" customHeight="1">
      <c r="D168" s="90"/>
    </row>
    <row r="169" ht="15.75" customHeight="1">
      <c r="D169" s="90"/>
    </row>
    <row r="170" ht="15.75" customHeight="1">
      <c r="D170" s="90"/>
    </row>
    <row r="171" ht="15.75" customHeight="1">
      <c r="D171" s="90"/>
    </row>
    <row r="172" ht="15.75" customHeight="1">
      <c r="D172" s="90"/>
    </row>
    <row r="173" ht="15.75" customHeight="1">
      <c r="D173" s="90"/>
    </row>
    <row r="174" ht="15.75" customHeight="1">
      <c r="D174" s="90"/>
    </row>
    <row r="175" ht="15.75" customHeight="1">
      <c r="D175" s="90"/>
    </row>
    <row r="176" ht="15.75" customHeight="1">
      <c r="D176" s="90"/>
    </row>
    <row r="177" ht="15.75" customHeight="1">
      <c r="D177" s="90"/>
    </row>
    <row r="178" ht="15.75" customHeight="1">
      <c r="D178" s="90"/>
    </row>
    <row r="179" ht="15.75" customHeight="1">
      <c r="D179" s="90"/>
    </row>
    <row r="180" ht="15.75" customHeight="1">
      <c r="D180" s="90"/>
    </row>
    <row r="181" ht="15.75" customHeight="1">
      <c r="D181" s="90"/>
    </row>
    <row r="182" ht="15.75" customHeight="1">
      <c r="D182" s="90"/>
    </row>
    <row r="183" ht="15.75" customHeight="1">
      <c r="D183" s="90"/>
    </row>
    <row r="184" ht="15.75" customHeight="1">
      <c r="D184" s="90"/>
    </row>
    <row r="185" ht="15.75" customHeight="1">
      <c r="D185" s="90"/>
    </row>
    <row r="186" ht="15.75" customHeight="1">
      <c r="D186" s="90"/>
    </row>
    <row r="187" ht="15.75" customHeight="1">
      <c r="D187" s="90"/>
    </row>
    <row r="188" ht="15.75" customHeight="1">
      <c r="D188" s="90"/>
    </row>
    <row r="189" ht="15.75" customHeight="1">
      <c r="D189" s="90"/>
    </row>
    <row r="190" ht="15.75" customHeight="1">
      <c r="D190" s="90"/>
    </row>
    <row r="191" ht="15.75" customHeight="1">
      <c r="D191" s="90"/>
    </row>
    <row r="192" ht="15.75" customHeight="1">
      <c r="D192" s="90"/>
    </row>
    <row r="193" ht="15.75" customHeight="1">
      <c r="D193" s="90"/>
    </row>
    <row r="194" ht="15.75" customHeight="1">
      <c r="D194" s="90"/>
    </row>
    <row r="195" ht="15.75" customHeight="1">
      <c r="D195" s="90"/>
    </row>
    <row r="196" ht="15.75" customHeight="1">
      <c r="D196" s="90"/>
    </row>
    <row r="197" ht="15.75" customHeight="1">
      <c r="D197" s="90"/>
    </row>
    <row r="198" ht="15.75" customHeight="1">
      <c r="D198" s="90"/>
    </row>
    <row r="199" ht="15.75" customHeight="1">
      <c r="D199" s="90"/>
    </row>
    <row r="200" ht="15.75" customHeight="1">
      <c r="D200" s="90"/>
    </row>
    <row r="201" ht="15.75" customHeight="1">
      <c r="D201" s="90"/>
    </row>
    <row r="202" ht="15.75" customHeight="1">
      <c r="D202" s="90"/>
    </row>
    <row r="203" ht="15.75" customHeight="1">
      <c r="D203" s="90"/>
    </row>
    <row r="204" ht="15.75" customHeight="1">
      <c r="D204" s="90"/>
    </row>
    <row r="205" ht="15.75" customHeight="1">
      <c r="D205" s="90"/>
    </row>
    <row r="206" ht="15.75" customHeight="1">
      <c r="D206" s="90"/>
    </row>
    <row r="207" ht="15.75" customHeight="1">
      <c r="D207" s="90"/>
    </row>
    <row r="208" ht="15.75" customHeight="1">
      <c r="D208" s="90"/>
    </row>
    <row r="209" ht="15.75" customHeight="1">
      <c r="D209" s="90"/>
    </row>
    <row r="210" ht="15.75" customHeight="1">
      <c r="D210" s="90"/>
    </row>
    <row r="211" ht="15.75" customHeight="1">
      <c r="D211" s="90"/>
    </row>
    <row r="212" ht="15.75" customHeight="1">
      <c r="D212" s="90"/>
    </row>
    <row r="213" ht="15.75" customHeight="1">
      <c r="D213" s="90"/>
    </row>
    <row r="214" ht="15.75" customHeight="1">
      <c r="D214" s="90"/>
    </row>
    <row r="215" ht="15.75" customHeight="1">
      <c r="D215" s="90"/>
    </row>
    <row r="216" ht="15.75" customHeight="1">
      <c r="D216" s="90"/>
    </row>
    <row r="217" ht="15.75" customHeight="1">
      <c r="D217" s="90"/>
    </row>
    <row r="218" ht="15.75" customHeight="1">
      <c r="D218" s="90"/>
    </row>
    <row r="219" ht="15.75" customHeight="1">
      <c r="D219" s="90"/>
    </row>
    <row r="220" ht="15.75" customHeight="1">
      <c r="D220" s="90"/>
    </row>
    <row r="221" ht="15.75" customHeight="1">
      <c r="D221" s="90"/>
    </row>
    <row r="222" ht="15.75" customHeight="1">
      <c r="D222" s="90"/>
    </row>
    <row r="223" ht="15.75" customHeight="1">
      <c r="D223" s="90"/>
    </row>
    <row r="224" ht="15.75" customHeight="1">
      <c r="D224" s="90"/>
    </row>
    <row r="225" ht="15.75" customHeight="1">
      <c r="D225" s="90"/>
    </row>
    <row r="226" ht="15.75" customHeight="1">
      <c r="D226" s="90"/>
    </row>
    <row r="227" ht="15.75" customHeight="1">
      <c r="D227" s="90"/>
    </row>
    <row r="228" ht="15.75" customHeight="1">
      <c r="D228" s="90"/>
    </row>
    <row r="229" ht="15.75" customHeight="1">
      <c r="D229" s="90"/>
    </row>
    <row r="230" ht="15.75" customHeight="1">
      <c r="D230" s="90"/>
    </row>
    <row r="231" ht="15.75" customHeight="1">
      <c r="D231" s="90"/>
    </row>
    <row r="232" ht="15.75" customHeight="1">
      <c r="D232" s="90"/>
    </row>
    <row r="233" ht="15.75" customHeight="1">
      <c r="D233" s="90"/>
    </row>
    <row r="234" ht="15.75" customHeight="1">
      <c r="D234" s="90"/>
    </row>
    <row r="235" ht="15.75" customHeight="1">
      <c r="D235" s="90"/>
    </row>
    <row r="236" ht="15.75" customHeight="1">
      <c r="D236" s="90"/>
    </row>
    <row r="237" ht="15.75" customHeight="1">
      <c r="D237" s="90"/>
    </row>
    <row r="238" ht="15.75" customHeight="1">
      <c r="D238" s="90"/>
    </row>
    <row r="239" ht="15.75" customHeight="1">
      <c r="D239" s="90"/>
    </row>
    <row r="240" ht="15.75" customHeight="1">
      <c r="D240" s="90"/>
    </row>
    <row r="241" ht="15.75" customHeight="1">
      <c r="D241" s="90"/>
    </row>
    <row r="242" ht="15.75" customHeight="1">
      <c r="D242" s="90"/>
    </row>
    <row r="243" ht="15.75" customHeight="1">
      <c r="D243" s="90"/>
    </row>
    <row r="244" ht="15.75" customHeight="1">
      <c r="D244" s="90"/>
    </row>
    <row r="245" ht="15.75" customHeight="1">
      <c r="D245" s="90"/>
    </row>
    <row r="246" ht="15.75" customHeight="1">
      <c r="D246" s="90"/>
    </row>
    <row r="247" ht="15.75" customHeight="1">
      <c r="D247" s="90"/>
    </row>
    <row r="248" ht="15.75" customHeight="1">
      <c r="D248" s="90"/>
    </row>
    <row r="249" ht="15.75" customHeight="1">
      <c r="D249" s="90"/>
    </row>
    <row r="250" ht="15.75" customHeight="1">
      <c r="D250" s="90"/>
    </row>
    <row r="251" ht="15.75" customHeight="1">
      <c r="D251" s="90"/>
    </row>
    <row r="252" ht="15.75" customHeight="1">
      <c r="D252" s="90"/>
    </row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6">
    <mergeCell ref="A1:V1"/>
    <mergeCell ref="A2:V2"/>
    <mergeCell ref="A3:V3"/>
    <mergeCell ref="A8:A9"/>
    <mergeCell ref="B8:B9"/>
    <mergeCell ref="D8:D9"/>
    <mergeCell ref="E8:E9"/>
    <mergeCell ref="H8:V8"/>
    <mergeCell ref="C42:E42"/>
    <mergeCell ref="C46:E46"/>
    <mergeCell ref="A49:B49"/>
    <mergeCell ref="C49:F49"/>
    <mergeCell ref="A50:B50"/>
    <mergeCell ref="C50:F50"/>
    <mergeCell ref="F8:F9"/>
    <mergeCell ref="G8:G9"/>
    <mergeCell ref="B37:I37"/>
    <mergeCell ref="C39:E39"/>
    <mergeCell ref="C40:E40"/>
    <mergeCell ref="H40:I40"/>
    <mergeCell ref="C41:E41"/>
    <mergeCell ref="I49:N49"/>
    <mergeCell ref="Q49:T49"/>
    <mergeCell ref="V49:X49"/>
    <mergeCell ref="I50:N50"/>
    <mergeCell ref="Q50:T50"/>
    <mergeCell ref="H53:T53"/>
    <mergeCell ref="H56:T56"/>
    <mergeCell ref="H57:T57"/>
    <mergeCell ref="J40:T40"/>
    <mergeCell ref="J41:T41"/>
    <mergeCell ref="J42:T42"/>
    <mergeCell ref="J43:T43"/>
    <mergeCell ref="I46:N46"/>
    <mergeCell ref="Q46:T46"/>
    <mergeCell ref="V46:W46"/>
  </mergeCells>
  <printOptions/>
  <pageMargins bottom="0.75" footer="0.0" header="0.0" left="0.7" right="0.7" top="0.75"/>
  <pageSetup fitToHeight="0" paperSize="5" orientation="landscape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12.88"/>
    <col customWidth="1" min="2" max="2" width="10.5"/>
    <col customWidth="1" min="3" max="3" width="38.88"/>
    <col customWidth="1" min="4" max="4" width="11.63"/>
    <col customWidth="1" min="5" max="5" width="10.13"/>
    <col customWidth="1" min="6" max="6" width="11.13"/>
    <col customWidth="1" min="7" max="7" width="23.13"/>
    <col customWidth="1" min="8" max="8" width="15.5"/>
    <col customWidth="1" min="9" max="13" width="7.63"/>
    <col customWidth="1" min="14" max="14" width="11.38"/>
    <col customWidth="1" min="15" max="16" width="7.63"/>
    <col customWidth="1" min="17" max="39" width="0.38"/>
  </cols>
  <sheetData>
    <row r="1">
      <c r="A1" s="1" t="s">
        <v>0</v>
      </c>
      <c r="X1" s="2"/>
      <c r="Y1" s="2"/>
    </row>
    <row r="2">
      <c r="A2" s="97" t="s">
        <v>72</v>
      </c>
      <c r="X2" s="2"/>
      <c r="Y2" s="2"/>
    </row>
    <row r="3">
      <c r="A3" s="4"/>
      <c r="X3" s="2"/>
      <c r="Y3" s="2"/>
    </row>
    <row r="4">
      <c r="A4" s="5" t="s">
        <v>2</v>
      </c>
      <c r="B4" s="6"/>
      <c r="C4" s="6"/>
      <c r="D4" s="6"/>
      <c r="E4" s="7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2"/>
      <c r="X4" s="2"/>
      <c r="Y4" s="2"/>
    </row>
    <row r="5">
      <c r="A5" s="8"/>
      <c r="B5" s="6"/>
      <c r="C5" s="6"/>
      <c r="D5" s="2"/>
      <c r="E5" s="9"/>
      <c r="F5" s="10"/>
      <c r="G5" s="11"/>
      <c r="H5" s="11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>
      <c r="A6" s="12" t="s">
        <v>3</v>
      </c>
      <c r="B6" s="6"/>
      <c r="C6" s="6"/>
      <c r="D6" s="2"/>
      <c r="E6" s="9"/>
      <c r="F6" s="10"/>
      <c r="G6" s="11"/>
      <c r="H6" s="11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>
      <c r="A7" s="8" t="s">
        <v>4</v>
      </c>
      <c r="B7" s="6"/>
      <c r="C7" s="6"/>
      <c r="D7" s="2"/>
      <c r="E7" s="9"/>
      <c r="F7" s="10"/>
      <c r="G7" s="11"/>
      <c r="H7" s="11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ht="22.5" customHeight="1">
      <c r="A8" s="98" t="s">
        <v>73</v>
      </c>
      <c r="B8" s="99" t="s">
        <v>74</v>
      </c>
      <c r="C8" s="100" t="s">
        <v>6</v>
      </c>
      <c r="D8" s="101" t="s">
        <v>7</v>
      </c>
      <c r="E8" s="102" t="s">
        <v>8</v>
      </c>
      <c r="F8" s="103" t="s">
        <v>9</v>
      </c>
      <c r="G8" s="100" t="s">
        <v>10</v>
      </c>
      <c r="H8" s="104" t="s">
        <v>11</v>
      </c>
      <c r="I8" s="105" t="s">
        <v>12</v>
      </c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1"/>
    </row>
    <row r="9">
      <c r="A9" s="23"/>
      <c r="B9" s="106"/>
      <c r="C9" s="106"/>
      <c r="D9" s="107" t="s">
        <v>13</v>
      </c>
      <c r="E9" s="106"/>
      <c r="F9" s="106"/>
      <c r="G9" s="106"/>
      <c r="H9" s="106"/>
      <c r="I9" s="108" t="s">
        <v>14</v>
      </c>
      <c r="J9" s="108" t="s">
        <v>15</v>
      </c>
      <c r="K9" s="108" t="s">
        <v>16</v>
      </c>
      <c r="L9" s="107" t="s">
        <v>75</v>
      </c>
      <c r="M9" s="107" t="s">
        <v>76</v>
      </c>
      <c r="N9" s="107" t="s">
        <v>77</v>
      </c>
      <c r="O9" s="107" t="s">
        <v>78</v>
      </c>
      <c r="P9" s="107" t="s">
        <v>79</v>
      </c>
      <c r="Q9" s="107" t="s">
        <v>80</v>
      </c>
      <c r="R9" s="107" t="s">
        <v>81</v>
      </c>
      <c r="S9" s="107" t="s">
        <v>82</v>
      </c>
      <c r="T9" s="107" t="s">
        <v>83</v>
      </c>
      <c r="U9" s="107" t="s">
        <v>84</v>
      </c>
      <c r="V9" s="107" t="s">
        <v>85</v>
      </c>
      <c r="W9" s="107" t="s">
        <v>86</v>
      </c>
      <c r="X9" s="107" t="s">
        <v>87</v>
      </c>
      <c r="Y9" s="107" t="s">
        <v>88</v>
      </c>
      <c r="Z9" s="109" t="s">
        <v>89</v>
      </c>
      <c r="AA9" s="109" t="s">
        <v>90</v>
      </c>
      <c r="AB9" s="109" t="s">
        <v>91</v>
      </c>
      <c r="AC9" s="109" t="s">
        <v>92</v>
      </c>
      <c r="AD9" s="109" t="s">
        <v>93</v>
      </c>
      <c r="AE9" s="109" t="s">
        <v>94</v>
      </c>
      <c r="AF9" s="109" t="s">
        <v>95</v>
      </c>
      <c r="AG9" s="109" t="s">
        <v>96</v>
      </c>
      <c r="AH9" s="109" t="s">
        <v>97</v>
      </c>
      <c r="AI9" s="109" t="s">
        <v>98</v>
      </c>
      <c r="AJ9" s="109" t="s">
        <v>99</v>
      </c>
      <c r="AK9" s="109" t="s">
        <v>100</v>
      </c>
      <c r="AL9" s="109" t="s">
        <v>101</v>
      </c>
      <c r="AM9" s="109" t="s">
        <v>102</v>
      </c>
      <c r="AN9" s="110" t="s">
        <v>27</v>
      </c>
    </row>
    <row r="10">
      <c r="A10" s="111" t="s">
        <v>103</v>
      </c>
      <c r="B10" s="112" t="s">
        <v>104</v>
      </c>
      <c r="C10" s="113" t="s">
        <v>105</v>
      </c>
      <c r="D10" s="112" t="s">
        <v>106</v>
      </c>
      <c r="E10" s="114" t="s">
        <v>107</v>
      </c>
      <c r="F10" s="115" t="s">
        <v>108</v>
      </c>
      <c r="G10" s="112" t="s">
        <v>109</v>
      </c>
      <c r="H10" s="116" t="s">
        <v>110</v>
      </c>
      <c r="I10" s="112" t="s">
        <v>111</v>
      </c>
      <c r="J10" s="112" t="s">
        <v>112</v>
      </c>
      <c r="K10" s="112" t="s">
        <v>113</v>
      </c>
      <c r="L10" s="112" t="s">
        <v>114</v>
      </c>
      <c r="M10" s="112" t="s">
        <v>115</v>
      </c>
      <c r="N10" s="112" t="s">
        <v>116</v>
      </c>
      <c r="O10" s="112" t="s">
        <v>117</v>
      </c>
      <c r="P10" s="112" t="s">
        <v>118</v>
      </c>
      <c r="Q10" s="112" t="s">
        <v>119</v>
      </c>
      <c r="R10" s="112" t="s">
        <v>120</v>
      </c>
      <c r="S10" s="112" t="s">
        <v>121</v>
      </c>
      <c r="T10" s="112" t="s">
        <v>122</v>
      </c>
      <c r="U10" s="112" t="s">
        <v>123</v>
      </c>
      <c r="V10" s="112" t="s">
        <v>124</v>
      </c>
      <c r="W10" s="112" t="s">
        <v>125</v>
      </c>
      <c r="X10" s="112" t="s">
        <v>126</v>
      </c>
      <c r="Y10" s="112" t="s">
        <v>127</v>
      </c>
      <c r="Z10" s="117" t="s">
        <v>128</v>
      </c>
      <c r="AA10" s="117" t="s">
        <v>129</v>
      </c>
      <c r="AB10" s="117" t="s">
        <v>130</v>
      </c>
      <c r="AC10" s="117" t="s">
        <v>131</v>
      </c>
      <c r="AD10" s="117" t="s">
        <v>132</v>
      </c>
      <c r="AE10" s="117" t="s">
        <v>133</v>
      </c>
      <c r="AF10" s="117" t="s">
        <v>134</v>
      </c>
      <c r="AG10" s="117" t="s">
        <v>135</v>
      </c>
      <c r="AH10" s="117" t="s">
        <v>136</v>
      </c>
      <c r="AI10" s="118" t="s">
        <v>137</v>
      </c>
      <c r="AJ10" s="117" t="s">
        <v>138</v>
      </c>
      <c r="AK10" s="117" t="s">
        <v>139</v>
      </c>
      <c r="AL10" s="118" t="s">
        <v>140</v>
      </c>
      <c r="AM10" s="118" t="s">
        <v>141</v>
      </c>
      <c r="AN10" s="118" t="s">
        <v>142</v>
      </c>
    </row>
    <row r="11">
      <c r="A11" s="119" t="s">
        <v>143</v>
      </c>
      <c r="B11" s="120"/>
      <c r="C11" s="121" t="s">
        <v>144</v>
      </c>
      <c r="D11" s="31"/>
      <c r="E11" s="32"/>
      <c r="F11" s="33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122"/>
      <c r="W11" s="123"/>
      <c r="X11" s="123"/>
      <c r="Y11" s="123"/>
      <c r="Z11" s="123"/>
      <c r="AA11" s="123"/>
      <c r="AB11" s="123"/>
      <c r="AC11" s="123"/>
      <c r="AD11" s="123"/>
      <c r="AE11" s="123"/>
      <c r="AF11" s="123"/>
      <c r="AG11" s="123"/>
      <c r="AH11" s="123"/>
      <c r="AI11" s="123"/>
      <c r="AJ11" s="123"/>
      <c r="AK11" s="123"/>
      <c r="AL11" s="123"/>
      <c r="AM11" s="123"/>
      <c r="AN11" s="123"/>
    </row>
    <row r="12" ht="23.25" customHeight="1">
      <c r="A12" s="29"/>
      <c r="B12" s="124"/>
      <c r="C12" s="125" t="s">
        <v>145</v>
      </c>
      <c r="D12" s="126" t="s">
        <v>146</v>
      </c>
      <c r="E12" s="127">
        <v>10000.0</v>
      </c>
      <c r="F12" s="128">
        <f>10*E12</f>
        <v>100000</v>
      </c>
      <c r="G12" s="129" t="s">
        <v>147</v>
      </c>
      <c r="H12" s="130" t="s">
        <v>148</v>
      </c>
      <c r="I12" s="131"/>
      <c r="J12" s="130">
        <v>10.0</v>
      </c>
      <c r="K12" s="131"/>
      <c r="L12" s="131"/>
      <c r="M12" s="131"/>
      <c r="N12" s="131"/>
      <c r="O12" s="131"/>
      <c r="P12" s="131"/>
      <c r="Q12" s="131"/>
      <c r="R12" s="131"/>
      <c r="S12" s="131"/>
      <c r="T12" s="131"/>
      <c r="U12" s="131"/>
      <c r="V12" s="131"/>
      <c r="W12" s="131"/>
      <c r="X12" s="131"/>
      <c r="Y12" s="131"/>
      <c r="Z12" s="131"/>
      <c r="AA12" s="131"/>
      <c r="AB12" s="131"/>
      <c r="AC12" s="131"/>
      <c r="AD12" s="131"/>
      <c r="AE12" s="131"/>
      <c r="AF12" s="131"/>
      <c r="AG12" s="131"/>
      <c r="AH12" s="131"/>
      <c r="AI12" s="131"/>
      <c r="AJ12" s="131"/>
      <c r="AK12" s="131"/>
      <c r="AL12" s="131"/>
      <c r="AM12" s="131"/>
      <c r="AN12" s="131"/>
    </row>
    <row r="13" ht="15.75" customHeight="1">
      <c r="A13" s="29"/>
      <c r="B13" s="132" t="s">
        <v>149</v>
      </c>
      <c r="C13" s="133" t="s">
        <v>150</v>
      </c>
      <c r="D13" s="126" t="s">
        <v>151</v>
      </c>
      <c r="E13" s="127">
        <v>1000.0</v>
      </c>
      <c r="F13" s="128">
        <v>5000.0</v>
      </c>
      <c r="G13" s="134" t="s">
        <v>31</v>
      </c>
      <c r="H13" s="130" t="s">
        <v>148</v>
      </c>
      <c r="I13" s="135"/>
      <c r="J13" s="134">
        <v>5.0</v>
      </c>
      <c r="K13" s="135"/>
      <c r="L13" s="135"/>
      <c r="M13" s="135"/>
      <c r="N13" s="135"/>
      <c r="O13" s="135"/>
      <c r="P13" s="135"/>
      <c r="Q13" s="135"/>
      <c r="R13" s="135"/>
      <c r="S13" s="135"/>
      <c r="T13" s="135"/>
      <c r="U13" s="135"/>
      <c r="V13" s="135"/>
      <c r="W13" s="135"/>
      <c r="X13" s="135"/>
      <c r="Y13" s="135"/>
      <c r="Z13" s="135"/>
      <c r="AA13" s="135"/>
      <c r="AB13" s="135"/>
      <c r="AC13" s="135"/>
      <c r="AD13" s="135"/>
      <c r="AE13" s="135"/>
      <c r="AF13" s="135"/>
      <c r="AG13" s="135"/>
      <c r="AH13" s="135"/>
      <c r="AI13" s="135"/>
      <c r="AJ13" s="135"/>
      <c r="AK13" s="135"/>
      <c r="AL13" s="135"/>
      <c r="AM13" s="135"/>
      <c r="AN13" s="135"/>
    </row>
    <row r="14" ht="15.75" customHeight="1">
      <c r="A14" s="29"/>
      <c r="B14" s="132" t="s">
        <v>149</v>
      </c>
      <c r="C14" s="133" t="s">
        <v>152</v>
      </c>
      <c r="D14" s="126" t="s">
        <v>151</v>
      </c>
      <c r="E14" s="127">
        <v>1000.0</v>
      </c>
      <c r="F14" s="128">
        <v>5000.0</v>
      </c>
      <c r="G14" s="134" t="s">
        <v>31</v>
      </c>
      <c r="H14" s="130" t="s">
        <v>148</v>
      </c>
      <c r="I14" s="135"/>
      <c r="J14" s="134">
        <v>5.0</v>
      </c>
      <c r="K14" s="135"/>
      <c r="L14" s="135"/>
      <c r="M14" s="135"/>
      <c r="N14" s="135"/>
      <c r="O14" s="135"/>
      <c r="P14" s="135"/>
      <c r="Q14" s="135"/>
      <c r="R14" s="135"/>
      <c r="S14" s="135"/>
      <c r="T14" s="135"/>
      <c r="U14" s="135"/>
      <c r="V14" s="135"/>
      <c r="W14" s="135"/>
      <c r="X14" s="135"/>
      <c r="Y14" s="135"/>
      <c r="Z14" s="135"/>
      <c r="AA14" s="135"/>
      <c r="AB14" s="135"/>
      <c r="AC14" s="135"/>
      <c r="AD14" s="135"/>
      <c r="AE14" s="135"/>
      <c r="AF14" s="135"/>
      <c r="AG14" s="135"/>
      <c r="AH14" s="135"/>
      <c r="AI14" s="135"/>
      <c r="AJ14" s="135"/>
      <c r="AK14" s="135"/>
      <c r="AL14" s="135"/>
      <c r="AM14" s="135"/>
      <c r="AN14" s="135"/>
    </row>
    <row r="15" ht="15.75" customHeight="1">
      <c r="A15" s="29"/>
      <c r="B15" s="136"/>
      <c r="C15" s="137"/>
      <c r="D15" s="138"/>
      <c r="E15" s="139"/>
      <c r="F15" s="140"/>
      <c r="G15" s="141"/>
      <c r="H15" s="142"/>
      <c r="I15" s="135"/>
      <c r="J15" s="141"/>
      <c r="K15" s="135"/>
      <c r="L15" s="135"/>
      <c r="M15" s="135"/>
      <c r="N15" s="135"/>
      <c r="O15" s="135"/>
      <c r="P15" s="135"/>
      <c r="Q15" s="135"/>
      <c r="R15" s="135"/>
      <c r="S15" s="135"/>
      <c r="T15" s="135"/>
      <c r="U15" s="135"/>
      <c r="V15" s="135"/>
      <c r="W15" s="135"/>
      <c r="X15" s="135"/>
      <c r="Y15" s="135"/>
      <c r="Z15" s="135"/>
      <c r="AA15" s="135"/>
      <c r="AB15" s="135"/>
      <c r="AC15" s="135"/>
      <c r="AD15" s="135"/>
      <c r="AE15" s="135"/>
      <c r="AF15" s="135"/>
      <c r="AG15" s="135"/>
      <c r="AH15" s="135"/>
      <c r="AI15" s="135"/>
      <c r="AJ15" s="135"/>
      <c r="AK15" s="135"/>
      <c r="AL15" s="135"/>
      <c r="AM15" s="135"/>
      <c r="AN15" s="135"/>
    </row>
    <row r="16" ht="15.75" customHeight="1">
      <c r="A16" s="143" t="s">
        <v>153</v>
      </c>
      <c r="B16" s="144"/>
      <c r="C16" s="145" t="s">
        <v>154</v>
      </c>
      <c r="D16" s="146"/>
      <c r="E16" s="147"/>
      <c r="F16" s="148"/>
      <c r="G16" s="149"/>
      <c r="H16" s="150"/>
      <c r="I16" s="146"/>
      <c r="J16" s="149"/>
      <c r="K16" s="146"/>
      <c r="L16" s="146"/>
      <c r="M16" s="146"/>
      <c r="N16" s="146"/>
      <c r="O16" s="146"/>
      <c r="P16" s="146"/>
      <c r="Q16" s="146"/>
      <c r="R16" s="146"/>
      <c r="S16" s="146"/>
      <c r="T16" s="146"/>
      <c r="U16" s="146"/>
      <c r="V16" s="146"/>
      <c r="W16" s="146"/>
      <c r="X16" s="146"/>
      <c r="Y16" s="146"/>
      <c r="Z16" s="146"/>
      <c r="AA16" s="146"/>
      <c r="AB16" s="146"/>
      <c r="AC16" s="146"/>
      <c r="AD16" s="146"/>
      <c r="AE16" s="146"/>
      <c r="AF16" s="146"/>
      <c r="AG16" s="146"/>
      <c r="AH16" s="146"/>
      <c r="AI16" s="146"/>
      <c r="AJ16" s="146"/>
      <c r="AK16" s="146"/>
      <c r="AL16" s="146"/>
      <c r="AM16" s="146"/>
      <c r="AN16" s="146"/>
    </row>
    <row r="17" ht="24.75" customHeight="1">
      <c r="A17" s="29"/>
      <c r="B17" s="151"/>
      <c r="C17" s="152" t="s">
        <v>37</v>
      </c>
      <c r="D17" s="138" t="s">
        <v>34</v>
      </c>
      <c r="E17" s="139">
        <v>50000.0</v>
      </c>
      <c r="F17" s="140">
        <v>50000.0</v>
      </c>
      <c r="G17" s="153" t="s">
        <v>147</v>
      </c>
      <c r="H17" s="130" t="s">
        <v>155</v>
      </c>
      <c r="I17" s="135"/>
      <c r="J17" s="134">
        <v>1.0</v>
      </c>
      <c r="K17" s="135"/>
      <c r="L17" s="135"/>
      <c r="M17" s="135"/>
      <c r="N17" s="135"/>
      <c r="O17" s="135"/>
      <c r="P17" s="135"/>
      <c r="Q17" s="135"/>
      <c r="R17" s="135"/>
      <c r="S17" s="135"/>
      <c r="T17" s="135"/>
      <c r="U17" s="135"/>
      <c r="V17" s="135"/>
      <c r="W17" s="135"/>
      <c r="X17" s="135"/>
      <c r="Y17" s="135"/>
      <c r="Z17" s="135"/>
      <c r="AA17" s="135"/>
      <c r="AB17" s="135"/>
      <c r="AC17" s="135"/>
      <c r="AD17" s="135"/>
      <c r="AE17" s="135"/>
      <c r="AF17" s="135"/>
      <c r="AG17" s="135"/>
      <c r="AH17" s="135"/>
      <c r="AI17" s="135"/>
      <c r="AJ17" s="135"/>
      <c r="AK17" s="135"/>
      <c r="AL17" s="135"/>
      <c r="AM17" s="135"/>
      <c r="AN17" s="135"/>
    </row>
    <row r="18" ht="15.75" customHeight="1">
      <c r="A18" s="29"/>
      <c r="B18" s="154"/>
      <c r="C18" s="155" t="s">
        <v>38</v>
      </c>
      <c r="D18" s="138" t="s">
        <v>39</v>
      </c>
      <c r="E18" s="139">
        <v>40000.0</v>
      </c>
      <c r="F18" s="140">
        <v>40000.0</v>
      </c>
      <c r="G18" s="134" t="s">
        <v>31</v>
      </c>
      <c r="H18" s="130" t="s">
        <v>155</v>
      </c>
      <c r="I18" s="135"/>
      <c r="J18" s="134">
        <v>1.0</v>
      </c>
      <c r="K18" s="135"/>
      <c r="L18" s="135"/>
      <c r="M18" s="135"/>
      <c r="N18" s="135"/>
      <c r="O18" s="135"/>
      <c r="P18" s="135"/>
      <c r="Q18" s="135"/>
      <c r="R18" s="135"/>
      <c r="S18" s="135"/>
      <c r="T18" s="135"/>
      <c r="U18" s="135"/>
      <c r="V18" s="135"/>
      <c r="W18" s="135"/>
      <c r="X18" s="135"/>
      <c r="Y18" s="135"/>
      <c r="Z18" s="135"/>
      <c r="AA18" s="135"/>
      <c r="AB18" s="135"/>
      <c r="AC18" s="135"/>
      <c r="AD18" s="135"/>
      <c r="AE18" s="135"/>
      <c r="AF18" s="135"/>
      <c r="AG18" s="135"/>
      <c r="AH18" s="135"/>
      <c r="AI18" s="135"/>
      <c r="AJ18" s="135"/>
      <c r="AK18" s="135"/>
      <c r="AL18" s="135"/>
      <c r="AM18" s="135"/>
      <c r="AN18" s="135"/>
    </row>
    <row r="19" ht="15.75" customHeight="1">
      <c r="A19" s="29"/>
      <c r="B19" s="154"/>
      <c r="C19" s="155" t="s">
        <v>40</v>
      </c>
      <c r="D19" s="138" t="s">
        <v>41</v>
      </c>
      <c r="E19" s="139">
        <v>15000.0</v>
      </c>
      <c r="F19" s="140">
        <v>45000.0</v>
      </c>
      <c r="G19" s="134" t="s">
        <v>31</v>
      </c>
      <c r="H19" s="130" t="s">
        <v>155</v>
      </c>
      <c r="I19" s="135"/>
      <c r="J19" s="134">
        <v>3.0</v>
      </c>
      <c r="K19" s="135"/>
      <c r="L19" s="135"/>
      <c r="M19" s="135"/>
      <c r="N19" s="135"/>
      <c r="O19" s="135"/>
      <c r="P19" s="135"/>
      <c r="Q19" s="135"/>
      <c r="R19" s="135"/>
      <c r="S19" s="135"/>
      <c r="T19" s="135"/>
      <c r="U19" s="135"/>
      <c r="V19" s="135"/>
      <c r="W19" s="135"/>
      <c r="X19" s="135"/>
      <c r="Y19" s="135"/>
      <c r="Z19" s="135"/>
      <c r="AA19" s="135"/>
      <c r="AB19" s="135"/>
      <c r="AC19" s="135"/>
      <c r="AD19" s="135"/>
      <c r="AE19" s="135"/>
      <c r="AF19" s="135"/>
      <c r="AG19" s="135"/>
      <c r="AH19" s="135"/>
      <c r="AI19" s="135"/>
      <c r="AJ19" s="135"/>
      <c r="AK19" s="135"/>
      <c r="AL19" s="135"/>
      <c r="AM19" s="135"/>
      <c r="AN19" s="135"/>
    </row>
    <row r="20" ht="15.75" customHeight="1">
      <c r="A20" s="29"/>
      <c r="B20" s="154"/>
      <c r="C20" s="155" t="s">
        <v>42</v>
      </c>
      <c r="D20" s="138" t="s">
        <v>43</v>
      </c>
      <c r="E20" s="139">
        <v>10000.0</v>
      </c>
      <c r="F20" s="140">
        <v>10000.0</v>
      </c>
      <c r="G20" s="134" t="s">
        <v>31</v>
      </c>
      <c r="H20" s="130" t="s">
        <v>155</v>
      </c>
      <c r="I20" s="135"/>
      <c r="J20" s="134">
        <v>1.0</v>
      </c>
      <c r="K20" s="135"/>
      <c r="L20" s="135"/>
      <c r="M20" s="135"/>
      <c r="N20" s="135"/>
      <c r="O20" s="135"/>
      <c r="P20" s="135"/>
      <c r="Q20" s="135"/>
      <c r="R20" s="135"/>
      <c r="S20" s="135"/>
      <c r="T20" s="135"/>
      <c r="U20" s="135"/>
      <c r="V20" s="135"/>
      <c r="W20" s="135"/>
      <c r="X20" s="135"/>
      <c r="Y20" s="135"/>
      <c r="Z20" s="135"/>
      <c r="AA20" s="135"/>
      <c r="AB20" s="135"/>
      <c r="AC20" s="135"/>
      <c r="AD20" s="135"/>
      <c r="AE20" s="135"/>
      <c r="AF20" s="135"/>
      <c r="AG20" s="135"/>
      <c r="AH20" s="135"/>
      <c r="AI20" s="135"/>
      <c r="AJ20" s="135"/>
      <c r="AK20" s="135"/>
      <c r="AL20" s="135"/>
      <c r="AM20" s="135"/>
      <c r="AN20" s="135"/>
    </row>
    <row r="21" ht="15.75" customHeight="1">
      <c r="A21" s="29"/>
      <c r="B21" s="154"/>
      <c r="C21" s="155" t="s">
        <v>44</v>
      </c>
      <c r="D21" s="138" t="s">
        <v>43</v>
      </c>
      <c r="E21" s="127">
        <v>40000.0</v>
      </c>
      <c r="F21" s="128">
        <v>40000.0</v>
      </c>
      <c r="G21" s="134" t="s">
        <v>31</v>
      </c>
      <c r="H21" s="130" t="s">
        <v>155</v>
      </c>
      <c r="I21" s="135"/>
      <c r="J21" s="134">
        <v>1.0</v>
      </c>
      <c r="K21" s="135"/>
      <c r="L21" s="135"/>
      <c r="M21" s="135"/>
      <c r="N21" s="135"/>
      <c r="O21" s="135"/>
      <c r="P21" s="135"/>
      <c r="Q21" s="135"/>
      <c r="R21" s="135"/>
      <c r="S21" s="135"/>
      <c r="T21" s="135"/>
      <c r="U21" s="135"/>
      <c r="V21" s="135"/>
      <c r="W21" s="135"/>
      <c r="X21" s="135"/>
      <c r="Y21" s="135"/>
      <c r="Z21" s="135"/>
      <c r="AA21" s="135"/>
      <c r="AB21" s="135"/>
      <c r="AC21" s="135"/>
      <c r="AD21" s="135"/>
      <c r="AE21" s="135"/>
      <c r="AF21" s="135"/>
      <c r="AG21" s="135"/>
      <c r="AH21" s="135"/>
      <c r="AI21" s="135"/>
      <c r="AJ21" s="135"/>
      <c r="AK21" s="135"/>
      <c r="AL21" s="135"/>
      <c r="AM21" s="135"/>
      <c r="AN21" s="135"/>
    </row>
    <row r="22" ht="15.75" customHeight="1">
      <c r="A22" s="29"/>
      <c r="B22" s="154"/>
      <c r="C22" s="155" t="s">
        <v>45</v>
      </c>
      <c r="D22" s="138" t="s">
        <v>39</v>
      </c>
      <c r="E22" s="139">
        <v>15000.0</v>
      </c>
      <c r="F22" s="140">
        <v>15000.0</v>
      </c>
      <c r="G22" s="134" t="s">
        <v>31</v>
      </c>
      <c r="H22" s="130" t="s">
        <v>155</v>
      </c>
      <c r="I22" s="135"/>
      <c r="J22" s="134">
        <v>1.0</v>
      </c>
      <c r="K22" s="135"/>
      <c r="L22" s="135"/>
      <c r="M22" s="135"/>
      <c r="N22" s="135"/>
      <c r="O22" s="135"/>
      <c r="P22" s="135"/>
      <c r="Q22" s="135"/>
      <c r="R22" s="135"/>
      <c r="S22" s="135"/>
      <c r="T22" s="135"/>
      <c r="U22" s="135"/>
      <c r="V22" s="135"/>
      <c r="W22" s="135"/>
      <c r="X22" s="135"/>
      <c r="Y22" s="135"/>
      <c r="Z22" s="135"/>
      <c r="AA22" s="135"/>
      <c r="AB22" s="135"/>
      <c r="AC22" s="135"/>
      <c r="AD22" s="135"/>
      <c r="AE22" s="135"/>
      <c r="AF22" s="135"/>
      <c r="AG22" s="135"/>
      <c r="AH22" s="135"/>
      <c r="AI22" s="135"/>
      <c r="AJ22" s="135"/>
      <c r="AK22" s="135"/>
      <c r="AL22" s="135"/>
      <c r="AM22" s="135"/>
      <c r="AN22" s="135"/>
    </row>
    <row r="23" ht="15.75" customHeight="1">
      <c r="A23" s="29"/>
      <c r="B23" s="154"/>
      <c r="C23" s="155" t="s">
        <v>46</v>
      </c>
      <c r="D23" s="138" t="s">
        <v>39</v>
      </c>
      <c r="E23" s="127">
        <v>30000.0</v>
      </c>
      <c r="F23" s="128">
        <v>30000.0</v>
      </c>
      <c r="G23" s="134" t="s">
        <v>31</v>
      </c>
      <c r="H23" s="130" t="s">
        <v>155</v>
      </c>
      <c r="I23" s="135"/>
      <c r="J23" s="134">
        <v>1.0</v>
      </c>
      <c r="K23" s="135"/>
      <c r="L23" s="135"/>
      <c r="M23" s="135"/>
      <c r="N23" s="135"/>
      <c r="O23" s="135"/>
      <c r="P23" s="135"/>
      <c r="Q23" s="135"/>
      <c r="R23" s="135"/>
      <c r="S23" s="135"/>
      <c r="T23" s="135"/>
      <c r="U23" s="135"/>
      <c r="V23" s="135"/>
      <c r="W23" s="135"/>
      <c r="X23" s="135"/>
      <c r="Y23" s="135"/>
      <c r="Z23" s="135"/>
      <c r="AA23" s="135"/>
      <c r="AB23" s="135"/>
      <c r="AC23" s="135"/>
      <c r="AD23" s="135"/>
      <c r="AE23" s="135"/>
      <c r="AF23" s="135"/>
      <c r="AG23" s="135"/>
      <c r="AH23" s="135"/>
      <c r="AI23" s="135"/>
      <c r="AJ23" s="135"/>
      <c r="AK23" s="135"/>
      <c r="AL23" s="135"/>
      <c r="AM23" s="135"/>
      <c r="AN23" s="135"/>
    </row>
    <row r="24" ht="15.75" customHeight="1">
      <c r="A24" s="29"/>
      <c r="B24" s="154"/>
      <c r="C24" s="155" t="s">
        <v>47</v>
      </c>
      <c r="D24" s="138" t="s">
        <v>48</v>
      </c>
      <c r="E24" s="139">
        <v>7000.0</v>
      </c>
      <c r="F24" s="140">
        <v>35000.0</v>
      </c>
      <c r="G24" s="134" t="s">
        <v>31</v>
      </c>
      <c r="H24" s="130" t="s">
        <v>155</v>
      </c>
      <c r="I24" s="135"/>
      <c r="J24" s="134">
        <v>5.0</v>
      </c>
      <c r="K24" s="135"/>
      <c r="L24" s="135"/>
      <c r="M24" s="135"/>
      <c r="N24" s="135"/>
      <c r="O24" s="135"/>
      <c r="P24" s="135"/>
      <c r="Q24" s="135"/>
      <c r="R24" s="135"/>
      <c r="S24" s="135"/>
      <c r="T24" s="135"/>
      <c r="U24" s="135"/>
      <c r="V24" s="135"/>
      <c r="W24" s="135"/>
      <c r="X24" s="135"/>
      <c r="Y24" s="135"/>
      <c r="Z24" s="135"/>
      <c r="AA24" s="135"/>
      <c r="AB24" s="135"/>
      <c r="AC24" s="135"/>
      <c r="AD24" s="135"/>
      <c r="AE24" s="135"/>
      <c r="AF24" s="135"/>
      <c r="AG24" s="135"/>
      <c r="AH24" s="135"/>
      <c r="AI24" s="135"/>
      <c r="AJ24" s="135"/>
      <c r="AK24" s="135"/>
      <c r="AL24" s="135"/>
      <c r="AM24" s="135"/>
      <c r="AN24" s="135"/>
    </row>
    <row r="25" ht="15.75" customHeight="1">
      <c r="A25" s="29"/>
      <c r="B25" s="154"/>
      <c r="C25" s="155" t="s">
        <v>49</v>
      </c>
      <c r="D25" s="138" t="s">
        <v>43</v>
      </c>
      <c r="E25" s="139">
        <v>12000.0</v>
      </c>
      <c r="F25" s="140">
        <v>12000.0</v>
      </c>
      <c r="G25" s="134" t="s">
        <v>31</v>
      </c>
      <c r="H25" s="130" t="s">
        <v>155</v>
      </c>
      <c r="I25" s="135"/>
      <c r="J25" s="134">
        <v>1.0</v>
      </c>
      <c r="K25" s="135"/>
      <c r="L25" s="135"/>
      <c r="M25" s="135"/>
      <c r="N25" s="135"/>
      <c r="O25" s="135"/>
      <c r="P25" s="135"/>
      <c r="Q25" s="135"/>
      <c r="R25" s="135"/>
      <c r="S25" s="135"/>
      <c r="T25" s="135"/>
      <c r="U25" s="135"/>
      <c r="V25" s="135"/>
      <c r="W25" s="135"/>
      <c r="X25" s="135"/>
      <c r="Y25" s="135"/>
      <c r="Z25" s="135"/>
      <c r="AA25" s="135"/>
      <c r="AB25" s="135"/>
      <c r="AC25" s="135"/>
      <c r="AD25" s="135"/>
      <c r="AE25" s="135"/>
      <c r="AF25" s="135"/>
      <c r="AG25" s="135"/>
      <c r="AH25" s="135"/>
      <c r="AI25" s="135"/>
      <c r="AJ25" s="135"/>
      <c r="AK25" s="135"/>
      <c r="AL25" s="135"/>
      <c r="AM25" s="135"/>
      <c r="AN25" s="135"/>
    </row>
    <row r="26">
      <c r="A26" s="29"/>
      <c r="B26" s="154"/>
      <c r="C26" s="155" t="s">
        <v>50</v>
      </c>
      <c r="D26" s="138" t="s">
        <v>43</v>
      </c>
      <c r="E26" s="139">
        <v>7000.0</v>
      </c>
      <c r="F26" s="140">
        <v>7000.0</v>
      </c>
      <c r="G26" s="134" t="s">
        <v>31</v>
      </c>
      <c r="H26" s="130" t="s">
        <v>155</v>
      </c>
      <c r="I26" s="135"/>
      <c r="J26" s="134">
        <v>1.0</v>
      </c>
      <c r="K26" s="135"/>
      <c r="L26" s="135"/>
      <c r="M26" s="135"/>
      <c r="N26" s="135"/>
      <c r="O26" s="135"/>
      <c r="P26" s="135"/>
      <c r="Q26" s="135"/>
      <c r="R26" s="135"/>
      <c r="S26" s="135"/>
      <c r="T26" s="135"/>
      <c r="U26" s="135"/>
      <c r="V26" s="135"/>
      <c r="W26" s="135"/>
      <c r="X26" s="135"/>
      <c r="Y26" s="135"/>
      <c r="Z26" s="135"/>
      <c r="AA26" s="135"/>
      <c r="AB26" s="135"/>
      <c r="AC26" s="135"/>
      <c r="AD26" s="135"/>
      <c r="AE26" s="135"/>
      <c r="AF26" s="135"/>
      <c r="AG26" s="135"/>
      <c r="AH26" s="135"/>
      <c r="AI26" s="135"/>
      <c r="AJ26" s="135"/>
      <c r="AK26" s="135"/>
      <c r="AL26" s="135"/>
      <c r="AM26" s="135"/>
      <c r="AN26" s="135"/>
    </row>
    <row r="27" ht="24.0" customHeight="1">
      <c r="A27" s="29"/>
      <c r="B27" s="156"/>
      <c r="C27" s="157" t="s">
        <v>156</v>
      </c>
      <c r="D27" s="126" t="s">
        <v>34</v>
      </c>
      <c r="E27" s="127">
        <v>80000.0</v>
      </c>
      <c r="F27" s="128">
        <v>80000.0</v>
      </c>
      <c r="G27" s="153" t="s">
        <v>147</v>
      </c>
      <c r="H27" s="130" t="s">
        <v>155</v>
      </c>
      <c r="I27" s="135"/>
      <c r="J27" s="134">
        <v>1.0</v>
      </c>
      <c r="K27" s="135"/>
      <c r="L27" s="135"/>
      <c r="M27" s="135"/>
      <c r="N27" s="135"/>
      <c r="O27" s="135"/>
      <c r="P27" s="135"/>
      <c r="Q27" s="135"/>
      <c r="R27" s="135"/>
      <c r="S27" s="135"/>
      <c r="T27" s="135"/>
      <c r="U27" s="135"/>
      <c r="V27" s="135"/>
      <c r="W27" s="135"/>
      <c r="X27" s="135"/>
      <c r="Y27" s="135"/>
      <c r="Z27" s="135"/>
      <c r="AA27" s="135"/>
      <c r="AB27" s="135"/>
      <c r="AC27" s="135"/>
      <c r="AD27" s="135"/>
      <c r="AE27" s="135"/>
      <c r="AF27" s="135"/>
      <c r="AG27" s="135"/>
      <c r="AH27" s="135"/>
      <c r="AI27" s="135"/>
      <c r="AJ27" s="135"/>
      <c r="AK27" s="135"/>
      <c r="AL27" s="135"/>
      <c r="AM27" s="135"/>
      <c r="AN27" s="135"/>
    </row>
    <row r="28" ht="15.75" customHeight="1">
      <c r="A28" s="29"/>
      <c r="B28" s="156"/>
      <c r="C28" s="157" t="s">
        <v>157</v>
      </c>
      <c r="D28" s="126" t="s">
        <v>158</v>
      </c>
      <c r="E28" s="127">
        <v>20000.0</v>
      </c>
      <c r="F28" s="128">
        <v>40000.0</v>
      </c>
      <c r="G28" s="134" t="s">
        <v>31</v>
      </c>
      <c r="H28" s="130" t="s">
        <v>155</v>
      </c>
      <c r="I28" s="135"/>
      <c r="J28" s="134">
        <v>2.0</v>
      </c>
      <c r="K28" s="135"/>
      <c r="L28" s="135"/>
      <c r="M28" s="135"/>
      <c r="N28" s="135"/>
      <c r="O28" s="135"/>
      <c r="P28" s="135"/>
      <c r="Q28" s="135"/>
      <c r="R28" s="135"/>
      <c r="S28" s="135"/>
      <c r="T28" s="135"/>
      <c r="U28" s="135"/>
      <c r="V28" s="135"/>
      <c r="W28" s="135"/>
      <c r="X28" s="135"/>
      <c r="Y28" s="135"/>
      <c r="Z28" s="135"/>
      <c r="AA28" s="135"/>
      <c r="AB28" s="135"/>
      <c r="AC28" s="135"/>
      <c r="AD28" s="135"/>
      <c r="AE28" s="135"/>
      <c r="AF28" s="135"/>
      <c r="AG28" s="135"/>
      <c r="AH28" s="135"/>
      <c r="AI28" s="135"/>
      <c r="AJ28" s="135"/>
      <c r="AK28" s="135"/>
      <c r="AL28" s="135"/>
      <c r="AM28" s="135"/>
      <c r="AN28" s="135"/>
    </row>
    <row r="29" ht="15.75" customHeight="1">
      <c r="A29" s="158"/>
      <c r="B29" s="154"/>
      <c r="C29" s="154"/>
      <c r="D29" s="159"/>
      <c r="E29" s="160"/>
      <c r="F29" s="161"/>
      <c r="G29" s="141"/>
      <c r="H29" s="142"/>
      <c r="I29" s="135"/>
      <c r="J29" s="141"/>
      <c r="K29" s="135"/>
      <c r="L29" s="135"/>
      <c r="M29" s="135"/>
      <c r="N29" s="135"/>
      <c r="O29" s="135"/>
      <c r="P29" s="135"/>
      <c r="Q29" s="135"/>
      <c r="R29" s="135"/>
      <c r="S29" s="135"/>
      <c r="T29" s="135"/>
      <c r="U29" s="135"/>
      <c r="V29" s="135"/>
      <c r="W29" s="135"/>
      <c r="X29" s="135"/>
      <c r="Y29" s="135"/>
      <c r="Z29" s="135"/>
      <c r="AA29" s="135"/>
      <c r="AB29" s="135"/>
      <c r="AC29" s="135"/>
      <c r="AD29" s="135"/>
      <c r="AE29" s="135"/>
      <c r="AF29" s="135"/>
      <c r="AG29" s="135"/>
      <c r="AH29" s="135"/>
      <c r="AI29" s="135"/>
      <c r="AJ29" s="135"/>
      <c r="AK29" s="135"/>
      <c r="AL29" s="135"/>
      <c r="AM29" s="135"/>
      <c r="AN29" s="135"/>
    </row>
    <row r="30" ht="15.75" customHeight="1">
      <c r="A30" s="143" t="s">
        <v>159</v>
      </c>
      <c r="B30" s="162"/>
      <c r="C30" s="145" t="s">
        <v>160</v>
      </c>
      <c r="D30" s="146"/>
      <c r="E30" s="147"/>
      <c r="F30" s="148"/>
      <c r="G30" s="149"/>
      <c r="H30" s="150"/>
      <c r="I30" s="146"/>
      <c r="J30" s="149"/>
      <c r="K30" s="146"/>
      <c r="L30" s="146"/>
      <c r="M30" s="146"/>
      <c r="N30" s="146"/>
      <c r="O30" s="146"/>
      <c r="P30" s="146"/>
      <c r="Q30" s="146"/>
      <c r="R30" s="146"/>
      <c r="S30" s="146"/>
      <c r="T30" s="146"/>
      <c r="U30" s="146"/>
      <c r="V30" s="146"/>
      <c r="W30" s="146"/>
      <c r="X30" s="146"/>
      <c r="Y30" s="146"/>
      <c r="Z30" s="146"/>
      <c r="AA30" s="146"/>
      <c r="AB30" s="146"/>
      <c r="AC30" s="146"/>
      <c r="AD30" s="146"/>
      <c r="AE30" s="146"/>
      <c r="AF30" s="146"/>
      <c r="AG30" s="146"/>
      <c r="AH30" s="146"/>
      <c r="AI30" s="146"/>
      <c r="AJ30" s="146"/>
      <c r="AK30" s="146"/>
      <c r="AL30" s="146"/>
      <c r="AM30" s="146"/>
      <c r="AN30" s="146"/>
    </row>
    <row r="31" ht="15.75" customHeight="1">
      <c r="A31" s="29"/>
      <c r="B31" s="163"/>
      <c r="C31" s="163" t="s">
        <v>161</v>
      </c>
      <c r="D31" s="126" t="s">
        <v>162</v>
      </c>
      <c r="E31" s="127">
        <v>600.0</v>
      </c>
      <c r="F31" s="140">
        <f>24*E31</f>
        <v>14400</v>
      </c>
      <c r="G31" s="134" t="s">
        <v>31</v>
      </c>
      <c r="H31" s="130" t="s">
        <v>163</v>
      </c>
      <c r="I31" s="135"/>
      <c r="J31" s="134">
        <v>24.0</v>
      </c>
      <c r="K31" s="135"/>
      <c r="L31" s="135"/>
      <c r="M31" s="135"/>
      <c r="N31" s="135"/>
      <c r="O31" s="135"/>
      <c r="P31" s="135"/>
      <c r="Q31" s="135"/>
      <c r="R31" s="135"/>
      <c r="S31" s="135"/>
      <c r="T31" s="135"/>
      <c r="U31" s="135"/>
      <c r="V31" s="135"/>
      <c r="W31" s="135"/>
      <c r="X31" s="135"/>
      <c r="Y31" s="135"/>
      <c r="Z31" s="135"/>
      <c r="AA31" s="135"/>
      <c r="AB31" s="135"/>
      <c r="AC31" s="135"/>
      <c r="AD31" s="135"/>
      <c r="AE31" s="135"/>
      <c r="AF31" s="135"/>
      <c r="AG31" s="135"/>
      <c r="AH31" s="135"/>
      <c r="AI31" s="135"/>
      <c r="AJ31" s="135"/>
      <c r="AK31" s="135"/>
      <c r="AL31" s="135"/>
      <c r="AM31" s="135"/>
      <c r="AN31" s="135"/>
    </row>
    <row r="32" ht="25.5" customHeight="1">
      <c r="A32" s="29"/>
      <c r="B32" s="156"/>
      <c r="C32" s="156" t="s">
        <v>164</v>
      </c>
      <c r="D32" s="126" t="s">
        <v>165</v>
      </c>
      <c r="E32" s="127">
        <v>8000.0</v>
      </c>
      <c r="F32" s="140">
        <f>E32*16</f>
        <v>128000</v>
      </c>
      <c r="G32" s="153" t="s">
        <v>147</v>
      </c>
      <c r="H32" s="130" t="s">
        <v>163</v>
      </c>
      <c r="I32" s="135"/>
      <c r="J32" s="134">
        <v>16.0</v>
      </c>
      <c r="K32" s="135"/>
      <c r="L32" s="135"/>
      <c r="M32" s="135"/>
      <c r="N32" s="135"/>
      <c r="O32" s="135"/>
      <c r="P32" s="135"/>
      <c r="Q32" s="135"/>
      <c r="R32" s="135"/>
      <c r="S32" s="135"/>
      <c r="T32" s="135"/>
      <c r="U32" s="135"/>
      <c r="V32" s="135"/>
      <c r="W32" s="135"/>
      <c r="X32" s="135"/>
      <c r="Y32" s="135"/>
      <c r="Z32" s="135"/>
      <c r="AA32" s="135"/>
      <c r="AB32" s="135"/>
      <c r="AC32" s="135"/>
      <c r="AD32" s="135"/>
      <c r="AE32" s="135"/>
      <c r="AF32" s="135"/>
      <c r="AG32" s="135"/>
      <c r="AH32" s="135"/>
      <c r="AI32" s="135"/>
      <c r="AJ32" s="135"/>
      <c r="AK32" s="135"/>
      <c r="AL32" s="135"/>
      <c r="AM32" s="135"/>
      <c r="AN32" s="135"/>
    </row>
    <row r="33" ht="15.75" customHeight="1">
      <c r="A33" s="29"/>
      <c r="B33" s="156"/>
      <c r="C33" s="157" t="s">
        <v>166</v>
      </c>
      <c r="D33" s="126" t="s">
        <v>165</v>
      </c>
      <c r="E33" s="127">
        <v>3000.0</v>
      </c>
      <c r="F33" s="140">
        <f t="shared" ref="F33:F34" si="1">16*E33</f>
        <v>48000</v>
      </c>
      <c r="G33" s="134" t="s">
        <v>31</v>
      </c>
      <c r="H33" s="130" t="s">
        <v>163</v>
      </c>
      <c r="I33" s="135"/>
      <c r="J33" s="134">
        <v>16.0</v>
      </c>
      <c r="K33" s="135"/>
      <c r="L33" s="135"/>
      <c r="M33" s="135"/>
      <c r="N33" s="135"/>
      <c r="O33" s="135"/>
      <c r="P33" s="135"/>
      <c r="Q33" s="135"/>
      <c r="R33" s="135"/>
      <c r="S33" s="135"/>
      <c r="T33" s="135"/>
      <c r="U33" s="135"/>
      <c r="V33" s="135"/>
      <c r="W33" s="135"/>
      <c r="X33" s="135"/>
      <c r="Y33" s="135"/>
      <c r="Z33" s="135"/>
      <c r="AA33" s="135"/>
      <c r="AB33" s="135"/>
      <c r="AC33" s="135"/>
      <c r="AD33" s="135"/>
      <c r="AE33" s="135"/>
      <c r="AF33" s="135"/>
      <c r="AG33" s="135"/>
      <c r="AH33" s="135"/>
      <c r="AI33" s="135"/>
      <c r="AJ33" s="135"/>
      <c r="AK33" s="135"/>
      <c r="AL33" s="135"/>
      <c r="AM33" s="135"/>
      <c r="AN33" s="135"/>
    </row>
    <row r="34" ht="15.75" customHeight="1">
      <c r="A34" s="29"/>
      <c r="B34" s="156"/>
      <c r="C34" s="157" t="s">
        <v>167</v>
      </c>
      <c r="D34" s="126" t="s">
        <v>165</v>
      </c>
      <c r="E34" s="127">
        <v>3000.0</v>
      </c>
      <c r="F34" s="140">
        <f t="shared" si="1"/>
        <v>48000</v>
      </c>
      <c r="G34" s="134" t="s">
        <v>31</v>
      </c>
      <c r="H34" s="130" t="s">
        <v>163</v>
      </c>
      <c r="I34" s="135"/>
      <c r="J34" s="134">
        <v>16.0</v>
      </c>
      <c r="K34" s="135"/>
      <c r="L34" s="135"/>
      <c r="M34" s="135"/>
      <c r="N34" s="135"/>
      <c r="O34" s="135"/>
      <c r="P34" s="135"/>
      <c r="Q34" s="135"/>
      <c r="R34" s="135"/>
      <c r="S34" s="135"/>
      <c r="T34" s="135"/>
      <c r="U34" s="135"/>
      <c r="V34" s="135"/>
      <c r="W34" s="135"/>
      <c r="X34" s="135"/>
      <c r="Y34" s="135"/>
      <c r="Z34" s="135"/>
      <c r="AA34" s="135"/>
      <c r="AB34" s="135"/>
      <c r="AC34" s="135"/>
      <c r="AD34" s="135"/>
      <c r="AE34" s="135"/>
      <c r="AF34" s="135"/>
      <c r="AG34" s="135"/>
      <c r="AH34" s="135"/>
      <c r="AI34" s="135"/>
      <c r="AJ34" s="135"/>
      <c r="AK34" s="135"/>
      <c r="AL34" s="135"/>
      <c r="AM34" s="135"/>
      <c r="AN34" s="135"/>
    </row>
    <row r="35" ht="24.0" customHeight="1">
      <c r="A35" s="29"/>
      <c r="B35" s="156"/>
      <c r="C35" s="157" t="s">
        <v>168</v>
      </c>
      <c r="D35" s="126" t="s">
        <v>169</v>
      </c>
      <c r="E35" s="127">
        <v>8000.0</v>
      </c>
      <c r="F35" s="128">
        <v>64000.0</v>
      </c>
      <c r="G35" s="153" t="s">
        <v>147</v>
      </c>
      <c r="H35" s="130" t="s">
        <v>163</v>
      </c>
      <c r="I35" s="135"/>
      <c r="J35" s="134">
        <v>8.0</v>
      </c>
      <c r="K35" s="135"/>
      <c r="L35" s="135"/>
      <c r="M35" s="135"/>
      <c r="N35" s="135"/>
      <c r="O35" s="135"/>
      <c r="P35" s="135"/>
      <c r="Q35" s="135"/>
      <c r="R35" s="135"/>
      <c r="S35" s="135"/>
      <c r="T35" s="135"/>
      <c r="U35" s="135"/>
      <c r="V35" s="135"/>
      <c r="W35" s="135"/>
      <c r="X35" s="135"/>
      <c r="Y35" s="135"/>
      <c r="Z35" s="135"/>
      <c r="AA35" s="135"/>
      <c r="AB35" s="135"/>
      <c r="AC35" s="135"/>
      <c r="AD35" s="135"/>
      <c r="AE35" s="135"/>
      <c r="AF35" s="135"/>
      <c r="AG35" s="135"/>
      <c r="AH35" s="135"/>
      <c r="AI35" s="135"/>
      <c r="AJ35" s="135"/>
      <c r="AK35" s="135"/>
      <c r="AL35" s="135"/>
      <c r="AM35" s="135"/>
      <c r="AN35" s="135"/>
    </row>
    <row r="36" ht="15.75" customHeight="1">
      <c r="A36" s="29"/>
      <c r="B36" s="156"/>
      <c r="C36" s="157"/>
      <c r="D36" s="138"/>
      <c r="E36" s="139"/>
      <c r="F36" s="164"/>
      <c r="G36" s="141"/>
      <c r="H36" s="142"/>
      <c r="I36" s="135"/>
      <c r="J36" s="135"/>
      <c r="K36" s="135"/>
      <c r="L36" s="135"/>
      <c r="M36" s="135"/>
      <c r="N36" s="135"/>
      <c r="O36" s="135"/>
      <c r="P36" s="135"/>
      <c r="Q36" s="135"/>
      <c r="R36" s="135"/>
      <c r="S36" s="135"/>
      <c r="T36" s="135"/>
      <c r="U36" s="135"/>
      <c r="V36" s="135"/>
      <c r="W36" s="135"/>
      <c r="X36" s="135"/>
      <c r="Y36" s="135"/>
      <c r="Z36" s="135"/>
      <c r="AA36" s="135"/>
      <c r="AB36" s="135"/>
      <c r="AC36" s="135"/>
      <c r="AD36" s="135"/>
      <c r="AE36" s="135"/>
      <c r="AF36" s="135"/>
      <c r="AG36" s="135"/>
      <c r="AH36" s="135"/>
      <c r="AI36" s="135"/>
      <c r="AJ36" s="135"/>
      <c r="AK36" s="135"/>
      <c r="AL36" s="135"/>
      <c r="AM36" s="135"/>
      <c r="AN36" s="135"/>
    </row>
    <row r="37" ht="15.75" customHeight="1">
      <c r="A37" s="144"/>
      <c r="B37" s="144"/>
      <c r="C37" s="145" t="s">
        <v>170</v>
      </c>
      <c r="D37" s="146"/>
      <c r="E37" s="147"/>
      <c r="F37" s="146"/>
      <c r="G37" s="149"/>
      <c r="H37" s="150"/>
      <c r="I37" s="146"/>
      <c r="J37" s="146"/>
      <c r="K37" s="146"/>
      <c r="L37" s="146"/>
      <c r="M37" s="146"/>
      <c r="N37" s="146"/>
      <c r="O37" s="146"/>
      <c r="P37" s="146"/>
      <c r="Q37" s="146"/>
      <c r="R37" s="146"/>
      <c r="S37" s="146"/>
      <c r="T37" s="146"/>
      <c r="U37" s="146"/>
      <c r="V37" s="146"/>
      <c r="W37" s="146"/>
      <c r="X37" s="146"/>
      <c r="Y37" s="146"/>
      <c r="Z37" s="146"/>
      <c r="AA37" s="146"/>
      <c r="AB37" s="146"/>
      <c r="AC37" s="146"/>
      <c r="AD37" s="146"/>
      <c r="AE37" s="146"/>
      <c r="AF37" s="146"/>
      <c r="AG37" s="146"/>
      <c r="AH37" s="146"/>
      <c r="AI37" s="146"/>
      <c r="AJ37" s="146"/>
      <c r="AK37" s="146"/>
      <c r="AL37" s="146"/>
      <c r="AM37" s="146"/>
      <c r="AN37" s="146"/>
    </row>
    <row r="38" ht="15.75" customHeight="1">
      <c r="A38" s="29"/>
      <c r="B38" s="154"/>
      <c r="C38" s="157" t="s">
        <v>171</v>
      </c>
      <c r="D38" s="126" t="s">
        <v>39</v>
      </c>
      <c r="E38" s="165">
        <v>130000.0</v>
      </c>
      <c r="F38" s="165">
        <v>130000.0</v>
      </c>
      <c r="G38" s="134" t="s">
        <v>172</v>
      </c>
      <c r="H38" s="130" t="s">
        <v>163</v>
      </c>
      <c r="I38" s="135"/>
      <c r="J38" s="134">
        <v>1.0</v>
      </c>
      <c r="K38" s="135"/>
      <c r="L38" s="135"/>
      <c r="M38" s="135"/>
      <c r="N38" s="135"/>
      <c r="O38" s="135"/>
      <c r="P38" s="135"/>
      <c r="Q38" s="135"/>
      <c r="R38" s="135"/>
      <c r="S38" s="135"/>
      <c r="T38" s="135"/>
      <c r="U38" s="135"/>
      <c r="V38" s="135"/>
      <c r="W38" s="135"/>
      <c r="X38" s="135"/>
      <c r="Y38" s="135"/>
      <c r="Z38" s="135"/>
      <c r="AA38" s="135"/>
      <c r="AB38" s="135"/>
      <c r="AC38" s="135"/>
      <c r="AD38" s="135"/>
      <c r="AE38" s="135"/>
      <c r="AF38" s="135"/>
      <c r="AG38" s="135"/>
      <c r="AH38" s="135"/>
      <c r="AI38" s="135"/>
      <c r="AJ38" s="135"/>
      <c r="AK38" s="135"/>
      <c r="AL38" s="135"/>
      <c r="AM38" s="135"/>
      <c r="AN38" s="135"/>
    </row>
    <row r="39" ht="15.75" customHeight="1">
      <c r="A39" s="29"/>
      <c r="B39" s="154"/>
      <c r="C39" s="155"/>
      <c r="D39" s="138"/>
      <c r="E39" s="139"/>
      <c r="F39" s="164"/>
      <c r="G39" s="135"/>
      <c r="H39" s="135"/>
      <c r="I39" s="135"/>
      <c r="J39" s="135"/>
      <c r="K39" s="135"/>
      <c r="L39" s="135"/>
      <c r="M39" s="135"/>
      <c r="N39" s="135"/>
      <c r="O39" s="135"/>
      <c r="P39" s="135"/>
      <c r="Q39" s="135"/>
      <c r="R39" s="135"/>
      <c r="S39" s="135"/>
      <c r="T39" s="135"/>
      <c r="U39" s="135"/>
      <c r="V39" s="135"/>
      <c r="W39" s="135"/>
      <c r="X39" s="135"/>
      <c r="Y39" s="135"/>
      <c r="Z39" s="135"/>
      <c r="AA39" s="135"/>
      <c r="AB39" s="135"/>
      <c r="AC39" s="135"/>
      <c r="AD39" s="135"/>
      <c r="AE39" s="135"/>
      <c r="AF39" s="135"/>
      <c r="AG39" s="135"/>
      <c r="AH39" s="135"/>
      <c r="AI39" s="135"/>
      <c r="AJ39" s="135"/>
      <c r="AK39" s="135"/>
      <c r="AL39" s="135"/>
      <c r="AM39" s="135"/>
      <c r="AN39" s="135"/>
    </row>
    <row r="40" ht="57.75" customHeight="1">
      <c r="A40" s="29"/>
      <c r="B40" s="154"/>
      <c r="C40" s="155"/>
      <c r="D40" s="138"/>
      <c r="E40" s="139"/>
      <c r="F40" s="164"/>
      <c r="G40" s="135"/>
      <c r="H40" s="135"/>
      <c r="I40" s="135"/>
      <c r="J40" s="135"/>
      <c r="K40" s="135"/>
      <c r="L40" s="135"/>
      <c r="M40" s="135"/>
      <c r="N40" s="135"/>
      <c r="O40" s="135"/>
      <c r="P40" s="135"/>
      <c r="Q40" s="135"/>
      <c r="R40" s="135"/>
      <c r="S40" s="135"/>
      <c r="T40" s="135"/>
      <c r="U40" s="135"/>
      <c r="V40" s="135"/>
      <c r="W40" s="135"/>
      <c r="X40" s="135"/>
      <c r="Y40" s="135"/>
      <c r="Z40" s="135"/>
      <c r="AA40" s="135"/>
      <c r="AB40" s="135"/>
      <c r="AC40" s="135"/>
      <c r="AD40" s="135"/>
      <c r="AE40" s="135"/>
      <c r="AF40" s="135"/>
      <c r="AG40" s="135"/>
      <c r="AH40" s="135"/>
      <c r="AI40" s="135"/>
      <c r="AJ40" s="135"/>
      <c r="AK40" s="135"/>
      <c r="AL40" s="135"/>
      <c r="AM40" s="135"/>
      <c r="AN40" s="135"/>
    </row>
    <row r="41" ht="15.75" customHeight="1">
      <c r="A41" s="158"/>
      <c r="B41" s="166"/>
      <c r="C41" s="57" t="s">
        <v>53</v>
      </c>
      <c r="D41" s="58"/>
      <c r="E41" s="58"/>
      <c r="F41" s="58"/>
      <c r="G41" s="58"/>
      <c r="H41" s="58"/>
      <c r="I41" s="58"/>
      <c r="J41" s="59"/>
      <c r="K41" s="135"/>
      <c r="L41" s="135"/>
      <c r="M41" s="135"/>
      <c r="N41" s="135"/>
      <c r="O41" s="135"/>
      <c r="P41" s="135"/>
      <c r="Q41" s="135"/>
      <c r="R41" s="135"/>
      <c r="S41" s="135"/>
      <c r="T41" s="135"/>
      <c r="U41" s="135"/>
      <c r="V41" s="135"/>
      <c r="W41" s="135"/>
      <c r="X41" s="135"/>
      <c r="Y41" s="135"/>
      <c r="Z41" s="135"/>
      <c r="AA41" s="135"/>
      <c r="AB41" s="135"/>
      <c r="AC41" s="135"/>
      <c r="AD41" s="135"/>
      <c r="AE41" s="135"/>
      <c r="AF41" s="135"/>
      <c r="AG41" s="135"/>
      <c r="AH41" s="135"/>
      <c r="AI41" s="135"/>
      <c r="AJ41" s="135"/>
      <c r="AK41" s="135"/>
      <c r="AL41" s="135"/>
      <c r="AM41" s="135"/>
      <c r="AN41" s="135"/>
    </row>
    <row r="42" ht="15.75" customHeight="1">
      <c r="A42" s="60"/>
      <c r="B42" s="61"/>
      <c r="C42" s="61"/>
      <c r="D42" s="2"/>
      <c r="E42" s="9"/>
      <c r="F42" s="62"/>
      <c r="G42" s="11"/>
      <c r="H42" s="11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ht="15.75" customHeight="1">
      <c r="A43" s="63" t="s">
        <v>54</v>
      </c>
      <c r="B43" s="6"/>
      <c r="C43" s="6"/>
      <c r="D43" s="64">
        <f>sum(F12:F38)</f>
        <v>946400</v>
      </c>
      <c r="G43" s="11"/>
      <c r="H43" s="11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ht="15.75" hidden="1" customHeight="1">
      <c r="A44" s="65" t="s">
        <v>55</v>
      </c>
      <c r="B44" s="66"/>
      <c r="C44" s="66"/>
      <c r="D44" s="67">
        <f>PRODUCT(D43,0.1)</f>
        <v>94640</v>
      </c>
      <c r="E44" s="68"/>
      <c r="F44" s="69"/>
      <c r="G44" s="11"/>
      <c r="H44" s="11"/>
      <c r="I44" s="70"/>
      <c r="K44" s="70"/>
      <c r="V44" s="70"/>
      <c r="W44" s="2"/>
      <c r="X44" s="2"/>
      <c r="Y44" s="2"/>
    </row>
    <row r="45" ht="15.75" hidden="1" customHeight="1">
      <c r="A45" s="71" t="s">
        <v>56</v>
      </c>
      <c r="B45" s="72"/>
      <c r="C45" s="72"/>
      <c r="D45" s="73">
        <f>PRODUCT(D43,0.1)</f>
        <v>94640</v>
      </c>
      <c r="E45" s="58"/>
      <c r="F45" s="59"/>
      <c r="G45" s="11"/>
      <c r="H45" s="11"/>
      <c r="I45" s="74"/>
      <c r="J45" s="74"/>
      <c r="K45" s="75"/>
      <c r="V45" s="75"/>
      <c r="W45" s="2"/>
      <c r="X45" s="2"/>
      <c r="Y45" s="2"/>
    </row>
    <row r="46" ht="15.75" hidden="1" customHeight="1">
      <c r="A46" s="71" t="s">
        <v>57</v>
      </c>
      <c r="B46" s="72"/>
      <c r="C46" s="72"/>
      <c r="D46" s="73">
        <f>SUM(D43:F45)</f>
        <v>1135680</v>
      </c>
      <c r="E46" s="58"/>
      <c r="F46" s="59"/>
      <c r="G46" s="11"/>
      <c r="H46" s="11"/>
      <c r="I46" s="74"/>
      <c r="J46" s="74"/>
      <c r="K46" s="75"/>
      <c r="V46" s="75"/>
      <c r="W46" s="2"/>
      <c r="X46" s="2"/>
      <c r="Y46" s="2"/>
    </row>
    <row r="47" ht="15.75" customHeight="1">
      <c r="A47" s="76"/>
      <c r="B47" s="6"/>
      <c r="C47" s="6"/>
      <c r="D47" s="2"/>
      <c r="E47" s="9"/>
      <c r="F47" s="10"/>
      <c r="G47" s="11"/>
      <c r="H47" s="11"/>
      <c r="I47" s="74"/>
      <c r="J47" s="74"/>
      <c r="K47" s="75"/>
      <c r="V47" s="75"/>
      <c r="W47" s="2"/>
      <c r="X47" s="2"/>
      <c r="Y47" s="2"/>
    </row>
    <row r="48" ht="15.75" customHeight="1">
      <c r="A48" s="77" t="s">
        <v>58</v>
      </c>
      <c r="B48" s="6"/>
      <c r="C48" s="6"/>
      <c r="D48" s="2"/>
      <c r="E48" s="9"/>
      <c r="F48" s="10"/>
      <c r="G48" s="11"/>
      <c r="H48" s="11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ht="15.75" customHeight="1">
      <c r="A49" s="78"/>
      <c r="B49" s="6"/>
      <c r="C49" s="6"/>
      <c r="D49" s="2"/>
      <c r="E49" s="9"/>
      <c r="F49" s="10"/>
      <c r="G49" s="11"/>
      <c r="H49" s="11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ht="15.75" customHeight="1">
      <c r="A50" s="79" t="s">
        <v>59</v>
      </c>
      <c r="B50" s="61"/>
      <c r="C50" s="61"/>
      <c r="D50" s="80" t="s">
        <v>60</v>
      </c>
      <c r="G50" s="74"/>
      <c r="H50" s="74"/>
      <c r="I50" s="2"/>
      <c r="J50" s="80" t="s">
        <v>61</v>
      </c>
      <c r="P50" s="2"/>
      <c r="Q50" s="2"/>
      <c r="R50" s="80" t="s">
        <v>62</v>
      </c>
      <c r="V50" s="2"/>
      <c r="W50" s="2"/>
      <c r="Y50" s="74"/>
    </row>
    <row r="51" ht="15.75" customHeight="1">
      <c r="A51" s="79"/>
      <c r="B51" s="61"/>
      <c r="C51" s="61"/>
      <c r="D51" s="80"/>
      <c r="E51" s="81"/>
      <c r="F51" s="80"/>
      <c r="G51" s="74"/>
      <c r="H51" s="74"/>
      <c r="I51" s="2"/>
      <c r="J51" s="80"/>
      <c r="K51" s="80"/>
      <c r="L51" s="80"/>
      <c r="M51" s="80"/>
      <c r="N51" s="80"/>
      <c r="O51" s="80"/>
      <c r="P51" s="80"/>
      <c r="Q51" s="80"/>
      <c r="R51" s="80"/>
      <c r="S51" s="80"/>
      <c r="T51" s="80"/>
      <c r="U51" s="80"/>
      <c r="V51" s="80"/>
      <c r="W51" s="80"/>
      <c r="X51" s="74"/>
      <c r="Y51" s="74"/>
    </row>
    <row r="52" ht="15.75" customHeight="1">
      <c r="A52" s="61"/>
      <c r="B52" s="61"/>
      <c r="C52" s="61"/>
      <c r="D52" s="74"/>
      <c r="E52" s="82"/>
      <c r="F52" s="83"/>
      <c r="G52" s="74"/>
      <c r="H52" s="74"/>
      <c r="I52" s="2"/>
      <c r="J52" s="74"/>
      <c r="K52" s="83"/>
      <c r="L52" s="83"/>
      <c r="M52" s="83"/>
      <c r="N52" s="83"/>
      <c r="O52" s="83"/>
      <c r="P52" s="83"/>
      <c r="Q52" s="83"/>
      <c r="R52" s="74"/>
      <c r="S52" s="83"/>
      <c r="T52" s="74"/>
      <c r="U52" s="74"/>
      <c r="V52" s="74"/>
      <c r="W52" s="74"/>
      <c r="X52" s="74"/>
      <c r="Y52" s="74"/>
    </row>
    <row r="53" ht="15.75" customHeight="1">
      <c r="A53" s="84" t="s">
        <v>63</v>
      </c>
      <c r="D53" s="85" t="s">
        <v>64</v>
      </c>
      <c r="H53" s="2"/>
      <c r="I53" s="2"/>
      <c r="J53" s="85" t="s">
        <v>65</v>
      </c>
      <c r="P53" s="2"/>
      <c r="Q53" s="2"/>
      <c r="R53" s="85" t="s">
        <v>66</v>
      </c>
      <c r="V53" s="2"/>
      <c r="W53" s="2"/>
    </row>
    <row r="54" ht="15.0" customHeight="1">
      <c r="A54" s="86" t="s">
        <v>67</v>
      </c>
      <c r="D54" s="87" t="s">
        <v>68</v>
      </c>
      <c r="H54" s="88"/>
      <c r="I54" s="2"/>
      <c r="J54" s="89" t="s">
        <v>69</v>
      </c>
      <c r="P54" s="2"/>
      <c r="Q54" s="2"/>
      <c r="R54" s="87" t="s">
        <v>70</v>
      </c>
      <c r="V54" s="2"/>
      <c r="W54" s="2"/>
      <c r="X54" s="74"/>
      <c r="Y54" s="74"/>
    </row>
    <row r="55" ht="15.75" customHeight="1">
      <c r="A55" s="2"/>
      <c r="B55" s="2"/>
      <c r="C55" s="2"/>
      <c r="D55" s="2"/>
      <c r="E55" s="9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ht="15.75" customHeight="1">
      <c r="A56" s="167" t="s">
        <v>173</v>
      </c>
      <c r="B56" s="2"/>
      <c r="C56" s="2"/>
      <c r="D56" s="2" t="s">
        <v>71</v>
      </c>
      <c r="E56" s="9"/>
      <c r="F56" s="2"/>
      <c r="G56" s="2"/>
      <c r="H56" s="2"/>
      <c r="I56" s="2"/>
      <c r="J56" s="2" t="s">
        <v>71</v>
      </c>
      <c r="K56" s="2"/>
      <c r="L56" s="2"/>
      <c r="M56" s="2"/>
      <c r="N56" s="2"/>
      <c r="O56" s="2"/>
      <c r="P56" s="2"/>
      <c r="Q56" s="2"/>
      <c r="R56" s="2" t="s">
        <v>71</v>
      </c>
      <c r="S56" s="2"/>
      <c r="T56" s="2"/>
      <c r="U56" s="2"/>
      <c r="V56" s="2"/>
      <c r="W56" s="2"/>
      <c r="X56" s="2"/>
      <c r="Y56" s="2"/>
    </row>
    <row r="57" ht="15.75" customHeight="1">
      <c r="E57" s="90"/>
      <c r="I57" s="91"/>
    </row>
    <row r="58" ht="15.75" customHeight="1">
      <c r="E58" s="90"/>
      <c r="I58" s="91"/>
      <c r="J58" s="91"/>
      <c r="K58" s="91"/>
      <c r="L58" s="91"/>
      <c r="M58" s="91"/>
      <c r="N58" s="91"/>
      <c r="O58" s="91"/>
      <c r="P58" s="91"/>
      <c r="Q58" s="91"/>
      <c r="R58" s="91"/>
      <c r="S58" s="91"/>
      <c r="T58" s="91"/>
      <c r="U58" s="91"/>
      <c r="V58" s="91"/>
    </row>
    <row r="59" ht="15.75" customHeight="1">
      <c r="E59" s="90"/>
      <c r="I59" s="92"/>
      <c r="J59" s="93"/>
      <c r="K59" s="94"/>
      <c r="L59" s="94"/>
      <c r="M59" s="94"/>
      <c r="N59" s="94"/>
      <c r="O59" s="94"/>
      <c r="P59" s="94"/>
      <c r="Q59" s="94"/>
      <c r="R59" s="94"/>
      <c r="S59" s="94"/>
      <c r="T59" s="94"/>
      <c r="U59" s="94"/>
      <c r="V59" s="94"/>
    </row>
    <row r="60" ht="15.75" customHeight="1">
      <c r="E60" s="90"/>
      <c r="I60" s="95"/>
    </row>
    <row r="61" ht="15.75" customHeight="1">
      <c r="E61" s="90"/>
      <c r="I61" s="96"/>
    </row>
    <row r="62" ht="15.75" customHeight="1">
      <c r="E62" s="90"/>
    </row>
    <row r="63" ht="15.75" customHeight="1">
      <c r="E63" s="90"/>
    </row>
    <row r="64" ht="15.75" customHeight="1">
      <c r="E64" s="90"/>
    </row>
    <row r="65" ht="15.75" customHeight="1">
      <c r="E65" s="90"/>
    </row>
    <row r="66" ht="15.75" customHeight="1">
      <c r="E66" s="90"/>
    </row>
    <row r="67" ht="15.75" customHeight="1">
      <c r="E67" s="90"/>
    </row>
    <row r="68" ht="15.75" customHeight="1">
      <c r="E68" s="90"/>
    </row>
    <row r="69" ht="15.75" customHeight="1">
      <c r="E69" s="90"/>
    </row>
    <row r="70" ht="15.75" customHeight="1">
      <c r="E70" s="90"/>
    </row>
    <row r="71" ht="15.75" customHeight="1">
      <c r="E71" s="90"/>
    </row>
    <row r="72" ht="15.75" customHeight="1">
      <c r="E72" s="90"/>
    </row>
    <row r="73" ht="15.75" customHeight="1">
      <c r="E73" s="90"/>
    </row>
    <row r="74" ht="15.75" customHeight="1">
      <c r="E74" s="90"/>
    </row>
    <row r="75" ht="15.75" customHeight="1">
      <c r="E75" s="90"/>
    </row>
    <row r="76" ht="15.75" customHeight="1">
      <c r="E76" s="90"/>
    </row>
    <row r="77" ht="15.75" customHeight="1">
      <c r="E77" s="90"/>
    </row>
    <row r="78" ht="15.75" customHeight="1">
      <c r="E78" s="90"/>
    </row>
    <row r="79" ht="15.75" customHeight="1">
      <c r="E79" s="90"/>
    </row>
    <row r="80" ht="15.75" customHeight="1">
      <c r="E80" s="90"/>
    </row>
    <row r="81" ht="15.75" customHeight="1">
      <c r="E81" s="90"/>
    </row>
    <row r="82" ht="15.75" customHeight="1">
      <c r="E82" s="90"/>
    </row>
    <row r="83" ht="15.75" customHeight="1">
      <c r="E83" s="90"/>
    </row>
    <row r="84" ht="15.75" customHeight="1">
      <c r="E84" s="90"/>
    </row>
    <row r="85" ht="15.75" customHeight="1">
      <c r="E85" s="90"/>
    </row>
    <row r="86" ht="15.75" customHeight="1">
      <c r="E86" s="90"/>
    </row>
    <row r="87" ht="15.75" customHeight="1">
      <c r="E87" s="90"/>
    </row>
    <row r="88" ht="15.75" customHeight="1">
      <c r="E88" s="90"/>
    </row>
    <row r="89" ht="15.75" customHeight="1">
      <c r="E89" s="90"/>
    </row>
    <row r="90" ht="15.75" customHeight="1">
      <c r="E90" s="90"/>
    </row>
    <row r="91" ht="15.75" customHeight="1">
      <c r="E91" s="90"/>
    </row>
    <row r="92" ht="15.75" customHeight="1">
      <c r="E92" s="90"/>
    </row>
    <row r="93" ht="15.75" customHeight="1">
      <c r="E93" s="90"/>
    </row>
    <row r="94" ht="15.75" customHeight="1">
      <c r="E94" s="90"/>
    </row>
    <row r="95" ht="15.75" customHeight="1">
      <c r="E95" s="90"/>
    </row>
    <row r="96" ht="15.75" customHeight="1">
      <c r="E96" s="90"/>
    </row>
    <row r="97" ht="15.75" customHeight="1">
      <c r="E97" s="90"/>
    </row>
    <row r="98" ht="15.75" customHeight="1">
      <c r="E98" s="90"/>
    </row>
    <row r="99" ht="15.75" customHeight="1">
      <c r="E99" s="90"/>
    </row>
    <row r="100" ht="15.75" customHeight="1">
      <c r="E100" s="90"/>
    </row>
    <row r="101" ht="15.75" customHeight="1">
      <c r="E101" s="90"/>
    </row>
    <row r="102" ht="15.75" customHeight="1">
      <c r="E102" s="90"/>
    </row>
    <row r="103" ht="15.75" customHeight="1">
      <c r="E103" s="90"/>
    </row>
    <row r="104" ht="15.75" customHeight="1">
      <c r="E104" s="90"/>
    </row>
    <row r="105" ht="15.75" customHeight="1">
      <c r="E105" s="90"/>
    </row>
    <row r="106" ht="15.75" customHeight="1">
      <c r="E106" s="90"/>
    </row>
    <row r="107" ht="15.75" customHeight="1">
      <c r="E107" s="90"/>
    </row>
    <row r="108" ht="15.75" customHeight="1">
      <c r="E108" s="90"/>
    </row>
    <row r="109" ht="15.75" customHeight="1">
      <c r="E109" s="90"/>
    </row>
    <row r="110" ht="15.75" customHeight="1">
      <c r="E110" s="90"/>
    </row>
    <row r="111" ht="15.75" customHeight="1">
      <c r="E111" s="90"/>
    </row>
    <row r="112" ht="15.75" customHeight="1">
      <c r="E112" s="90"/>
    </row>
    <row r="113" ht="15.75" customHeight="1">
      <c r="E113" s="90"/>
    </row>
    <row r="114" ht="15.75" customHeight="1">
      <c r="E114" s="90"/>
    </row>
    <row r="115" ht="15.75" customHeight="1">
      <c r="E115" s="90"/>
    </row>
    <row r="116" ht="15.75" customHeight="1">
      <c r="E116" s="90"/>
    </row>
    <row r="117" ht="15.75" customHeight="1">
      <c r="E117" s="90"/>
    </row>
    <row r="118" ht="15.75" customHeight="1">
      <c r="E118" s="90"/>
    </row>
    <row r="119" ht="15.75" customHeight="1">
      <c r="E119" s="90"/>
    </row>
    <row r="120" ht="15.75" customHeight="1">
      <c r="E120" s="90"/>
    </row>
    <row r="121" ht="15.75" customHeight="1">
      <c r="E121" s="90"/>
    </row>
    <row r="122" ht="15.75" customHeight="1">
      <c r="E122" s="90"/>
    </row>
    <row r="123" ht="15.75" customHeight="1">
      <c r="E123" s="90"/>
    </row>
    <row r="124" ht="15.75" customHeight="1">
      <c r="E124" s="90"/>
    </row>
    <row r="125" ht="15.75" customHeight="1">
      <c r="E125" s="90"/>
    </row>
    <row r="126" ht="15.75" customHeight="1">
      <c r="E126" s="90"/>
    </row>
    <row r="127" ht="15.75" customHeight="1">
      <c r="E127" s="90"/>
    </row>
    <row r="128" ht="15.75" customHeight="1">
      <c r="E128" s="90"/>
    </row>
    <row r="129" ht="15.75" customHeight="1">
      <c r="E129" s="90"/>
    </row>
    <row r="130" ht="15.75" customHeight="1">
      <c r="E130" s="90"/>
    </row>
    <row r="131" ht="15.75" customHeight="1">
      <c r="E131" s="90"/>
    </row>
    <row r="132" ht="15.75" customHeight="1">
      <c r="E132" s="90"/>
    </row>
    <row r="133" ht="15.75" customHeight="1">
      <c r="E133" s="90"/>
    </row>
    <row r="134" ht="15.75" customHeight="1">
      <c r="E134" s="90"/>
    </row>
    <row r="135" ht="15.75" customHeight="1">
      <c r="E135" s="90"/>
    </row>
    <row r="136" ht="15.75" customHeight="1">
      <c r="E136" s="90"/>
    </row>
    <row r="137" ht="15.75" customHeight="1">
      <c r="E137" s="90"/>
    </row>
    <row r="138" ht="15.75" customHeight="1">
      <c r="E138" s="90"/>
    </row>
    <row r="139" ht="15.75" customHeight="1">
      <c r="E139" s="90"/>
    </row>
    <row r="140" ht="15.75" customHeight="1">
      <c r="E140" s="90"/>
    </row>
    <row r="141" ht="15.75" customHeight="1">
      <c r="E141" s="90"/>
    </row>
    <row r="142" ht="15.75" customHeight="1">
      <c r="E142" s="90"/>
    </row>
    <row r="143" ht="15.75" customHeight="1">
      <c r="E143" s="90"/>
    </row>
    <row r="144" ht="15.75" customHeight="1">
      <c r="E144" s="90"/>
    </row>
    <row r="145" ht="15.75" customHeight="1">
      <c r="E145" s="90"/>
    </row>
    <row r="146" ht="15.75" customHeight="1">
      <c r="E146" s="90"/>
    </row>
    <row r="147" ht="15.75" customHeight="1">
      <c r="E147" s="90"/>
    </row>
    <row r="148" ht="15.75" customHeight="1">
      <c r="E148" s="90"/>
    </row>
    <row r="149" ht="15.75" customHeight="1">
      <c r="E149" s="90"/>
    </row>
    <row r="150" ht="15.75" customHeight="1">
      <c r="E150" s="90"/>
    </row>
    <row r="151" ht="15.75" customHeight="1">
      <c r="E151" s="90"/>
    </row>
    <row r="152" ht="15.75" customHeight="1">
      <c r="E152" s="90"/>
    </row>
    <row r="153" ht="15.75" customHeight="1">
      <c r="E153" s="90"/>
    </row>
    <row r="154" ht="15.75" customHeight="1">
      <c r="E154" s="90"/>
    </row>
    <row r="155" ht="15.75" customHeight="1">
      <c r="E155" s="90"/>
    </row>
    <row r="156" ht="15.75" customHeight="1">
      <c r="E156" s="90"/>
    </row>
    <row r="157" ht="15.75" customHeight="1">
      <c r="E157" s="90"/>
    </row>
    <row r="158" ht="15.75" customHeight="1">
      <c r="E158" s="90"/>
    </row>
    <row r="159" ht="15.75" customHeight="1">
      <c r="E159" s="90"/>
    </row>
    <row r="160" ht="15.75" customHeight="1">
      <c r="E160" s="90"/>
    </row>
    <row r="161" ht="15.75" customHeight="1">
      <c r="E161" s="90"/>
    </row>
    <row r="162" ht="15.75" customHeight="1">
      <c r="E162" s="90"/>
    </row>
    <row r="163" ht="15.75" customHeight="1">
      <c r="E163" s="90"/>
    </row>
    <row r="164" ht="15.75" customHeight="1">
      <c r="E164" s="90"/>
    </row>
    <row r="165" ht="15.75" customHeight="1">
      <c r="E165" s="90"/>
    </row>
    <row r="166" ht="15.75" customHeight="1">
      <c r="E166" s="90"/>
    </row>
    <row r="167" ht="15.75" customHeight="1">
      <c r="E167" s="90"/>
    </row>
    <row r="168" ht="15.75" customHeight="1">
      <c r="E168" s="90"/>
    </row>
    <row r="169" ht="15.75" customHeight="1">
      <c r="E169" s="90"/>
    </row>
    <row r="170" ht="15.75" customHeight="1">
      <c r="E170" s="90"/>
    </row>
    <row r="171" ht="15.75" customHeight="1">
      <c r="E171" s="90"/>
    </row>
    <row r="172" ht="15.75" customHeight="1">
      <c r="E172" s="90"/>
    </row>
    <row r="173" ht="15.75" customHeight="1">
      <c r="E173" s="90"/>
    </row>
    <row r="174" ht="15.75" customHeight="1">
      <c r="E174" s="90"/>
    </row>
    <row r="175" ht="15.75" customHeight="1">
      <c r="E175" s="90"/>
    </row>
    <row r="176" ht="15.75" customHeight="1">
      <c r="E176" s="90"/>
    </row>
    <row r="177" ht="15.75" customHeight="1">
      <c r="E177" s="90"/>
    </row>
    <row r="178" ht="15.75" customHeight="1">
      <c r="E178" s="90"/>
    </row>
    <row r="179" ht="15.75" customHeight="1">
      <c r="E179" s="90"/>
    </row>
    <row r="180" ht="15.75" customHeight="1">
      <c r="E180" s="90"/>
    </row>
    <row r="181" ht="15.75" customHeight="1">
      <c r="E181" s="90"/>
    </row>
    <row r="182" ht="15.75" customHeight="1">
      <c r="E182" s="90"/>
    </row>
    <row r="183" ht="15.75" customHeight="1">
      <c r="E183" s="90"/>
    </row>
    <row r="184" ht="15.75" customHeight="1">
      <c r="E184" s="90"/>
    </row>
    <row r="185" ht="15.75" customHeight="1">
      <c r="E185" s="90"/>
    </row>
    <row r="186" ht="15.75" customHeight="1">
      <c r="E186" s="90"/>
    </row>
    <row r="187" ht="15.75" customHeight="1">
      <c r="E187" s="90"/>
    </row>
    <row r="188" ht="15.75" customHeight="1">
      <c r="E188" s="90"/>
    </row>
    <row r="189" ht="15.75" customHeight="1">
      <c r="E189" s="90"/>
    </row>
    <row r="190" ht="15.75" customHeight="1">
      <c r="E190" s="90"/>
    </row>
    <row r="191" ht="15.75" customHeight="1">
      <c r="E191" s="90"/>
    </row>
    <row r="192" ht="15.75" customHeight="1">
      <c r="E192" s="90"/>
    </row>
    <row r="193" ht="15.75" customHeight="1">
      <c r="E193" s="90"/>
    </row>
    <row r="194" ht="15.75" customHeight="1">
      <c r="E194" s="90"/>
    </row>
    <row r="195" ht="15.75" customHeight="1">
      <c r="E195" s="90"/>
    </row>
    <row r="196" ht="15.75" customHeight="1">
      <c r="E196" s="90"/>
    </row>
    <row r="197" ht="15.75" customHeight="1">
      <c r="E197" s="90"/>
    </row>
    <row r="198" ht="15.75" customHeight="1">
      <c r="E198" s="90"/>
    </row>
    <row r="199" ht="15.75" customHeight="1">
      <c r="E199" s="90"/>
    </row>
    <row r="200" ht="15.75" customHeight="1">
      <c r="E200" s="90"/>
    </row>
    <row r="201" ht="15.75" customHeight="1">
      <c r="E201" s="90"/>
    </row>
    <row r="202" ht="15.75" customHeight="1">
      <c r="E202" s="90"/>
    </row>
    <row r="203" ht="15.75" customHeight="1">
      <c r="E203" s="90"/>
    </row>
    <row r="204" ht="15.75" customHeight="1">
      <c r="E204" s="90"/>
    </row>
    <row r="205" ht="15.75" customHeight="1">
      <c r="E205" s="90"/>
    </row>
    <row r="206" ht="15.75" customHeight="1">
      <c r="E206" s="90"/>
    </row>
    <row r="207" ht="15.75" customHeight="1">
      <c r="E207" s="90"/>
    </row>
    <row r="208" ht="15.75" customHeight="1">
      <c r="E208" s="90"/>
    </row>
    <row r="209" ht="15.75" customHeight="1">
      <c r="E209" s="90"/>
    </row>
    <row r="210" ht="15.75" customHeight="1">
      <c r="E210" s="90"/>
    </row>
    <row r="211" ht="15.75" customHeight="1">
      <c r="E211" s="90"/>
    </row>
    <row r="212" ht="15.75" customHeight="1">
      <c r="E212" s="90"/>
    </row>
    <row r="213" ht="15.75" customHeight="1">
      <c r="E213" s="90"/>
    </row>
    <row r="214" ht="15.75" customHeight="1">
      <c r="E214" s="90"/>
    </row>
    <row r="215" ht="15.75" customHeight="1">
      <c r="E215" s="90"/>
    </row>
    <row r="216" ht="15.75" customHeight="1">
      <c r="E216" s="90"/>
    </row>
    <row r="217" ht="15.75" customHeight="1">
      <c r="E217" s="90"/>
    </row>
    <row r="218" ht="15.75" customHeight="1">
      <c r="E218" s="90"/>
    </row>
    <row r="219" ht="15.75" customHeight="1">
      <c r="E219" s="90"/>
    </row>
    <row r="220" ht="15.75" customHeight="1">
      <c r="E220" s="90"/>
    </row>
    <row r="221" ht="15.75" customHeight="1">
      <c r="E221" s="90"/>
    </row>
    <row r="222" ht="15.75" customHeight="1">
      <c r="E222" s="90"/>
    </row>
    <row r="223" ht="15.75" customHeight="1">
      <c r="E223" s="90"/>
    </row>
    <row r="224" ht="15.75" customHeight="1">
      <c r="E224" s="90"/>
    </row>
    <row r="225" ht="15.75" customHeight="1">
      <c r="E225" s="90"/>
    </row>
    <row r="226" ht="15.75" customHeight="1">
      <c r="E226" s="90"/>
    </row>
    <row r="227" ht="15.75" customHeight="1">
      <c r="E227" s="90"/>
    </row>
    <row r="228" ht="15.75" customHeight="1">
      <c r="E228" s="90"/>
    </row>
    <row r="229" ht="15.75" customHeight="1">
      <c r="E229" s="90"/>
    </row>
    <row r="230" ht="15.75" customHeight="1">
      <c r="E230" s="90"/>
    </row>
    <row r="231" ht="15.75" customHeight="1">
      <c r="E231" s="90"/>
    </row>
    <row r="232" ht="15.75" customHeight="1">
      <c r="E232" s="90"/>
    </row>
    <row r="233" ht="15.75" customHeight="1">
      <c r="E233" s="90"/>
    </row>
    <row r="234" ht="15.75" customHeight="1">
      <c r="E234" s="90"/>
    </row>
    <row r="235" ht="15.75" customHeight="1">
      <c r="E235" s="90"/>
    </row>
    <row r="236" ht="15.75" customHeight="1">
      <c r="E236" s="90"/>
    </row>
    <row r="237" ht="15.75" customHeight="1">
      <c r="E237" s="90"/>
    </row>
    <row r="238" ht="15.75" customHeight="1">
      <c r="E238" s="90"/>
    </row>
    <row r="239" ht="15.75" customHeight="1">
      <c r="E239" s="90"/>
    </row>
    <row r="240" ht="15.75" customHeight="1">
      <c r="E240" s="90"/>
    </row>
    <row r="241" ht="15.75" customHeight="1">
      <c r="E241" s="90"/>
    </row>
    <row r="242" ht="15.75" customHeight="1">
      <c r="E242" s="90"/>
    </row>
    <row r="243" ht="15.75" customHeight="1">
      <c r="E243" s="90"/>
    </row>
    <row r="244" ht="15.75" customHeight="1">
      <c r="E244" s="90"/>
    </row>
    <row r="245" ht="15.75" customHeight="1">
      <c r="E245" s="90"/>
    </row>
    <row r="246" ht="15.75" customHeight="1">
      <c r="E246" s="90"/>
    </row>
    <row r="247" ht="15.75" customHeight="1">
      <c r="E247" s="90"/>
    </row>
    <row r="248" ht="15.75" customHeight="1">
      <c r="E248" s="90"/>
    </row>
    <row r="249" ht="15.75" customHeight="1">
      <c r="E249" s="90"/>
    </row>
    <row r="250" ht="15.75" customHeight="1">
      <c r="E250" s="90"/>
    </row>
    <row r="251" ht="15.75" customHeight="1">
      <c r="E251" s="90"/>
    </row>
    <row r="252" ht="15.75" customHeight="1">
      <c r="E252" s="90"/>
    </row>
    <row r="253" ht="15.75" customHeight="1">
      <c r="E253" s="90"/>
    </row>
    <row r="254" ht="15.75" customHeight="1">
      <c r="E254" s="90"/>
    </row>
    <row r="255" ht="15.75" customHeight="1">
      <c r="E255" s="90"/>
    </row>
    <row r="256" ht="15.75" customHeight="1">
      <c r="E256" s="90"/>
    </row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</sheetData>
  <mergeCells count="37">
    <mergeCell ref="F8:F9"/>
    <mergeCell ref="G8:G9"/>
    <mergeCell ref="I8:AN8"/>
    <mergeCell ref="A1:W1"/>
    <mergeCell ref="A2:W2"/>
    <mergeCell ref="A3:W3"/>
    <mergeCell ref="A8:A9"/>
    <mergeCell ref="B8:B9"/>
    <mergeCell ref="C8:C9"/>
    <mergeCell ref="E8:E9"/>
    <mergeCell ref="D45:F45"/>
    <mergeCell ref="D46:F46"/>
    <mergeCell ref="D50:F50"/>
    <mergeCell ref="A53:C53"/>
    <mergeCell ref="D53:G53"/>
    <mergeCell ref="A54:C54"/>
    <mergeCell ref="D54:G54"/>
    <mergeCell ref="H8:H9"/>
    <mergeCell ref="C41:J41"/>
    <mergeCell ref="D43:F43"/>
    <mergeCell ref="D44:F44"/>
    <mergeCell ref="I44:J44"/>
    <mergeCell ref="K44:U44"/>
    <mergeCell ref="K45:U45"/>
    <mergeCell ref="J53:O53"/>
    <mergeCell ref="J54:O54"/>
    <mergeCell ref="R54:U54"/>
    <mergeCell ref="I57:U57"/>
    <mergeCell ref="I60:U60"/>
    <mergeCell ref="I61:U61"/>
    <mergeCell ref="K46:U46"/>
    <mergeCell ref="K47:U47"/>
    <mergeCell ref="J50:O50"/>
    <mergeCell ref="R50:U50"/>
    <mergeCell ref="W50:X50"/>
    <mergeCell ref="R53:U53"/>
    <mergeCell ref="W53:Y53"/>
  </mergeCells>
  <printOptions/>
  <pageMargins bottom="0.75" footer="0.0" header="0.0" left="0.7" right="0.7" top="0.75"/>
  <pageSetup fitToHeight="0" paperSize="14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2024-01-03T07:55:13Z</dcterms:created>
  <dc:creator>ptridost47@gmail.com</dc:creator>
</cp:coreProperties>
</file>