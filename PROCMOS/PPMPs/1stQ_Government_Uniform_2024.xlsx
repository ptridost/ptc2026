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" sheetId="1" r:id="rId4"/>
    <sheet state="visible" name="Copy of PPMP" sheetId="2" r:id="rId5"/>
    <sheet state="visible" name="PPGSS Tracking slip" sheetId="3" r:id="rId6"/>
    <sheet state="visible" name="Summary" sheetId="4" r:id="rId7"/>
    <sheet state="visible" name="PR TEMPLATE" sheetId="5" r:id="rId8"/>
    <sheet state="visible" name="Fabric Enzyme finishing and dye" sheetId="6" r:id="rId9"/>
    <sheet state="visible" name="Paper cone" sheetId="7" r:id="rId10"/>
    <sheet state="visible" name="DECORTICATED PINEAPPLE LEAF FIB" sheetId="8" r:id="rId11"/>
    <sheet state="visible" name="GINNED COTTON FIBER      " sheetId="9" r:id="rId12"/>
    <sheet state="visible" name="CHEMICALS " sheetId="10" r:id="rId13"/>
    <sheet state="visible" name="ENZYME FINISHING and DYEING of " sheetId="11" r:id="rId14"/>
    <sheet state="visible" name="COURIER FEE" sheetId="12" r:id="rId15"/>
    <sheet state="visible" name="DIESEL FUEL" sheetId="13" r:id="rId16"/>
  </sheets>
  <definedNames/>
  <calcPr/>
  <extLst>
    <ext uri="GoogleSheetsCustomDataVersion2">
      <go:sheetsCustomData xmlns:go="http://customooxmlschemas.google.com/" r:id="rId17" roundtripDataChecksum="LA0G2Sfh8JAVd605yA4Am34rI/VFxT+5762pyjMb/Mw="/>
    </ext>
  </extLst>
</workbook>
</file>

<file path=xl/sharedStrings.xml><?xml version="1.0" encoding="utf-8"?>
<sst xmlns="http://schemas.openxmlformats.org/spreadsheetml/2006/main" count="1088" uniqueCount="299">
  <si>
    <t>PROJECT PROCUREMENT MANAGEMENT PLAN (PPMP) 2024</t>
  </si>
  <si>
    <t>For 1st Quarter of CY 2024</t>
  </si>
  <si>
    <t>END-USER/UNIT: OD-TIPS</t>
  </si>
  <si>
    <t>Charged to: Performance Evaluation of the Long and Short Staple Spun Natural Textile Fiber (NTF)-Blended Yarns for RA 9242-Compliance Corporate Dress Apparel (Government Uniform Project)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</si>
  <si>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</si>
  <si>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</si>
  <si>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</si>
  <si>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</si>
  <si>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</si>
  <si>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</si>
  <si>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</si>
  <si>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</si>
  <si>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</si>
  <si>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</si>
  <si>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</si>
  <si>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</si>
  <si>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</si>
  <si>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</si>
  <si>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</si>
  <si>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</si>
  <si>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</si>
  <si>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</si>
  <si>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</si>
  <si>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</si>
  <si>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</si>
  <si>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</si>
  <si>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</si>
  <si>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</si>
  <si>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</si>
  <si>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</si>
  <si>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</si>
  <si>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</si>
  <si>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</si>
  <si>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</si>
  <si>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</si>
  <si>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</si>
  <si>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</si>
  <si>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</si>
  <si>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</si>
  <si>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</si>
  <si>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</si>
  <si>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</si>
  <si>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</si>
  <si>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</si>
  <si>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</si>
  <si>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</si>
  <si>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</si>
  <si>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</si>
  <si>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</si>
  <si>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</si>
  <si>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</si>
  <si>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</si>
  <si>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</si>
  <si>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</si>
  <si>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</si>
  <si>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</si>
  <si>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</si>
  <si>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</si>
  <si>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</si>
  <si>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</si>
  <si>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</si>
  <si>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</si>
  <si>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</si>
  <si>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</si>
  <si>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</si>
  <si>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</si>
  <si>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</si>
  <si>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</si>
  <si>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</si>
  <si>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</si>
  <si>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</si>
  <si>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</si>
  <si>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</si>
  <si>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</si>
  <si>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</si>
  <si>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</si>
  <si>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</si>
  <si>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50299040 00</t>
  </si>
  <si>
    <t>Transporation and Delivery Expenses</t>
  </si>
  <si>
    <t>Courier Fee</t>
  </si>
  <si>
    <t>1 lot</t>
  </si>
  <si>
    <t>Petty Cash Fund</t>
  </si>
  <si>
    <t>per schedule</t>
  </si>
  <si>
    <t>50299030 00</t>
  </si>
  <si>
    <t>Representation Expenses</t>
  </si>
  <si>
    <t xml:space="preserve">Meals for Handloom Weaving Technical Committee Meeting
</t>
  </si>
  <si>
    <t>40 pax</t>
  </si>
  <si>
    <t>Shopping</t>
  </si>
  <si>
    <t>Meals for National Footwear Technical Working Group Meeting</t>
  </si>
  <si>
    <t>50 pax</t>
  </si>
  <si>
    <t>Meals for Innovation Dialogue: Textile Producers</t>
  </si>
  <si>
    <t>Meals Philippine Tropical Fabrics Technical Committee Meeting</t>
  </si>
  <si>
    <t>30 pax</t>
  </si>
  <si>
    <t>Meals Inaugaration of the Meltblown Nonwoven Line, MOA Signing Ceremony - Spunlaid Nonwovens</t>
  </si>
  <si>
    <t>50203080 00</t>
  </si>
  <si>
    <t>Medical, Dental  Laboratory Supplies Expenses</t>
  </si>
  <si>
    <t>MDL-276</t>
  </si>
  <si>
    <t>Hydrogen Peroxide, Technical Grade 25 L/cby</t>
  </si>
  <si>
    <t>9 cby</t>
  </si>
  <si>
    <t>Negotiated Procurement-Small Value Procurement</t>
  </si>
  <si>
    <t>60-90 working days</t>
  </si>
  <si>
    <t>MDL-041</t>
  </si>
  <si>
    <t>Sodium Hydroxide, Liquid 48% 30 kg/cby</t>
  </si>
  <si>
    <t>130 cby</t>
  </si>
  <si>
    <t>MDL-077</t>
  </si>
  <si>
    <t>Sodium Metabisulfite, Technical Grade</t>
  </si>
  <si>
    <t>180 kg</t>
  </si>
  <si>
    <t>OSMI-094</t>
  </si>
  <si>
    <t>Anionic Detergent</t>
  </si>
  <si>
    <t>50 gal</t>
  </si>
  <si>
    <t>MDL-004</t>
  </si>
  <si>
    <t>Acetic Acid, Technical Grade 20 kg/cby</t>
  </si>
  <si>
    <t>38 cby</t>
  </si>
  <si>
    <t>50203990 00</t>
  </si>
  <si>
    <t>Other Supplies Expenses</t>
  </si>
  <si>
    <r>
      <rPr>
        <rFont val="Arial, sans-serif"/>
        <b/>
        <color rgb="FF000000"/>
        <sz val="9.0"/>
      </rPr>
      <t xml:space="preserve">"PAPER CONE 4°20’  
 </t>
    </r>
    <r>
      <rPr>
        <rFont val="Arial, sans-serif"/>
        <b val="0"/>
        <color rgb="FF000000"/>
        <sz val="9.0"/>
      </rPr>
      <t>Specifications:
 TOP ID: 27 mm ± 1.0 mm
 BOTTOM ID: 59 mm ± 1.0 mm
 LENGTH: 170 mm ± 1.0 mm
 THICKNESS: 2 mm 
 WEIGHT: 40 g ± 2g"</t>
    </r>
  </si>
  <si>
    <t>5000 pcs</t>
  </si>
  <si>
    <r>
      <rPr>
        <rFont val="Arial, sans-serif"/>
        <b/>
        <color rgb="FF000000"/>
        <sz val="9.0"/>
      </rPr>
      <t xml:space="preserve">DECORTICATED PINEAPPLE LEAF FIBERS </t>
    </r>
    <r>
      <rPr>
        <rFont val="Arial, sans-serif"/>
        <color rgb="FF000000"/>
        <sz val="9.0"/>
      </rPr>
      <t xml:space="preserve">
 Hawaiian or Formosa Variety
 Note: Including VAT and Delivery to ICYT Bldg., DOST-PTRI
 Bicutan, Taguig City</t>
    </r>
  </si>
  <si>
    <t>1500 kg</t>
  </si>
  <si>
    <r>
      <rPr>
        <rFont val="Arial, sans-serif"/>
        <b/>
        <color rgb="FF000000"/>
        <sz val="9.0"/>
      </rPr>
      <t xml:space="preserve">GINNED COTTON FIBER </t>
    </r>
    <r>
      <rPr>
        <rFont val="Arial, sans-serif"/>
        <color rgb="FF000000"/>
        <sz val="9.0"/>
      </rPr>
      <t xml:space="preserve">
 Note: Including VAT and Delivery to ICYT Bldg., DOST-PTRI
 Bicutan, Taguig City</t>
    </r>
  </si>
  <si>
    <r>
      <rPr>
        <rFont val="Arial"/>
        <b/>
        <color theme="1"/>
        <sz val="9.0"/>
      </rPr>
      <t xml:space="preserve">Pineapple-based powerloom woven fabric
</t>
    </r>
    <r>
      <rPr>
        <rFont val="Arial"/>
        <b val="0"/>
        <color theme="1"/>
        <sz val="9.0"/>
      </rPr>
      <t>- at least 5% pineapple fiber content
- Assorted Colors
- Fabric width: at least 55 inches
- 11 rolls at 100 yards per roll</t>
    </r>
  </si>
  <si>
    <t>1100 yards</t>
  </si>
  <si>
    <t>Negotiated Procurement-Small Value Procurement / Direct Contracting (if with MOA)</t>
  </si>
  <si>
    <r>
      <rPr>
        <rFont val="Arial"/>
        <b/>
        <color rgb="FF000000"/>
        <sz val="9.0"/>
      </rPr>
      <t xml:space="preserve">Pineapple-based attire
</t>
    </r>
    <r>
      <rPr>
        <rFont val="Arial"/>
        <b val="0"/>
        <color rgb="FF000000"/>
        <sz val="9.0"/>
      </rPr>
      <t xml:space="preserve">-Button down woven shirt with cotton and pineaapple leaf fiber </t>
    </r>
  </si>
  <si>
    <t>1 pc</t>
  </si>
  <si>
    <t>Direct Contracting</t>
  </si>
  <si>
    <t>50203090 00</t>
  </si>
  <si>
    <t xml:space="preserve">Fuel, Oil and Lubricants Expenses </t>
  </si>
  <si>
    <t>Diesel, 210 L/drum</t>
  </si>
  <si>
    <t>30 drums</t>
  </si>
  <si>
    <t>Small Value Procurement</t>
  </si>
  <si>
    <t>15 days</t>
  </si>
  <si>
    <t>50211990 00</t>
  </si>
  <si>
    <t>Other Professional Services</t>
  </si>
  <si>
    <r>
      <rPr>
        <rFont val="Arial"/>
        <b/>
        <color rgb="FF000000"/>
        <sz val="9.0"/>
      </rPr>
      <t xml:space="preserve">ENZYME FINISHING and DYEING of Powerloom woven fabrics
</t>
    </r>
    <r>
      <rPr>
        <rFont val="Arial"/>
        <b val="0"/>
        <color rgb="FF000000"/>
        <sz val="9.0"/>
      </rPr>
      <t>Weight: 40.7kgs
Warp: 100% Polyester
Warp: 70% cotton/ 30% Pineapple Leaf Fiber
Shade: White, Beige, Yellow</t>
    </r>
  </si>
  <si>
    <r>
      <rPr>
        <rFont val="Arial"/>
        <b/>
        <color theme="1"/>
        <sz val="9.0"/>
      </rPr>
      <t xml:space="preserve">Design and Prototype Development
</t>
    </r>
    <r>
      <rPr>
        <rFont val="Arial"/>
        <b val="0"/>
        <color theme="1"/>
        <sz val="9.0"/>
      </rPr>
      <t>-12 looks, 20-30 pcs, ready-to-wear apparel made of bamboo and pineapple-based fabrics</t>
    </r>
  </si>
  <si>
    <t>Professional Services for DOST-PTRI Ambassadors</t>
  </si>
  <si>
    <t>Negotiated Procurement-Scientific, Artistic Works</t>
  </si>
  <si>
    <t>TOTAL APPROVED BUDGET:</t>
  </si>
  <si>
    <t>NOTE: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</si>
  <si>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</si>
  <si>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</si>
  <si>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</si>
  <si>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</si>
  <si>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EVANGELINE FLOR P. MANALANG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</si>
  <si>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</si>
  <si>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</si>
  <si>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</si>
  <si>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</si>
  <si>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</si>
  <si>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</si>
  <si>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</si>
  <si>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</si>
  <si>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</si>
  <si>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CODE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</si>
  <si>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</si>
  <si>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</si>
  <si>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</si>
  <si>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</si>
  <si>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</si>
  <si>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</si>
  <si>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</si>
  <si>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</si>
  <si>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</si>
  <si>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</si>
  <si>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OFFICE SUPPLIES</t>
  </si>
  <si>
    <t>CA</t>
  </si>
  <si>
    <t>Representation</t>
  </si>
  <si>
    <t>Laboratory Supplies</t>
  </si>
  <si>
    <t>Other Supplies</t>
  </si>
  <si>
    <r>
      <rPr>
        <rFont val="Arial, sans-serif"/>
        <b/>
        <color rgb="FF000000"/>
      </rPr>
      <t xml:space="preserve">"PAPER CONE 4°20’  
 </t>
    </r>
    <r>
      <rPr>
        <rFont val="Arial, sans-serif"/>
        <b val="0"/>
        <color rgb="FF000000"/>
      </rPr>
      <t>Specifications:
 TOP ID: 27 mm ± 1.0 mm
 BOTTOM ID: 59 mm ± 1.0 mm
 LENGTH: 170 mm ± 1.0 mm
 THICKNESS: 2 mm 
 WEIGHT: 40 g ± 2g"</t>
    </r>
  </si>
  <si>
    <r>
      <rPr>
        <rFont val="Arial, sans-serif"/>
        <b/>
        <color rgb="FF000000"/>
        <sz val="11.0"/>
      </rPr>
      <t xml:space="preserve">DECORTICATED PINEAPPLE LEAF FIBERS </t>
    </r>
    <r>
      <rPr>
        <rFont val="Arial, sans-serif"/>
        <color rgb="FF000000"/>
        <sz val="11.0"/>
      </rPr>
      <t xml:space="preserve">
 Hawaiian or Formosa Variety
 Note: Including VAT and Delivery to ICYT Bldg., DOST-PTRI
 Bicutan, Taguig City</t>
    </r>
  </si>
  <si>
    <t>30 days</t>
  </si>
  <si>
    <r>
      <rPr>
        <rFont val="Arial, sans-serif"/>
        <b/>
        <color rgb="FF000000"/>
        <sz val="11.0"/>
      </rPr>
      <t xml:space="preserve">GINNED COTTON FIBER </t>
    </r>
    <r>
      <rPr>
        <rFont val="Arial, sans-serif"/>
        <color rgb="FF000000"/>
        <sz val="11.0"/>
      </rPr>
      <t xml:space="preserve">
 Note: Including VAT and Delivery to ICYT Bldg., DOST-PTRI
 Bicutan, Taguig City</t>
    </r>
  </si>
  <si>
    <t>Pineapple-based powerloom woven fabric</t>
  </si>
  <si>
    <t>- at least 5% pineapple fiber content</t>
  </si>
  <si>
    <t>- Assorted Colors</t>
  </si>
  <si>
    <t>- Fabric width: at least 55 inches</t>
  </si>
  <si>
    <t>- 11 rolls at 100 yards per roll</t>
  </si>
  <si>
    <t>Pineapple-based attire</t>
  </si>
  <si>
    <t xml:space="preserve">Button down woven shirt with cotton and pineaapple leaf fiber </t>
  </si>
  <si>
    <t>FUELS, OILS, LUBRICANTS</t>
  </si>
  <si>
    <t>ENZYME FINISHING and DYEING of Powerloom woven fabrics</t>
  </si>
  <si>
    <t>Weight: 40.7kgs</t>
  </si>
  <si>
    <t>Warp: 100% Polyester</t>
  </si>
  <si>
    <t>Warp: 70% cotton/ 30% Pineapple Leaf Fiber</t>
  </si>
  <si>
    <t>Shade: White, Beige, Yellow</t>
  </si>
  <si>
    <t>Design and Prototype Development</t>
  </si>
  <si>
    <t>12 looks, 20-30 pcs, ready-to-wear apparel made of bamboo and pineapple-based fabrics</t>
  </si>
  <si>
    <t>Scientific, Artistic Works</t>
  </si>
  <si>
    <t>&lt;-- INSERT ROW IF NEEDED</t>
  </si>
  <si>
    <t>TOTAL BUDGET:</t>
  </si>
  <si>
    <t>Recommending Approval:</t>
  </si>
  <si>
    <t>Head, Property, Procurement and General Services Section</t>
  </si>
  <si>
    <t>Head, Budget and Treasury Section</t>
  </si>
  <si>
    <t>Department of Science and Technology</t>
  </si>
  <si>
    <t>PHILIPPINE TEXTILE RESEARCH INSTITUTE</t>
  </si>
  <si>
    <t>Documents</t>
  </si>
  <si>
    <t>FINANCE AND ADMINISTRATIVE DIVISION</t>
  </si>
  <si>
    <t>TRACKING</t>
  </si>
  <si>
    <t>Property, Procurement and General Services Section</t>
  </si>
  <si>
    <t>SLIP</t>
  </si>
  <si>
    <t>PARTICULARS</t>
  </si>
  <si>
    <t>Number</t>
  </si>
  <si>
    <t>Date (d/m/y)</t>
  </si>
  <si>
    <t>Amount</t>
  </si>
  <si>
    <t>TYPE OF DOCUMENT</t>
  </si>
  <si>
    <t>PR</t>
  </si>
  <si>
    <t>LETTER / NOTES / MEMO / ORDERS</t>
  </si>
  <si>
    <t>RFQ</t>
  </si>
  <si>
    <t>PR / ICT Clearance / RFQ / APR-PS</t>
  </si>
  <si>
    <t>PhilGEPS</t>
  </si>
  <si>
    <t>AOC / RESOLUTION / PHILGEPS</t>
  </si>
  <si>
    <t>AOC</t>
  </si>
  <si>
    <t>PO / NOTICE to PROCEED</t>
  </si>
  <si>
    <t>RESOLUTION</t>
  </si>
  <si>
    <t>NOTICE OF AWARD / LC / CONTRACTS</t>
  </si>
  <si>
    <t>PO / APR</t>
  </si>
  <si>
    <t>Request for Pre-Repair &amp; Post Insp.</t>
  </si>
  <si>
    <t>ORS / BURS</t>
  </si>
  <si>
    <t>IAR / ICS / PAR / WMR / RIS / RSMI</t>
  </si>
  <si>
    <t>IAR</t>
  </si>
  <si>
    <t>DV / CHECK</t>
  </si>
  <si>
    <t>PAYEE</t>
  </si>
  <si>
    <t>OTHERS</t>
  </si>
  <si>
    <t>DATE (day/month/year)</t>
  </si>
  <si>
    <t>DIVISION / SECTION</t>
  </si>
  <si>
    <t>INITIAL</t>
  </si>
  <si>
    <t>ACTION TAKEN / REMARKS</t>
  </si>
  <si>
    <t>RECEIVED</t>
  </si>
  <si>
    <t>RELEASED</t>
  </si>
  <si>
    <t>FROM</t>
  </si>
  <si>
    <t>TO</t>
  </si>
  <si>
    <t>PLEASE DO NOT DETACH</t>
  </si>
  <si>
    <t>No.</t>
  </si>
  <si>
    <t>PR Date</t>
  </si>
  <si>
    <t xml:space="preserve">Current Status </t>
  </si>
  <si>
    <t>PR no.</t>
  </si>
  <si>
    <t>Item Descriptions</t>
  </si>
  <si>
    <t>Qty</t>
  </si>
  <si>
    <t>Unit</t>
  </si>
  <si>
    <t>Unit Cost (PHP)</t>
  </si>
  <si>
    <t>Total ABC</t>
  </si>
  <si>
    <t>Status</t>
  </si>
  <si>
    <t>for PR number
(received by Sir Boysen)
-3:10 PM
-Jan.8,2024</t>
  </si>
  <si>
    <r>
      <rPr>
        <rFont val="Arial"/>
        <b/>
        <color theme="1"/>
        <sz val="11.0"/>
      </rPr>
      <t xml:space="preserve">PAPER CONE 4°20’  </t>
    </r>
    <r>
      <rPr>
        <rFont val="Arial"/>
        <color theme="1"/>
        <sz val="11.0"/>
      </rPr>
      <t xml:space="preserve">                
Specifications:
TOP ID: 27 mm ± 1.0 mm
BOTTOM ID: 59 mm ± 1.0 mm
LENGTH: 170 mm ± 1.0 mm
THICKNESS: 2 mm 
WEIGHT: 40 g ± 2g</t>
    </r>
  </si>
  <si>
    <t>pcs</t>
  </si>
  <si>
    <r>
      <rPr>
        <rFont val="Arial"/>
        <b/>
        <color theme="1"/>
        <sz val="11.0"/>
      </rPr>
      <t>DECORTICATED PINEAPPLE LEAF FIBERS</t>
    </r>
    <r>
      <rPr>
        <rFont val="Arial"/>
        <color theme="1"/>
        <sz val="11.0"/>
      </rPr>
      <t xml:space="preserve">               
Hawaiian or Formosa Variety
</t>
    </r>
    <r>
      <rPr>
        <rFont val="Arial"/>
        <i/>
        <color theme="1"/>
        <sz val="11.0"/>
      </rPr>
      <t>Note: Including VAT and Delivery to ICYT Bldg., DOST-PTRI
Bicutan, Taguig City</t>
    </r>
  </si>
  <si>
    <t>kg</t>
  </si>
  <si>
    <r>
      <rPr>
        <rFont val="Arial"/>
        <b/>
        <color theme="1"/>
        <sz val="11.0"/>
      </rPr>
      <t xml:space="preserve">GINNED COTTON FIBER </t>
    </r>
    <r>
      <rPr>
        <rFont val="Arial"/>
        <color theme="1"/>
        <sz val="11.0"/>
      </rPr>
      <t xml:space="preserve">               
</t>
    </r>
    <r>
      <rPr>
        <rFont val="Arial"/>
        <i/>
        <color theme="1"/>
        <sz val="11.0"/>
      </rPr>
      <t>Note: Including VAT and Delivery to ICYT Bldg., DOST-PTRI
Bicutan, Taguig City</t>
    </r>
  </si>
  <si>
    <t xml:space="preserve">CHEMICALS </t>
  </si>
  <si>
    <t>cby</t>
  </si>
  <si>
    <t xml:space="preserve">Sodium Metabisulfite, Technical Grade </t>
  </si>
  <si>
    <t xml:space="preserve">Anionic Detergent </t>
  </si>
  <si>
    <t>gal</t>
  </si>
  <si>
    <t>lot</t>
  </si>
  <si>
    <t>DIESEL FUEL</t>
  </si>
  <si>
    <t>drums</t>
  </si>
  <si>
    <t xml:space="preserve">210 liters / drum </t>
  </si>
  <si>
    <t>FAD-PPGSS Form No. 15</t>
  </si>
  <si>
    <t>Rev. 1/15-05-17</t>
  </si>
  <si>
    <t>PURCHASE REQUEST</t>
  </si>
  <si>
    <t>Philippine Textile Research Institute</t>
  </si>
  <si>
    <t>Division</t>
  </si>
  <si>
    <t>OFFICE OF THE DIRECTOR</t>
  </si>
  <si>
    <t>P.R. No.</t>
  </si>
  <si>
    <t>dtd.</t>
  </si>
  <si>
    <t>Section</t>
  </si>
  <si>
    <t>Technology Transfer, Information &amp; Promotion Staff</t>
  </si>
  <si>
    <t>SAI No.</t>
  </si>
  <si>
    <t>Item Description</t>
  </si>
  <si>
    <t>Qty.</t>
  </si>
  <si>
    <t>Unit Cost</t>
  </si>
  <si>
    <t>Total Cost</t>
  </si>
  <si>
    <t>-x-x-x-x-x-x-x-x-nothing follows-x-x-x-x-x-x-x-</t>
  </si>
  <si>
    <t xml:space="preserve">Charge to: GAA-TIPS: 2024 Uniform </t>
  </si>
  <si>
    <t>Purpose: To be used for the project</t>
  </si>
  <si>
    <t>Requested by :</t>
  </si>
  <si>
    <t xml:space="preserve"> Approved by :</t>
  </si>
  <si>
    <t xml:space="preserve">   </t>
  </si>
  <si>
    <t>Signature</t>
  </si>
  <si>
    <t>Printed Name</t>
  </si>
  <si>
    <t>JULIUS L. LEAÑO JR.</t>
  </si>
  <si>
    <t>Designation</t>
  </si>
  <si>
    <t>Project Leader/ Head, OD-TIPS</t>
  </si>
  <si>
    <t>Date</t>
  </si>
  <si>
    <t>Enzyme finishing and dyeing of powerloom fabrics</t>
  </si>
  <si>
    <r>
      <rPr>
        <rFont val="Arial"/>
        <b/>
        <color theme="1"/>
        <sz val="11.0"/>
      </rPr>
      <t xml:space="preserve">PAPER CONE 4°20’                  
</t>
    </r>
    <r>
      <rPr>
        <rFont val="Arial"/>
        <b val="0"/>
        <color theme="1"/>
        <sz val="11.0"/>
      </rPr>
      <t>Specifications:
TOP ID: 27 mm ± 1.0 mm
BOTTOM ID: 59 mm ± 1.0 mm
LENGTH: 170 mm ± 1.0 mm
THICKNESS: 2 mm 
WEIGHT: 40 g ± 2g</t>
    </r>
  </si>
  <si>
    <r>
      <rPr>
        <rFont val="Arial"/>
        <b/>
        <color theme="1"/>
        <sz val="11.0"/>
      </rPr>
      <t xml:space="preserve">PAPER CONE 4°20’                  
</t>
    </r>
    <r>
      <rPr>
        <rFont val="Arial"/>
        <b val="0"/>
        <color theme="1"/>
        <sz val="11.0"/>
      </rPr>
      <t>Specifications:
TOP ID: 27 mm ± 1.0 mm
BOTTOM ID: 59 mm ± 1.0 mm
LENGTH: 170 mm ± 1.0 mm
THICKNESS: 2 mm 
WEIGHT: 40 g ± 2g</t>
    </r>
  </si>
  <si>
    <r>
      <rPr>
        <rFont val="Arial"/>
        <b/>
        <color theme="1"/>
        <sz val="11.0"/>
      </rPr>
      <t xml:space="preserve">DECORTICATED PINEAPPLE LEAF FIBERS          </t>
    </r>
    <r>
      <rPr>
        <rFont val="Arial"/>
        <color theme="1"/>
        <sz val="11.0"/>
      </rPr>
      <t xml:space="preserve">     
Hawaiian or Formosa Variety
Note: Including VAT and Delivery to ICYT Bldg., DOST-PTRI
Bicutan, Taguig City</t>
    </r>
  </si>
  <si>
    <r>
      <rPr>
        <rFont val="Arial"/>
        <b/>
        <color theme="1"/>
        <sz val="11.0"/>
      </rPr>
      <t xml:space="preserve">DECORTICATED PINEAPPLE LEAF FIBERS      </t>
    </r>
    <r>
      <rPr>
        <rFont val="Arial"/>
        <color theme="1"/>
        <sz val="11.0"/>
      </rPr>
      <t xml:space="preserve">         
Hawaiian or Formosa Variety
Note: Including VAT and Delivery to ICYT Bldg., DOST-PTRI
Bicutan, Taguig City"</t>
    </r>
  </si>
  <si>
    <r>
      <rPr>
        <rFont val="Arial"/>
        <b/>
        <color theme="1"/>
        <sz val="11.0"/>
      </rPr>
      <t xml:space="preserve">GINNED COTTON FIBER          </t>
    </r>
    <r>
      <rPr>
        <rFont val="Arial"/>
        <color theme="1"/>
        <sz val="11.0"/>
      </rPr>
      <t xml:space="preserve">      
Note: Including VAT and Delivery to ICYT Bldg., DOST-PTRI
Bicutan, Taguig City</t>
    </r>
  </si>
  <si>
    <r>
      <rPr>
        <rFont val="Arial"/>
        <b/>
        <color theme="1"/>
        <sz val="11.0"/>
      </rPr>
      <t xml:space="preserve">GINNED COTTON FIBER      </t>
    </r>
    <r>
      <rPr>
        <rFont val="Arial"/>
        <color theme="1"/>
        <sz val="11.0"/>
      </rPr>
      <t xml:space="preserve">          
Note: Including VAT and Delivery to ICYT Bldg., DOST-PTRI
Bicutan, Taguig City</t>
    </r>
  </si>
  <si>
    <r>
      <rPr>
        <rFont val="Arial"/>
        <b/>
        <color theme="1"/>
        <sz val="10.0"/>
      </rPr>
      <t xml:space="preserve">CHEMICALS      </t>
    </r>
    <r>
      <rPr>
        <rFont val="Arial"/>
        <color theme="1"/>
        <sz val="10.0"/>
      </rPr>
      <t xml:space="preserve">      
</t>
    </r>
  </si>
  <si>
    <r>
      <rPr>
        <rFont val="Arial"/>
        <b/>
        <color theme="1"/>
        <sz val="11.0"/>
      </rPr>
      <t xml:space="preserve">CHEMICALS      </t>
    </r>
    <r>
      <rPr>
        <rFont val="Arial"/>
        <color theme="1"/>
        <sz val="11.0"/>
      </rPr>
      <t xml:space="preserve">      
</t>
    </r>
  </si>
  <si>
    <t>Delivery of  swatch fabrics from PTRI,General Santos Ave, Taguig City to Davao Fashion and Design Council Philippine Womens College of Davao University, Davao Del Sur</t>
  </si>
  <si>
    <t>cash advance</t>
  </si>
  <si>
    <t>Delivery of swatch fabrics from PTRI,General Santos Ave, Taguig City to Davao Fashion and Design Council Philippine Womens College of Davao University, Davao Del Sur</t>
  </si>
  <si>
    <t xml:space="preserve">DIESEL FUEL
210 liters / drum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</si>
</sst>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[$₱]#,##0.00"/>
    <numFmt numFmtId="166" formatCode="mm/dd/yy"/>
    <numFmt numFmtId="167" formatCode="dd\ mmmm\ yyyy"/>
  </numFmts>
  <fonts count="51">
    <font>
      <sz val="10.0"/>
      <color rgb="FF000000"/>
      <name val="Arial"/>
      <scheme val="minor"/>
    </font>
    <font>
      <b/>
      <sz val="12.0"/>
      <color rgb="FF000000"/>
      <name val="Arial"/>
    </font>
    <font>
      <sz val="11.0"/>
      <color rgb="FF000000"/>
      <name val="Arial"/>
    </font>
    <font>
      <b/>
      <i/>
      <sz val="12.0"/>
      <color rgb="FF000000"/>
      <name val="Arial"/>
    </font>
    <font>
      <i/>
      <sz val="12.0"/>
      <color rgb="FF000000"/>
      <name val="Arial"/>
    </font>
    <font>
      <sz val="11.0"/>
      <color rgb="FFFF0000"/>
      <name val="Arial"/>
    </font>
    <font>
      <b/>
      <sz val="9.0"/>
      <color theme="1"/>
      <name val="Arial"/>
    </font>
    <font/>
    <font>
      <sz val="9.0"/>
      <color rgb="FF000000"/>
      <name val="Arial"/>
    </font>
    <font>
      <b/>
      <sz val="9.0"/>
      <color rgb="FF000000"/>
      <name val="Arial"/>
    </font>
    <font>
      <sz val="9.0"/>
      <color theme="1"/>
      <name val="Arial"/>
    </font>
    <font>
      <b/>
      <u/>
      <sz val="9.0"/>
      <color rgb="FF000000"/>
      <name val="Arial"/>
    </font>
    <font>
      <u/>
      <sz val="8.0"/>
      <color rgb="FF000000"/>
      <name val="Arial"/>
    </font>
    <font>
      <b/>
      <sz val="12.0"/>
      <color theme="1"/>
      <name val="Arial"/>
    </font>
    <font>
      <sz val="11.0"/>
      <color theme="1"/>
      <name val="Arial"/>
    </font>
    <font>
      <color rgb="FF000000"/>
      <name val="Arial"/>
    </font>
    <font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Arial"/>
    </font>
    <font>
      <sz val="11.0"/>
      <color rgb="FF000000"/>
      <name val="Calibri"/>
    </font>
    <font>
      <b/>
      <color rgb="FF000000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b/>
      <u/>
      <sz val="9.0"/>
      <color rgb="FF000000"/>
      <name val="Arial"/>
    </font>
    <font>
      <b/>
      <sz val="8.0"/>
      <color rgb="FF000000"/>
      <name val="Arial"/>
    </font>
    <font>
      <b/>
      <u/>
      <color rgb="FF000000"/>
      <name val="Arial"/>
    </font>
    <font>
      <b/>
      <color rgb="FF000000"/>
      <name val="Verdana"/>
    </font>
    <font>
      <color rgb="FF000000"/>
      <name val="Calibri"/>
    </font>
    <font>
      <color rgb="FF000000"/>
      <name val="Verdana"/>
    </font>
    <font>
      <b/>
      <sz val="11.0"/>
      <color rgb="FF000000"/>
      <name val="Calibri"/>
    </font>
    <font>
      <b/>
      <sz val="12.0"/>
      <color rgb="FF000000"/>
      <name val="Calibri"/>
    </font>
    <font>
      <b/>
      <sz val="12.0"/>
      <color rgb="FF000000"/>
      <name val="Arial Rounded"/>
    </font>
    <font>
      <b/>
      <i/>
      <sz val="11.0"/>
      <color rgb="FF000000"/>
      <name val="Calibri"/>
    </font>
    <font>
      <sz val="11.0"/>
      <color rgb="FF000000"/>
      <name val="Arial Narrow"/>
    </font>
    <font>
      <b/>
      <sz val="12.0"/>
      <color rgb="FF000000"/>
      <name val="Arial Narrow"/>
    </font>
    <font>
      <sz val="9.0"/>
      <color rgb="FFFF0000"/>
      <name val="Arial"/>
    </font>
    <font>
      <sz val="11.0"/>
      <color theme="1"/>
      <name val="Calibri"/>
    </font>
    <font>
      <sz val="8.0"/>
      <color theme="1"/>
      <name val="Arial"/>
    </font>
    <font>
      <b/>
      <sz val="12.0"/>
      <color theme="1"/>
      <name val="Arial Black"/>
    </font>
    <font>
      <sz val="10.0"/>
      <color theme="1"/>
      <name val="Arial"/>
    </font>
    <font>
      <sz val="10.0"/>
      <color rgb="FF000000"/>
      <name val="Arial"/>
    </font>
    <font>
      <i/>
      <sz val="11.0"/>
      <color theme="1"/>
      <name val="Arial"/>
    </font>
    <font>
      <i/>
      <sz val="9.0"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i/>
      <sz val="9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horizontal="center" vertical="top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center" shrinkToFit="0" vertical="top" wrapText="0"/>
    </xf>
    <xf borderId="0" fillId="0" fontId="5" numFmtId="0" xfId="0" applyAlignment="1" applyFont="1">
      <alignment shrinkToFit="0" vertical="bottom" wrapText="0"/>
    </xf>
    <xf borderId="1" fillId="0" fontId="6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shrinkToFit="0" wrapText="1"/>
    </xf>
    <xf borderId="2" fillId="0" fontId="6" numFmtId="4" xfId="0" applyAlignment="1" applyBorder="1" applyFont="1" applyNumberFormat="1">
      <alignment horizontal="center" shrinkToFit="0" wrapText="1"/>
    </xf>
    <xf borderId="2" fillId="0" fontId="6" numFmtId="164" xfId="0" applyAlignment="1" applyBorder="1" applyFont="1" applyNumberForma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4" fillId="0" fontId="7" numFmtId="0" xfId="0" applyBorder="1" applyFont="1"/>
    <xf borderId="5" fillId="0" fontId="7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6" fillId="0" fontId="7" numFmtId="0" xfId="0" applyBorder="1" applyFont="1"/>
    <xf borderId="7" fillId="0" fontId="7" numFmtId="0" xfId="0" applyBorder="1" applyFont="1"/>
    <xf borderId="8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 vertical="center"/>
    </xf>
    <xf quotePrefix="1" borderId="11" fillId="0" fontId="6" numFmtId="0" xfId="0" applyAlignment="1" applyBorder="1" applyFont="1">
      <alignment horizontal="center" shrinkToFit="0" wrapText="1"/>
    </xf>
    <xf quotePrefix="1" borderId="8" fillId="0" fontId="6" numFmtId="0" xfId="0" applyAlignment="1" applyBorder="1" applyFont="1">
      <alignment horizontal="center" shrinkToFit="0" wrapText="1"/>
    </xf>
    <xf quotePrefix="1" borderId="8" fillId="0" fontId="6" numFmtId="4" xfId="0" applyAlignment="1" applyBorder="1" applyFont="1" applyNumberFormat="1">
      <alignment horizontal="center" shrinkToFit="0" wrapText="1"/>
    </xf>
    <xf quotePrefix="1" borderId="8" fillId="0" fontId="6" numFmtId="164" xfId="0" applyAlignment="1" applyBorder="1" applyFont="1" applyNumberFormat="1">
      <alignment horizontal="center" shrinkToFit="0" wrapText="1"/>
    </xf>
    <xf quotePrefix="1" borderId="9" fillId="0" fontId="6" numFmtId="0" xfId="0" applyAlignment="1" applyBorder="1" applyFont="1">
      <alignment horizontal="center" shrinkToFit="0" wrapText="1"/>
    </xf>
    <xf quotePrefix="1" borderId="9" fillId="0" fontId="6" numFmtId="0" xfId="0" applyAlignment="1" applyBorder="1" applyFont="1">
      <alignment horizontal="center" shrinkToFit="0" vertical="center" wrapText="1"/>
    </xf>
    <xf borderId="12" fillId="2" fontId="8" numFmtId="0" xfId="0" applyAlignment="1" applyBorder="1" applyFill="1" applyFont="1">
      <alignment horizontal="center" readingOrder="0" vertical="center"/>
    </xf>
    <xf borderId="13" fillId="2" fontId="9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left" shrinkToFit="0" vertical="center" wrapText="1"/>
    </xf>
    <xf borderId="14" fillId="0" fontId="8" numFmtId="0" xfId="0" applyAlignment="1" applyBorder="1" applyFont="1">
      <alignment horizontal="center" vertical="center"/>
    </xf>
    <xf borderId="14" fillId="0" fontId="8" numFmtId="4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shrinkToFit="0" vertical="center" wrapText="0"/>
    </xf>
    <xf borderId="7" fillId="0" fontId="8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horizontal="right" shrinkToFit="0" vertical="center" wrapText="0"/>
    </xf>
    <xf borderId="12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0"/>
    </xf>
    <xf borderId="7" fillId="0" fontId="8" numFmtId="4" xfId="0" applyAlignment="1" applyBorder="1" applyFont="1" applyNumberFormat="1">
      <alignment horizontal="center" shrinkToFit="0" vertical="center" wrapText="0"/>
    </xf>
    <xf borderId="15" fillId="3" fontId="9" numFmtId="0" xfId="0" applyAlignment="1" applyBorder="1" applyFill="1" applyFont="1">
      <alignment horizontal="center" shrinkToFit="0" vertical="center" wrapText="0"/>
    </xf>
    <xf borderId="7" fillId="3" fontId="9" numFmtId="0" xfId="0" applyAlignment="1" applyBorder="1" applyFont="1">
      <alignment readingOrder="0" shrinkToFit="0" vertical="center" wrapText="1"/>
    </xf>
    <xf borderId="14" fillId="3" fontId="8" numFmtId="0" xfId="0" applyAlignment="1" applyBorder="1" applyFont="1">
      <alignment horizontal="center" vertical="center"/>
    </xf>
    <xf borderId="14" fillId="3" fontId="8" numFmtId="4" xfId="0" applyAlignment="1" applyBorder="1" applyFont="1" applyNumberFormat="1">
      <alignment horizontal="center" vertical="center"/>
    </xf>
    <xf borderId="7" fillId="3" fontId="8" numFmtId="0" xfId="0" applyAlignment="1" applyBorder="1" applyFont="1">
      <alignment horizontal="center" shrinkToFit="0" vertical="center" wrapText="1"/>
    </xf>
    <xf borderId="7" fillId="3" fontId="8" numFmtId="0" xfId="0" applyAlignment="1" applyBorder="1" applyFont="1">
      <alignment horizontal="center" shrinkToFit="0" vertical="center" wrapText="0"/>
    </xf>
    <xf borderId="7" fillId="3" fontId="8" numFmtId="4" xfId="0" applyAlignment="1" applyBorder="1" applyFont="1" applyNumberFormat="1">
      <alignment horizontal="center" shrinkToFit="0" vertical="center" wrapText="0"/>
    </xf>
    <xf borderId="7" fillId="3" fontId="8" numFmtId="0" xfId="0" applyAlignment="1" applyBorder="1" applyFont="1">
      <alignment shrinkToFit="0" vertical="center" wrapText="0"/>
    </xf>
    <xf borderId="15" fillId="0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ill="1" applyFont="1">
      <alignment horizontal="center" shrinkToFit="0" vertical="center" wrapText="1"/>
    </xf>
    <xf borderId="15" fillId="4" fontId="8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shrinkToFit="0" vertical="center" wrapText="1"/>
    </xf>
    <xf borderId="15" fillId="2" fontId="9" numFmtId="0" xfId="0" applyAlignment="1" applyBorder="1" applyFont="1">
      <alignment horizontal="center" shrinkToFit="0" vertical="center" wrapText="0"/>
    </xf>
    <xf borderId="7" fillId="2" fontId="9" numFmtId="0" xfId="0" applyAlignment="1" applyBorder="1" applyFont="1">
      <alignment horizontal="left" readingOrder="0" shrinkToFit="0" vertical="center" wrapText="1"/>
    </xf>
    <xf borderId="16" fillId="2" fontId="8" numFmtId="0" xfId="0" applyAlignment="1" applyBorder="1" applyFont="1">
      <alignment shrinkToFit="0" vertical="center" wrapText="0"/>
    </xf>
    <xf borderId="16" fillId="2" fontId="8" numFmtId="0" xfId="0" applyAlignment="1" applyBorder="1" applyFont="1">
      <alignment horizontal="center" shrinkToFit="0" vertical="center" wrapText="0"/>
    </xf>
    <xf borderId="16" fillId="2" fontId="8" numFmtId="4" xfId="0" applyAlignment="1" applyBorder="1" applyFont="1" applyNumberFormat="1">
      <alignment shrinkToFit="0" vertical="center" wrapText="0"/>
    </xf>
    <xf borderId="7" fillId="2" fontId="8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shrinkToFit="0" vertical="center" wrapText="0"/>
    </xf>
    <xf borderId="7" fillId="2" fontId="8" numFmtId="4" xfId="0" applyAlignment="1" applyBorder="1" applyFont="1" applyNumberFormat="1">
      <alignment horizontal="center" shrinkToFit="0" vertical="center" wrapText="0"/>
    </xf>
    <xf borderId="15" fillId="0" fontId="8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shrinkToFit="0" vertical="center" wrapText="1"/>
    </xf>
    <xf borderId="15" fillId="0" fontId="10" numFmtId="0" xfId="0" applyAlignment="1" applyBorder="1" applyFont="1">
      <alignment horizontal="center" vertical="center"/>
    </xf>
    <xf borderId="15" fillId="0" fontId="10" numFmtId="2" xfId="0" applyAlignment="1" applyBorder="1" applyFont="1" applyNumberFormat="1">
      <alignment horizontal="center" vertical="center"/>
    </xf>
    <xf borderId="15" fillId="0" fontId="10" numFmtId="4" xfId="0" applyAlignment="1" applyBorder="1" applyFont="1" applyNumberFormat="1">
      <alignment horizontal="center" vertical="center"/>
    </xf>
    <xf borderId="15" fillId="0" fontId="10" numFmtId="4" xfId="0" applyAlignment="1" applyBorder="1" applyFont="1" applyNumberFormat="1">
      <alignment horizontal="center" readingOrder="0" shrinkToFit="0" vertical="center" wrapText="1"/>
    </xf>
    <xf borderId="12" fillId="0" fontId="10" numFmtId="4" xfId="0" applyAlignment="1" applyBorder="1" applyFont="1" applyNumberFormat="1">
      <alignment horizontal="center" readingOrder="0" vertical="center"/>
    </xf>
    <xf borderId="12" fillId="0" fontId="10" numFmtId="4" xfId="0" applyAlignment="1" applyBorder="1" applyFont="1" applyNumberForma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0"/>
    </xf>
    <xf borderId="17" fillId="0" fontId="7" numFmtId="0" xfId="0" applyBorder="1" applyFont="1"/>
    <xf borderId="7" fillId="2" fontId="8" numFmtId="0" xfId="0" applyAlignment="1" applyBorder="1" applyFont="1">
      <alignment horizontal="center" shrinkToFit="0" vertical="center" wrapText="0"/>
    </xf>
    <xf borderId="18" fillId="0" fontId="8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left" shrinkToFit="0" vertical="center" wrapText="1"/>
    </xf>
    <xf borderId="16" fillId="0" fontId="8" numFmtId="0" xfId="0" applyAlignment="1" applyBorder="1" applyFont="1">
      <alignment horizontal="center" vertical="center"/>
    </xf>
    <xf borderId="16" fillId="0" fontId="8" numFmtId="4" xfId="0" applyAlignment="1" applyBorder="1" applyFont="1" applyNumberFormat="1">
      <alignment horizontal="center" vertical="center"/>
    </xf>
    <xf borderId="16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horizontal="center" readingOrder="0" shrinkToFit="0" vertical="center" wrapText="0"/>
    </xf>
    <xf borderId="16" fillId="0" fontId="8" numFmtId="4" xfId="0" applyAlignment="1" applyBorder="1" applyFont="1" applyNumberFormat="1">
      <alignment horizontal="center" shrinkToFit="0" vertical="center" wrapText="0"/>
    </xf>
    <xf borderId="16" fillId="0" fontId="8" numFmtId="0" xfId="0" applyAlignment="1" applyBorder="1" applyFont="1">
      <alignment shrinkToFit="0" vertical="center" wrapText="0"/>
    </xf>
    <xf borderId="19" fillId="0" fontId="8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left" shrinkToFit="0" vertical="center" wrapText="1"/>
    </xf>
    <xf borderId="7" fillId="0" fontId="8" numFmtId="0" xfId="0" applyAlignment="1" applyBorder="1" applyFont="1">
      <alignment horizontal="center" vertical="center"/>
    </xf>
    <xf borderId="7" fillId="0" fontId="8" numFmtId="4" xfId="0" applyAlignment="1" applyBorder="1" applyFont="1" applyNumberFormat="1">
      <alignment horizontal="center" vertical="center"/>
    </xf>
    <xf borderId="20" fillId="0" fontId="8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readingOrder="0" shrinkToFit="0" vertical="center" wrapText="1"/>
    </xf>
    <xf borderId="21" fillId="0" fontId="9" numFmtId="0" xfId="0" applyAlignment="1" applyBorder="1" applyFont="1">
      <alignment readingOrder="0" shrinkToFit="0" vertical="center" wrapText="1"/>
    </xf>
    <xf borderId="15" fillId="2" fontId="8" numFmtId="0" xfId="0" applyAlignment="1" applyBorder="1" applyFont="1">
      <alignment horizontal="center" readingOrder="0" vertical="center"/>
    </xf>
    <xf borderId="15" fillId="2" fontId="9" numFmtId="0" xfId="0" applyAlignment="1" applyBorder="1" applyFont="1">
      <alignment horizontal="center" vertical="center"/>
    </xf>
    <xf borderId="15" fillId="2" fontId="9" numFmtId="0" xfId="0" applyAlignment="1" applyBorder="1" applyFont="1">
      <alignment readingOrder="0" shrinkToFit="0" vertical="center" wrapText="1"/>
    </xf>
    <xf borderId="15" fillId="2" fontId="8" numFmtId="0" xfId="0" applyAlignment="1" applyBorder="1" applyFont="1">
      <alignment horizontal="center" vertical="center"/>
    </xf>
    <xf borderId="15" fillId="2" fontId="8" numFmtId="4" xfId="0" applyAlignment="1" applyBorder="1" applyFont="1" applyNumberFormat="1">
      <alignment horizontal="center" vertical="center"/>
    </xf>
    <xf borderId="15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0"/>
    </xf>
    <xf borderId="15" fillId="2" fontId="8" numFmtId="4" xfId="0" applyAlignment="1" applyBorder="1" applyFont="1" applyNumberFormat="1">
      <alignment horizontal="center" shrinkToFit="0" vertical="center" wrapText="0"/>
    </xf>
    <xf borderId="15" fillId="2" fontId="8" numFmtId="0" xfId="0" applyAlignment="1" applyBorder="1" applyFont="1">
      <alignment shrinkToFit="0" vertical="center" wrapText="0"/>
    </xf>
    <xf borderId="15" fillId="0" fontId="8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readingOrder="0" shrinkToFit="0" vertical="center" wrapText="1"/>
    </xf>
    <xf borderId="16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shrinkToFit="0" vertical="center" wrapText="1"/>
    </xf>
    <xf borderId="0" fillId="0" fontId="11" numFmtId="0" xfId="0" applyAlignment="1" applyFont="1">
      <alignment readingOrder="0" shrinkToFit="0" wrapText="0"/>
    </xf>
    <xf borderId="0" fillId="0" fontId="1" numFmtId="4" xfId="0" applyAlignment="1" applyFont="1" applyNumberFormat="1">
      <alignment horizontal="center" shrinkToFit="0" vertical="bottom" wrapText="0"/>
    </xf>
    <xf borderId="22" fillId="0" fontId="1" numFmtId="165" xfId="0" applyAlignment="1" applyBorder="1" applyFont="1" applyNumberFormat="1">
      <alignment horizontal="right" shrinkToFit="0" vertical="bottom" wrapText="0"/>
    </xf>
    <xf borderId="0" fillId="0" fontId="12" numFmtId="0" xfId="0" applyAlignment="1" applyFont="1">
      <alignment shrinkToFit="0" wrapText="0"/>
    </xf>
    <xf borderId="0" fillId="0" fontId="8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13" numFmtId="0" xfId="0" applyAlignment="1" applyFont="1">
      <alignment shrinkToFit="0" vertical="bottom" wrapText="0"/>
    </xf>
    <xf borderId="0" fillId="0" fontId="14" numFmtId="4" xfId="0" applyAlignment="1" applyFont="1" applyNumberFormat="1">
      <alignment vertical="bottom"/>
    </xf>
    <xf borderId="0" fillId="0" fontId="14" numFmtId="164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wrapText="0"/>
    </xf>
    <xf borderId="0" fillId="0" fontId="17" numFmtId="0" xfId="0" applyAlignment="1" applyFont="1">
      <alignment horizontal="left" shrinkToFit="0" wrapText="0"/>
    </xf>
    <xf borderId="0" fillId="0" fontId="16" numFmtId="0" xfId="0" applyAlignment="1" applyFont="1">
      <alignment horizontal="left" shrinkToFit="0" wrapText="0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vertical="bottom"/>
    </xf>
    <xf borderId="0" fillId="0" fontId="16" numFmtId="0" xfId="0" applyAlignment="1" applyFont="1">
      <alignment shrinkToFit="0" vertical="bottom" wrapText="0"/>
    </xf>
    <xf borderId="0" fillId="0" fontId="19" numFmtId="0" xfId="0" applyAlignment="1" applyFont="1">
      <alignment horizontal="center" shrinkToFit="0" vertical="bottom" wrapText="0"/>
    </xf>
    <xf borderId="12" fillId="0" fontId="9" numFmtId="0" xfId="0" applyAlignment="1" applyBorder="1" applyFont="1">
      <alignment horizontal="center"/>
    </xf>
    <xf borderId="16" fillId="0" fontId="9" numFmtId="0" xfId="0" applyAlignment="1" applyBorder="1" applyFont="1">
      <alignment horizontal="center"/>
    </xf>
    <xf borderId="12" fillId="0" fontId="9" numFmtId="4" xfId="0" applyAlignment="1" applyBorder="1" applyFont="1" applyNumberFormat="1">
      <alignment horizontal="center" vertical="top"/>
    </xf>
    <xf borderId="12" fillId="0" fontId="20" numFmtId="0" xfId="0" applyAlignment="1" applyBorder="1" applyFont="1">
      <alignment horizontal="center" vertical="top"/>
    </xf>
    <xf borderId="12" fillId="0" fontId="9" numFmtId="0" xfId="0" applyAlignment="1" applyBorder="1" applyFont="1">
      <alignment horizontal="center" vertical="top"/>
    </xf>
    <xf borderId="23" fillId="0" fontId="9" numFmtId="0" xfId="0" applyAlignment="1" applyBorder="1" applyFont="1">
      <alignment horizontal="center" vertical="top"/>
    </xf>
    <xf borderId="23" fillId="0" fontId="7" numFmtId="0" xfId="0" applyBorder="1" applyFont="1"/>
    <xf borderId="16" fillId="0" fontId="7" numFmtId="0" xfId="0" applyBorder="1" applyFont="1"/>
    <xf borderId="7" fillId="0" fontId="9" numFmtId="0" xfId="0" applyAlignment="1" applyBorder="1" applyFont="1">
      <alignment horizontal="center"/>
    </xf>
    <xf borderId="7" fillId="0" fontId="20" numFmtId="0" xfId="0" applyAlignment="1" applyBorder="1" applyFont="1">
      <alignment horizontal="center" vertical="top"/>
    </xf>
    <xf borderId="7" fillId="0" fontId="20" numFmtId="0" xfId="0" applyAlignment="1" applyBorder="1" applyFont="1">
      <alignment horizontal="center"/>
    </xf>
    <xf borderId="24" fillId="0" fontId="20" numFmtId="0" xfId="0" applyAlignment="1" applyBorder="1" applyFont="1">
      <alignment horizontal="center"/>
    </xf>
    <xf borderId="25" fillId="0" fontId="20" numFmtId="0" xfId="0" applyAlignment="1" applyBorder="1" applyFont="1">
      <alignment horizontal="center"/>
    </xf>
    <xf borderId="19" fillId="0" fontId="8" numFmtId="0" xfId="0" applyAlignment="1" applyBorder="1" applyFont="1">
      <alignment shrinkToFit="0" vertical="bottom" wrapText="0"/>
    </xf>
    <xf borderId="7" fillId="2" fontId="21" numFmtId="0" xfId="0" applyAlignment="1" applyBorder="1" applyFont="1">
      <alignment horizontal="left"/>
    </xf>
    <xf borderId="14" fillId="2" fontId="9" numFmtId="0" xfId="0" applyAlignment="1" applyBorder="1" applyFont="1">
      <alignment horizontal="center"/>
    </xf>
    <xf borderId="14" fillId="2" fontId="9" numFmtId="4" xfId="0" applyAlignment="1" applyBorder="1" applyFont="1" applyNumberFormat="1">
      <alignment horizontal="center" vertical="top"/>
    </xf>
    <xf borderId="14" fillId="2" fontId="20" numFmtId="0" xfId="0" applyAlignment="1" applyBorder="1" applyFont="1">
      <alignment horizontal="center" vertical="top"/>
    </xf>
    <xf borderId="14" fillId="2" fontId="20" numFmtId="0" xfId="0" applyAlignment="1" applyBorder="1" applyFont="1">
      <alignment horizontal="center"/>
    </xf>
    <xf borderId="13" fillId="2" fontId="20" numFmtId="0" xfId="0" applyAlignment="1" applyBorder="1" applyFont="1">
      <alignment horizontal="center"/>
    </xf>
    <xf borderId="7" fillId="2" fontId="20" numFmtId="0" xfId="0" applyAlignment="1" applyBorder="1" applyFont="1">
      <alignment horizontal="center"/>
    </xf>
    <xf borderId="12" fillId="0" fontId="22" numFmtId="0" xfId="0" applyAlignment="1" applyBorder="1" applyFont="1">
      <alignment horizontal="center"/>
    </xf>
    <xf borderId="7" fillId="0" fontId="2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horizontal="center"/>
    </xf>
    <xf borderId="14" fillId="0" fontId="2" numFmtId="4" xfId="0" applyAlignment="1" applyBorder="1" applyFont="1" applyNumberFormat="1">
      <alignment horizontal="center" vertical="top"/>
    </xf>
    <xf borderId="13" fillId="0" fontId="2" numFmtId="0" xfId="0" applyAlignment="1" applyBorder="1" applyFont="1">
      <alignment shrinkToFit="0" vertical="top" wrapText="0"/>
    </xf>
    <xf borderId="13" fillId="0" fontId="2" numFmtId="0" xfId="0" applyAlignment="1" applyBorder="1" applyFont="1">
      <alignment horizontal="center" shrinkToFit="0" vertical="top" wrapText="0"/>
    </xf>
    <xf borderId="13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horizontal="right" shrinkToFit="0" vertical="bottom" wrapText="0"/>
    </xf>
    <xf borderId="7" fillId="0" fontId="2" numFmtId="0" xfId="0" applyAlignment="1" applyBorder="1" applyFont="1">
      <alignment shrinkToFit="0" vertical="top" wrapText="0"/>
    </xf>
    <xf borderId="7" fillId="0" fontId="2" numFmtId="0" xfId="0" applyAlignment="1" applyBorder="1" applyFont="1">
      <alignment horizontal="center" shrinkToFit="0" vertical="top" wrapText="0"/>
    </xf>
    <xf borderId="7" fillId="0" fontId="2" numFmtId="0" xfId="0" applyAlignment="1" applyBorder="1" applyFont="1">
      <alignment horizontal="right" shrinkToFit="0" vertical="bottom" wrapText="0"/>
    </xf>
    <xf borderId="7" fillId="3" fontId="22" numFmtId="0" xfId="0" applyAlignment="1" applyBorder="1" applyFont="1">
      <alignment shrinkToFit="0" vertical="bottom" wrapText="0"/>
    </xf>
    <xf borderId="14" fillId="3" fontId="2" numFmtId="0" xfId="0" applyAlignment="1" applyBorder="1" applyFont="1">
      <alignment horizontal="center"/>
    </xf>
    <xf borderId="14" fillId="3" fontId="2" numFmtId="4" xfId="0" applyAlignment="1" applyBorder="1" applyFont="1" applyNumberFormat="1">
      <alignment horizontal="center" vertical="top"/>
    </xf>
    <xf borderId="7" fillId="3" fontId="2" numFmtId="0" xfId="0" applyAlignment="1" applyBorder="1" applyFont="1">
      <alignment shrinkToFit="0" vertical="top" wrapText="0"/>
    </xf>
    <xf borderId="7" fillId="3" fontId="2" numFmtId="0" xfId="0" applyAlignment="1" applyBorder="1" applyFont="1">
      <alignment horizontal="center" shrinkToFit="0" vertical="top" wrapText="0"/>
    </xf>
    <xf borderId="7" fillId="3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1"/>
    </xf>
    <xf borderId="14" fillId="0" fontId="2" numFmtId="0" xfId="0" applyAlignment="1" applyBorder="1" applyFont="1">
      <alignment horizontal="center" vertical="top"/>
    </xf>
    <xf borderId="15" fillId="4" fontId="2" numFmtId="0" xfId="0" applyAlignment="1" applyBorder="1" applyFont="1">
      <alignment horizontal="left" shrinkToFit="0" wrapText="1"/>
    </xf>
    <xf borderId="15" fillId="0" fontId="2" numFmtId="0" xfId="0" applyAlignment="1" applyBorder="1" applyFont="1">
      <alignment shrinkToFit="0" vertical="bottom" wrapText="1"/>
    </xf>
    <xf borderId="7" fillId="2" fontId="22" numFmtId="0" xfId="0" applyAlignment="1" applyBorder="1" applyFont="1">
      <alignment horizontal="left" shrinkToFit="0" wrapText="0"/>
    </xf>
    <xf borderId="16" fillId="2" fontId="2" numFmtId="0" xfId="0" applyAlignment="1" applyBorder="1" applyFont="1">
      <alignment shrinkToFit="0" vertical="bottom" wrapText="0"/>
    </xf>
    <xf borderId="16" fillId="2" fontId="2" numFmtId="0" xfId="0" applyAlignment="1" applyBorder="1" applyFont="1">
      <alignment horizontal="center" shrinkToFit="0" vertical="bottom" wrapText="0"/>
    </xf>
    <xf borderId="16" fillId="2" fontId="2" numFmtId="4" xfId="0" applyAlignment="1" applyBorder="1" applyFont="1" applyNumberFormat="1">
      <alignment shrinkToFit="0" vertical="top" wrapText="0"/>
    </xf>
    <xf borderId="7" fillId="2" fontId="2" numFmtId="0" xfId="0" applyAlignment="1" applyBorder="1" applyFont="1">
      <alignment shrinkToFit="0" vertical="top" wrapText="0"/>
    </xf>
    <xf borderId="7" fillId="2" fontId="2" numFmtId="0" xfId="0" applyAlignment="1" applyBorder="1" applyFont="1">
      <alignment horizontal="center" shrinkToFit="0" vertical="top" wrapText="0"/>
    </xf>
    <xf borderId="7" fillId="2" fontId="2" numFmtId="0" xfId="0" applyAlignment="1" applyBorder="1" applyFont="1">
      <alignment shrinkToFit="0" vertical="bottom" wrapText="0"/>
    </xf>
    <xf borderId="17" fillId="0" fontId="2" numFmtId="0" xfId="0" applyAlignment="1" applyBorder="1" applyFont="1">
      <alignment vertical="bottom"/>
    </xf>
    <xf borderId="15" fillId="0" fontId="14" numFmtId="0" xfId="0" applyAlignment="1" applyBorder="1" applyFont="1">
      <alignment horizontal="center" vertical="bottom"/>
    </xf>
    <xf borderId="15" fillId="0" fontId="14" numFmtId="2" xfId="0" applyAlignment="1" applyBorder="1" applyFont="1" applyNumberFormat="1">
      <alignment horizontal="center" vertical="bottom"/>
    </xf>
    <xf borderId="15" fillId="0" fontId="14" numFmtId="4" xfId="0" applyAlignment="1" applyBorder="1" applyFont="1" applyNumberFormat="1">
      <alignment horizontal="center" vertical="top"/>
    </xf>
    <xf borderId="15" fillId="0" fontId="14" numFmtId="4" xfId="0" applyAlignment="1" applyBorder="1" applyFont="1" applyNumberFormat="1">
      <alignment horizontal="left" vertical="top"/>
    </xf>
    <xf borderId="18" fillId="0" fontId="22" numFmtId="0" xfId="0" applyAlignment="1" applyBorder="1" applyFont="1">
      <alignment horizontal="center"/>
    </xf>
    <xf borderId="15" fillId="0" fontId="20" numFmtId="0" xfId="0" applyAlignment="1" applyBorder="1" applyFont="1">
      <alignment horizontal="left"/>
    </xf>
    <xf borderId="16" fillId="0" fontId="2" numFmtId="0" xfId="0" applyAlignment="1" applyBorder="1" applyFont="1">
      <alignment horizontal="center" vertical="top"/>
    </xf>
    <xf borderId="16" fillId="0" fontId="2" numFmtId="4" xfId="0" applyAlignment="1" applyBorder="1" applyFont="1" applyNumberFormat="1">
      <alignment horizontal="center" vertical="top"/>
    </xf>
    <xf borderId="16" fillId="0" fontId="2" numFmtId="0" xfId="0" applyAlignment="1" applyBorder="1" applyFont="1">
      <alignment shrinkToFit="0" vertical="top" wrapText="0"/>
    </xf>
    <xf borderId="16" fillId="0" fontId="2" numFmtId="0" xfId="0" applyAlignment="1" applyBorder="1" applyFont="1">
      <alignment horizontal="left" shrinkToFit="0" vertical="top" wrapText="0"/>
    </xf>
    <xf borderId="16" fillId="0" fontId="2" numFmtId="0" xfId="0" applyAlignment="1" applyBorder="1" applyFont="1">
      <alignment horizontal="center" shrinkToFit="0" vertical="top" wrapText="0"/>
    </xf>
    <xf borderId="16" fillId="0" fontId="2" numFmtId="0" xfId="0" applyAlignment="1" applyBorder="1" applyFont="1">
      <alignment shrinkToFit="0" vertical="bottom" wrapText="0"/>
    </xf>
    <xf borderId="19" fillId="0" fontId="22" numFmtId="0" xfId="0" applyAlignment="1" applyBorder="1" applyFont="1">
      <alignment horizontal="center"/>
    </xf>
    <xf borderId="17" fillId="0" fontId="2" numFmtId="0" xfId="0" applyAlignment="1" applyBorder="1" applyFont="1">
      <alignment horizontal="left" shrinkToFit="0" wrapText="1"/>
    </xf>
    <xf borderId="7" fillId="0" fontId="2" numFmtId="0" xfId="0" applyAlignment="1" applyBorder="1" applyFont="1">
      <alignment horizontal="center" vertical="top"/>
    </xf>
    <xf borderId="7" fillId="0" fontId="2" numFmtId="4" xfId="0" applyAlignment="1" applyBorder="1" applyFont="1" applyNumberFormat="1">
      <alignment horizontal="center" vertical="top"/>
    </xf>
    <xf borderId="20" fillId="0" fontId="22" numFmtId="0" xfId="0" applyAlignment="1" applyBorder="1" applyFont="1">
      <alignment horizontal="center"/>
    </xf>
    <xf borderId="17" fillId="0" fontId="22" numFmtId="0" xfId="0" applyAlignment="1" applyBorder="1" applyFont="1">
      <alignment vertical="bottom"/>
    </xf>
    <xf borderId="15" fillId="0" fontId="23" numFmtId="0" xfId="0" applyAlignment="1" applyBorder="1" applyFont="1">
      <alignment vertical="top"/>
    </xf>
    <xf borderId="21" fillId="0" fontId="2" numFmtId="0" xfId="0" applyAlignment="1" applyBorder="1" applyFont="1">
      <alignment shrinkToFit="0" vertical="bottom" wrapText="0"/>
    </xf>
    <xf borderId="15" fillId="0" fontId="22" numFmtId="0" xfId="0" applyAlignment="1" applyBorder="1" applyFont="1">
      <alignment vertical="bottom"/>
    </xf>
    <xf borderId="7" fillId="0" fontId="2" numFmtId="0" xfId="0" applyAlignment="1" applyBorder="1" applyFont="1">
      <alignment horizontal="center"/>
    </xf>
    <xf borderId="21" fillId="0" fontId="22" numFmtId="0" xfId="0" applyAlignment="1" applyBorder="1" applyFont="1">
      <alignment vertical="bottom"/>
    </xf>
    <xf borderId="7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17" fillId="0" fontId="22" numFmtId="0" xfId="0" applyAlignment="1" applyBorder="1" applyFont="1">
      <alignment shrinkToFit="0" vertical="bottom" wrapText="1"/>
    </xf>
    <xf borderId="17" fillId="0" fontId="2" numFmtId="0" xfId="0" applyAlignment="1" applyBorder="1" applyFont="1">
      <alignment horizontal="center" vertical="center"/>
    </xf>
    <xf borderId="7" fillId="0" fontId="2" numFmtId="4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shrinkToFit="0" vertical="center" wrapText="0"/>
    </xf>
    <xf borderId="15" fillId="0" fontId="14" numFmtId="0" xfId="0" applyBorder="1" applyFont="1"/>
    <xf borderId="15" fillId="0" fontId="14" numFmtId="0" xfId="0" applyAlignment="1" applyBorder="1" applyFont="1">
      <alignment shrinkToFit="0" wrapText="1"/>
    </xf>
    <xf borderId="17" fillId="0" fontId="2" numFmtId="0" xfId="0" applyAlignment="1" applyBorder="1" applyFont="1">
      <alignment horizontal="left" shrinkToFit="0" wrapText="0"/>
    </xf>
    <xf borderId="15" fillId="0" fontId="24" numFmtId="0" xfId="0" applyBorder="1" applyFont="1"/>
    <xf borderId="15" fillId="0" fontId="25" numFmtId="0" xfId="0" applyAlignment="1" applyBorder="1" applyFont="1">
      <alignment shrinkToFit="0" wrapText="1"/>
    </xf>
    <xf borderId="15" fillId="0" fontId="25" numFmtId="0" xfId="0" applyBorder="1" applyFont="1"/>
    <xf borderId="15" fillId="0" fontId="22" numFmtId="0" xfId="0" applyAlignment="1" applyBorder="1" applyFont="1">
      <alignment horizontal="center"/>
    </xf>
    <xf borderId="18" fillId="0" fontId="9" numFmtId="0" xfId="0" applyAlignment="1" applyBorder="1" applyFont="1">
      <alignment horizontal="left"/>
    </xf>
    <xf borderId="17" fillId="0" fontId="2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wrapText="0"/>
    </xf>
    <xf borderId="0" fillId="0" fontId="15" numFmtId="0" xfId="0" applyAlignment="1" applyFont="1">
      <alignment shrinkToFit="0" wrapText="0"/>
    </xf>
    <xf borderId="22" fillId="0" fontId="2" numFmtId="4" xfId="0" applyAlignment="1" applyBorder="1" applyFont="1" applyNumberFormat="1">
      <alignment shrinkToFit="0" vertical="top" wrapText="0"/>
    </xf>
    <xf borderId="0" fillId="0" fontId="26" numFmtId="0" xfId="0" applyAlignment="1" applyFont="1">
      <alignment shrinkToFit="0" wrapText="0"/>
    </xf>
    <xf borderId="0" fillId="0" fontId="27" numFmtId="0" xfId="0" applyAlignment="1" applyFont="1">
      <alignment shrinkToFit="0" wrapText="0"/>
    </xf>
    <xf borderId="0" fillId="0" fontId="15" numFmtId="0" xfId="0" applyAlignment="1" applyFont="1">
      <alignment horizontal="center" shrinkToFit="0" vertical="top" wrapText="0"/>
    </xf>
    <xf borderId="0" fillId="0" fontId="15" numFmtId="0" xfId="0" applyAlignment="1" applyFont="1">
      <alignment horizontal="center" shrinkToFit="0" vertical="bottom" wrapText="0"/>
    </xf>
    <xf borderId="0" fillId="0" fontId="20" numFmtId="0" xfId="0" applyAlignment="1" applyFont="1">
      <alignment shrinkToFit="0" wrapText="0"/>
    </xf>
    <xf borderId="0" fillId="0" fontId="20" numFmtId="0" xfId="0" applyAlignment="1" applyFont="1">
      <alignment horizontal="left"/>
    </xf>
    <xf borderId="0" fillId="0" fontId="15" numFmtId="0" xfId="0" applyAlignment="1" applyFont="1">
      <alignment shrinkToFit="0" vertical="top" wrapText="0"/>
    </xf>
    <xf borderId="0" fillId="0" fontId="20" numFmtId="0" xfId="0" applyAlignment="1" applyFont="1">
      <alignment horizontal="center"/>
    </xf>
    <xf borderId="0" fillId="0" fontId="20" numFmtId="4" xfId="0" applyAlignment="1" applyFont="1" applyNumberFormat="1">
      <alignment horizontal="left" vertical="top"/>
    </xf>
    <xf borderId="0" fillId="0" fontId="20" numFmtId="4" xfId="0" applyAlignment="1" applyFont="1" applyNumberFormat="1">
      <alignment vertical="top"/>
    </xf>
    <xf borderId="0" fillId="0" fontId="20" numFmtId="0" xfId="0" applyAlignment="1" applyFont="1">
      <alignment vertical="bottom"/>
    </xf>
    <xf borderId="0" fillId="0" fontId="28" numFmtId="0" xfId="0" applyAlignment="1" applyFont="1">
      <alignment horizontal="left" shrinkToFit="0" wrapText="0"/>
    </xf>
    <xf borderId="0" fillId="0" fontId="20" numFmtId="0" xfId="0" applyAlignment="1" applyFont="1">
      <alignment horizontal="left" vertical="bottom"/>
    </xf>
    <xf borderId="0" fillId="0" fontId="15" numFmtId="0" xfId="0" applyAlignment="1" applyFont="1">
      <alignment horizontal="left" shrinkToFit="0" wrapText="0"/>
    </xf>
    <xf borderId="0" fillId="0" fontId="15" numFmtId="0" xfId="0" applyAlignment="1" applyFont="1">
      <alignment horizontal="left"/>
    </xf>
    <xf borderId="0" fillId="0" fontId="2" numFmtId="0" xfId="0" applyAlignment="1" applyFont="1">
      <alignment horizontal="left" shrinkToFit="0" vertical="top" wrapText="0"/>
    </xf>
    <xf borderId="0" fillId="0" fontId="15" numFmtId="0" xfId="0" applyFont="1"/>
    <xf borderId="0" fillId="0" fontId="25" numFmtId="0" xfId="0" applyAlignment="1" applyFont="1">
      <alignment horizontal="center" vertical="top"/>
    </xf>
    <xf borderId="0" fillId="0" fontId="29" numFmtId="0" xfId="0" applyAlignment="1" applyFont="1">
      <alignment horizontal="center" vertical="top"/>
    </xf>
    <xf borderId="0" fillId="0" fontId="29" numFmtId="0" xfId="0" applyAlignment="1" applyFont="1">
      <alignment horizontal="left"/>
    </xf>
    <xf borderId="0" fillId="0" fontId="30" numFmtId="0" xfId="0" applyAlignment="1" applyFont="1">
      <alignment horizontal="center" shrinkToFit="0" vertical="top" wrapText="0"/>
    </xf>
    <xf borderId="0" fillId="0" fontId="29" numFmtId="0" xfId="0" applyAlignment="1" applyFont="1">
      <alignment vertical="bottom"/>
    </xf>
    <xf borderId="0" fillId="0" fontId="31" numFmtId="0" xfId="0" applyAlignment="1" applyFont="1">
      <alignment shrinkToFit="0" vertical="bottom" wrapText="0"/>
    </xf>
    <xf borderId="20" fillId="0" fontId="32" numFmtId="0" xfId="0" applyAlignment="1" applyBorder="1" applyFont="1">
      <alignment horizontal="center" shrinkToFit="0" vertical="bottom" wrapText="0"/>
    </xf>
    <xf borderId="26" fillId="0" fontId="7" numFmtId="0" xfId="0" applyBorder="1" applyFont="1"/>
    <xf borderId="14" fillId="0" fontId="32" numFmtId="0" xfId="0" applyAlignment="1" applyBorder="1" applyFont="1">
      <alignment shrinkToFit="0" vertical="bottom" wrapText="0"/>
    </xf>
    <xf borderId="19" fillId="0" fontId="33" numFmtId="0" xfId="0" applyAlignment="1" applyBorder="1" applyFont="1">
      <alignment horizontal="center" shrinkToFit="0" vertical="bottom" wrapText="0"/>
    </xf>
    <xf borderId="19" fillId="0" fontId="34" numFmtId="0" xfId="0" applyAlignment="1" applyBorder="1" applyFont="1">
      <alignment horizontal="center" shrinkToFit="0" vertical="bottom" wrapText="0"/>
    </xf>
    <xf borderId="13" fillId="0" fontId="7" numFmtId="0" xfId="0" applyBorder="1" applyFont="1"/>
    <xf borderId="19" fillId="0" fontId="20" numFmtId="0" xfId="0" applyAlignment="1" applyBorder="1" applyFont="1">
      <alignment horizontal="center" shrinkToFit="0" vertical="bottom" wrapText="0"/>
    </xf>
    <xf borderId="0" fillId="0" fontId="34" numFmtId="0" xfId="0" applyAlignment="1" applyFont="1">
      <alignment horizontal="center" shrinkToFit="0" vertical="bottom" wrapText="0"/>
    </xf>
    <xf borderId="15" fillId="0" fontId="35" numFmtId="0" xfId="0" applyAlignment="1" applyBorder="1" applyFont="1">
      <alignment horizontal="center" shrinkToFit="0" vertical="bottom" wrapText="0"/>
    </xf>
    <xf borderId="16" fillId="0" fontId="35" numFmtId="0" xfId="0" applyAlignment="1" applyBorder="1" applyFont="1">
      <alignment horizontal="center" shrinkToFit="0" vertical="bottom" wrapText="0"/>
    </xf>
    <xf borderId="23" fillId="0" fontId="35" numFmtId="0" xfId="0" applyAlignment="1" applyBorder="1" applyFont="1">
      <alignment horizontal="center" shrinkToFit="0" vertical="bottom" wrapText="0"/>
    </xf>
    <xf borderId="21" fillId="0" fontId="19" numFmtId="0" xfId="0" applyAlignment="1" applyBorder="1" applyFont="1">
      <alignment horizontal="center" shrinkToFit="0" vertical="bottom" wrapText="0"/>
    </xf>
    <xf borderId="7" fillId="0" fontId="19" numFmtId="0" xfId="0" applyAlignment="1" applyBorder="1" applyFont="1">
      <alignment shrinkToFit="0" vertical="bottom" wrapText="0"/>
    </xf>
    <xf borderId="13" fillId="0" fontId="19" numFmtId="0" xfId="0" applyAlignment="1" applyBorder="1" applyFont="1">
      <alignment shrinkToFit="0" vertical="bottom" wrapText="0"/>
    </xf>
    <xf borderId="7" fillId="0" fontId="36" numFmtId="0" xfId="0" applyAlignment="1" applyBorder="1" applyFont="1">
      <alignment shrinkToFit="0" vertical="bottom" wrapText="0"/>
    </xf>
    <xf borderId="19" fillId="0" fontId="19" numFmtId="0" xfId="0" applyAlignment="1" applyBorder="1" applyFont="1">
      <alignment horizontal="center" shrinkToFit="0" vertical="bottom" wrapText="0"/>
    </xf>
    <xf borderId="17" fillId="0" fontId="36" numFmtId="0" xfId="0" applyAlignment="1" applyBorder="1" applyFont="1">
      <alignment shrinkToFit="0" vertical="bottom" wrapText="0"/>
    </xf>
    <xf borderId="24" fillId="0" fontId="36" numFmtId="0" xfId="0" applyAlignment="1" applyBorder="1" applyFont="1">
      <alignment shrinkToFit="0" vertical="bottom" wrapText="0"/>
    </xf>
    <xf borderId="25" fillId="0" fontId="19" numFmtId="0" xfId="0" applyAlignment="1" applyBorder="1" applyFont="1">
      <alignment horizontal="center" shrinkToFit="0" vertical="bottom" wrapText="0"/>
    </xf>
    <xf borderId="25" fillId="0" fontId="36" numFmtId="0" xfId="0" applyAlignment="1" applyBorder="1" applyFont="1">
      <alignment shrinkToFit="0" vertical="bottom" wrapText="0"/>
    </xf>
    <xf borderId="18" fillId="0" fontId="32" numFmtId="0" xfId="0" applyAlignment="1" applyBorder="1" applyFont="1">
      <alignment horizontal="center" shrinkToFit="0" vertical="bottom" wrapText="0"/>
    </xf>
    <xf borderId="24" fillId="0" fontId="32" numFmtId="0" xfId="0" applyAlignment="1" applyBorder="1" applyFont="1">
      <alignment horizontal="center" shrinkToFit="0" vertical="bottom" wrapText="0"/>
    </xf>
    <xf borderId="13" fillId="0" fontId="32" numFmtId="0" xfId="0" applyAlignment="1" applyBorder="1" applyFont="1">
      <alignment horizontal="center" shrinkToFit="0" vertical="bottom" wrapText="0"/>
    </xf>
    <xf borderId="17" fillId="0" fontId="35" numFmtId="0" xfId="0" applyAlignment="1" applyBorder="1" applyFont="1">
      <alignment horizontal="center" shrinkToFit="0" vertical="bottom" wrapText="0"/>
    </xf>
    <xf borderId="7" fillId="0" fontId="35" numFmtId="0" xfId="0" applyAlignment="1" applyBorder="1" applyFont="1">
      <alignment horizontal="center" shrinkToFit="0" vertical="bottom" wrapText="0"/>
    </xf>
    <xf borderId="17" fillId="0" fontId="36" numFmtId="0" xfId="0" applyAlignment="1" applyBorder="1" applyFont="1">
      <alignment horizontal="right" shrinkToFit="0" vertical="bottom" wrapText="0"/>
    </xf>
    <xf borderId="18" fillId="0" fontId="37" numFmtId="0" xfId="0" applyAlignment="1" applyBorder="1" applyFont="1">
      <alignment horizontal="center" shrinkToFit="0" vertical="bottom" wrapText="0"/>
    </xf>
    <xf borderId="24" fillId="0" fontId="36" numFmtId="0" xfId="0" applyAlignment="1" applyBorder="1" applyFont="1">
      <alignment horizontal="right" shrinkToFit="0" vertical="bottom" wrapText="0"/>
    </xf>
    <xf borderId="0" fillId="0" fontId="19" numFmtId="0" xfId="0" applyAlignment="1" applyFont="1">
      <alignment shrinkToFit="0" vertical="bottom" wrapText="0"/>
    </xf>
    <xf borderId="0" fillId="5" fontId="23" numFmtId="0" xfId="0" applyAlignment="1" applyFill="1" applyFont="1">
      <alignment horizontal="center" vertical="bottom"/>
    </xf>
    <xf borderId="0" fillId="5" fontId="23" numFmtId="0" xfId="0" applyAlignment="1" applyFont="1">
      <alignment horizontal="center" shrinkToFit="0" vertical="bottom" wrapText="1"/>
    </xf>
    <xf borderId="0" fillId="0" fontId="14" numFmtId="0" xfId="0" applyFont="1"/>
    <xf borderId="0" fillId="0" fontId="14" numFmtId="0" xfId="0" applyAlignment="1" applyFont="1">
      <alignment horizontal="center" vertical="center"/>
    </xf>
    <xf borderId="15" fillId="0" fontId="14" numFmtId="16" xfId="0" applyAlignment="1" applyBorder="1" applyFont="1" applyNumberFormat="1">
      <alignment vertical="bottom"/>
    </xf>
    <xf borderId="15" fillId="0" fontId="38" numFmtId="0" xfId="0" applyAlignment="1" applyBorder="1" applyFont="1">
      <alignment shrinkToFit="0" vertical="top" wrapText="1"/>
    </xf>
    <xf borderId="15" fillId="0" fontId="14" numFmtId="0" xfId="0" applyAlignment="1" applyBorder="1" applyFont="1">
      <alignment vertical="bottom"/>
    </xf>
    <xf borderId="15" fillId="0" fontId="14" numFmtId="0" xfId="0" applyAlignment="1" applyBorder="1" applyFont="1">
      <alignment horizontal="center" vertical="center"/>
    </xf>
    <xf borderId="15" fillId="0" fontId="14" numFmtId="2" xfId="0" applyAlignment="1" applyBorder="1" applyFont="1" applyNumberFormat="1">
      <alignment horizontal="center" vertical="center"/>
    </xf>
    <xf borderId="15" fillId="0" fontId="14" numFmtId="4" xfId="0" applyAlignment="1" applyBorder="1" applyFont="1" applyNumberFormat="1">
      <alignment horizontal="center" vertical="center"/>
    </xf>
    <xf borderId="0" fillId="0" fontId="14" numFmtId="16" xfId="0" applyAlignment="1" applyFont="1" applyNumberFormat="1">
      <alignment vertical="bottom"/>
    </xf>
    <xf borderId="15" fillId="0" fontId="14" numFmtId="4" xfId="0" applyAlignment="1" applyBorder="1" applyFont="1" applyNumberFormat="1">
      <alignment vertical="bottom"/>
    </xf>
    <xf borderId="15" fillId="0" fontId="23" numFmtId="0" xfId="0" applyAlignment="1" applyBorder="1" applyFont="1">
      <alignment vertical="bottom"/>
    </xf>
    <xf borderId="15" fillId="0" fontId="14" numFmtId="4" xfId="0" applyAlignment="1" applyBorder="1" applyFont="1" applyNumberFormat="1">
      <alignment horizontal="center" vertical="bottom"/>
    </xf>
    <xf borderId="15" fillId="0" fontId="39" numFmtId="0" xfId="0" applyBorder="1" applyFont="1"/>
    <xf borderId="15" fillId="0" fontId="39" numFmtId="0" xfId="0" applyAlignment="1" applyBorder="1" applyFont="1">
      <alignment shrinkToFit="0" wrapText="1"/>
    </xf>
    <xf borderId="0" fillId="0" fontId="40" numFmtId="0" xfId="0" applyAlignment="1" applyFont="1">
      <alignment horizontal="right" vertical="bottom"/>
    </xf>
    <xf borderId="0" fillId="0" fontId="41" numFmtId="0" xfId="0" applyAlignment="1" applyFont="1">
      <alignment horizontal="center" vertical="bottom"/>
    </xf>
    <xf borderId="0" fillId="0" fontId="25" numFmtId="0" xfId="0" applyAlignment="1" applyFont="1">
      <alignment horizontal="center" shrinkToFit="0" wrapText="0"/>
    </xf>
    <xf borderId="24" fillId="0" fontId="24" numFmtId="0" xfId="0" applyAlignment="1" applyBorder="1" applyFont="1">
      <alignment horizontal="center" vertical="bottom"/>
    </xf>
    <xf borderId="24" fillId="0" fontId="7" numFmtId="0" xfId="0" applyBorder="1" applyFont="1"/>
    <xf borderId="19" fillId="0" fontId="24" numFmtId="0" xfId="0" applyAlignment="1" applyBorder="1" applyFont="1">
      <alignment vertical="bottom"/>
    </xf>
    <xf borderId="0" fillId="0" fontId="25" numFmtId="0" xfId="0" applyAlignment="1" applyFont="1">
      <alignment vertical="bottom"/>
    </xf>
    <xf borderId="13" fillId="0" fontId="14" numFmtId="166" xfId="0" applyAlignment="1" applyBorder="1" applyFont="1" applyNumberFormat="1">
      <alignment vertical="bottom"/>
    </xf>
    <xf borderId="13" fillId="0" fontId="14" numFmtId="0" xfId="0" applyAlignment="1" applyBorder="1" applyFont="1">
      <alignment vertical="bottom"/>
    </xf>
    <xf borderId="25" fillId="0" fontId="14" numFmtId="0" xfId="0" applyAlignment="1" applyBorder="1" applyFont="1">
      <alignment vertical="bottom"/>
    </xf>
    <xf borderId="24" fillId="0" fontId="14" numFmtId="0" xfId="0" applyAlignment="1" applyBorder="1" applyFont="1">
      <alignment vertical="bottom"/>
    </xf>
    <xf borderId="7" fillId="0" fontId="14" numFmtId="0" xfId="0" applyAlignment="1" applyBorder="1" applyFont="1">
      <alignment vertical="bottom"/>
    </xf>
    <xf borderId="17" fillId="0" fontId="25" numFmtId="0" xfId="0" applyAlignment="1" applyBorder="1" applyFont="1">
      <alignment vertical="bottom"/>
    </xf>
    <xf borderId="7" fillId="0" fontId="25" numFmtId="0" xfId="0" applyAlignment="1" applyBorder="1" applyFont="1">
      <alignment horizontal="center" vertical="bottom"/>
    </xf>
    <xf borderId="24" fillId="0" fontId="25" numFmtId="0" xfId="0" applyAlignment="1" applyBorder="1" applyFont="1">
      <alignment horizontal="center" vertical="bottom"/>
    </xf>
    <xf borderId="21" fillId="0" fontId="14" numFmtId="0" xfId="0" applyAlignment="1" applyBorder="1" applyFont="1">
      <alignment vertical="top"/>
    </xf>
    <xf borderId="13" fillId="0" fontId="42" numFmtId="0" xfId="0" applyAlignment="1" applyBorder="1" applyFont="1">
      <alignment vertical="top"/>
    </xf>
    <xf borderId="13" fillId="0" fontId="14" numFmtId="0" xfId="0" applyAlignment="1" applyBorder="1" applyFont="1">
      <alignment shrinkToFit="0" vertical="top" wrapText="1"/>
    </xf>
    <xf borderId="13" fillId="4" fontId="43" numFmtId="0" xfId="0" applyAlignment="1" applyBorder="1" applyFont="1">
      <alignment horizontal="center" vertical="top"/>
    </xf>
    <xf borderId="13" fillId="0" fontId="42" numFmtId="4" xfId="0" applyAlignment="1" applyBorder="1" applyFont="1" applyNumberFormat="1">
      <alignment vertical="top"/>
    </xf>
    <xf borderId="0" fillId="0" fontId="42" numFmtId="4" xfId="0" applyAlignment="1" applyFont="1" applyNumberFormat="1">
      <alignment vertical="top"/>
    </xf>
    <xf borderId="19" fillId="0" fontId="14" numFmtId="0" xfId="0" applyAlignment="1" applyBorder="1" applyFont="1">
      <alignment vertical="top"/>
    </xf>
    <xf borderId="19" fillId="0" fontId="42" numFmtId="0" xfId="0" applyAlignment="1" applyBorder="1" applyFont="1">
      <alignment horizontal="center" vertical="bottom"/>
    </xf>
    <xf borderId="21" fillId="0" fontId="14" numFmtId="0" xfId="0" applyBorder="1" applyFont="1"/>
    <xf borderId="13" fillId="0" fontId="42" numFmtId="0" xfId="0" applyAlignment="1" applyBorder="1" applyFont="1">
      <alignment horizontal="center" vertical="bottom"/>
    </xf>
    <xf borderId="0" fillId="0" fontId="42" numFmtId="0" xfId="0" applyAlignment="1" applyFont="1">
      <alignment vertical="top"/>
    </xf>
    <xf borderId="21" fillId="0" fontId="44" numFmtId="0" xfId="0" applyAlignment="1" applyBorder="1" applyFont="1">
      <alignment shrinkToFit="0" wrapText="1"/>
    </xf>
    <xf borderId="13" fillId="0" fontId="14" numFmtId="0" xfId="0" applyAlignment="1" applyBorder="1" applyFont="1">
      <alignment vertical="top"/>
    </xf>
    <xf quotePrefix="1" borderId="13" fillId="0" fontId="14" numFmtId="0" xfId="0" applyAlignment="1" applyBorder="1" applyFont="1">
      <alignment shrinkToFit="0" wrapText="1"/>
    </xf>
    <xf borderId="17" fillId="0" fontId="14" numFmtId="0" xfId="0" applyAlignment="1" applyBorder="1" applyFont="1">
      <alignment vertical="bottom"/>
    </xf>
    <xf borderId="7" fillId="0" fontId="45" numFmtId="0" xfId="0" applyAlignment="1" applyBorder="1" applyFont="1">
      <alignment shrinkToFit="0" vertical="bottom" wrapText="1"/>
    </xf>
    <xf borderId="24" fillId="0" fontId="23" numFmtId="4" xfId="0" applyAlignment="1" applyBorder="1" applyFont="1" applyNumberFormat="1">
      <alignment horizontal="right" shrinkToFit="0" vertical="bottom" wrapText="1"/>
    </xf>
    <xf borderId="25" fillId="0" fontId="10" numFmtId="0" xfId="0" applyAlignment="1" applyBorder="1" applyFont="1">
      <alignment vertical="bottom"/>
    </xf>
    <xf borderId="19" fillId="0" fontId="14" numFmtId="0" xfId="0" applyAlignment="1" applyBorder="1" applyFont="1">
      <alignment vertical="bottom"/>
    </xf>
    <xf borderId="0" fillId="0" fontId="14" numFmtId="0" xfId="0" applyAlignment="1" applyFont="1">
      <alignment shrinkToFit="0" vertical="bottom" wrapText="0"/>
    </xf>
    <xf borderId="19" fillId="0" fontId="14" numFmtId="0" xfId="0" applyAlignment="1" applyBorder="1" applyFont="1">
      <alignment shrinkToFit="0" vertical="bottom" wrapText="0"/>
    </xf>
    <xf borderId="13" fillId="0" fontId="46" numFmtId="0" xfId="0" applyAlignment="1" applyBorder="1" applyFont="1">
      <alignment horizontal="center" vertical="bottom"/>
    </xf>
    <xf borderId="0" fillId="0" fontId="47" numFmtId="0" xfId="0" applyAlignment="1" applyFont="1">
      <alignment horizontal="center" vertical="bottom"/>
    </xf>
    <xf borderId="13" fillId="0" fontId="25" numFmtId="0" xfId="0" applyAlignment="1" applyBorder="1" applyFont="1">
      <alignment horizontal="center" vertical="bottom"/>
    </xf>
    <xf borderId="0" fillId="0" fontId="25" numFmtId="0" xfId="0" applyAlignment="1" applyFont="1">
      <alignment horizontal="center" vertical="bottom"/>
    </xf>
    <xf borderId="7" fillId="0" fontId="42" numFmtId="167" xfId="0" applyAlignment="1" applyBorder="1" applyFont="1" applyNumberFormat="1">
      <alignment horizontal="center" vertical="bottom"/>
    </xf>
    <xf borderId="0" fillId="0" fontId="39" numFmtId="0" xfId="0" applyAlignment="1" applyFont="1">
      <alignment vertical="bottom"/>
    </xf>
    <xf borderId="0" fillId="6" fontId="40" numFmtId="0" xfId="0" applyAlignment="1" applyFill="1" applyFont="1">
      <alignment horizontal="right" vertical="bottom"/>
    </xf>
    <xf borderId="0" fillId="6" fontId="41" numFmtId="0" xfId="0" applyAlignment="1" applyFont="1">
      <alignment horizontal="center" vertical="bottom"/>
    </xf>
    <xf borderId="24" fillId="6" fontId="24" numFmtId="0" xfId="0" applyAlignment="1" applyBorder="1" applyFont="1">
      <alignment horizontal="center" vertical="bottom"/>
    </xf>
    <xf borderId="19" fillId="6" fontId="24" numFmtId="0" xfId="0" applyAlignment="1" applyBorder="1" applyFont="1">
      <alignment vertical="bottom"/>
    </xf>
    <xf borderId="0" fillId="6" fontId="14" numFmtId="0" xfId="0" applyAlignment="1" applyFont="1">
      <alignment vertical="bottom"/>
    </xf>
    <xf borderId="0" fillId="6" fontId="24" numFmtId="0" xfId="0" applyAlignment="1" applyFont="1">
      <alignment vertical="bottom"/>
    </xf>
    <xf borderId="0" fillId="6" fontId="25" numFmtId="0" xfId="0" applyAlignment="1" applyFont="1">
      <alignment vertical="bottom"/>
    </xf>
    <xf borderId="13" fillId="6" fontId="14" numFmtId="166" xfId="0" applyAlignment="1" applyBorder="1" applyFont="1" applyNumberFormat="1">
      <alignment vertical="bottom"/>
    </xf>
    <xf borderId="13" fillId="6" fontId="14" numFmtId="0" xfId="0" applyAlignment="1" applyBorder="1" applyFont="1">
      <alignment vertical="bottom"/>
    </xf>
    <xf borderId="25" fillId="6" fontId="14" numFmtId="0" xfId="0" applyAlignment="1" applyBorder="1" applyFont="1">
      <alignment vertical="bottom"/>
    </xf>
    <xf borderId="24" fillId="6" fontId="14" numFmtId="0" xfId="0" applyAlignment="1" applyBorder="1" applyFont="1">
      <alignment vertical="bottom"/>
    </xf>
    <xf borderId="7" fillId="6" fontId="14" numFmtId="0" xfId="0" applyAlignment="1" applyBorder="1" applyFont="1">
      <alignment vertical="bottom"/>
    </xf>
    <xf borderId="17" fillId="6" fontId="25" numFmtId="0" xfId="0" applyAlignment="1" applyBorder="1" applyFont="1">
      <alignment vertical="bottom"/>
    </xf>
    <xf borderId="7" fillId="6" fontId="25" numFmtId="0" xfId="0" applyAlignment="1" applyBorder="1" applyFont="1">
      <alignment horizontal="center" vertical="bottom"/>
    </xf>
    <xf borderId="24" fillId="6" fontId="25" numFmtId="0" xfId="0" applyAlignment="1" applyBorder="1" applyFont="1">
      <alignment horizontal="center" vertical="bottom"/>
    </xf>
    <xf borderId="21" fillId="6" fontId="14" numFmtId="0" xfId="0" applyAlignment="1" applyBorder="1" applyFont="1">
      <alignment vertical="top"/>
    </xf>
    <xf borderId="13" fillId="6" fontId="14" numFmtId="0" xfId="0" applyAlignment="1" applyBorder="1" applyFont="1">
      <alignment horizontal="center" vertical="top"/>
    </xf>
    <xf borderId="13" fillId="6" fontId="23" numFmtId="0" xfId="0" applyAlignment="1" applyBorder="1" applyFont="1">
      <alignment shrinkToFit="0" wrapText="1"/>
    </xf>
    <xf borderId="13" fillId="6" fontId="14" numFmtId="4" xfId="0" applyAlignment="1" applyBorder="1" applyFont="1" applyNumberFormat="1">
      <alignment vertical="top"/>
    </xf>
    <xf borderId="0" fillId="6" fontId="14" numFmtId="0" xfId="0" applyAlignment="1" applyFont="1">
      <alignment vertical="top"/>
    </xf>
    <xf borderId="13" fillId="6" fontId="14" numFmtId="0" xfId="0" applyAlignment="1" applyBorder="1" applyFont="1">
      <alignment vertical="top"/>
    </xf>
    <xf borderId="13" fillId="6" fontId="14" numFmtId="0" xfId="0" applyBorder="1" applyFont="1"/>
    <xf borderId="21" fillId="6" fontId="14" numFmtId="0" xfId="0" applyAlignment="1" applyBorder="1" applyFont="1">
      <alignment horizontal="center" shrinkToFit="0" vertical="top" wrapText="1"/>
    </xf>
    <xf borderId="13" fillId="6" fontId="14" numFmtId="0" xfId="0" applyAlignment="1" applyBorder="1" applyFont="1">
      <alignment horizontal="center" shrinkToFit="0" vertical="top" wrapText="1"/>
    </xf>
    <xf borderId="13" fillId="6" fontId="14" numFmtId="0" xfId="0" applyAlignment="1" applyBorder="1" applyFont="1">
      <alignment shrinkToFit="0" wrapText="1"/>
    </xf>
    <xf borderId="13" fillId="6" fontId="14" numFmtId="4" xfId="0" applyAlignment="1" applyBorder="1" applyFont="1" applyNumberFormat="1">
      <alignment horizontal="right" shrinkToFit="0" vertical="top" wrapText="1"/>
    </xf>
    <xf quotePrefix="1" borderId="13" fillId="6" fontId="14" numFmtId="0" xfId="0" applyAlignment="1" applyBorder="1" applyFont="1">
      <alignment shrinkToFit="0" wrapText="1"/>
    </xf>
    <xf borderId="17" fillId="6" fontId="14" numFmtId="0" xfId="0" applyAlignment="1" applyBorder="1" applyFont="1">
      <alignment vertical="bottom"/>
    </xf>
    <xf borderId="7" fillId="6" fontId="45" numFmtId="0" xfId="0" applyAlignment="1" applyBorder="1" applyFont="1">
      <alignment shrinkToFit="0" vertical="bottom" wrapText="1"/>
    </xf>
    <xf borderId="7" fillId="6" fontId="23" numFmtId="4" xfId="0" applyAlignment="1" applyBorder="1" applyFont="1" applyNumberFormat="1">
      <alignment horizontal="right" vertical="bottom"/>
    </xf>
    <xf borderId="25" fillId="6" fontId="10" numFmtId="0" xfId="0" applyAlignment="1" applyBorder="1" applyFont="1">
      <alignment vertical="bottom"/>
    </xf>
    <xf borderId="19" fillId="6" fontId="14" numFmtId="0" xfId="0" applyAlignment="1" applyBorder="1" applyFont="1">
      <alignment vertical="bottom"/>
    </xf>
    <xf borderId="0" fillId="6" fontId="14" numFmtId="0" xfId="0" applyAlignment="1" applyFont="1">
      <alignment shrinkToFit="0" vertical="bottom" wrapText="0"/>
    </xf>
    <xf borderId="19" fillId="6" fontId="14" numFmtId="0" xfId="0" applyAlignment="1" applyBorder="1" applyFont="1">
      <alignment shrinkToFit="0" vertical="bottom" wrapText="0"/>
    </xf>
    <xf borderId="13" fillId="6" fontId="48" numFmtId="0" xfId="0" applyAlignment="1" applyBorder="1" applyFont="1">
      <alignment horizontal="center" vertical="bottom"/>
    </xf>
    <xf borderId="0" fillId="6" fontId="49" numFmtId="0" xfId="0" applyAlignment="1" applyFont="1">
      <alignment horizontal="center" vertical="bottom"/>
    </xf>
    <xf borderId="13" fillId="6" fontId="25" numFmtId="0" xfId="0" applyAlignment="1" applyBorder="1" applyFont="1">
      <alignment horizontal="center" vertical="bottom"/>
    </xf>
    <xf borderId="0" fillId="6" fontId="25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13" fillId="0" fontId="14" numFmtId="0" xfId="0" applyAlignment="1" applyBorder="1" applyFont="1">
      <alignment horizontal="center" vertical="top"/>
    </xf>
    <xf borderId="13" fillId="0" fontId="23" numFmtId="0" xfId="0" applyAlignment="1" applyBorder="1" applyFont="1">
      <alignment shrinkToFit="0" wrapText="1"/>
    </xf>
    <xf borderId="13" fillId="0" fontId="14" numFmtId="4" xfId="0" applyAlignment="1" applyBorder="1" applyFont="1" applyNumberFormat="1">
      <alignment vertical="top"/>
    </xf>
    <xf borderId="0" fillId="0" fontId="14" numFmtId="0" xfId="0" applyAlignment="1" applyFont="1">
      <alignment vertical="top"/>
    </xf>
    <xf borderId="13" fillId="0" fontId="14" numFmtId="0" xfId="0" applyBorder="1" applyFont="1"/>
    <xf borderId="21" fillId="0" fontId="14" numFmtId="0" xfId="0" applyAlignment="1" applyBorder="1" applyFont="1">
      <alignment horizontal="center" shrinkToFit="0" vertical="top" wrapText="1"/>
    </xf>
    <xf borderId="13" fillId="0" fontId="14" numFmtId="0" xfId="0" applyAlignment="1" applyBorder="1" applyFont="1">
      <alignment horizontal="center" shrinkToFit="0" vertical="top" wrapText="1"/>
    </xf>
    <xf borderId="13" fillId="0" fontId="14" numFmtId="0" xfId="0" applyAlignment="1" applyBorder="1" applyFont="1">
      <alignment shrinkToFit="0" wrapText="1"/>
    </xf>
    <xf borderId="13" fillId="0" fontId="14" numFmtId="4" xfId="0" applyAlignment="1" applyBorder="1" applyFont="1" applyNumberFormat="1">
      <alignment horizontal="right" shrinkToFit="0" vertical="top" wrapText="1"/>
    </xf>
    <xf borderId="13" fillId="4" fontId="14" numFmtId="0" xfId="0" applyAlignment="1" applyBorder="1" applyFont="1">
      <alignment vertical="bottom"/>
    </xf>
    <xf borderId="7" fillId="0" fontId="23" numFmtId="4" xfId="0" applyAlignment="1" applyBorder="1" applyFont="1" applyNumberFormat="1">
      <alignment horizontal="right" vertical="bottom"/>
    </xf>
    <xf borderId="0" fillId="0" fontId="25" numFmtId="167" xfId="0" applyAlignment="1" applyFont="1" applyNumberFormat="1">
      <alignment horizontal="center" vertical="bottom"/>
    </xf>
    <xf borderId="25" fillId="0" fontId="39" numFmtId="0" xfId="0" applyAlignment="1" applyBorder="1" applyFont="1">
      <alignment vertical="bottom"/>
    </xf>
    <xf borderId="24" fillId="0" fontId="39" numFmtId="0" xfId="0" applyAlignment="1" applyBorder="1" applyFont="1">
      <alignment vertical="bottom"/>
    </xf>
    <xf borderId="7" fillId="0" fontId="39" numFmtId="0" xfId="0" applyAlignment="1" applyBorder="1" applyFont="1">
      <alignment vertical="bottom"/>
    </xf>
    <xf borderId="21" fillId="0" fontId="39" numFmtId="0" xfId="0" applyAlignment="1" applyBorder="1" applyFont="1">
      <alignment vertical="top"/>
    </xf>
    <xf borderId="13" fillId="4" fontId="2" numFmtId="0" xfId="0" applyAlignment="1" applyBorder="1" applyFont="1">
      <alignment horizontal="center" vertical="top"/>
    </xf>
    <xf borderId="13" fillId="0" fontId="14" numFmtId="4" xfId="0" applyAlignment="1" applyBorder="1" applyFont="1" applyNumberFormat="1">
      <alignment horizontal="center" vertical="top"/>
    </xf>
    <xf borderId="0" fillId="0" fontId="14" numFmtId="4" xfId="0" applyAlignment="1" applyFont="1" applyNumberFormat="1">
      <alignment vertical="top"/>
    </xf>
    <xf borderId="13" fillId="0" fontId="39" numFmtId="0" xfId="0" applyAlignment="1" applyBorder="1" applyFont="1">
      <alignment vertical="top"/>
    </xf>
    <xf borderId="13" fillId="0" fontId="39" numFmtId="0" xfId="0" applyBorder="1" applyFont="1"/>
    <xf borderId="13" fillId="0" fontId="39" numFmtId="4" xfId="0" applyAlignment="1" applyBorder="1" applyFont="1" applyNumberFormat="1">
      <alignment vertical="top"/>
    </xf>
    <xf borderId="0" fillId="0" fontId="39" numFmtId="0" xfId="0" applyAlignment="1" applyFont="1">
      <alignment vertical="top"/>
    </xf>
    <xf borderId="21" fillId="0" fontId="39" numFmtId="0" xfId="0" applyAlignment="1" applyBorder="1" applyFont="1">
      <alignment horizontal="center" shrinkToFit="0" vertical="top" wrapText="1"/>
    </xf>
    <xf borderId="13" fillId="0" fontId="39" numFmtId="0" xfId="0" applyAlignment="1" applyBorder="1" applyFont="1">
      <alignment horizontal="center" shrinkToFit="0" vertical="top" wrapText="1"/>
    </xf>
    <xf borderId="13" fillId="0" fontId="39" numFmtId="0" xfId="0" applyAlignment="1" applyBorder="1" applyFont="1">
      <alignment shrinkToFit="0" wrapText="1"/>
    </xf>
    <xf borderId="13" fillId="0" fontId="39" numFmtId="4" xfId="0" applyAlignment="1" applyBorder="1" applyFont="1" applyNumberFormat="1">
      <alignment horizontal="right" shrinkToFit="0" vertical="top" wrapText="1"/>
    </xf>
    <xf quotePrefix="1" borderId="13" fillId="0" fontId="39" numFmtId="0" xfId="0" applyAlignment="1" applyBorder="1" applyFont="1">
      <alignment shrinkToFit="0" wrapText="1"/>
    </xf>
    <xf borderId="13" fillId="0" fontId="39" numFmtId="0" xfId="0" applyAlignment="1" applyBorder="1" applyFont="1">
      <alignment vertical="bottom"/>
    </xf>
    <xf borderId="13" fillId="4" fontId="39" numFmtId="0" xfId="0" applyAlignment="1" applyBorder="1" applyFont="1">
      <alignment vertical="bottom"/>
    </xf>
    <xf borderId="17" fillId="0" fontId="39" numFmtId="0" xfId="0" applyAlignment="1" applyBorder="1" applyFont="1">
      <alignment vertical="bottom"/>
    </xf>
    <xf borderId="19" fillId="0" fontId="39" numFmtId="0" xfId="0" applyAlignment="1" applyBorder="1" applyFont="1">
      <alignment vertical="bottom"/>
    </xf>
    <xf borderId="19" fillId="0" fontId="39" numFmtId="0" xfId="0" applyAlignment="1" applyBorder="1" applyFont="1">
      <alignment shrinkToFit="0" vertical="bottom" wrapText="0"/>
    </xf>
    <xf borderId="0" fillId="0" fontId="13" numFmtId="0" xfId="0" applyAlignment="1" applyFont="1">
      <alignment horizontal="center" vertical="bottom"/>
    </xf>
    <xf borderId="24" fillId="0" fontId="23" numFmtId="4" xfId="0" applyAlignment="1" applyBorder="1" applyFont="1" applyNumberFormat="1">
      <alignment vertical="bottom"/>
    </xf>
    <xf borderId="13" fillId="0" fontId="39" numFmtId="166" xfId="0" applyAlignment="1" applyBorder="1" applyFont="1" applyNumberFormat="1">
      <alignment vertical="bottom"/>
    </xf>
    <xf borderId="7" fillId="0" fontId="50" numFmtId="0" xfId="0" applyAlignment="1" applyBorder="1" applyFont="1">
      <alignment shrinkToFit="0" vertical="bottom" wrapText="1"/>
    </xf>
    <xf borderId="0" fillId="0" fontId="39" numFmtId="0" xfId="0" applyAlignment="1" applyFont="1">
      <alignment shrinkToFit="0" vertical="bottom" wrapText="0"/>
    </xf>
    <xf borderId="13" fillId="0" fontId="42" numFmtId="0" xfId="0" applyAlignment="1" applyBorder="1" applyFont="1">
      <alignment shrinkToFit="0" wrapText="1"/>
    </xf>
    <xf borderId="21" fillId="0" fontId="42" numFmtId="0" xfId="0" applyAlignment="1" applyBorder="1" applyFont="1">
      <alignment horizontal="center" vertical="bottom"/>
    </xf>
    <xf borderId="0" fillId="4" fontId="43" numFmtId="0" xfId="0" applyAlignment="1" applyFont="1">
      <alignment horizontal="left"/>
    </xf>
    <xf borderId="19" fillId="0" fontId="14" numFmtId="0" xfId="0" applyAlignment="1" applyBorder="1" applyFont="1">
      <alignment horizontal="center" shrinkToFit="0" vertical="top" wrapText="1"/>
    </xf>
    <xf borderId="0" fillId="0" fontId="42" numFmtId="0" xfId="0" applyAlignment="1" applyFont="1">
      <alignment shrinkToFit="0" wrapText="1"/>
    </xf>
    <xf borderId="0" fillId="0" fontId="42" numFmtId="0" xfId="0" applyFont="1"/>
    <xf borderId="12" fillId="0" fontId="23" numFmtId="0" xfId="0" applyAlignment="1" applyBorder="1" applyFont="1">
      <alignment shrinkToFit="0" vertical="bottom" wrapText="1"/>
    </xf>
    <xf borderId="21" fillId="0" fontId="1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</xdr:row>
      <xdr:rowOff>171450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790575</xdr:colOff>
      <xdr:row>23</xdr:row>
      <xdr:rowOff>152400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1409700</xdr:colOff>
      <xdr:row>1</xdr:row>
      <xdr:rowOff>171450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1409700</xdr:colOff>
      <xdr:row>29</xdr:row>
      <xdr:rowOff>180975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695325</xdr:colOff>
      <xdr:row>1</xdr:row>
      <xdr:rowOff>171450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695325</xdr:colOff>
      <xdr:row>27</xdr:row>
      <xdr:rowOff>190500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695325</xdr:colOff>
      <xdr:row>1</xdr:row>
      <xdr:rowOff>171450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647700</xdr:colOff>
      <xdr:row>25</xdr:row>
      <xdr:rowOff>190500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695325</xdr:colOff>
      <xdr:row>1</xdr:row>
      <xdr:rowOff>171450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685800</xdr:colOff>
      <xdr:row>24</xdr:row>
      <xdr:rowOff>190500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</xdr:row>
      <xdr:rowOff>171450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790575</xdr:colOff>
      <xdr:row>27</xdr:row>
      <xdr:rowOff>152400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</xdr:row>
      <xdr:rowOff>171450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790575</xdr:colOff>
      <xdr:row>25</xdr:row>
      <xdr:rowOff>152400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</xdr:row>
      <xdr:rowOff>171450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790575</xdr:colOff>
      <xdr:row>23</xdr:row>
      <xdr:rowOff>152400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</xdr:row>
      <xdr:rowOff>171450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790575</xdr:colOff>
      <xdr:row>23</xdr:row>
      <xdr:rowOff>152400</xdr:rowOff>
    </xdr:from>
    <xdr:ext cx="4476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0"/>
    <col customWidth="1" min="3" max="3" width="52.63"/>
    <col customWidth="1" min="4" max="5" width="12.63"/>
    <col customWidth="1" min="6" max="6" width="17.0"/>
    <col customWidth="1" min="7" max="7" width="27.0"/>
    <col customWidth="1" min="8" max="8" width="15.13"/>
    <col customWidth="1" min="14" max="14" width="21.63"/>
    <col customWidth="1" min="15" max="35" width="0.38"/>
  </cols>
  <sheetData>
    <row r="1" ht="15.75" customHeight="1">
      <c r="A1" s="1" t="s">
        <v>0</v>
      </c>
      <c r="AK1" s="2"/>
      <c r="AL1" s="2"/>
    </row>
    <row r="2" ht="15.75" customHeight="1">
      <c r="A2" s="3" t="s">
        <v>1</v>
      </c>
      <c r="AK2" s="2"/>
      <c r="AL2" s="2"/>
    </row>
    <row r="3" ht="15.75" customHeight="1">
      <c r="A3" s="4" t="s">
        <v>2</v>
      </c>
      <c r="D3" s="5"/>
      <c r="E3" s="6"/>
      <c r="F3" s="7"/>
      <c r="G3" s="8"/>
      <c r="H3" s="8"/>
      <c r="I3" s="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2"/>
      <c r="AK3" s="2"/>
      <c r="AL3" s="2"/>
    </row>
    <row r="4" ht="15.75" customHeight="1">
      <c r="A4" s="10"/>
      <c r="B4" s="5"/>
      <c r="C4" s="5"/>
      <c r="D4" s="2"/>
      <c r="E4" s="3"/>
      <c r="F4" s="7"/>
      <c r="G4" s="11"/>
      <c r="H4" s="11"/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5.75" customHeight="1">
      <c r="A5" s="4" t="s">
        <v>3</v>
      </c>
      <c r="H5" s="12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 ht="15.75" customHeight="1">
      <c r="A6" s="10" t="s">
        <v>4</v>
      </c>
      <c r="D6" s="2"/>
      <c r="E6" s="3"/>
      <c r="F6" s="7"/>
      <c r="G6" s="11"/>
      <c r="H6" s="11"/>
      <c r="I6" s="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15.75" customHeight="1">
      <c r="A7" s="15" t="s">
        <v>5</v>
      </c>
      <c r="B7" s="16" t="s">
        <v>6</v>
      </c>
      <c r="C7" s="16" t="s">
        <v>7</v>
      </c>
      <c r="D7" s="17" t="s">
        <v>8</v>
      </c>
      <c r="E7" s="18" t="s">
        <v>9</v>
      </c>
      <c r="F7" s="19" t="s">
        <v>10</v>
      </c>
      <c r="G7" s="19" t="s">
        <v>11</v>
      </c>
      <c r="H7" s="16" t="s">
        <v>12</v>
      </c>
      <c r="I7" s="20" t="s">
        <v>13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2"/>
      <c r="AJ7" s="23"/>
      <c r="AK7" s="24"/>
      <c r="AL7" s="24"/>
    </row>
    <row r="8" ht="15.75" customHeight="1">
      <c r="A8" s="25"/>
      <c r="B8" s="26"/>
      <c r="C8" s="26"/>
      <c r="D8" s="27" t="s">
        <v>14</v>
      </c>
      <c r="E8" s="26"/>
      <c r="F8" s="26"/>
      <c r="G8" s="26"/>
      <c r="H8" s="26"/>
      <c r="I8" s="27" t="s">
        <v>15</v>
      </c>
      <c r="J8" s="27" t="s">
        <v>16</v>
      </c>
      <c r="K8" s="27" t="s">
        <v>17</v>
      </c>
      <c r="L8" s="28" t="s">
        <v>18</v>
      </c>
      <c r="M8" s="28" t="s">
        <v>19</v>
      </c>
      <c r="N8" s="27" t="s">
        <v>20</v>
      </c>
      <c r="O8" s="27" t="s">
        <v>21</v>
      </c>
      <c r="P8" s="27" t="s">
        <v>22</v>
      </c>
      <c r="Q8" s="27" t="s">
        <v>23</v>
      </c>
      <c r="R8" s="27" t="s">
        <v>24</v>
      </c>
      <c r="S8" s="27" t="s">
        <v>25</v>
      </c>
      <c r="T8" s="27" t="s">
        <v>26</v>
      </c>
      <c r="U8" s="27" t="s">
        <v>27</v>
      </c>
      <c r="V8" s="27" t="s">
        <v>28</v>
      </c>
      <c r="W8" s="27" t="s">
        <v>29</v>
      </c>
      <c r="X8" s="27" t="s">
        <v>30</v>
      </c>
      <c r="Y8" s="27" t="s">
        <v>31</v>
      </c>
      <c r="Z8" s="27" t="s">
        <v>32</v>
      </c>
      <c r="AA8" s="27" t="s">
        <v>33</v>
      </c>
      <c r="AB8" s="27" t="s">
        <v>34</v>
      </c>
      <c r="AC8" s="27" t="s">
        <v>35</v>
      </c>
      <c r="AD8" s="27" t="s">
        <v>36</v>
      </c>
      <c r="AE8" s="27" t="s">
        <v>37</v>
      </c>
      <c r="AF8" s="27" t="s">
        <v>38</v>
      </c>
      <c r="AG8" s="27" t="s">
        <v>39</v>
      </c>
      <c r="AH8" s="27" t="s">
        <v>40</v>
      </c>
      <c r="AI8" s="29" t="s">
        <v>41</v>
      </c>
      <c r="AJ8" s="30" t="s">
        <v>41</v>
      </c>
      <c r="AK8" s="24"/>
      <c r="AL8" s="24"/>
    </row>
    <row r="9" ht="15.75" customHeight="1">
      <c r="A9" s="31" t="s">
        <v>42</v>
      </c>
      <c r="B9" s="32" t="s">
        <v>43</v>
      </c>
      <c r="C9" s="32" t="s">
        <v>44</v>
      </c>
      <c r="D9" s="32" t="s">
        <v>45</v>
      </c>
      <c r="E9" s="33" t="s">
        <v>46</v>
      </c>
      <c r="F9" s="34" t="s">
        <v>47</v>
      </c>
      <c r="G9" s="34" t="s">
        <v>48</v>
      </c>
      <c r="H9" s="32" t="s">
        <v>49</v>
      </c>
      <c r="I9" s="32" t="s">
        <v>50</v>
      </c>
      <c r="J9" s="32" t="s">
        <v>51</v>
      </c>
      <c r="K9" s="32" t="s">
        <v>52</v>
      </c>
      <c r="L9" s="32" t="s">
        <v>53</v>
      </c>
      <c r="M9" s="32" t="s">
        <v>54</v>
      </c>
      <c r="N9" s="32" t="s">
        <v>55</v>
      </c>
      <c r="O9" s="32" t="s">
        <v>56</v>
      </c>
      <c r="P9" s="32" t="s">
        <v>57</v>
      </c>
      <c r="Q9" s="32" t="s">
        <v>58</v>
      </c>
      <c r="R9" s="32" t="s">
        <v>59</v>
      </c>
      <c r="S9" s="32" t="s">
        <v>60</v>
      </c>
      <c r="T9" s="32" t="s">
        <v>61</v>
      </c>
      <c r="U9" s="32" t="s">
        <v>62</v>
      </c>
      <c r="V9" s="32" t="s">
        <v>63</v>
      </c>
      <c r="W9" s="32" t="s">
        <v>64</v>
      </c>
      <c r="X9" s="32" t="s">
        <v>65</v>
      </c>
      <c r="Y9" s="32" t="s">
        <v>66</v>
      </c>
      <c r="Z9" s="32" t="s">
        <v>67</v>
      </c>
      <c r="AA9" s="32" t="s">
        <v>68</v>
      </c>
      <c r="AB9" s="32" t="s">
        <v>69</v>
      </c>
      <c r="AC9" s="32" t="s">
        <v>70</v>
      </c>
      <c r="AD9" s="32" t="s">
        <v>71</v>
      </c>
      <c r="AE9" s="32" t="s">
        <v>72</v>
      </c>
      <c r="AF9" s="32" t="s">
        <v>73</v>
      </c>
      <c r="AG9" s="32" t="s">
        <v>74</v>
      </c>
      <c r="AH9" s="32" t="s">
        <v>75</v>
      </c>
      <c r="AI9" s="35" t="s">
        <v>76</v>
      </c>
      <c r="AJ9" s="36" t="s">
        <v>76</v>
      </c>
      <c r="AK9" s="24"/>
      <c r="AL9" s="24"/>
    </row>
    <row r="10" ht="15.75" customHeight="1">
      <c r="A10" s="37" t="s">
        <v>77</v>
      </c>
      <c r="B10" s="38"/>
      <c r="C10" s="39" t="s">
        <v>78</v>
      </c>
      <c r="D10" s="40"/>
      <c r="E10" s="40"/>
      <c r="F10" s="41"/>
      <c r="G10" s="42"/>
      <c r="H10" s="42"/>
      <c r="I10" s="43"/>
      <c r="J10" s="42"/>
      <c r="K10" s="44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24"/>
      <c r="AL10" s="24"/>
    </row>
    <row r="11" ht="15.75" customHeight="1">
      <c r="A11" s="45"/>
      <c r="B11" s="46"/>
      <c r="C11" s="47" t="s">
        <v>79</v>
      </c>
      <c r="D11" s="40" t="s">
        <v>80</v>
      </c>
      <c r="E11" s="40">
        <v>215.0</v>
      </c>
      <c r="F11" s="41">
        <v>215.0</v>
      </c>
      <c r="G11" s="48" t="s">
        <v>81</v>
      </c>
      <c r="H11" s="49" t="s">
        <v>82</v>
      </c>
      <c r="I11" s="50">
        <v>1.0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24"/>
      <c r="AL11" s="24"/>
    </row>
    <row r="12" ht="15.75" customHeight="1">
      <c r="A12" s="37" t="s">
        <v>83</v>
      </c>
      <c r="B12" s="51"/>
      <c r="C12" s="52" t="s">
        <v>84</v>
      </c>
      <c r="D12" s="53"/>
      <c r="E12" s="53"/>
      <c r="F12" s="54"/>
      <c r="G12" s="55"/>
      <c r="H12" s="56"/>
      <c r="I12" s="57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24"/>
      <c r="AL12" s="24"/>
    </row>
    <row r="13" ht="27.75" customHeight="1">
      <c r="A13" s="45"/>
      <c r="B13" s="59"/>
      <c r="C13" s="47" t="s">
        <v>85</v>
      </c>
      <c r="D13" s="40" t="s">
        <v>86</v>
      </c>
      <c r="E13" s="40">
        <v>750.0</v>
      </c>
      <c r="F13" s="41">
        <f>40*750</f>
        <v>30000</v>
      </c>
      <c r="G13" s="60" t="s">
        <v>87</v>
      </c>
      <c r="H13" s="49" t="s">
        <v>82</v>
      </c>
      <c r="I13" s="50">
        <v>40.0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24"/>
      <c r="AL13" s="24"/>
    </row>
    <row r="14" ht="15.75" customHeight="1">
      <c r="A14" s="45"/>
      <c r="B14" s="61"/>
      <c r="C14" s="62" t="s">
        <v>88</v>
      </c>
      <c r="D14" s="40" t="s">
        <v>89</v>
      </c>
      <c r="E14" s="40">
        <v>1000.0</v>
      </c>
      <c r="F14" s="41">
        <f>50*1000</f>
        <v>50000</v>
      </c>
      <c r="G14" s="60" t="s">
        <v>87</v>
      </c>
      <c r="H14" s="49" t="s">
        <v>82</v>
      </c>
      <c r="I14" s="50">
        <v>50.0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24"/>
      <c r="AL14" s="24"/>
    </row>
    <row r="15" ht="15.75" customHeight="1">
      <c r="A15" s="45"/>
      <c r="B15" s="61"/>
      <c r="C15" s="62" t="s">
        <v>90</v>
      </c>
      <c r="D15" s="40" t="s">
        <v>86</v>
      </c>
      <c r="E15" s="40">
        <v>750.0</v>
      </c>
      <c r="F15" s="41">
        <f>40*750</f>
        <v>30000</v>
      </c>
      <c r="G15" s="60" t="s">
        <v>87</v>
      </c>
      <c r="H15" s="49" t="s">
        <v>82</v>
      </c>
      <c r="I15" s="50">
        <v>40.0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24"/>
      <c r="AL15" s="24"/>
    </row>
    <row r="16" ht="15.75" customHeight="1">
      <c r="A16" s="45"/>
      <c r="B16" s="61"/>
      <c r="C16" s="62" t="s">
        <v>91</v>
      </c>
      <c r="D16" s="40" t="s">
        <v>92</v>
      </c>
      <c r="E16" s="40">
        <v>750.0</v>
      </c>
      <c r="F16" s="41">
        <f t="shared" ref="F16:F17" si="1">30*750</f>
        <v>22500</v>
      </c>
      <c r="G16" s="60" t="s">
        <v>87</v>
      </c>
      <c r="H16" s="49" t="s">
        <v>82</v>
      </c>
      <c r="I16" s="50">
        <v>30.0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24"/>
      <c r="AL16" s="24"/>
    </row>
    <row r="17" ht="15.75" customHeight="1">
      <c r="A17" s="45"/>
      <c r="B17" s="59"/>
      <c r="C17" s="63" t="s">
        <v>93</v>
      </c>
      <c r="D17" s="40" t="s">
        <v>92</v>
      </c>
      <c r="E17" s="40">
        <v>750.0</v>
      </c>
      <c r="F17" s="41">
        <f t="shared" si="1"/>
        <v>22500</v>
      </c>
      <c r="G17" s="60" t="s">
        <v>87</v>
      </c>
      <c r="H17" s="49" t="s">
        <v>82</v>
      </c>
      <c r="I17" s="50">
        <v>30.0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24"/>
      <c r="AL17" s="24"/>
    </row>
    <row r="18" ht="15.75" customHeight="1">
      <c r="A18" s="37" t="s">
        <v>94</v>
      </c>
      <c r="B18" s="64"/>
      <c r="C18" s="65" t="s">
        <v>95</v>
      </c>
      <c r="D18" s="66"/>
      <c r="E18" s="67"/>
      <c r="F18" s="68"/>
      <c r="G18" s="69"/>
      <c r="H18" s="70"/>
      <c r="I18" s="71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24"/>
      <c r="AL18" s="24"/>
    </row>
    <row r="19" ht="15.75" customHeight="1">
      <c r="A19" s="45"/>
      <c r="B19" s="72" t="s">
        <v>96</v>
      </c>
      <c r="C19" s="73" t="s">
        <v>97</v>
      </c>
      <c r="D19" s="74" t="s">
        <v>98</v>
      </c>
      <c r="E19" s="75">
        <v>8000.0</v>
      </c>
      <c r="F19" s="76">
        <f>9*E19</f>
        <v>72000</v>
      </c>
      <c r="G19" s="77" t="s">
        <v>99</v>
      </c>
      <c r="H19" s="49" t="s">
        <v>100</v>
      </c>
      <c r="I19" s="50">
        <v>9.0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24"/>
      <c r="AL19" s="24"/>
    </row>
    <row r="20" ht="15.75" customHeight="1">
      <c r="A20" s="45"/>
      <c r="B20" s="72" t="s">
        <v>101</v>
      </c>
      <c r="C20" s="73" t="s">
        <v>102</v>
      </c>
      <c r="D20" s="74" t="s">
        <v>103</v>
      </c>
      <c r="E20" s="75">
        <v>3000.0</v>
      </c>
      <c r="F20" s="76">
        <f>E20*130</f>
        <v>390000</v>
      </c>
      <c r="G20" s="77" t="s">
        <v>99</v>
      </c>
      <c r="H20" s="49" t="s">
        <v>100</v>
      </c>
      <c r="I20" s="50">
        <v>130.0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24"/>
      <c r="AL20" s="24"/>
    </row>
    <row r="21" ht="15.75" customHeight="1">
      <c r="A21" s="45"/>
      <c r="B21" s="72" t="s">
        <v>104</v>
      </c>
      <c r="C21" s="73" t="s">
        <v>105</v>
      </c>
      <c r="D21" s="74" t="s">
        <v>106</v>
      </c>
      <c r="E21" s="75">
        <v>350.0</v>
      </c>
      <c r="F21" s="76">
        <f>180*350</f>
        <v>63000</v>
      </c>
      <c r="G21" s="77" t="s">
        <v>99</v>
      </c>
      <c r="H21" s="49" t="s">
        <v>100</v>
      </c>
      <c r="I21" s="50">
        <v>180.0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24"/>
      <c r="AL21" s="24"/>
    </row>
    <row r="22" ht="15.75" customHeight="1">
      <c r="A22" s="45"/>
      <c r="B22" s="72" t="s">
        <v>107</v>
      </c>
      <c r="C22" s="73" t="s">
        <v>108</v>
      </c>
      <c r="D22" s="74" t="s">
        <v>109</v>
      </c>
      <c r="E22" s="75">
        <v>700.0</v>
      </c>
      <c r="F22" s="78">
        <v>396000.0</v>
      </c>
      <c r="G22" s="79" t="s">
        <v>99</v>
      </c>
      <c r="H22" s="80" t="s">
        <v>100</v>
      </c>
      <c r="I22" s="50">
        <v>50.0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24"/>
      <c r="AL22" s="24"/>
    </row>
    <row r="23">
      <c r="A23" s="45"/>
      <c r="B23" s="72" t="s">
        <v>110</v>
      </c>
      <c r="C23" s="73" t="s">
        <v>111</v>
      </c>
      <c r="D23" s="74" t="s">
        <v>112</v>
      </c>
      <c r="E23" s="74">
        <v>9500.0</v>
      </c>
      <c r="F23" s="81"/>
      <c r="G23" s="81"/>
      <c r="H23" s="26"/>
      <c r="I23" s="50">
        <v>38.0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24"/>
      <c r="AL23" s="24"/>
    </row>
    <row r="24" ht="15.75" customHeight="1">
      <c r="A24" s="37" t="s">
        <v>113</v>
      </c>
      <c r="B24" s="64"/>
      <c r="C24" s="65" t="s">
        <v>114</v>
      </c>
      <c r="D24" s="66"/>
      <c r="E24" s="67"/>
      <c r="F24" s="68"/>
      <c r="G24" s="69"/>
      <c r="H24" s="82"/>
      <c r="I24" s="71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24"/>
      <c r="AL24" s="24"/>
    </row>
    <row r="25" ht="15.75" customHeight="1">
      <c r="A25" s="83"/>
      <c r="B25" s="84"/>
      <c r="C25" s="85" t="s">
        <v>115</v>
      </c>
      <c r="D25" s="86" t="s">
        <v>116</v>
      </c>
      <c r="E25" s="86">
        <v>55.0</v>
      </c>
      <c r="F25" s="87">
        <f>5000*55</f>
        <v>275000</v>
      </c>
      <c r="G25" s="88" t="s">
        <v>99</v>
      </c>
      <c r="H25" s="89" t="s">
        <v>100</v>
      </c>
      <c r="I25" s="90">
        <v>55.0</v>
      </c>
      <c r="J25" s="91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24"/>
      <c r="AL25" s="24"/>
    </row>
    <row r="26" ht="15.75" customHeight="1">
      <c r="A26" s="92"/>
      <c r="B26" s="59"/>
      <c r="C26" s="93" t="s">
        <v>117</v>
      </c>
      <c r="D26" s="94" t="s">
        <v>118</v>
      </c>
      <c r="E26" s="94">
        <v>600.0</v>
      </c>
      <c r="F26" s="95">
        <f>1500*600</f>
        <v>900000</v>
      </c>
      <c r="G26" s="88" t="s">
        <v>99</v>
      </c>
      <c r="H26" s="49" t="s">
        <v>100</v>
      </c>
      <c r="I26" s="50">
        <v>1500.0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24"/>
      <c r="AL26" s="24"/>
    </row>
    <row r="27" ht="15.75" customHeight="1">
      <c r="A27" s="96"/>
      <c r="B27" s="59"/>
      <c r="C27" s="93" t="s">
        <v>119</v>
      </c>
      <c r="D27" s="94" t="s">
        <v>118</v>
      </c>
      <c r="E27" s="94">
        <v>140.0</v>
      </c>
      <c r="F27" s="95">
        <f>1500*140</f>
        <v>210000</v>
      </c>
      <c r="G27" s="88" t="s">
        <v>99</v>
      </c>
      <c r="H27" s="49" t="s">
        <v>100</v>
      </c>
      <c r="I27" s="50">
        <v>1500.0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24"/>
      <c r="AL27" s="24"/>
    </row>
    <row r="28" ht="15.75" customHeight="1">
      <c r="A28" s="96"/>
      <c r="B28" s="97"/>
      <c r="C28" s="98" t="s">
        <v>120</v>
      </c>
      <c r="D28" s="94" t="s">
        <v>121</v>
      </c>
      <c r="E28" s="94">
        <v>150.0</v>
      </c>
      <c r="F28" s="95">
        <f>1100*150</f>
        <v>165000</v>
      </c>
      <c r="G28" s="48" t="s">
        <v>122</v>
      </c>
      <c r="H28" s="49" t="s">
        <v>100</v>
      </c>
      <c r="I28" s="50">
        <v>1100.0</v>
      </c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24"/>
      <c r="AL28" s="24"/>
    </row>
    <row r="29" ht="15.75" customHeight="1">
      <c r="A29" s="96"/>
      <c r="B29" s="84"/>
      <c r="C29" s="99" t="s">
        <v>123</v>
      </c>
      <c r="D29" s="94" t="s">
        <v>124</v>
      </c>
      <c r="E29" s="94">
        <v>6000.0</v>
      </c>
      <c r="F29" s="95">
        <v>6000.0</v>
      </c>
      <c r="G29" s="60" t="s">
        <v>125</v>
      </c>
      <c r="H29" s="49" t="s">
        <v>100</v>
      </c>
      <c r="I29" s="50">
        <v>6000.0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24"/>
      <c r="AL29" s="24"/>
    </row>
    <row r="30" ht="15.75" customHeight="1">
      <c r="A30" s="100" t="s">
        <v>126</v>
      </c>
      <c r="B30" s="101"/>
      <c r="C30" s="102" t="s">
        <v>127</v>
      </c>
      <c r="D30" s="103"/>
      <c r="E30" s="103"/>
      <c r="F30" s="104"/>
      <c r="G30" s="105"/>
      <c r="H30" s="106"/>
      <c r="I30" s="107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24"/>
      <c r="AL30" s="24"/>
    </row>
    <row r="31" ht="15.75" customHeight="1">
      <c r="A31" s="96"/>
      <c r="B31" s="109"/>
      <c r="C31" s="73" t="s">
        <v>128</v>
      </c>
      <c r="D31" s="94" t="s">
        <v>129</v>
      </c>
      <c r="E31" s="110">
        <v>14000.0</v>
      </c>
      <c r="F31" s="95">
        <f>30*14000</f>
        <v>420000</v>
      </c>
      <c r="G31" s="111" t="s">
        <v>130</v>
      </c>
      <c r="H31" s="43" t="s">
        <v>131</v>
      </c>
      <c r="I31" s="50">
        <v>30.0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24"/>
      <c r="AL31" s="24"/>
    </row>
    <row r="32" ht="15.75" customHeight="1">
      <c r="A32" s="37" t="s">
        <v>132</v>
      </c>
      <c r="B32" s="64"/>
      <c r="C32" s="39" t="s">
        <v>133</v>
      </c>
      <c r="D32" s="66"/>
      <c r="E32" s="67"/>
      <c r="F32" s="68"/>
      <c r="G32" s="69"/>
      <c r="H32" s="82"/>
      <c r="I32" s="71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24"/>
      <c r="AL32" s="24"/>
    </row>
    <row r="33" ht="15.75" customHeight="1">
      <c r="A33" s="96"/>
      <c r="B33" s="112"/>
      <c r="C33" s="113" t="s">
        <v>134</v>
      </c>
      <c r="D33" s="94" t="s">
        <v>80</v>
      </c>
      <c r="E33" s="110">
        <v>30000.0</v>
      </c>
      <c r="F33" s="95">
        <v>30000.0</v>
      </c>
      <c r="G33" s="48" t="s">
        <v>122</v>
      </c>
      <c r="H33" s="49" t="s">
        <v>100</v>
      </c>
      <c r="I33" s="50">
        <v>1.0</v>
      </c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24"/>
      <c r="AL33" s="24"/>
    </row>
    <row r="34" ht="15.75" customHeight="1">
      <c r="A34" s="96"/>
      <c r="B34" s="97"/>
      <c r="C34" s="98" t="s">
        <v>135</v>
      </c>
      <c r="D34" s="94" t="s">
        <v>80</v>
      </c>
      <c r="E34" s="94">
        <v>325000.0</v>
      </c>
      <c r="F34" s="95">
        <f>250000+75000</f>
        <v>325000</v>
      </c>
      <c r="G34" s="48" t="s">
        <v>122</v>
      </c>
      <c r="H34" s="49" t="s">
        <v>100</v>
      </c>
      <c r="I34" s="50">
        <v>1.0</v>
      </c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24"/>
      <c r="AL34" s="24"/>
    </row>
    <row r="35">
      <c r="A35" s="84"/>
      <c r="B35" s="114"/>
      <c r="C35" s="115" t="s">
        <v>136</v>
      </c>
      <c r="D35" s="94" t="s">
        <v>80</v>
      </c>
      <c r="E35" s="94">
        <v>80000.0</v>
      </c>
      <c r="F35" s="95">
        <v>80000.0</v>
      </c>
      <c r="G35" s="48" t="s">
        <v>137</v>
      </c>
      <c r="H35" s="49" t="s">
        <v>100</v>
      </c>
      <c r="I35" s="50">
        <v>1.0</v>
      </c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24"/>
      <c r="AL35" s="24"/>
    </row>
    <row r="36" ht="15.75" customHeight="1">
      <c r="A36" s="116" t="s">
        <v>138</v>
      </c>
      <c r="E36" s="117"/>
      <c r="F36" s="118">
        <f>SUM(F11:F35)</f>
        <v>3487215</v>
      </c>
      <c r="G36" s="11"/>
      <c r="H36" s="11"/>
      <c r="I36" s="9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15.75" customHeight="1">
      <c r="A37" s="119" t="s">
        <v>139</v>
      </c>
      <c r="F37" s="7"/>
      <c r="G37" s="11"/>
      <c r="H37" s="11"/>
      <c r="I37" s="9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15.75" customHeight="1">
      <c r="A38" s="120"/>
      <c r="B38" s="5"/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15.75" customHeight="1">
      <c r="A39" s="121" t="s">
        <v>140</v>
      </c>
      <c r="D39" s="122" t="s">
        <v>141</v>
      </c>
      <c r="E39" s="123"/>
      <c r="F39" s="124"/>
      <c r="G39" s="125" t="s">
        <v>142</v>
      </c>
      <c r="H39" s="126"/>
      <c r="I39" s="126"/>
      <c r="J39" s="122" t="s">
        <v>143</v>
      </c>
      <c r="K39" s="12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L39" s="127"/>
    </row>
    <row r="40" ht="15.75" customHeight="1">
      <c r="A40" s="121"/>
      <c r="B40" s="128"/>
      <c r="C40" s="128"/>
      <c r="D40" s="126"/>
      <c r="E40" s="123"/>
      <c r="F40" s="124"/>
      <c r="G40" s="126"/>
      <c r="H40" s="126"/>
      <c r="I40" s="126"/>
      <c r="J40" s="126"/>
      <c r="K40" s="12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127"/>
      <c r="AL40" s="127"/>
    </row>
    <row r="41" ht="15.75" customHeight="1">
      <c r="A41" s="128"/>
      <c r="B41" s="128"/>
      <c r="C41" s="128"/>
      <c r="D41" s="126"/>
      <c r="E41" s="123"/>
      <c r="F41" s="124"/>
      <c r="G41" s="126"/>
      <c r="H41" s="126"/>
      <c r="I41" s="126"/>
      <c r="J41" s="126"/>
      <c r="K41" s="12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127"/>
      <c r="AL41" s="127"/>
    </row>
    <row r="42" ht="15.75" customHeight="1">
      <c r="A42" s="129" t="s">
        <v>144</v>
      </c>
      <c r="D42" s="122" t="s">
        <v>145</v>
      </c>
      <c r="E42" s="123"/>
      <c r="F42" s="124"/>
      <c r="G42" s="125" t="s">
        <v>146</v>
      </c>
      <c r="H42" s="126"/>
      <c r="I42" s="126"/>
      <c r="J42" s="122" t="s">
        <v>147</v>
      </c>
      <c r="K42" s="12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15.75" customHeight="1">
      <c r="A43" s="130" t="s">
        <v>148</v>
      </c>
      <c r="D43" s="131" t="s">
        <v>149</v>
      </c>
      <c r="E43" s="123"/>
      <c r="F43" s="124"/>
      <c r="G43" s="132" t="s">
        <v>150</v>
      </c>
      <c r="H43" s="126"/>
      <c r="I43" s="126"/>
      <c r="J43" s="131" t="s">
        <v>151</v>
      </c>
      <c r="K43" s="12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127"/>
      <c r="AL43" s="127"/>
    </row>
    <row r="44" ht="15.75" customHeight="1">
      <c r="A44" s="133"/>
      <c r="B44" s="133"/>
      <c r="C44" s="133"/>
      <c r="D44" s="126"/>
      <c r="E44" s="123"/>
      <c r="F44" s="124"/>
      <c r="G44" s="126"/>
      <c r="H44" s="126"/>
      <c r="I44" s="126"/>
      <c r="J44" s="126"/>
      <c r="K44" s="12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15.75" customHeight="1">
      <c r="A45" s="133" t="s">
        <v>152</v>
      </c>
      <c r="D45" s="131" t="s">
        <v>153</v>
      </c>
      <c r="E45" s="123"/>
      <c r="F45" s="124"/>
      <c r="G45" s="132" t="s">
        <v>153</v>
      </c>
      <c r="H45" s="126"/>
      <c r="I45" s="126"/>
      <c r="J45" s="131" t="s">
        <v>153</v>
      </c>
      <c r="K45" s="12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15.75" customHeight="1">
      <c r="A46" s="133"/>
      <c r="B46" s="133"/>
      <c r="C46" s="13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15.75" customHeight="1">
      <c r="A47" s="133"/>
      <c r="B47" s="133"/>
      <c r="C47" s="13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15.75" customHeight="1">
      <c r="A48" s="133"/>
      <c r="B48" s="133"/>
      <c r="C48" s="13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5.75" customHeight="1">
      <c r="A77" s="2"/>
      <c r="B77" s="2"/>
      <c r="C77" s="2"/>
      <c r="D77" s="2"/>
      <c r="E77" s="134"/>
      <c r="F77" s="7"/>
      <c r="G77" s="8"/>
      <c r="H77" s="8"/>
      <c r="I77" s="9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5.75" customHeight="1">
      <c r="A78" s="2"/>
      <c r="B78" s="2"/>
      <c r="C78" s="2"/>
      <c r="D78" s="2"/>
      <c r="E78" s="134"/>
      <c r="F78" s="7"/>
      <c r="G78" s="8"/>
      <c r="H78" s="8"/>
      <c r="I78" s="9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5.75" customHeight="1">
      <c r="A79" s="2"/>
      <c r="B79" s="2"/>
      <c r="C79" s="2"/>
      <c r="D79" s="2"/>
      <c r="E79" s="134"/>
      <c r="F79" s="7"/>
      <c r="G79" s="8"/>
      <c r="H79" s="8"/>
      <c r="I79" s="9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5.75" customHeight="1">
      <c r="A80" s="2"/>
      <c r="B80" s="2"/>
      <c r="C80" s="2"/>
      <c r="D80" s="2"/>
      <c r="E80" s="134"/>
      <c r="F80" s="7"/>
      <c r="G80" s="8"/>
      <c r="H80" s="8"/>
      <c r="I80" s="9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5.75" customHeight="1">
      <c r="A81" s="2"/>
      <c r="B81" s="2"/>
      <c r="C81" s="2"/>
      <c r="D81" s="2"/>
      <c r="E81" s="134"/>
      <c r="F81" s="7"/>
      <c r="G81" s="8"/>
      <c r="H81" s="8"/>
      <c r="I81" s="9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5.75" customHeight="1">
      <c r="A82" s="2"/>
      <c r="B82" s="2"/>
      <c r="C82" s="2"/>
      <c r="D82" s="2"/>
      <c r="E82" s="134"/>
      <c r="F82" s="7"/>
      <c r="G82" s="8"/>
      <c r="H82" s="8"/>
      <c r="I82" s="9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5.75" customHeight="1">
      <c r="A83" s="2"/>
      <c r="B83" s="2"/>
      <c r="C83" s="2"/>
      <c r="D83" s="2"/>
      <c r="E83" s="134"/>
      <c r="F83" s="7"/>
      <c r="G83" s="8"/>
      <c r="H83" s="8"/>
      <c r="I83" s="9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5.75" customHeight="1">
      <c r="A84" s="2"/>
      <c r="B84" s="2"/>
      <c r="C84" s="2"/>
      <c r="D84" s="2"/>
      <c r="E84" s="134"/>
      <c r="F84" s="7"/>
      <c r="G84" s="8"/>
      <c r="H84" s="8"/>
      <c r="I84" s="9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5.75" customHeight="1">
      <c r="A85" s="2"/>
      <c r="B85" s="2"/>
      <c r="C85" s="2"/>
      <c r="D85" s="2"/>
      <c r="E85" s="134"/>
      <c r="F85" s="7"/>
      <c r="G85" s="8"/>
      <c r="H85" s="8"/>
      <c r="I85" s="9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5.75" customHeight="1">
      <c r="A86" s="2"/>
      <c r="B86" s="2"/>
      <c r="C86" s="2"/>
      <c r="D86" s="2"/>
      <c r="E86" s="134"/>
      <c r="F86" s="7"/>
      <c r="G86" s="8"/>
      <c r="H86" s="8"/>
      <c r="I86" s="9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5.75" customHeight="1">
      <c r="A87" s="2"/>
      <c r="B87" s="2"/>
      <c r="C87" s="2"/>
      <c r="D87" s="2"/>
      <c r="E87" s="134"/>
      <c r="F87" s="7"/>
      <c r="G87" s="8"/>
      <c r="H87" s="8"/>
      <c r="I87" s="9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5.75" customHeight="1">
      <c r="A88" s="2"/>
      <c r="B88" s="2"/>
      <c r="C88" s="2"/>
      <c r="D88" s="2"/>
      <c r="E88" s="134"/>
      <c r="F88" s="7"/>
      <c r="G88" s="8"/>
      <c r="H88" s="8"/>
      <c r="I88" s="9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5.75" customHeight="1">
      <c r="A89" s="2"/>
      <c r="B89" s="2"/>
      <c r="C89" s="2"/>
      <c r="D89" s="2"/>
      <c r="E89" s="134"/>
      <c r="F89" s="7"/>
      <c r="G89" s="8"/>
      <c r="H89" s="8"/>
      <c r="I89" s="9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5.75" customHeight="1">
      <c r="A90" s="2"/>
      <c r="B90" s="2"/>
      <c r="C90" s="2"/>
      <c r="D90" s="2"/>
      <c r="E90" s="134"/>
      <c r="F90" s="7"/>
      <c r="G90" s="8"/>
      <c r="H90" s="8"/>
      <c r="I90" s="9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5.75" customHeight="1">
      <c r="A91" s="2"/>
      <c r="B91" s="2"/>
      <c r="C91" s="2"/>
      <c r="D91" s="2"/>
      <c r="E91" s="134"/>
      <c r="F91" s="7"/>
      <c r="G91" s="8"/>
      <c r="H91" s="8"/>
      <c r="I91" s="9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5.75" customHeight="1">
      <c r="A92" s="2"/>
      <c r="B92" s="2"/>
      <c r="C92" s="2"/>
      <c r="D92" s="2"/>
      <c r="E92" s="134"/>
      <c r="F92" s="7"/>
      <c r="G92" s="8"/>
      <c r="H92" s="8"/>
      <c r="I92" s="9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5.75" customHeight="1">
      <c r="A93" s="2"/>
      <c r="B93" s="2"/>
      <c r="C93" s="2"/>
      <c r="D93" s="2"/>
      <c r="E93" s="134"/>
      <c r="F93" s="7"/>
      <c r="G93" s="8"/>
      <c r="H93" s="8"/>
      <c r="I93" s="9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5.75" customHeight="1">
      <c r="A94" s="2"/>
      <c r="B94" s="2"/>
      <c r="C94" s="2"/>
      <c r="D94" s="2"/>
      <c r="E94" s="134"/>
      <c r="F94" s="7"/>
      <c r="G94" s="8"/>
      <c r="H94" s="8"/>
      <c r="I94" s="9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5.75" customHeight="1">
      <c r="A95" s="2"/>
      <c r="B95" s="2"/>
      <c r="C95" s="2"/>
      <c r="D95" s="2"/>
      <c r="E95" s="134"/>
      <c r="F95" s="7"/>
      <c r="G95" s="8"/>
      <c r="H95" s="8"/>
      <c r="I95" s="9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5.75" customHeight="1">
      <c r="A96" s="2"/>
      <c r="B96" s="2"/>
      <c r="C96" s="2"/>
      <c r="D96" s="2"/>
      <c r="E96" s="134"/>
      <c r="F96" s="7"/>
      <c r="G96" s="8"/>
      <c r="H96" s="8"/>
      <c r="I96" s="9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5.75" customHeight="1">
      <c r="A97" s="2"/>
      <c r="B97" s="2"/>
      <c r="C97" s="2"/>
      <c r="D97" s="2"/>
      <c r="E97" s="134"/>
      <c r="F97" s="7"/>
      <c r="G97" s="8"/>
      <c r="H97" s="8"/>
      <c r="I97" s="9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5.75" customHeight="1">
      <c r="A98" s="2"/>
      <c r="B98" s="2"/>
      <c r="C98" s="2"/>
      <c r="D98" s="2"/>
      <c r="E98" s="134"/>
      <c r="F98" s="7"/>
      <c r="G98" s="8"/>
      <c r="H98" s="8"/>
      <c r="I98" s="9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5.75" customHeight="1">
      <c r="A99" s="2"/>
      <c r="B99" s="2"/>
      <c r="C99" s="2"/>
      <c r="D99" s="2"/>
      <c r="E99" s="134"/>
      <c r="F99" s="7"/>
      <c r="G99" s="8"/>
      <c r="H99" s="8"/>
      <c r="I99" s="9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5.75" customHeight="1">
      <c r="A100" s="2"/>
      <c r="B100" s="2"/>
      <c r="C100" s="2"/>
      <c r="D100" s="2"/>
      <c r="E100" s="134"/>
      <c r="F100" s="7"/>
      <c r="G100" s="8"/>
      <c r="H100" s="8"/>
      <c r="I100" s="9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5.75" customHeight="1">
      <c r="A101" s="2"/>
      <c r="B101" s="2"/>
      <c r="C101" s="2"/>
      <c r="D101" s="2"/>
      <c r="E101" s="134"/>
      <c r="F101" s="7"/>
      <c r="G101" s="8"/>
      <c r="H101" s="8"/>
      <c r="I101" s="9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5.75" customHeight="1">
      <c r="A102" s="2"/>
      <c r="B102" s="2"/>
      <c r="C102" s="2"/>
      <c r="D102" s="2"/>
      <c r="E102" s="134"/>
      <c r="F102" s="7"/>
      <c r="G102" s="8"/>
      <c r="H102" s="8"/>
      <c r="I102" s="9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5.75" customHeight="1">
      <c r="A103" s="2"/>
      <c r="B103" s="2"/>
      <c r="C103" s="2"/>
      <c r="D103" s="2"/>
      <c r="E103" s="134"/>
      <c r="F103" s="7"/>
      <c r="G103" s="8"/>
      <c r="H103" s="8"/>
      <c r="I103" s="9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5.75" customHeight="1">
      <c r="A104" s="2"/>
      <c r="B104" s="2"/>
      <c r="C104" s="2"/>
      <c r="D104" s="2"/>
      <c r="E104" s="134"/>
      <c r="F104" s="7"/>
      <c r="G104" s="8"/>
      <c r="H104" s="8"/>
      <c r="I104" s="9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5.75" customHeight="1">
      <c r="A105" s="2"/>
      <c r="B105" s="2"/>
      <c r="C105" s="2"/>
      <c r="D105" s="2"/>
      <c r="E105" s="134"/>
      <c r="F105" s="7"/>
      <c r="G105" s="8"/>
      <c r="H105" s="8"/>
      <c r="I105" s="9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5.75" customHeight="1">
      <c r="A106" s="2"/>
      <c r="B106" s="2"/>
      <c r="C106" s="2"/>
      <c r="D106" s="2"/>
      <c r="E106" s="134"/>
      <c r="F106" s="7"/>
      <c r="G106" s="8"/>
      <c r="H106" s="8"/>
      <c r="I106" s="9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5.75" customHeight="1">
      <c r="A107" s="2"/>
      <c r="B107" s="2"/>
      <c r="C107" s="2"/>
      <c r="D107" s="2"/>
      <c r="E107" s="134"/>
      <c r="F107" s="7"/>
      <c r="G107" s="8"/>
      <c r="H107" s="8"/>
      <c r="I107" s="9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5.75" customHeight="1">
      <c r="A108" s="2"/>
      <c r="B108" s="2"/>
      <c r="C108" s="2"/>
      <c r="D108" s="2"/>
      <c r="E108" s="134"/>
      <c r="F108" s="7"/>
      <c r="G108" s="8"/>
      <c r="H108" s="8"/>
      <c r="I108" s="9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5.75" customHeight="1">
      <c r="A109" s="2"/>
      <c r="B109" s="2"/>
      <c r="C109" s="2"/>
      <c r="D109" s="2"/>
      <c r="E109" s="134"/>
      <c r="F109" s="7"/>
      <c r="G109" s="8"/>
      <c r="H109" s="8"/>
      <c r="I109" s="9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5.75" customHeight="1">
      <c r="A110" s="2"/>
      <c r="B110" s="2"/>
      <c r="C110" s="2"/>
      <c r="D110" s="2"/>
      <c r="E110" s="134"/>
      <c r="F110" s="7"/>
      <c r="G110" s="8"/>
      <c r="H110" s="8"/>
      <c r="I110" s="9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5.75" customHeight="1">
      <c r="A111" s="2"/>
      <c r="B111" s="2"/>
      <c r="C111" s="2"/>
      <c r="D111" s="2"/>
      <c r="E111" s="134"/>
      <c r="F111" s="7"/>
      <c r="G111" s="8"/>
      <c r="H111" s="8"/>
      <c r="I111" s="9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5.75" customHeight="1">
      <c r="A112" s="2"/>
      <c r="B112" s="2"/>
      <c r="C112" s="2"/>
      <c r="D112" s="2"/>
      <c r="E112" s="134"/>
      <c r="F112" s="7"/>
      <c r="G112" s="8"/>
      <c r="H112" s="8"/>
      <c r="I112" s="9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5.75" customHeight="1">
      <c r="A113" s="2"/>
      <c r="B113" s="2"/>
      <c r="C113" s="2"/>
      <c r="D113" s="2"/>
      <c r="E113" s="134"/>
      <c r="F113" s="7"/>
      <c r="G113" s="8"/>
      <c r="H113" s="8"/>
      <c r="I113" s="9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5.75" customHeight="1">
      <c r="A114" s="2"/>
      <c r="B114" s="2"/>
      <c r="C114" s="2"/>
      <c r="D114" s="2"/>
      <c r="E114" s="134"/>
      <c r="F114" s="7"/>
      <c r="G114" s="8"/>
      <c r="H114" s="8"/>
      <c r="I114" s="9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5.75" customHeight="1">
      <c r="A115" s="2"/>
      <c r="B115" s="2"/>
      <c r="C115" s="2"/>
      <c r="D115" s="2"/>
      <c r="E115" s="134"/>
      <c r="F115" s="7"/>
      <c r="G115" s="8"/>
      <c r="H115" s="8"/>
      <c r="I115" s="9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5.75" customHeight="1">
      <c r="A116" s="2"/>
      <c r="B116" s="2"/>
      <c r="C116" s="2"/>
      <c r="D116" s="2"/>
      <c r="E116" s="134"/>
      <c r="F116" s="7"/>
      <c r="G116" s="8"/>
      <c r="H116" s="8"/>
      <c r="I116" s="9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5.75" customHeight="1">
      <c r="A117" s="2"/>
      <c r="B117" s="2"/>
      <c r="C117" s="2"/>
      <c r="D117" s="2"/>
      <c r="E117" s="134"/>
      <c r="F117" s="7"/>
      <c r="G117" s="8"/>
      <c r="H117" s="8"/>
      <c r="I117" s="9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5.75" customHeight="1">
      <c r="A118" s="2"/>
      <c r="B118" s="2"/>
      <c r="C118" s="2"/>
      <c r="D118" s="2"/>
      <c r="E118" s="134"/>
      <c r="F118" s="7"/>
      <c r="G118" s="8"/>
      <c r="H118" s="8"/>
      <c r="I118" s="9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5.75" customHeight="1">
      <c r="A119" s="2"/>
      <c r="B119" s="2"/>
      <c r="C119" s="2"/>
      <c r="D119" s="2"/>
      <c r="E119" s="134"/>
      <c r="F119" s="7"/>
      <c r="G119" s="8"/>
      <c r="H119" s="8"/>
      <c r="I119" s="9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5.75" customHeight="1">
      <c r="A120" s="2"/>
      <c r="B120" s="2"/>
      <c r="C120" s="2"/>
      <c r="D120" s="2"/>
      <c r="E120" s="134"/>
      <c r="F120" s="7"/>
      <c r="G120" s="8"/>
      <c r="H120" s="8"/>
      <c r="I120" s="9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5.75" customHeight="1">
      <c r="A121" s="2"/>
      <c r="B121" s="2"/>
      <c r="C121" s="2"/>
      <c r="D121" s="2"/>
      <c r="E121" s="134"/>
      <c r="F121" s="7"/>
      <c r="G121" s="8"/>
      <c r="H121" s="8"/>
      <c r="I121" s="9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5.75" customHeight="1">
      <c r="A122" s="2"/>
      <c r="B122" s="2"/>
      <c r="C122" s="2"/>
      <c r="D122" s="2"/>
      <c r="E122" s="134"/>
      <c r="F122" s="7"/>
      <c r="G122" s="8"/>
      <c r="H122" s="8"/>
      <c r="I122" s="9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5.75" customHeight="1">
      <c r="A123" s="2"/>
      <c r="B123" s="2"/>
      <c r="C123" s="2"/>
      <c r="D123" s="2"/>
      <c r="E123" s="134"/>
      <c r="F123" s="7"/>
      <c r="G123" s="8"/>
      <c r="H123" s="8"/>
      <c r="I123" s="9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5.75" customHeight="1">
      <c r="A124" s="2"/>
      <c r="B124" s="2"/>
      <c r="C124" s="2"/>
      <c r="D124" s="2"/>
      <c r="E124" s="134"/>
      <c r="F124" s="7"/>
      <c r="G124" s="8"/>
      <c r="H124" s="8"/>
      <c r="I124" s="9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5.75" customHeight="1">
      <c r="A125" s="2"/>
      <c r="B125" s="2"/>
      <c r="C125" s="2"/>
      <c r="D125" s="2"/>
      <c r="E125" s="134"/>
      <c r="F125" s="7"/>
      <c r="G125" s="8"/>
      <c r="H125" s="8"/>
      <c r="I125" s="9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5.75" customHeight="1">
      <c r="A126" s="2"/>
      <c r="B126" s="2"/>
      <c r="C126" s="2"/>
      <c r="D126" s="2"/>
      <c r="E126" s="134"/>
      <c r="F126" s="7"/>
      <c r="G126" s="8"/>
      <c r="H126" s="8"/>
      <c r="I126" s="9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5.75" customHeight="1">
      <c r="A127" s="2"/>
      <c r="B127" s="2"/>
      <c r="C127" s="2"/>
      <c r="D127" s="2"/>
      <c r="E127" s="134"/>
      <c r="F127" s="7"/>
      <c r="G127" s="8"/>
      <c r="H127" s="8"/>
      <c r="I127" s="9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5.75" customHeight="1">
      <c r="A128" s="2"/>
      <c r="B128" s="2"/>
      <c r="C128" s="2"/>
      <c r="D128" s="2"/>
      <c r="E128" s="134"/>
      <c r="F128" s="7"/>
      <c r="G128" s="8"/>
      <c r="H128" s="8"/>
      <c r="I128" s="9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5.75" customHeight="1">
      <c r="A129" s="2"/>
      <c r="B129" s="2"/>
      <c r="C129" s="2"/>
      <c r="D129" s="2"/>
      <c r="E129" s="134"/>
      <c r="F129" s="7"/>
      <c r="G129" s="8"/>
      <c r="H129" s="8"/>
      <c r="I129" s="9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5.75" customHeight="1">
      <c r="A130" s="2"/>
      <c r="B130" s="2"/>
      <c r="C130" s="2"/>
      <c r="D130" s="2"/>
      <c r="E130" s="134"/>
      <c r="F130" s="7"/>
      <c r="G130" s="8"/>
      <c r="H130" s="8"/>
      <c r="I130" s="9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5.75" customHeight="1">
      <c r="A131" s="2"/>
      <c r="B131" s="2"/>
      <c r="C131" s="2"/>
      <c r="D131" s="2"/>
      <c r="E131" s="134"/>
      <c r="F131" s="7"/>
      <c r="G131" s="8"/>
      <c r="H131" s="8"/>
      <c r="I131" s="9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5.75" customHeight="1">
      <c r="A132" s="2"/>
      <c r="B132" s="2"/>
      <c r="C132" s="2"/>
      <c r="D132" s="2"/>
      <c r="E132" s="134"/>
      <c r="F132" s="7"/>
      <c r="G132" s="8"/>
      <c r="H132" s="8"/>
      <c r="I132" s="9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5.75" customHeight="1">
      <c r="A133" s="2"/>
      <c r="B133" s="2"/>
      <c r="C133" s="2"/>
      <c r="D133" s="2"/>
      <c r="E133" s="134"/>
      <c r="F133" s="7"/>
      <c r="G133" s="8"/>
      <c r="H133" s="8"/>
      <c r="I133" s="9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5.75" customHeight="1">
      <c r="A134" s="2"/>
      <c r="B134" s="2"/>
      <c r="C134" s="2"/>
      <c r="D134" s="2"/>
      <c r="E134" s="134"/>
      <c r="F134" s="7"/>
      <c r="G134" s="8"/>
      <c r="H134" s="8"/>
      <c r="I134" s="9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5.75" customHeight="1">
      <c r="A135" s="2"/>
      <c r="B135" s="2"/>
      <c r="C135" s="2"/>
      <c r="D135" s="2"/>
      <c r="E135" s="134"/>
      <c r="F135" s="7"/>
      <c r="G135" s="8"/>
      <c r="H135" s="8"/>
      <c r="I135" s="9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5.75" customHeight="1">
      <c r="A136" s="2"/>
      <c r="B136" s="2"/>
      <c r="C136" s="2"/>
      <c r="D136" s="2"/>
      <c r="E136" s="134"/>
      <c r="F136" s="7"/>
      <c r="G136" s="8"/>
      <c r="H136" s="8"/>
      <c r="I136" s="9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5.75" customHeight="1">
      <c r="A137" s="2"/>
      <c r="B137" s="2"/>
      <c r="C137" s="2"/>
      <c r="D137" s="2"/>
      <c r="E137" s="134"/>
      <c r="F137" s="7"/>
      <c r="G137" s="8"/>
      <c r="H137" s="8"/>
      <c r="I137" s="9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5.75" customHeight="1">
      <c r="A138" s="2"/>
      <c r="B138" s="2"/>
      <c r="C138" s="2"/>
      <c r="D138" s="2"/>
      <c r="E138" s="134"/>
      <c r="F138" s="7"/>
      <c r="G138" s="8"/>
      <c r="H138" s="8"/>
      <c r="I138" s="9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5.75" customHeight="1">
      <c r="A139" s="2"/>
      <c r="B139" s="2"/>
      <c r="C139" s="2"/>
      <c r="D139" s="2"/>
      <c r="E139" s="134"/>
      <c r="F139" s="7"/>
      <c r="G139" s="8"/>
      <c r="H139" s="8"/>
      <c r="I139" s="9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5.75" customHeight="1">
      <c r="A140" s="2"/>
      <c r="B140" s="2"/>
      <c r="C140" s="2"/>
      <c r="D140" s="2"/>
      <c r="E140" s="134"/>
      <c r="F140" s="7"/>
      <c r="G140" s="8"/>
      <c r="H140" s="8"/>
      <c r="I140" s="9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5.75" customHeight="1">
      <c r="A141" s="2"/>
      <c r="B141" s="2"/>
      <c r="C141" s="2"/>
      <c r="D141" s="2"/>
      <c r="E141" s="134"/>
      <c r="F141" s="7"/>
      <c r="G141" s="8"/>
      <c r="H141" s="8"/>
      <c r="I141" s="9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5.75" customHeight="1">
      <c r="A142" s="2"/>
      <c r="B142" s="2"/>
      <c r="C142" s="2"/>
      <c r="D142" s="2"/>
      <c r="E142" s="134"/>
      <c r="F142" s="7"/>
      <c r="G142" s="8"/>
      <c r="H142" s="8"/>
      <c r="I142" s="9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5.75" customHeight="1">
      <c r="A143" s="2"/>
      <c r="B143" s="2"/>
      <c r="C143" s="2"/>
      <c r="D143" s="2"/>
      <c r="E143" s="134"/>
      <c r="F143" s="7"/>
      <c r="G143" s="8"/>
      <c r="H143" s="8"/>
      <c r="I143" s="9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5.75" customHeight="1">
      <c r="A144" s="2"/>
      <c r="B144" s="2"/>
      <c r="C144" s="2"/>
      <c r="D144" s="2"/>
      <c r="E144" s="134"/>
      <c r="F144" s="7"/>
      <c r="G144" s="8"/>
      <c r="H144" s="8"/>
      <c r="I144" s="9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5.75" customHeight="1">
      <c r="A145" s="2"/>
      <c r="B145" s="2"/>
      <c r="C145" s="2"/>
      <c r="D145" s="2"/>
      <c r="E145" s="134"/>
      <c r="F145" s="7"/>
      <c r="G145" s="8"/>
      <c r="H145" s="8"/>
      <c r="I145" s="9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5.75" customHeight="1">
      <c r="A146" s="2"/>
      <c r="B146" s="2"/>
      <c r="C146" s="2"/>
      <c r="D146" s="2"/>
      <c r="E146" s="134"/>
      <c r="F146" s="7"/>
      <c r="G146" s="8"/>
      <c r="H146" s="8"/>
      <c r="I146" s="9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5.75" customHeight="1">
      <c r="A147" s="2"/>
      <c r="B147" s="2"/>
      <c r="C147" s="2"/>
      <c r="D147" s="2"/>
      <c r="E147" s="134"/>
      <c r="F147" s="7"/>
      <c r="G147" s="8"/>
      <c r="H147" s="8"/>
      <c r="I147" s="9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5.75" customHeight="1">
      <c r="A148" s="2"/>
      <c r="B148" s="2"/>
      <c r="C148" s="2"/>
      <c r="D148" s="2"/>
      <c r="E148" s="134"/>
      <c r="F148" s="7"/>
      <c r="G148" s="8"/>
      <c r="H148" s="8"/>
      <c r="I148" s="9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5.75" customHeight="1">
      <c r="A149" s="2"/>
      <c r="B149" s="2"/>
      <c r="C149" s="2"/>
      <c r="D149" s="2"/>
      <c r="E149" s="134"/>
      <c r="F149" s="7"/>
      <c r="G149" s="8"/>
      <c r="H149" s="8"/>
      <c r="I149" s="9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5.75" customHeight="1">
      <c r="A150" s="2"/>
      <c r="B150" s="2"/>
      <c r="C150" s="2"/>
      <c r="D150" s="2"/>
      <c r="E150" s="134"/>
      <c r="F150" s="7"/>
      <c r="G150" s="8"/>
      <c r="H150" s="8"/>
      <c r="I150" s="9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5.75" customHeight="1">
      <c r="A151" s="2"/>
      <c r="B151" s="2"/>
      <c r="C151" s="2"/>
      <c r="D151" s="2"/>
      <c r="E151" s="134"/>
      <c r="F151" s="7"/>
      <c r="G151" s="8"/>
      <c r="H151" s="8"/>
      <c r="I151" s="9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5.75" customHeight="1">
      <c r="A152" s="2"/>
      <c r="B152" s="2"/>
      <c r="C152" s="2"/>
      <c r="D152" s="2"/>
      <c r="E152" s="134"/>
      <c r="F152" s="7"/>
      <c r="G152" s="8"/>
      <c r="H152" s="8"/>
      <c r="I152" s="9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5.75" customHeight="1">
      <c r="A153" s="2"/>
      <c r="B153" s="2"/>
      <c r="C153" s="2"/>
      <c r="D153" s="2"/>
      <c r="E153" s="134"/>
      <c r="F153" s="7"/>
      <c r="G153" s="8"/>
      <c r="H153" s="8"/>
      <c r="I153" s="9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5.75" customHeight="1">
      <c r="A154" s="2"/>
      <c r="B154" s="2"/>
      <c r="C154" s="2"/>
      <c r="D154" s="2"/>
      <c r="E154" s="134"/>
      <c r="F154" s="7"/>
      <c r="G154" s="8"/>
      <c r="H154" s="8"/>
      <c r="I154" s="9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5.75" customHeight="1">
      <c r="A155" s="2"/>
      <c r="B155" s="2"/>
      <c r="C155" s="2"/>
      <c r="D155" s="2"/>
      <c r="E155" s="134"/>
      <c r="F155" s="7"/>
      <c r="G155" s="8"/>
      <c r="H155" s="8"/>
      <c r="I155" s="9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5.75" customHeight="1">
      <c r="A156" s="2"/>
      <c r="B156" s="2"/>
      <c r="C156" s="2"/>
      <c r="D156" s="2"/>
      <c r="E156" s="134"/>
      <c r="F156" s="7"/>
      <c r="G156" s="8"/>
      <c r="H156" s="8"/>
      <c r="I156" s="9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5.75" customHeight="1">
      <c r="A157" s="2"/>
      <c r="B157" s="2"/>
      <c r="C157" s="2"/>
      <c r="D157" s="2"/>
      <c r="E157" s="134"/>
      <c r="F157" s="7"/>
      <c r="G157" s="8"/>
      <c r="H157" s="8"/>
      <c r="I157" s="9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5.75" customHeight="1">
      <c r="A158" s="2"/>
      <c r="B158" s="2"/>
      <c r="C158" s="2"/>
      <c r="D158" s="2"/>
      <c r="E158" s="134"/>
      <c r="F158" s="7"/>
      <c r="G158" s="8"/>
      <c r="H158" s="8"/>
      <c r="I158" s="9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5.75" customHeight="1">
      <c r="A159" s="2"/>
      <c r="B159" s="2"/>
      <c r="C159" s="2"/>
      <c r="D159" s="2"/>
      <c r="E159" s="134"/>
      <c r="F159" s="7"/>
      <c r="G159" s="8"/>
      <c r="H159" s="8"/>
      <c r="I159" s="9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5.75" customHeight="1">
      <c r="A160" s="2"/>
      <c r="B160" s="2"/>
      <c r="C160" s="2"/>
      <c r="D160" s="2"/>
      <c r="E160" s="134"/>
      <c r="F160" s="7"/>
      <c r="G160" s="8"/>
      <c r="H160" s="8"/>
      <c r="I160" s="9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5.75" customHeight="1">
      <c r="A161" s="2"/>
      <c r="B161" s="2"/>
      <c r="C161" s="2"/>
      <c r="D161" s="2"/>
      <c r="E161" s="134"/>
      <c r="F161" s="7"/>
      <c r="G161" s="8"/>
      <c r="H161" s="8"/>
      <c r="I161" s="9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5.75" customHeight="1">
      <c r="A162" s="2"/>
      <c r="B162" s="2"/>
      <c r="C162" s="2"/>
      <c r="D162" s="2"/>
      <c r="E162" s="134"/>
      <c r="F162" s="7"/>
      <c r="G162" s="8"/>
      <c r="H162" s="8"/>
      <c r="I162" s="9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5.75" customHeight="1">
      <c r="A163" s="2"/>
      <c r="B163" s="2"/>
      <c r="C163" s="2"/>
      <c r="D163" s="2"/>
      <c r="E163" s="134"/>
      <c r="F163" s="7"/>
      <c r="G163" s="8"/>
      <c r="H163" s="8"/>
      <c r="I163" s="9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5.75" customHeight="1">
      <c r="A164" s="2"/>
      <c r="B164" s="2"/>
      <c r="C164" s="2"/>
      <c r="D164" s="2"/>
      <c r="E164" s="134"/>
      <c r="F164" s="7"/>
      <c r="G164" s="8"/>
      <c r="H164" s="8"/>
      <c r="I164" s="9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5.75" customHeight="1">
      <c r="A165" s="2"/>
      <c r="B165" s="2"/>
      <c r="C165" s="2"/>
      <c r="D165" s="2"/>
      <c r="E165" s="134"/>
      <c r="F165" s="7"/>
      <c r="G165" s="8"/>
      <c r="H165" s="8"/>
      <c r="I165" s="9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5.75" customHeight="1">
      <c r="A166" s="2"/>
      <c r="B166" s="2"/>
      <c r="C166" s="2"/>
      <c r="D166" s="2"/>
      <c r="E166" s="134"/>
      <c r="F166" s="7"/>
      <c r="G166" s="8"/>
      <c r="H166" s="8"/>
      <c r="I166" s="9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5.75" customHeight="1">
      <c r="A167" s="2"/>
      <c r="B167" s="2"/>
      <c r="C167" s="2"/>
      <c r="D167" s="2"/>
      <c r="E167" s="134"/>
      <c r="F167" s="7"/>
      <c r="G167" s="8"/>
      <c r="H167" s="8"/>
      <c r="I167" s="9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5.75" customHeight="1">
      <c r="A168" s="2"/>
      <c r="B168" s="2"/>
      <c r="C168" s="2"/>
      <c r="D168" s="2"/>
      <c r="E168" s="134"/>
      <c r="F168" s="7"/>
      <c r="G168" s="8"/>
      <c r="H168" s="8"/>
      <c r="I168" s="9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5.75" customHeight="1">
      <c r="A169" s="2"/>
      <c r="B169" s="2"/>
      <c r="C169" s="2"/>
      <c r="D169" s="2"/>
      <c r="E169" s="134"/>
      <c r="F169" s="7"/>
      <c r="G169" s="8"/>
      <c r="H169" s="8"/>
      <c r="I169" s="9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5.75" customHeight="1">
      <c r="A170" s="2"/>
      <c r="B170" s="2"/>
      <c r="C170" s="2"/>
      <c r="D170" s="2"/>
      <c r="E170" s="134"/>
      <c r="F170" s="7"/>
      <c r="G170" s="8"/>
      <c r="H170" s="8"/>
      <c r="I170" s="9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5.75" customHeight="1">
      <c r="A171" s="2"/>
      <c r="B171" s="2"/>
      <c r="C171" s="2"/>
      <c r="D171" s="2"/>
      <c r="E171" s="134"/>
      <c r="F171" s="7"/>
      <c r="G171" s="8"/>
      <c r="H171" s="8"/>
      <c r="I171" s="9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5.75" customHeight="1">
      <c r="A172" s="2"/>
      <c r="B172" s="2"/>
      <c r="C172" s="2"/>
      <c r="D172" s="2"/>
      <c r="E172" s="134"/>
      <c r="F172" s="7"/>
      <c r="G172" s="8"/>
      <c r="H172" s="8"/>
      <c r="I172" s="9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5.75" customHeight="1">
      <c r="A173" s="2"/>
      <c r="B173" s="2"/>
      <c r="C173" s="2"/>
      <c r="D173" s="2"/>
      <c r="E173" s="134"/>
      <c r="F173" s="7"/>
      <c r="G173" s="8"/>
      <c r="H173" s="8"/>
      <c r="I173" s="9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5.75" customHeight="1">
      <c r="A174" s="2"/>
      <c r="B174" s="2"/>
      <c r="C174" s="2"/>
      <c r="D174" s="2"/>
      <c r="E174" s="134"/>
      <c r="F174" s="7"/>
      <c r="G174" s="8"/>
      <c r="H174" s="8"/>
      <c r="I174" s="9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5.75" customHeight="1">
      <c r="A175" s="2"/>
      <c r="B175" s="2"/>
      <c r="C175" s="2"/>
      <c r="D175" s="2"/>
      <c r="E175" s="134"/>
      <c r="F175" s="7"/>
      <c r="G175" s="8"/>
      <c r="H175" s="8"/>
      <c r="I175" s="9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5.75" customHeight="1">
      <c r="A176" s="2"/>
      <c r="B176" s="2"/>
      <c r="C176" s="2"/>
      <c r="D176" s="2"/>
      <c r="E176" s="134"/>
      <c r="F176" s="7"/>
      <c r="G176" s="8"/>
      <c r="H176" s="8"/>
      <c r="I176" s="9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5.75" customHeight="1">
      <c r="A177" s="2"/>
      <c r="B177" s="2"/>
      <c r="C177" s="2"/>
      <c r="D177" s="2"/>
      <c r="E177" s="134"/>
      <c r="F177" s="7"/>
      <c r="G177" s="8"/>
      <c r="H177" s="8"/>
      <c r="I177" s="9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5.75" customHeight="1">
      <c r="A178" s="2"/>
      <c r="B178" s="2"/>
      <c r="C178" s="2"/>
      <c r="D178" s="2"/>
      <c r="E178" s="134"/>
      <c r="F178" s="7"/>
      <c r="G178" s="8"/>
      <c r="H178" s="8"/>
      <c r="I178" s="9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5.75" customHeight="1">
      <c r="A179" s="2"/>
      <c r="B179" s="2"/>
      <c r="C179" s="2"/>
      <c r="D179" s="2"/>
      <c r="E179" s="134"/>
      <c r="F179" s="7"/>
      <c r="G179" s="8"/>
      <c r="H179" s="8"/>
      <c r="I179" s="9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5.75" customHeight="1">
      <c r="A180" s="2"/>
      <c r="B180" s="2"/>
      <c r="C180" s="2"/>
      <c r="D180" s="2"/>
      <c r="E180" s="134"/>
      <c r="F180" s="7"/>
      <c r="G180" s="8"/>
      <c r="H180" s="8"/>
      <c r="I180" s="9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5.75" customHeight="1">
      <c r="A181" s="2"/>
      <c r="B181" s="2"/>
      <c r="C181" s="2"/>
      <c r="D181" s="2"/>
      <c r="E181" s="134"/>
      <c r="F181" s="7"/>
      <c r="G181" s="8"/>
      <c r="H181" s="8"/>
      <c r="I181" s="9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5.75" customHeight="1">
      <c r="A182" s="2"/>
      <c r="B182" s="2"/>
      <c r="C182" s="2"/>
      <c r="D182" s="2"/>
      <c r="E182" s="134"/>
      <c r="F182" s="7"/>
      <c r="G182" s="8"/>
      <c r="H182" s="8"/>
      <c r="I182" s="9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5.75" customHeight="1">
      <c r="A183" s="2"/>
      <c r="B183" s="2"/>
      <c r="C183" s="2"/>
      <c r="D183" s="2"/>
      <c r="E183" s="134"/>
      <c r="F183" s="7"/>
      <c r="G183" s="8"/>
      <c r="H183" s="8"/>
      <c r="I183" s="9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5.75" customHeight="1">
      <c r="A184" s="2"/>
      <c r="B184" s="2"/>
      <c r="C184" s="2"/>
      <c r="D184" s="2"/>
      <c r="E184" s="134"/>
      <c r="F184" s="7"/>
      <c r="G184" s="8"/>
      <c r="H184" s="8"/>
      <c r="I184" s="9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5.75" customHeight="1">
      <c r="A185" s="2"/>
      <c r="B185" s="2"/>
      <c r="C185" s="2"/>
      <c r="D185" s="2"/>
      <c r="E185" s="134"/>
      <c r="F185" s="7"/>
      <c r="G185" s="8"/>
      <c r="H185" s="8"/>
      <c r="I185" s="9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5.75" customHeight="1">
      <c r="A186" s="2"/>
      <c r="B186" s="2"/>
      <c r="C186" s="2"/>
      <c r="D186" s="2"/>
      <c r="E186" s="134"/>
      <c r="F186" s="7"/>
      <c r="G186" s="8"/>
      <c r="H186" s="8"/>
      <c r="I186" s="9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5.75" customHeight="1">
      <c r="A187" s="2"/>
      <c r="B187" s="2"/>
      <c r="C187" s="2"/>
      <c r="D187" s="2"/>
      <c r="E187" s="134"/>
      <c r="F187" s="7"/>
      <c r="G187" s="8"/>
      <c r="H187" s="8"/>
      <c r="I187" s="9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5.75" customHeight="1">
      <c r="A188" s="2"/>
      <c r="B188" s="2"/>
      <c r="C188" s="2"/>
      <c r="D188" s="2"/>
      <c r="E188" s="134"/>
      <c r="F188" s="7"/>
      <c r="G188" s="8"/>
      <c r="H188" s="8"/>
      <c r="I188" s="9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5.75" customHeight="1">
      <c r="A189" s="2"/>
      <c r="B189" s="2"/>
      <c r="C189" s="2"/>
      <c r="D189" s="2"/>
      <c r="E189" s="134"/>
      <c r="F189" s="7"/>
      <c r="G189" s="8"/>
      <c r="H189" s="8"/>
      <c r="I189" s="9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5.75" customHeight="1">
      <c r="A190" s="2"/>
      <c r="B190" s="2"/>
      <c r="C190" s="2"/>
      <c r="D190" s="2"/>
      <c r="E190" s="134"/>
      <c r="F190" s="7"/>
      <c r="G190" s="8"/>
      <c r="H190" s="8"/>
      <c r="I190" s="9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5.75" customHeight="1">
      <c r="A191" s="2"/>
      <c r="B191" s="2"/>
      <c r="C191" s="2"/>
      <c r="D191" s="2"/>
      <c r="E191" s="134"/>
      <c r="F191" s="7"/>
      <c r="G191" s="8"/>
      <c r="H191" s="8"/>
      <c r="I191" s="9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5.75" customHeight="1">
      <c r="A192" s="2"/>
      <c r="B192" s="2"/>
      <c r="C192" s="2"/>
      <c r="D192" s="2"/>
      <c r="E192" s="134"/>
      <c r="F192" s="7"/>
      <c r="G192" s="8"/>
      <c r="H192" s="8"/>
      <c r="I192" s="9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5.75" customHeight="1">
      <c r="A193" s="2"/>
      <c r="B193" s="2"/>
      <c r="C193" s="2"/>
      <c r="D193" s="2"/>
      <c r="E193" s="134"/>
      <c r="F193" s="7"/>
      <c r="G193" s="8"/>
      <c r="H193" s="8"/>
      <c r="I193" s="9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5.75" customHeight="1">
      <c r="A194" s="2"/>
      <c r="B194" s="2"/>
      <c r="C194" s="2"/>
      <c r="D194" s="2"/>
      <c r="E194" s="134"/>
      <c r="F194" s="7"/>
      <c r="G194" s="8"/>
      <c r="H194" s="8"/>
      <c r="I194" s="9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5.75" customHeight="1">
      <c r="A195" s="2"/>
      <c r="B195" s="2"/>
      <c r="C195" s="2"/>
      <c r="D195" s="2"/>
      <c r="E195" s="134"/>
      <c r="F195" s="7"/>
      <c r="G195" s="8"/>
      <c r="H195" s="8"/>
      <c r="I195" s="9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5.75" customHeight="1">
      <c r="A196" s="2"/>
      <c r="B196" s="2"/>
      <c r="C196" s="2"/>
      <c r="D196" s="2"/>
      <c r="E196" s="134"/>
      <c r="F196" s="7"/>
      <c r="G196" s="8"/>
      <c r="H196" s="8"/>
      <c r="I196" s="9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5.75" customHeight="1">
      <c r="A197" s="2"/>
      <c r="B197" s="2"/>
      <c r="C197" s="2"/>
      <c r="D197" s="2"/>
      <c r="E197" s="134"/>
      <c r="F197" s="7"/>
      <c r="G197" s="8"/>
      <c r="H197" s="8"/>
      <c r="I197" s="9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5.75" customHeight="1">
      <c r="A198" s="2"/>
      <c r="B198" s="2"/>
      <c r="C198" s="2"/>
      <c r="D198" s="2"/>
      <c r="E198" s="134"/>
      <c r="F198" s="7"/>
      <c r="G198" s="8"/>
      <c r="H198" s="8"/>
      <c r="I198" s="9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5.75" customHeight="1">
      <c r="A199" s="2"/>
      <c r="B199" s="2"/>
      <c r="C199" s="2"/>
      <c r="D199" s="2"/>
      <c r="E199" s="134"/>
      <c r="F199" s="7"/>
      <c r="G199" s="8"/>
      <c r="H199" s="8"/>
      <c r="I199" s="9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5.75" customHeight="1">
      <c r="A200" s="2"/>
      <c r="B200" s="2"/>
      <c r="C200" s="2"/>
      <c r="D200" s="2"/>
      <c r="E200" s="134"/>
      <c r="F200" s="7"/>
      <c r="G200" s="8"/>
      <c r="H200" s="8"/>
      <c r="I200" s="9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5.75" customHeight="1">
      <c r="A201" s="2"/>
      <c r="B201" s="2"/>
      <c r="C201" s="2"/>
      <c r="D201" s="2"/>
      <c r="E201" s="134"/>
      <c r="F201" s="7"/>
      <c r="G201" s="8"/>
      <c r="H201" s="8"/>
      <c r="I201" s="9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5.75" customHeight="1">
      <c r="A202" s="2"/>
      <c r="B202" s="2"/>
      <c r="C202" s="2"/>
      <c r="D202" s="2"/>
      <c r="E202" s="134"/>
      <c r="F202" s="7"/>
      <c r="G202" s="8"/>
      <c r="H202" s="8"/>
      <c r="I202" s="9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5.75" customHeight="1">
      <c r="A203" s="2"/>
      <c r="B203" s="2"/>
      <c r="C203" s="2"/>
      <c r="D203" s="2"/>
      <c r="E203" s="134"/>
      <c r="F203" s="7"/>
      <c r="G203" s="8"/>
      <c r="H203" s="8"/>
      <c r="I203" s="9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5.75" customHeight="1">
      <c r="A204" s="2"/>
      <c r="B204" s="2"/>
      <c r="C204" s="2"/>
      <c r="D204" s="2"/>
      <c r="E204" s="134"/>
      <c r="F204" s="7"/>
      <c r="G204" s="8"/>
      <c r="H204" s="8"/>
      <c r="I204" s="9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5.75" customHeight="1">
      <c r="A205" s="2"/>
      <c r="B205" s="2"/>
      <c r="C205" s="2"/>
      <c r="D205" s="2"/>
      <c r="E205" s="134"/>
      <c r="F205" s="7"/>
      <c r="G205" s="8"/>
      <c r="H205" s="8"/>
      <c r="I205" s="9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5.75" customHeight="1">
      <c r="A206" s="2"/>
      <c r="B206" s="2"/>
      <c r="C206" s="2"/>
      <c r="D206" s="2"/>
      <c r="E206" s="134"/>
      <c r="F206" s="7"/>
      <c r="G206" s="8"/>
      <c r="H206" s="8"/>
      <c r="I206" s="9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5.75" customHeight="1">
      <c r="A207" s="2"/>
      <c r="B207" s="2"/>
      <c r="C207" s="2"/>
      <c r="D207" s="2"/>
      <c r="E207" s="134"/>
      <c r="F207" s="7"/>
      <c r="G207" s="8"/>
      <c r="H207" s="8"/>
      <c r="I207" s="9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5.75" customHeight="1">
      <c r="A208" s="2"/>
      <c r="B208" s="2"/>
      <c r="C208" s="2"/>
      <c r="D208" s="2"/>
      <c r="E208" s="134"/>
      <c r="F208" s="7"/>
      <c r="G208" s="8"/>
      <c r="H208" s="8"/>
      <c r="I208" s="9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5.75" customHeight="1">
      <c r="A209" s="2"/>
      <c r="B209" s="2"/>
      <c r="C209" s="2"/>
      <c r="D209" s="2"/>
      <c r="E209" s="134"/>
      <c r="F209" s="7"/>
      <c r="G209" s="8"/>
      <c r="H209" s="8"/>
      <c r="I209" s="9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5.75" customHeight="1">
      <c r="A210" s="2"/>
      <c r="B210" s="2"/>
      <c r="C210" s="2"/>
      <c r="D210" s="2"/>
      <c r="E210" s="134"/>
      <c r="F210" s="7"/>
      <c r="G210" s="8"/>
      <c r="H210" s="8"/>
      <c r="I210" s="9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5.75" customHeight="1">
      <c r="A211" s="2"/>
      <c r="B211" s="2"/>
      <c r="C211" s="2"/>
      <c r="D211" s="2"/>
      <c r="E211" s="134"/>
      <c r="F211" s="7"/>
      <c r="G211" s="8"/>
      <c r="H211" s="8"/>
      <c r="I211" s="9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5.75" customHeight="1">
      <c r="A212" s="2"/>
      <c r="B212" s="2"/>
      <c r="C212" s="2"/>
      <c r="D212" s="2"/>
      <c r="E212" s="134"/>
      <c r="F212" s="7"/>
      <c r="G212" s="8"/>
      <c r="H212" s="8"/>
      <c r="I212" s="9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5.75" customHeight="1">
      <c r="A213" s="2"/>
      <c r="B213" s="2"/>
      <c r="C213" s="2"/>
      <c r="D213" s="2"/>
      <c r="E213" s="134"/>
      <c r="F213" s="7"/>
      <c r="G213" s="8"/>
      <c r="H213" s="8"/>
      <c r="I213" s="9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5.75" customHeight="1">
      <c r="A214" s="2"/>
      <c r="B214" s="2"/>
      <c r="C214" s="2"/>
      <c r="D214" s="2"/>
      <c r="E214" s="134"/>
      <c r="F214" s="7"/>
      <c r="G214" s="8"/>
      <c r="H214" s="8"/>
      <c r="I214" s="9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5.75" customHeight="1">
      <c r="A215" s="2"/>
      <c r="B215" s="2"/>
      <c r="C215" s="2"/>
      <c r="D215" s="2"/>
      <c r="E215" s="134"/>
      <c r="F215" s="7"/>
      <c r="G215" s="8"/>
      <c r="H215" s="8"/>
      <c r="I215" s="9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5.75" customHeight="1">
      <c r="A216" s="2"/>
      <c r="B216" s="2"/>
      <c r="C216" s="2"/>
      <c r="D216" s="2"/>
      <c r="E216" s="134"/>
      <c r="F216" s="7"/>
      <c r="G216" s="8"/>
      <c r="H216" s="8"/>
      <c r="I216" s="9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5.75" customHeight="1">
      <c r="A217" s="2"/>
      <c r="B217" s="2"/>
      <c r="C217" s="2"/>
      <c r="D217" s="2"/>
      <c r="E217" s="134"/>
      <c r="F217" s="7"/>
      <c r="G217" s="8"/>
      <c r="H217" s="8"/>
      <c r="I217" s="9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5.75" customHeight="1">
      <c r="A218" s="2"/>
      <c r="B218" s="2"/>
      <c r="C218" s="2"/>
      <c r="D218" s="2"/>
      <c r="E218" s="134"/>
      <c r="F218" s="7"/>
      <c r="G218" s="8"/>
      <c r="H218" s="8"/>
      <c r="I218" s="9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5.75" customHeight="1">
      <c r="A219" s="2"/>
      <c r="B219" s="2"/>
      <c r="C219" s="2"/>
      <c r="D219" s="2"/>
      <c r="E219" s="134"/>
      <c r="F219" s="7"/>
      <c r="G219" s="8"/>
      <c r="H219" s="8"/>
      <c r="I219" s="9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5.75" customHeight="1">
      <c r="A220" s="2"/>
      <c r="B220" s="2"/>
      <c r="C220" s="2"/>
      <c r="D220" s="2"/>
      <c r="E220" s="134"/>
      <c r="F220" s="7"/>
      <c r="G220" s="8"/>
      <c r="H220" s="8"/>
      <c r="I220" s="9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5.75" customHeight="1">
      <c r="A221" s="2"/>
      <c r="B221" s="2"/>
      <c r="C221" s="2"/>
      <c r="D221" s="2"/>
      <c r="E221" s="134"/>
      <c r="F221" s="7"/>
      <c r="G221" s="8"/>
      <c r="H221" s="8"/>
      <c r="I221" s="9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5.75" customHeight="1">
      <c r="A222" s="2"/>
      <c r="B222" s="2"/>
      <c r="C222" s="2"/>
      <c r="D222" s="2"/>
      <c r="E222" s="134"/>
      <c r="F222" s="7"/>
      <c r="G222" s="8"/>
      <c r="H222" s="8"/>
      <c r="I222" s="9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5.75" customHeight="1">
      <c r="A223" s="2"/>
      <c r="B223" s="2"/>
      <c r="C223" s="2"/>
      <c r="D223" s="2"/>
      <c r="E223" s="134"/>
      <c r="F223" s="7"/>
      <c r="G223" s="8"/>
      <c r="H223" s="8"/>
      <c r="I223" s="9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5.75" customHeight="1">
      <c r="A224" s="2"/>
      <c r="B224" s="2"/>
      <c r="C224" s="2"/>
      <c r="D224" s="2"/>
      <c r="E224" s="134"/>
      <c r="F224" s="7"/>
      <c r="G224" s="8"/>
      <c r="H224" s="8"/>
      <c r="I224" s="9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5.75" customHeight="1">
      <c r="A225" s="2"/>
      <c r="B225" s="2"/>
      <c r="C225" s="2"/>
      <c r="D225" s="2"/>
      <c r="E225" s="134"/>
      <c r="F225" s="7"/>
      <c r="G225" s="8"/>
      <c r="H225" s="8"/>
      <c r="I225" s="9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5.75" customHeight="1">
      <c r="A226" s="2"/>
      <c r="B226" s="2"/>
      <c r="C226" s="2"/>
      <c r="D226" s="2"/>
      <c r="E226" s="134"/>
      <c r="F226" s="7"/>
      <c r="G226" s="8"/>
      <c r="H226" s="8"/>
      <c r="I226" s="9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5.75" customHeight="1">
      <c r="A227" s="2"/>
      <c r="B227" s="2"/>
      <c r="C227" s="2"/>
      <c r="D227" s="2"/>
      <c r="E227" s="134"/>
      <c r="F227" s="7"/>
      <c r="G227" s="8"/>
      <c r="H227" s="8"/>
      <c r="I227" s="9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5.75" customHeight="1">
      <c r="A228" s="2"/>
      <c r="B228" s="2"/>
      <c r="C228" s="2"/>
      <c r="D228" s="2"/>
      <c r="E228" s="134"/>
      <c r="F228" s="7"/>
      <c r="G228" s="8"/>
      <c r="H228" s="8"/>
      <c r="I228" s="9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5.75" customHeight="1">
      <c r="A229" s="2"/>
      <c r="B229" s="2"/>
      <c r="C229" s="2"/>
      <c r="D229" s="2"/>
      <c r="E229" s="134"/>
      <c r="F229" s="7"/>
      <c r="G229" s="8"/>
      <c r="H229" s="8"/>
      <c r="I229" s="9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5.75" customHeight="1">
      <c r="A230" s="2"/>
      <c r="B230" s="2"/>
      <c r="C230" s="2"/>
      <c r="D230" s="2"/>
      <c r="E230" s="134"/>
      <c r="F230" s="7"/>
      <c r="G230" s="8"/>
      <c r="H230" s="8"/>
      <c r="I230" s="9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5.75" customHeight="1">
      <c r="A231" s="2"/>
      <c r="B231" s="2"/>
      <c r="C231" s="2"/>
      <c r="D231" s="2"/>
      <c r="E231" s="134"/>
      <c r="F231" s="7"/>
      <c r="G231" s="8"/>
      <c r="H231" s="8"/>
      <c r="I231" s="9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5.75" customHeight="1">
      <c r="A232" s="2"/>
      <c r="B232" s="2"/>
      <c r="C232" s="2"/>
      <c r="D232" s="2"/>
      <c r="E232" s="134"/>
      <c r="F232" s="7"/>
      <c r="G232" s="8"/>
      <c r="H232" s="8"/>
      <c r="I232" s="9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5.75" customHeight="1">
      <c r="A233" s="2"/>
      <c r="B233" s="2"/>
      <c r="C233" s="2"/>
      <c r="D233" s="2"/>
      <c r="E233" s="134"/>
      <c r="F233" s="7"/>
      <c r="G233" s="8"/>
      <c r="H233" s="8"/>
      <c r="I233" s="9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5.75" customHeight="1">
      <c r="A234" s="2"/>
      <c r="B234" s="2"/>
      <c r="C234" s="2"/>
      <c r="D234" s="2"/>
      <c r="E234" s="134"/>
      <c r="F234" s="7"/>
      <c r="G234" s="8"/>
      <c r="H234" s="8"/>
      <c r="I234" s="9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5.75" customHeight="1">
      <c r="A235" s="2"/>
      <c r="B235" s="2"/>
      <c r="C235" s="2"/>
      <c r="D235" s="2"/>
      <c r="E235" s="134"/>
      <c r="F235" s="7"/>
      <c r="G235" s="8"/>
      <c r="H235" s="8"/>
      <c r="I235" s="9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5.75" customHeight="1">
      <c r="A236" s="2"/>
      <c r="B236" s="2"/>
      <c r="C236" s="2"/>
      <c r="D236" s="2"/>
      <c r="E236" s="134"/>
      <c r="F236" s="7"/>
      <c r="G236" s="8"/>
      <c r="H236" s="8"/>
      <c r="I236" s="9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5.75" customHeight="1">
      <c r="A237" s="2"/>
      <c r="B237" s="2"/>
      <c r="C237" s="2"/>
      <c r="D237" s="2"/>
      <c r="E237" s="134"/>
      <c r="F237" s="7"/>
      <c r="G237" s="8"/>
      <c r="H237" s="8"/>
      <c r="I237" s="9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5.75" customHeight="1">
      <c r="A238" s="2"/>
      <c r="B238" s="2"/>
      <c r="C238" s="2"/>
      <c r="D238" s="2"/>
      <c r="E238" s="134"/>
      <c r="F238" s="7"/>
      <c r="G238" s="8"/>
      <c r="H238" s="8"/>
      <c r="I238" s="9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5.75" customHeight="1">
      <c r="A239" s="2"/>
      <c r="B239" s="2"/>
      <c r="C239" s="2"/>
      <c r="D239" s="2"/>
      <c r="E239" s="134"/>
      <c r="F239" s="7"/>
      <c r="G239" s="8"/>
      <c r="H239" s="8"/>
      <c r="I239" s="9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5.75" customHeight="1">
      <c r="A240" s="2"/>
      <c r="B240" s="2"/>
      <c r="C240" s="2"/>
      <c r="D240" s="2"/>
      <c r="E240" s="134"/>
      <c r="F240" s="7"/>
      <c r="G240" s="8"/>
      <c r="H240" s="8"/>
      <c r="I240" s="9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5.75" customHeight="1">
      <c r="A241" s="2"/>
      <c r="B241" s="2"/>
      <c r="C241" s="2"/>
      <c r="D241" s="2"/>
      <c r="E241" s="134"/>
      <c r="F241" s="7"/>
      <c r="G241" s="8"/>
      <c r="H241" s="8"/>
      <c r="I241" s="9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5.75" customHeight="1">
      <c r="A242" s="2"/>
      <c r="B242" s="2"/>
      <c r="C242" s="2"/>
      <c r="D242" s="2"/>
      <c r="E242" s="134"/>
      <c r="F242" s="7"/>
      <c r="G242" s="8"/>
      <c r="H242" s="8"/>
      <c r="I242" s="9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5.75" customHeight="1">
      <c r="A243" s="2"/>
      <c r="B243" s="2"/>
      <c r="C243" s="2"/>
      <c r="D243" s="2"/>
      <c r="E243" s="134"/>
      <c r="F243" s="7"/>
      <c r="G243" s="8"/>
      <c r="H243" s="8"/>
      <c r="I243" s="9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5.75" customHeight="1">
      <c r="A244" s="2"/>
      <c r="B244" s="2"/>
      <c r="C244" s="2"/>
      <c r="D244" s="2"/>
      <c r="E244" s="134"/>
      <c r="F244" s="7"/>
      <c r="G244" s="8"/>
      <c r="H244" s="8"/>
      <c r="I244" s="9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5.75" customHeight="1">
      <c r="A245" s="2"/>
      <c r="B245" s="2"/>
      <c r="C245" s="2"/>
      <c r="D245" s="2"/>
      <c r="E245" s="134"/>
      <c r="F245" s="7"/>
      <c r="G245" s="8"/>
      <c r="H245" s="8"/>
      <c r="I245" s="9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22">
    <mergeCell ref="A39:C39"/>
    <mergeCell ref="A42:C42"/>
    <mergeCell ref="A43:C43"/>
    <mergeCell ref="A45:C45"/>
    <mergeCell ref="C7:C8"/>
    <mergeCell ref="E7:E8"/>
    <mergeCell ref="F22:F23"/>
    <mergeCell ref="G22:G23"/>
    <mergeCell ref="A36:C36"/>
    <mergeCell ref="A37:E37"/>
    <mergeCell ref="A7:A8"/>
    <mergeCell ref="B7:B8"/>
    <mergeCell ref="H22:H23"/>
    <mergeCell ref="G7:G8"/>
    <mergeCell ref="H7:H8"/>
    <mergeCell ref="A3:C3"/>
    <mergeCell ref="A5:G5"/>
    <mergeCell ref="A6:C6"/>
    <mergeCell ref="A1:AJ1"/>
    <mergeCell ref="A2:AJ2"/>
    <mergeCell ref="F7:F8"/>
    <mergeCell ref="I7:AI7"/>
  </mergeCells>
  <printOptions horizontalCentered="1"/>
  <pageMargins bottom="0.75" footer="0.0" header="0.0" left="0.7" right="0.7" top="0.75"/>
  <pageSetup fitToHeight="0" paperSize="14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2.5"/>
    <col customWidth="1" min="3" max="4" width="12.63"/>
    <col customWidth="1" min="5" max="5" width="17.0"/>
    <col customWidth="1" min="6" max="6" width="23.13"/>
    <col customWidth="1" min="7" max="7" width="15.13"/>
    <col customWidth="1" min="13" max="13" width="21.63"/>
    <col customWidth="1" min="16" max="16" width="17.75"/>
  </cols>
  <sheetData>
    <row r="1" ht="15.75" customHeight="1">
      <c r="A1" s="1" t="s">
        <v>0</v>
      </c>
      <c r="W1" s="2"/>
      <c r="X1" s="2"/>
    </row>
    <row r="2" ht="15.75" customHeight="1">
      <c r="A2" s="3" t="s">
        <v>1</v>
      </c>
      <c r="W2" s="2"/>
      <c r="X2" s="2"/>
    </row>
    <row r="3" ht="15.75" customHeight="1">
      <c r="W3" s="2"/>
      <c r="X3" s="2"/>
    </row>
    <row r="4" ht="15.75" customHeight="1">
      <c r="A4" s="4" t="s">
        <v>2</v>
      </c>
      <c r="C4" s="5"/>
      <c r="D4" s="6"/>
      <c r="E4" s="7"/>
      <c r="F4" s="8"/>
      <c r="G4" s="8"/>
      <c r="H4" s="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2"/>
      <c r="W4" s="2"/>
      <c r="X4" s="2"/>
    </row>
    <row r="5" ht="15.75" customHeight="1">
      <c r="A5" s="10"/>
      <c r="B5" s="5"/>
      <c r="C5" s="2"/>
      <c r="D5" s="3"/>
      <c r="E5" s="7"/>
      <c r="F5" s="11"/>
      <c r="G5" s="11"/>
      <c r="H5" s="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4" t="s">
        <v>3</v>
      </c>
      <c r="G6" s="12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ht="15.75" customHeight="1">
      <c r="A7" s="10" t="s">
        <v>4</v>
      </c>
      <c r="C7" s="2"/>
      <c r="D7" s="3"/>
      <c r="E7" s="7"/>
      <c r="F7" s="11"/>
      <c r="G7" s="11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135" t="s">
        <v>154</v>
      </c>
      <c r="B8" s="135" t="s">
        <v>7</v>
      </c>
      <c r="C8" s="136" t="s">
        <v>8</v>
      </c>
      <c r="D8" s="135" t="s">
        <v>9</v>
      </c>
      <c r="E8" s="137" t="s">
        <v>10</v>
      </c>
      <c r="F8" s="138" t="s">
        <v>11</v>
      </c>
      <c r="G8" s="139" t="s">
        <v>12</v>
      </c>
      <c r="H8" s="140" t="s">
        <v>13</v>
      </c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  <c r="W8" s="24"/>
      <c r="X8" s="24"/>
    </row>
    <row r="9" ht="15.75" customHeight="1">
      <c r="A9" s="81"/>
      <c r="B9" s="81"/>
      <c r="C9" s="143" t="s">
        <v>14</v>
      </c>
      <c r="D9" s="81"/>
      <c r="E9" s="81"/>
      <c r="F9" s="81"/>
      <c r="G9" s="81"/>
      <c r="H9" s="144" t="s">
        <v>15</v>
      </c>
      <c r="I9" s="145" t="s">
        <v>16</v>
      </c>
      <c r="J9" s="145" t="s">
        <v>17</v>
      </c>
      <c r="K9" s="145" t="s">
        <v>155</v>
      </c>
      <c r="L9" s="145" t="s">
        <v>156</v>
      </c>
      <c r="M9" s="145" t="s">
        <v>157</v>
      </c>
      <c r="N9" s="145" t="s">
        <v>158</v>
      </c>
      <c r="O9" s="145" t="s">
        <v>159</v>
      </c>
      <c r="P9" s="145" t="s">
        <v>160</v>
      </c>
      <c r="Q9" s="145" t="s">
        <v>161</v>
      </c>
      <c r="R9" s="145" t="s">
        <v>162</v>
      </c>
      <c r="S9" s="145" t="s">
        <v>163</v>
      </c>
      <c r="T9" s="145" t="s">
        <v>164</v>
      </c>
      <c r="U9" s="146" t="s">
        <v>41</v>
      </c>
      <c r="V9" s="147" t="s">
        <v>41</v>
      </c>
      <c r="W9" s="148"/>
      <c r="X9" s="24"/>
    </row>
    <row r="10" ht="15.75" customHeight="1">
      <c r="A10" s="135"/>
      <c r="B10" s="149" t="s">
        <v>165</v>
      </c>
      <c r="C10" s="150"/>
      <c r="D10" s="150"/>
      <c r="E10" s="151"/>
      <c r="F10" s="152"/>
      <c r="G10" s="152"/>
      <c r="H10" s="152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4"/>
      <c r="V10" s="155"/>
      <c r="W10" s="24"/>
      <c r="X10" s="24"/>
    </row>
    <row r="11" ht="15.75" hidden="1" customHeight="1">
      <c r="A11" s="156"/>
      <c r="B11" s="157"/>
      <c r="C11" s="158"/>
      <c r="D11" s="158"/>
      <c r="E11" s="159"/>
      <c r="F11" s="160"/>
      <c r="G11" s="160"/>
      <c r="H11" s="161"/>
      <c r="I11" s="162"/>
      <c r="J11" s="163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57"/>
      <c r="W11" s="24"/>
      <c r="X11" s="24"/>
    </row>
    <row r="12" ht="15.75" customHeight="1">
      <c r="A12" s="156"/>
      <c r="B12" s="157"/>
      <c r="C12" s="158"/>
      <c r="D12" s="158"/>
      <c r="E12" s="159"/>
      <c r="F12" s="160"/>
      <c r="G12" s="160"/>
      <c r="H12" s="161"/>
      <c r="I12" s="162"/>
      <c r="J12" s="163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57"/>
      <c r="W12" s="24"/>
      <c r="X12" s="24"/>
    </row>
    <row r="13" ht="15.75" customHeight="1">
      <c r="A13" s="156"/>
      <c r="B13" s="157"/>
      <c r="C13" s="158"/>
      <c r="D13" s="158"/>
      <c r="E13" s="159"/>
      <c r="F13" s="160"/>
      <c r="G13" s="160"/>
      <c r="H13" s="161"/>
      <c r="I13" s="162"/>
      <c r="J13" s="163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57"/>
      <c r="W13" s="24"/>
      <c r="X13" s="24"/>
    </row>
    <row r="14" ht="15.75" customHeight="1">
      <c r="A14" s="156"/>
      <c r="B14" s="157"/>
      <c r="C14" s="158"/>
      <c r="D14" s="158"/>
      <c r="E14" s="159"/>
      <c r="F14" s="160"/>
      <c r="G14" s="160"/>
      <c r="H14" s="161"/>
      <c r="I14" s="162"/>
      <c r="J14" s="163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57"/>
      <c r="W14" s="24"/>
      <c r="X14" s="24"/>
    </row>
    <row r="15" ht="15.75" customHeight="1">
      <c r="A15" s="156"/>
      <c r="B15" s="157"/>
      <c r="C15" s="158"/>
      <c r="D15" s="158"/>
      <c r="E15" s="159"/>
      <c r="F15" s="164"/>
      <c r="G15" s="164"/>
      <c r="H15" s="165"/>
      <c r="I15" s="157"/>
      <c r="J15" s="166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24"/>
      <c r="X15" s="24"/>
    </row>
    <row r="16" ht="15.75" customHeight="1">
      <c r="A16" s="156"/>
      <c r="B16" s="157"/>
      <c r="C16" s="158"/>
      <c r="D16" s="158"/>
      <c r="E16" s="159"/>
      <c r="F16" s="164"/>
      <c r="G16" s="164"/>
      <c r="H16" s="165"/>
      <c r="I16" s="157"/>
      <c r="J16" s="166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24"/>
      <c r="X16" s="24"/>
    </row>
    <row r="17" ht="15.75" customHeight="1">
      <c r="A17" s="156"/>
      <c r="B17" s="149" t="s">
        <v>78</v>
      </c>
      <c r="C17" s="158"/>
      <c r="D17" s="158"/>
      <c r="E17" s="159"/>
      <c r="F17" s="164"/>
      <c r="G17" s="164"/>
      <c r="H17" s="165"/>
      <c r="I17" s="157"/>
      <c r="J17" s="166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24"/>
      <c r="X17" s="24"/>
    </row>
    <row r="18" ht="15.75" customHeight="1">
      <c r="A18" s="156"/>
      <c r="B18" s="157" t="s">
        <v>79</v>
      </c>
      <c r="C18" s="158" t="s">
        <v>80</v>
      </c>
      <c r="D18" s="158">
        <v>215.0</v>
      </c>
      <c r="E18" s="159">
        <v>215.0</v>
      </c>
      <c r="F18" s="164" t="s">
        <v>87</v>
      </c>
      <c r="G18" s="164" t="s">
        <v>166</v>
      </c>
      <c r="H18" s="165">
        <v>1.0</v>
      </c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24"/>
      <c r="X18" s="24"/>
    </row>
    <row r="19" ht="15.75" customHeight="1">
      <c r="A19" s="156"/>
      <c r="B19" s="157"/>
      <c r="C19" s="158"/>
      <c r="D19" s="158"/>
      <c r="E19" s="159"/>
      <c r="F19" s="164"/>
      <c r="G19" s="164"/>
      <c r="H19" s="165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24"/>
      <c r="X19" s="24"/>
    </row>
    <row r="20" ht="15.75" customHeight="1">
      <c r="A20" s="156"/>
      <c r="B20" s="167" t="s">
        <v>167</v>
      </c>
      <c r="C20" s="168"/>
      <c r="D20" s="168"/>
      <c r="E20" s="169"/>
      <c r="F20" s="170"/>
      <c r="G20" s="170"/>
      <c r="H20" s="171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24"/>
      <c r="X20" s="24"/>
    </row>
    <row r="21" ht="27.75" customHeight="1">
      <c r="A21" s="156"/>
      <c r="B21" s="173" t="s">
        <v>85</v>
      </c>
      <c r="C21" s="174" t="s">
        <v>86</v>
      </c>
      <c r="D21" s="174">
        <v>750.0</v>
      </c>
      <c r="E21" s="159">
        <f>40*750</f>
        <v>30000</v>
      </c>
      <c r="F21" s="164" t="s">
        <v>87</v>
      </c>
      <c r="G21" s="164" t="s">
        <v>131</v>
      </c>
      <c r="H21" s="165">
        <v>40.0</v>
      </c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24"/>
      <c r="X21" s="24"/>
    </row>
    <row r="22" ht="15.75" customHeight="1">
      <c r="A22" s="156"/>
      <c r="B22" s="175" t="s">
        <v>88</v>
      </c>
      <c r="C22" s="174" t="s">
        <v>89</v>
      </c>
      <c r="D22" s="174">
        <v>1000.0</v>
      </c>
      <c r="E22" s="159">
        <f>50*1000</f>
        <v>50000</v>
      </c>
      <c r="F22" s="164" t="s">
        <v>87</v>
      </c>
      <c r="G22" s="164" t="s">
        <v>131</v>
      </c>
      <c r="H22" s="165">
        <v>50.0</v>
      </c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24"/>
      <c r="X22" s="24"/>
    </row>
    <row r="23" ht="15.75" customHeight="1">
      <c r="A23" s="156"/>
      <c r="B23" s="175" t="s">
        <v>90</v>
      </c>
      <c r="C23" s="158" t="s">
        <v>86</v>
      </c>
      <c r="D23" s="174">
        <v>750.0</v>
      </c>
      <c r="E23" s="159">
        <f>40*750</f>
        <v>30000</v>
      </c>
      <c r="F23" s="164" t="s">
        <v>87</v>
      </c>
      <c r="G23" s="164" t="s">
        <v>131</v>
      </c>
      <c r="H23" s="165">
        <v>40.0</v>
      </c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24"/>
      <c r="X23" s="24"/>
    </row>
    <row r="24" ht="15.75" customHeight="1">
      <c r="A24" s="156"/>
      <c r="B24" s="175" t="s">
        <v>91</v>
      </c>
      <c r="C24" s="158" t="s">
        <v>92</v>
      </c>
      <c r="D24" s="158">
        <v>750.0</v>
      </c>
      <c r="E24" s="159">
        <f t="shared" ref="E24:E25" si="1">30*750</f>
        <v>22500</v>
      </c>
      <c r="F24" s="164" t="s">
        <v>87</v>
      </c>
      <c r="G24" s="164" t="s">
        <v>131</v>
      </c>
      <c r="H24" s="165">
        <v>30.0</v>
      </c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24"/>
      <c r="X24" s="24"/>
    </row>
    <row r="25" ht="15.75" customHeight="1">
      <c r="A25" s="156"/>
      <c r="B25" s="176" t="s">
        <v>93</v>
      </c>
      <c r="C25" s="174" t="s">
        <v>92</v>
      </c>
      <c r="D25" s="174">
        <v>750.0</v>
      </c>
      <c r="E25" s="159">
        <f t="shared" si="1"/>
        <v>22500</v>
      </c>
      <c r="F25" s="164" t="s">
        <v>87</v>
      </c>
      <c r="G25" s="164" t="s">
        <v>131</v>
      </c>
      <c r="H25" s="165">
        <v>30.0</v>
      </c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24"/>
      <c r="X25" s="24"/>
    </row>
    <row r="26" ht="15.75" customHeight="1">
      <c r="A26" s="156"/>
      <c r="B26" s="157"/>
      <c r="C26" s="158"/>
      <c r="D26" s="158"/>
      <c r="E26" s="159"/>
      <c r="F26" s="164"/>
      <c r="G26" s="164"/>
      <c r="H26" s="165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24"/>
      <c r="X26" s="24"/>
    </row>
    <row r="27" ht="15.75" customHeight="1">
      <c r="A27" s="156"/>
      <c r="B27" s="177" t="s">
        <v>168</v>
      </c>
      <c r="C27" s="178"/>
      <c r="D27" s="179"/>
      <c r="E27" s="180"/>
      <c r="F27" s="181"/>
      <c r="G27" s="181"/>
      <c r="H27" s="182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24"/>
      <c r="X27" s="24"/>
    </row>
    <row r="28" ht="15.75" customHeight="1">
      <c r="A28" s="156"/>
      <c r="B28" s="184" t="s">
        <v>97</v>
      </c>
      <c r="C28" s="185" t="s">
        <v>98</v>
      </c>
      <c r="D28" s="186">
        <v>8000.0</v>
      </c>
      <c r="E28" s="187">
        <f>9*D28</f>
        <v>72000</v>
      </c>
      <c r="F28" s="188" t="s">
        <v>87</v>
      </c>
      <c r="G28" s="164" t="s">
        <v>131</v>
      </c>
      <c r="H28" s="165">
        <v>9.0</v>
      </c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24"/>
      <c r="X28" s="24"/>
    </row>
    <row r="29" ht="15.75" customHeight="1">
      <c r="A29" s="156"/>
      <c r="B29" s="184" t="s">
        <v>102</v>
      </c>
      <c r="C29" s="185" t="s">
        <v>103</v>
      </c>
      <c r="D29" s="186">
        <v>3000.0</v>
      </c>
      <c r="E29" s="187">
        <f>D29*130</f>
        <v>390000</v>
      </c>
      <c r="F29" s="188" t="s">
        <v>130</v>
      </c>
      <c r="G29" s="164" t="s">
        <v>131</v>
      </c>
      <c r="H29" s="165">
        <v>130.0</v>
      </c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24"/>
      <c r="X29" s="24"/>
    </row>
    <row r="30" ht="15.75" customHeight="1">
      <c r="A30" s="156"/>
      <c r="B30" s="184" t="s">
        <v>105</v>
      </c>
      <c r="C30" s="185" t="s">
        <v>106</v>
      </c>
      <c r="D30" s="186">
        <v>350.0</v>
      </c>
      <c r="E30" s="187">
        <f>180*350</f>
        <v>63000</v>
      </c>
      <c r="F30" s="188" t="s">
        <v>130</v>
      </c>
      <c r="G30" s="164" t="s">
        <v>131</v>
      </c>
      <c r="H30" s="165">
        <v>180.0</v>
      </c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24"/>
      <c r="X30" s="24"/>
    </row>
    <row r="31" ht="15.75" customHeight="1">
      <c r="A31" s="156"/>
      <c r="B31" s="184" t="s">
        <v>108</v>
      </c>
      <c r="C31" s="185" t="s">
        <v>109</v>
      </c>
      <c r="D31" s="186">
        <v>700.0</v>
      </c>
      <c r="E31" s="187">
        <f>50*700</f>
        <v>35000</v>
      </c>
      <c r="F31" s="188" t="s">
        <v>87</v>
      </c>
      <c r="G31" s="164" t="s">
        <v>131</v>
      </c>
      <c r="H31" s="165">
        <v>50.0</v>
      </c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24"/>
      <c r="X31" s="24"/>
    </row>
    <row r="32" ht="15.75" customHeight="1">
      <c r="A32" s="156"/>
      <c r="B32" s="184" t="s">
        <v>111</v>
      </c>
      <c r="C32" s="185" t="s">
        <v>112</v>
      </c>
      <c r="D32" s="185">
        <v>9500.0</v>
      </c>
      <c r="E32" s="187">
        <f>38*9500</f>
        <v>361000</v>
      </c>
      <c r="F32" s="188" t="s">
        <v>130</v>
      </c>
      <c r="G32" s="164" t="s">
        <v>131</v>
      </c>
      <c r="H32" s="165">
        <v>38.0</v>
      </c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24"/>
      <c r="X32" s="24"/>
    </row>
    <row r="33" ht="15.75" customHeight="1">
      <c r="A33" s="156"/>
      <c r="B33" s="177" t="s">
        <v>169</v>
      </c>
      <c r="C33" s="178"/>
      <c r="D33" s="179"/>
      <c r="E33" s="180"/>
      <c r="F33" s="181"/>
      <c r="G33" s="181"/>
      <c r="H33" s="182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24"/>
      <c r="X33" s="24"/>
    </row>
    <row r="34" ht="15.75" customHeight="1">
      <c r="A34" s="189"/>
      <c r="B34" s="190" t="s">
        <v>170</v>
      </c>
      <c r="C34" s="191" t="s">
        <v>116</v>
      </c>
      <c r="D34" s="191">
        <v>55.0</v>
      </c>
      <c r="E34" s="192">
        <f>5000*55</f>
        <v>275000</v>
      </c>
      <c r="F34" s="193" t="s">
        <v>130</v>
      </c>
      <c r="G34" s="194" t="s">
        <v>131</v>
      </c>
      <c r="H34" s="195">
        <v>55.0</v>
      </c>
      <c r="I34" s="196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24"/>
      <c r="X34" s="24"/>
    </row>
    <row r="35" ht="15.75" customHeight="1">
      <c r="A35" s="197"/>
      <c r="B35" s="198" t="s">
        <v>171</v>
      </c>
      <c r="C35" s="199" t="s">
        <v>118</v>
      </c>
      <c r="D35" s="199">
        <v>600.0</v>
      </c>
      <c r="E35" s="200">
        <f>1500*600</f>
        <v>900000</v>
      </c>
      <c r="F35" s="193" t="s">
        <v>130</v>
      </c>
      <c r="G35" s="164" t="s">
        <v>172</v>
      </c>
      <c r="H35" s="165">
        <v>1500.0</v>
      </c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24"/>
      <c r="X35" s="24"/>
    </row>
    <row r="36" ht="15.75" customHeight="1">
      <c r="A36" s="201"/>
      <c r="B36" s="198" t="s">
        <v>173</v>
      </c>
      <c r="C36" s="199" t="s">
        <v>118</v>
      </c>
      <c r="D36" s="199">
        <v>140.0</v>
      </c>
      <c r="E36" s="200">
        <f>1500*140</f>
        <v>210000</v>
      </c>
      <c r="F36" s="193" t="s">
        <v>130</v>
      </c>
      <c r="G36" s="164" t="s">
        <v>172</v>
      </c>
      <c r="H36" s="165">
        <v>1500.0</v>
      </c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24"/>
      <c r="X36" s="24"/>
    </row>
    <row r="37" ht="15.75" customHeight="1">
      <c r="A37" s="201"/>
      <c r="B37" s="202"/>
      <c r="C37" s="199"/>
      <c r="D37" s="199"/>
      <c r="E37" s="200"/>
      <c r="F37" s="164"/>
      <c r="G37" s="164"/>
      <c r="H37" s="165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24"/>
      <c r="X37" s="24"/>
    </row>
    <row r="38" ht="15.75" customHeight="1">
      <c r="A38" s="201"/>
      <c r="B38" s="203" t="s">
        <v>174</v>
      </c>
      <c r="C38" s="199" t="s">
        <v>121</v>
      </c>
      <c r="D38" s="199">
        <v>150.0</v>
      </c>
      <c r="E38" s="200">
        <f>1100*150</f>
        <v>165000</v>
      </c>
      <c r="F38" s="164" t="s">
        <v>125</v>
      </c>
      <c r="G38" s="164" t="s">
        <v>131</v>
      </c>
      <c r="H38" s="165">
        <v>1100.0</v>
      </c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24"/>
      <c r="X38" s="24"/>
    </row>
    <row r="39" ht="15.75" customHeight="1">
      <c r="A39" s="201"/>
      <c r="B39" s="204" t="s">
        <v>175</v>
      </c>
      <c r="C39" s="199"/>
      <c r="D39" s="199"/>
      <c r="E39" s="200"/>
      <c r="F39" s="164"/>
      <c r="G39" s="164"/>
      <c r="H39" s="165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24"/>
      <c r="X39" s="24"/>
    </row>
    <row r="40" ht="15.75" customHeight="1">
      <c r="A40" s="201"/>
      <c r="B40" s="204" t="s">
        <v>176</v>
      </c>
      <c r="C40" s="199"/>
      <c r="D40" s="199"/>
      <c r="E40" s="200"/>
      <c r="F40" s="164"/>
      <c r="G40" s="164"/>
      <c r="H40" s="165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24"/>
      <c r="X40" s="24"/>
    </row>
    <row r="41" ht="15.75" customHeight="1">
      <c r="A41" s="201"/>
      <c r="B41" s="204" t="s">
        <v>177</v>
      </c>
      <c r="C41" s="199"/>
      <c r="D41" s="199"/>
      <c r="E41" s="200"/>
      <c r="F41" s="164"/>
      <c r="G41" s="164"/>
      <c r="H41" s="165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24"/>
      <c r="X41" s="24"/>
    </row>
    <row r="42" ht="15.75" customHeight="1">
      <c r="A42" s="201"/>
      <c r="B42" s="204" t="s">
        <v>178</v>
      </c>
      <c r="C42" s="199"/>
      <c r="D42" s="199"/>
      <c r="E42" s="200"/>
      <c r="F42" s="164"/>
      <c r="G42" s="164"/>
      <c r="H42" s="165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24"/>
      <c r="X42" s="24"/>
    </row>
    <row r="43" ht="15.75" customHeight="1">
      <c r="A43" s="201"/>
      <c r="B43" s="205"/>
      <c r="C43" s="206"/>
      <c r="D43" s="206"/>
      <c r="E43" s="200"/>
      <c r="F43" s="164"/>
      <c r="G43" s="164"/>
      <c r="H43" s="165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24"/>
      <c r="X43" s="24"/>
    </row>
    <row r="44" ht="15.75" customHeight="1">
      <c r="A44" s="201"/>
      <c r="B44" s="207" t="s">
        <v>179</v>
      </c>
      <c r="C44" s="206" t="s">
        <v>124</v>
      </c>
      <c r="D44" s="208">
        <v>6000.0</v>
      </c>
      <c r="E44" s="200">
        <v>6000.0</v>
      </c>
      <c r="F44" s="164" t="s">
        <v>125</v>
      </c>
      <c r="G44" s="164" t="s">
        <v>131</v>
      </c>
      <c r="H44" s="165">
        <v>6000.0</v>
      </c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24"/>
      <c r="X44" s="24"/>
    </row>
    <row r="45" ht="15.75" customHeight="1">
      <c r="A45" s="201"/>
      <c r="B45" s="176" t="s">
        <v>180</v>
      </c>
      <c r="C45" s="206"/>
      <c r="D45" s="206"/>
      <c r="E45" s="200"/>
      <c r="F45" s="164"/>
      <c r="G45" s="164"/>
      <c r="H45" s="165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24"/>
      <c r="X45" s="24"/>
    </row>
    <row r="46" ht="15.75" customHeight="1">
      <c r="A46" s="201"/>
      <c r="B46" s="205"/>
      <c r="C46" s="206"/>
      <c r="D46" s="206"/>
      <c r="E46" s="200"/>
      <c r="F46" s="164"/>
      <c r="G46" s="164"/>
      <c r="H46" s="165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24"/>
      <c r="X46" s="24"/>
    </row>
    <row r="47" ht="15.75" customHeight="1">
      <c r="A47" s="201"/>
      <c r="B47" s="202" t="s">
        <v>181</v>
      </c>
      <c r="C47" s="209"/>
      <c r="D47" s="210"/>
      <c r="E47" s="200"/>
      <c r="F47" s="164"/>
      <c r="G47" s="164"/>
      <c r="H47" s="165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24"/>
      <c r="X47" s="24"/>
    </row>
    <row r="48" ht="15.75" customHeight="1">
      <c r="A48" s="201"/>
      <c r="B48" s="184" t="s">
        <v>128</v>
      </c>
      <c r="C48" s="206" t="s">
        <v>129</v>
      </c>
      <c r="D48" s="210">
        <v>14000.0</v>
      </c>
      <c r="E48" s="200">
        <f>30*14000</f>
        <v>420000</v>
      </c>
      <c r="F48" s="193" t="s">
        <v>130</v>
      </c>
      <c r="G48" s="164" t="s">
        <v>131</v>
      </c>
      <c r="H48" s="165">
        <v>30.0</v>
      </c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24"/>
      <c r="X48" s="24"/>
    </row>
    <row r="49" ht="15.75" customHeight="1">
      <c r="A49" s="201"/>
      <c r="B49" s="184"/>
      <c r="C49" s="206"/>
      <c r="D49" s="210"/>
      <c r="E49" s="200"/>
      <c r="F49" s="164"/>
      <c r="G49" s="164"/>
      <c r="H49" s="165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24"/>
      <c r="X49" s="24"/>
    </row>
    <row r="50" ht="15.75" customHeight="1">
      <c r="A50" s="156"/>
      <c r="B50" s="177" t="s">
        <v>133</v>
      </c>
      <c r="C50" s="178"/>
      <c r="D50" s="179"/>
      <c r="E50" s="180"/>
      <c r="F50" s="181"/>
      <c r="G50" s="181"/>
      <c r="H50" s="182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24"/>
      <c r="X50" s="24"/>
    </row>
    <row r="51" ht="15.75" customHeight="1">
      <c r="A51" s="201"/>
      <c r="B51" s="211" t="s">
        <v>182</v>
      </c>
      <c r="C51" s="208" t="s">
        <v>80</v>
      </c>
      <c r="D51" s="212">
        <v>30000.0</v>
      </c>
      <c r="E51" s="213">
        <v>30000.0</v>
      </c>
      <c r="F51" s="214" t="s">
        <v>125</v>
      </c>
      <c r="G51" s="214" t="s">
        <v>131</v>
      </c>
      <c r="H51" s="165">
        <v>1.0</v>
      </c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24"/>
      <c r="X51" s="24"/>
    </row>
    <row r="52" ht="15.75" customHeight="1">
      <c r="A52" s="201"/>
      <c r="B52" s="215" t="s">
        <v>183</v>
      </c>
      <c r="C52" s="209"/>
      <c r="D52" s="206"/>
      <c r="E52" s="200"/>
      <c r="F52" s="164"/>
      <c r="G52" s="164"/>
      <c r="H52" s="165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24"/>
      <c r="X52" s="24"/>
    </row>
    <row r="53" ht="15.75" customHeight="1">
      <c r="A53" s="201"/>
      <c r="B53" s="216" t="s">
        <v>184</v>
      </c>
      <c r="C53" s="206"/>
      <c r="D53" s="206"/>
      <c r="E53" s="200"/>
      <c r="F53" s="164"/>
      <c r="G53" s="164"/>
      <c r="H53" s="165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24"/>
      <c r="X53" s="24"/>
    </row>
    <row r="54" ht="15.75" customHeight="1">
      <c r="A54" s="201"/>
      <c r="B54" s="216" t="s">
        <v>185</v>
      </c>
      <c r="C54" s="206"/>
      <c r="D54" s="206"/>
      <c r="E54" s="200"/>
      <c r="F54" s="164"/>
      <c r="G54" s="164"/>
      <c r="H54" s="165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24"/>
      <c r="X54" s="24"/>
    </row>
    <row r="55" ht="15.75" customHeight="1">
      <c r="A55" s="201"/>
      <c r="B55" s="216" t="s">
        <v>186</v>
      </c>
      <c r="C55" s="206"/>
      <c r="D55" s="206"/>
      <c r="E55" s="200"/>
      <c r="F55" s="164"/>
      <c r="G55" s="164"/>
      <c r="H55" s="165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24"/>
      <c r="X55" s="24"/>
    </row>
    <row r="56" ht="15.75" customHeight="1">
      <c r="A56" s="201"/>
      <c r="B56" s="217"/>
      <c r="C56" s="206"/>
      <c r="D56" s="206"/>
      <c r="E56" s="200"/>
      <c r="F56" s="164"/>
      <c r="G56" s="164"/>
      <c r="H56" s="165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24"/>
      <c r="X56" s="24"/>
    </row>
    <row r="57" ht="15.75" customHeight="1">
      <c r="A57" s="201"/>
      <c r="B57" s="218" t="s">
        <v>187</v>
      </c>
      <c r="C57" s="206" t="s">
        <v>80</v>
      </c>
      <c r="D57" s="206">
        <v>325000.0</v>
      </c>
      <c r="E57" s="200">
        <f>250000+75000</f>
        <v>325000</v>
      </c>
      <c r="F57" s="214" t="s">
        <v>125</v>
      </c>
      <c r="G57" s="164" t="s">
        <v>131</v>
      </c>
      <c r="H57" s="165">
        <v>1.0</v>
      </c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24"/>
      <c r="X57" s="24"/>
    </row>
    <row r="58" ht="15.75" customHeight="1">
      <c r="A58" s="201"/>
      <c r="B58" s="219" t="s">
        <v>188</v>
      </c>
      <c r="C58" s="206"/>
      <c r="D58" s="206"/>
      <c r="E58" s="200"/>
      <c r="F58" s="164"/>
      <c r="G58" s="164"/>
      <c r="H58" s="165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24"/>
      <c r="X58" s="24"/>
    </row>
    <row r="59" ht="15.75" customHeight="1">
      <c r="A59" s="201"/>
      <c r="B59" s="220"/>
      <c r="C59" s="206"/>
      <c r="D59" s="206"/>
      <c r="E59" s="200"/>
      <c r="F59" s="164"/>
      <c r="G59" s="164"/>
      <c r="H59" s="165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24"/>
      <c r="X59" s="24"/>
    </row>
    <row r="60" ht="15.75" customHeight="1">
      <c r="A60" s="201"/>
      <c r="B60" s="218" t="s">
        <v>136</v>
      </c>
      <c r="C60" s="206" t="s">
        <v>80</v>
      </c>
      <c r="D60" s="206">
        <v>80000.0</v>
      </c>
      <c r="E60" s="200">
        <v>80000.0</v>
      </c>
      <c r="F60" s="164" t="s">
        <v>189</v>
      </c>
      <c r="G60" s="164" t="s">
        <v>131</v>
      </c>
      <c r="H60" s="165">
        <v>1.0</v>
      </c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24"/>
      <c r="X60" s="24"/>
    </row>
    <row r="61" ht="15.75" customHeight="1">
      <c r="A61" s="201"/>
      <c r="B61" s="220"/>
      <c r="C61" s="206"/>
      <c r="D61" s="206"/>
      <c r="E61" s="200"/>
      <c r="F61" s="164"/>
      <c r="G61" s="164"/>
      <c r="H61" s="165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24"/>
      <c r="X61" s="24"/>
    </row>
    <row r="62" ht="15.75" customHeight="1">
      <c r="A62" s="201"/>
      <c r="B62" s="217"/>
      <c r="C62" s="206"/>
      <c r="D62" s="206"/>
      <c r="E62" s="200"/>
      <c r="F62" s="164"/>
      <c r="G62" s="164"/>
      <c r="H62" s="165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24"/>
      <c r="X62" s="24"/>
    </row>
    <row r="63" ht="15.75" customHeight="1">
      <c r="A63" s="201"/>
      <c r="B63" s="217"/>
      <c r="C63" s="206"/>
      <c r="D63" s="206"/>
      <c r="E63" s="200"/>
      <c r="F63" s="164"/>
      <c r="G63" s="164"/>
      <c r="H63" s="165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24"/>
      <c r="X63" s="24"/>
    </row>
    <row r="64" ht="15.75" customHeight="1">
      <c r="A64" s="201"/>
      <c r="B64" s="217"/>
      <c r="C64" s="206"/>
      <c r="D64" s="206"/>
      <c r="E64" s="200"/>
      <c r="F64" s="164"/>
      <c r="G64" s="164"/>
      <c r="H64" s="165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24"/>
      <c r="X64" s="24"/>
    </row>
    <row r="65" ht="15.75" customHeight="1">
      <c r="A65" s="221"/>
      <c r="B65" s="222" t="s">
        <v>190</v>
      </c>
      <c r="C65" s="141"/>
      <c r="D65" s="141"/>
      <c r="E65" s="141"/>
      <c r="F65" s="141"/>
      <c r="G65" s="141"/>
      <c r="H65" s="141"/>
      <c r="I65" s="142"/>
      <c r="J65" s="223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24"/>
      <c r="X65" s="24"/>
    </row>
    <row r="66" ht="15.75" customHeight="1">
      <c r="A66" s="224"/>
      <c r="B66" s="225"/>
      <c r="C66" s="2"/>
      <c r="D66" s="3"/>
      <c r="E66" s="226"/>
      <c r="F66" s="11"/>
      <c r="G66" s="11"/>
      <c r="H66" s="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27" t="s">
        <v>191</v>
      </c>
      <c r="D67" s="117"/>
      <c r="E67" s="117">
        <v>1.95E7</v>
      </c>
      <c r="F67" s="11"/>
      <c r="G67" s="11"/>
      <c r="H67" s="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28"/>
      <c r="B68" s="5"/>
      <c r="C68" s="2"/>
      <c r="D68" s="3"/>
      <c r="E68" s="7"/>
      <c r="F68" s="11"/>
      <c r="G68" s="11"/>
      <c r="H68" s="229"/>
      <c r="I68" s="127"/>
      <c r="U68" s="230"/>
      <c r="V68" s="2"/>
      <c r="W68" s="2"/>
      <c r="X68" s="2"/>
    </row>
    <row r="69" ht="15.75" customHeight="1">
      <c r="A69" s="119" t="s">
        <v>139</v>
      </c>
      <c r="E69" s="7"/>
      <c r="F69" s="11"/>
      <c r="G69" s="11"/>
      <c r="H69" s="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120"/>
      <c r="B70" s="5"/>
      <c r="C70" s="2"/>
      <c r="D70" s="3"/>
      <c r="E70" s="7"/>
      <c r="F70" s="11"/>
      <c r="G70" s="11"/>
      <c r="H70" s="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31" t="s">
        <v>140</v>
      </c>
      <c r="C71" s="232" t="s">
        <v>141</v>
      </c>
      <c r="F71" s="233"/>
      <c r="G71" s="233"/>
      <c r="H71" s="9"/>
      <c r="I71" s="232" t="s">
        <v>192</v>
      </c>
      <c r="O71" s="2"/>
      <c r="P71" s="2"/>
      <c r="Q71" s="232" t="s">
        <v>143</v>
      </c>
      <c r="U71" s="2"/>
      <c r="X71" s="127"/>
    </row>
    <row r="72" ht="15.75" customHeight="1">
      <c r="A72" s="231"/>
      <c r="B72" s="225"/>
      <c r="C72" s="232"/>
      <c r="D72" s="234"/>
      <c r="E72" s="235"/>
      <c r="F72" s="233"/>
      <c r="G72" s="233"/>
      <c r="H72" s="9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127"/>
      <c r="X72" s="127"/>
    </row>
    <row r="73" ht="15.75" customHeight="1">
      <c r="A73" s="225"/>
      <c r="B73" s="225"/>
      <c r="C73" s="127"/>
      <c r="D73" s="230"/>
      <c r="E73" s="236"/>
      <c r="F73" s="233"/>
      <c r="G73" s="233"/>
      <c r="H73" s="9"/>
      <c r="I73" s="127"/>
      <c r="J73" s="237"/>
      <c r="K73" s="237"/>
      <c r="L73" s="237"/>
      <c r="M73" s="237"/>
      <c r="N73" s="237"/>
      <c r="O73" s="237"/>
      <c r="P73" s="237"/>
      <c r="Q73" s="127"/>
      <c r="R73" s="237"/>
      <c r="S73" s="127"/>
      <c r="T73" s="127"/>
      <c r="U73" s="127"/>
      <c r="V73" s="127"/>
      <c r="W73" s="127"/>
      <c r="X73" s="127"/>
    </row>
    <row r="74" ht="15.75" customHeight="1">
      <c r="A74" s="238" t="s">
        <v>144</v>
      </c>
      <c r="C74" s="239" t="s">
        <v>145</v>
      </c>
      <c r="G74" s="8"/>
      <c r="H74" s="9"/>
      <c r="I74" s="239" t="s">
        <v>146</v>
      </c>
      <c r="O74" s="2"/>
      <c r="P74" s="2"/>
      <c r="Q74" s="239" t="s">
        <v>147</v>
      </c>
      <c r="U74" s="2"/>
    </row>
    <row r="75" ht="15.75" customHeight="1">
      <c r="A75" s="240" t="s">
        <v>148</v>
      </c>
      <c r="C75" s="241" t="s">
        <v>193</v>
      </c>
      <c r="G75" s="242"/>
      <c r="H75" s="9"/>
      <c r="I75" s="243" t="s">
        <v>194</v>
      </c>
      <c r="O75" s="2"/>
      <c r="P75" s="2"/>
      <c r="Q75" s="241" t="s">
        <v>151</v>
      </c>
      <c r="U75" s="2"/>
      <c r="V75" s="2"/>
      <c r="W75" s="127"/>
      <c r="X75" s="127"/>
    </row>
    <row r="76" ht="15.75" customHeight="1">
      <c r="A76" s="2"/>
      <c r="B76" s="2"/>
      <c r="C76" s="2"/>
      <c r="D76" s="3"/>
      <c r="E76" s="7"/>
      <c r="F76" s="8"/>
      <c r="G76" s="8"/>
      <c r="H76" s="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 t="s">
        <v>152</v>
      </c>
      <c r="C77" s="2" t="s">
        <v>152</v>
      </c>
      <c r="F77" s="8"/>
      <c r="G77" s="8"/>
      <c r="H77" s="9"/>
      <c r="I77" s="2" t="s">
        <v>152</v>
      </c>
      <c r="M77" s="2"/>
      <c r="N77" s="2"/>
      <c r="O77" s="2"/>
      <c r="P77" s="2"/>
      <c r="Q77" s="2" t="s">
        <v>152</v>
      </c>
      <c r="U77" s="2"/>
      <c r="V77" s="2"/>
      <c r="W77" s="2"/>
      <c r="X77" s="2"/>
    </row>
    <row r="78" ht="15.75" customHeight="1">
      <c r="A78" s="2"/>
      <c r="B78" s="2"/>
      <c r="C78" s="2"/>
      <c r="D78" s="134"/>
      <c r="E78" s="7"/>
      <c r="F78" s="8"/>
      <c r="G78" s="8"/>
      <c r="H78" s="244"/>
      <c r="U78" s="2"/>
      <c r="V78" s="2"/>
      <c r="W78" s="2"/>
      <c r="X78" s="2"/>
    </row>
    <row r="79" ht="15.75" customHeight="1">
      <c r="A79" s="2"/>
      <c r="B79" s="2"/>
      <c r="C79" s="2"/>
      <c r="D79" s="134"/>
      <c r="E79" s="7"/>
      <c r="F79" s="8"/>
      <c r="G79" s="8"/>
      <c r="H79" s="245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"/>
      <c r="W79" s="2"/>
      <c r="X79" s="2"/>
    </row>
    <row r="80" ht="15.75" customHeight="1">
      <c r="A80" s="2"/>
      <c r="B80" s="2"/>
      <c r="C80" s="2"/>
      <c r="D80" s="134"/>
      <c r="E80" s="7"/>
      <c r="F80" s="8"/>
      <c r="G80" s="8"/>
      <c r="H80" s="247"/>
      <c r="I80" s="248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"/>
      <c r="W80" s="2"/>
      <c r="X80" s="2"/>
    </row>
    <row r="81" ht="15.75" customHeight="1">
      <c r="A81" s="2"/>
      <c r="B81" s="2"/>
      <c r="C81" s="2"/>
      <c r="D81" s="134"/>
      <c r="E81" s="7"/>
      <c r="F81" s="8"/>
      <c r="G81" s="8"/>
      <c r="H81" s="244"/>
      <c r="U81" s="2"/>
      <c r="V81" s="2"/>
      <c r="W81" s="2"/>
      <c r="X81" s="2"/>
    </row>
    <row r="82" ht="15.75" customHeight="1">
      <c r="A82" s="2"/>
      <c r="B82" s="2"/>
      <c r="C82" s="2"/>
      <c r="D82" s="134"/>
      <c r="E82" s="7"/>
      <c r="F82" s="8"/>
      <c r="G82" s="8"/>
      <c r="H82" s="244"/>
      <c r="U82" s="2"/>
      <c r="V82" s="2"/>
      <c r="W82" s="2"/>
      <c r="X82" s="2"/>
    </row>
    <row r="83" ht="15.75" customHeight="1">
      <c r="A83" s="2"/>
      <c r="B83" s="2"/>
      <c r="C83" s="2"/>
      <c r="D83" s="134"/>
      <c r="E83" s="7"/>
      <c r="F83" s="8"/>
      <c r="G83" s="8"/>
      <c r="H83" s="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/>
      <c r="C84" s="2"/>
      <c r="D84" s="134"/>
      <c r="E84" s="7"/>
      <c r="F84" s="8"/>
      <c r="G84" s="8"/>
      <c r="H84" s="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/>
      <c r="C85" s="2"/>
      <c r="D85" s="134"/>
      <c r="E85" s="7"/>
      <c r="F85" s="8"/>
      <c r="G85" s="8"/>
      <c r="H85" s="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/>
      <c r="C86" s="2"/>
      <c r="D86" s="134"/>
      <c r="E86" s="7"/>
      <c r="F86" s="8"/>
      <c r="G86" s="8"/>
      <c r="H86" s="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/>
      <c r="C87" s="2"/>
      <c r="D87" s="134"/>
      <c r="E87" s="7"/>
      <c r="F87" s="8"/>
      <c r="G87" s="8"/>
      <c r="H87" s="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/>
      <c r="C88" s="2"/>
      <c r="D88" s="134"/>
      <c r="E88" s="7"/>
      <c r="F88" s="8"/>
      <c r="G88" s="8"/>
      <c r="H88" s="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/>
      <c r="C89" s="2"/>
      <c r="D89" s="134"/>
      <c r="E89" s="7"/>
      <c r="F89" s="8"/>
      <c r="G89" s="8"/>
      <c r="H89" s="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/>
      <c r="C90" s="2"/>
      <c r="D90" s="134"/>
      <c r="E90" s="7"/>
      <c r="F90" s="8"/>
      <c r="G90" s="8"/>
      <c r="H90" s="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/>
      <c r="C91" s="2"/>
      <c r="D91" s="134"/>
      <c r="E91" s="7"/>
      <c r="F91" s="8"/>
      <c r="G91" s="8"/>
      <c r="H91" s="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/>
      <c r="C92" s="2"/>
      <c r="D92" s="134"/>
      <c r="E92" s="7"/>
      <c r="F92" s="8"/>
      <c r="G92" s="8"/>
      <c r="H92" s="9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/>
      <c r="C93" s="2"/>
      <c r="D93" s="134"/>
      <c r="E93" s="7"/>
      <c r="F93" s="8"/>
      <c r="G93" s="8"/>
      <c r="H93" s="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/>
      <c r="C94" s="2"/>
      <c r="D94" s="134"/>
      <c r="E94" s="7"/>
      <c r="F94" s="8"/>
      <c r="G94" s="8"/>
      <c r="H94" s="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/>
      <c r="C95" s="2"/>
      <c r="D95" s="134"/>
      <c r="E95" s="7"/>
      <c r="F95" s="8"/>
      <c r="G95" s="8"/>
      <c r="H95" s="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/>
      <c r="C96" s="2"/>
      <c r="D96" s="134"/>
      <c r="E96" s="7"/>
      <c r="F96" s="8"/>
      <c r="G96" s="8"/>
      <c r="H96" s="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/>
      <c r="C97" s="2"/>
      <c r="D97" s="134"/>
      <c r="E97" s="7"/>
      <c r="F97" s="8"/>
      <c r="G97" s="8"/>
      <c r="H97" s="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/>
      <c r="C98" s="2"/>
      <c r="D98" s="134"/>
      <c r="E98" s="7"/>
      <c r="F98" s="8"/>
      <c r="G98" s="8"/>
      <c r="H98" s="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/>
      <c r="C99" s="2"/>
      <c r="D99" s="134"/>
      <c r="E99" s="7"/>
      <c r="F99" s="8"/>
      <c r="G99" s="8"/>
      <c r="H99" s="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/>
      <c r="C100" s="2"/>
      <c r="D100" s="134"/>
      <c r="E100" s="7"/>
      <c r="F100" s="8"/>
      <c r="G100" s="8"/>
      <c r="H100" s="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/>
      <c r="C101" s="2"/>
      <c r="D101" s="134"/>
      <c r="E101" s="7"/>
      <c r="F101" s="8"/>
      <c r="G101" s="8"/>
      <c r="H101" s="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/>
      <c r="C102" s="2"/>
      <c r="D102" s="134"/>
      <c r="E102" s="7"/>
      <c r="F102" s="8"/>
      <c r="G102" s="8"/>
      <c r="H102" s="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/>
      <c r="C103" s="2"/>
      <c r="D103" s="134"/>
      <c r="E103" s="7"/>
      <c r="F103" s="8"/>
      <c r="G103" s="8"/>
      <c r="H103" s="9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/>
      <c r="C104" s="2"/>
      <c r="D104" s="134"/>
      <c r="E104" s="7"/>
      <c r="F104" s="8"/>
      <c r="G104" s="8"/>
      <c r="H104" s="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/>
      <c r="C105" s="2"/>
      <c r="D105" s="134"/>
      <c r="E105" s="7"/>
      <c r="F105" s="8"/>
      <c r="G105" s="8"/>
      <c r="H105" s="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/>
      <c r="C106" s="2"/>
      <c r="D106" s="134"/>
      <c r="E106" s="7"/>
      <c r="F106" s="8"/>
      <c r="G106" s="8"/>
      <c r="H106" s="9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/>
      <c r="C107" s="2"/>
      <c r="D107" s="134"/>
      <c r="E107" s="7"/>
      <c r="F107" s="8"/>
      <c r="G107" s="8"/>
      <c r="H107" s="9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/>
      <c r="C108" s="2"/>
      <c r="D108" s="134"/>
      <c r="E108" s="7"/>
      <c r="F108" s="8"/>
      <c r="G108" s="8"/>
      <c r="H108" s="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/>
      <c r="C109" s="2"/>
      <c r="D109" s="134"/>
      <c r="E109" s="7"/>
      <c r="F109" s="8"/>
      <c r="G109" s="8"/>
      <c r="H109" s="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/>
      <c r="C110" s="2"/>
      <c r="D110" s="134"/>
      <c r="E110" s="7"/>
      <c r="F110" s="8"/>
      <c r="G110" s="8"/>
      <c r="H110" s="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/>
      <c r="C111" s="2"/>
      <c r="D111" s="134"/>
      <c r="E111" s="7"/>
      <c r="F111" s="8"/>
      <c r="G111" s="8"/>
      <c r="H111" s="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/>
      <c r="C112" s="2"/>
      <c r="D112" s="134"/>
      <c r="E112" s="7"/>
      <c r="F112" s="8"/>
      <c r="G112" s="8"/>
      <c r="H112" s="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/>
      <c r="C113" s="2"/>
      <c r="D113" s="134"/>
      <c r="E113" s="7"/>
      <c r="F113" s="8"/>
      <c r="G113" s="8"/>
      <c r="H113" s="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/>
      <c r="C114" s="2"/>
      <c r="D114" s="134"/>
      <c r="E114" s="7"/>
      <c r="F114" s="8"/>
      <c r="G114" s="8"/>
      <c r="H114" s="9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/>
      <c r="C115" s="2"/>
      <c r="D115" s="134"/>
      <c r="E115" s="7"/>
      <c r="F115" s="8"/>
      <c r="G115" s="8"/>
      <c r="H115" s="9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/>
      <c r="C116" s="2"/>
      <c r="D116" s="134"/>
      <c r="E116" s="7"/>
      <c r="F116" s="8"/>
      <c r="G116" s="8"/>
      <c r="H116" s="9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/>
      <c r="C117" s="2"/>
      <c r="D117" s="134"/>
      <c r="E117" s="7"/>
      <c r="F117" s="8"/>
      <c r="G117" s="8"/>
      <c r="H117" s="9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/>
      <c r="C118" s="2"/>
      <c r="D118" s="134"/>
      <c r="E118" s="7"/>
      <c r="F118" s="8"/>
      <c r="G118" s="8"/>
      <c r="H118" s="9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/>
      <c r="C119" s="2"/>
      <c r="D119" s="134"/>
      <c r="E119" s="7"/>
      <c r="F119" s="8"/>
      <c r="G119" s="8"/>
      <c r="H119" s="9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/>
      <c r="C120" s="2"/>
      <c r="D120" s="134"/>
      <c r="E120" s="7"/>
      <c r="F120" s="8"/>
      <c r="G120" s="8"/>
      <c r="H120" s="9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/>
      <c r="C121" s="2"/>
      <c r="D121" s="134"/>
      <c r="E121" s="7"/>
      <c r="F121" s="8"/>
      <c r="G121" s="8"/>
      <c r="H121" s="9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134"/>
      <c r="E122" s="7"/>
      <c r="F122" s="8"/>
      <c r="G122" s="8"/>
      <c r="H122" s="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134"/>
      <c r="E123" s="7"/>
      <c r="F123" s="8"/>
      <c r="G123" s="8"/>
      <c r="H123" s="9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134"/>
      <c r="E124" s="7"/>
      <c r="F124" s="8"/>
      <c r="G124" s="8"/>
      <c r="H124" s="9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134"/>
      <c r="E125" s="7"/>
      <c r="F125" s="8"/>
      <c r="G125" s="8"/>
      <c r="H125" s="9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134"/>
      <c r="E126" s="7"/>
      <c r="F126" s="8"/>
      <c r="G126" s="8"/>
      <c r="H126" s="9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134"/>
      <c r="E127" s="7"/>
      <c r="F127" s="8"/>
      <c r="G127" s="8"/>
      <c r="H127" s="9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134"/>
      <c r="E128" s="7"/>
      <c r="F128" s="8"/>
      <c r="G128" s="8"/>
      <c r="H128" s="9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134"/>
      <c r="E129" s="7"/>
      <c r="F129" s="8"/>
      <c r="G129" s="8"/>
      <c r="H129" s="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134"/>
      <c r="E130" s="7"/>
      <c r="F130" s="8"/>
      <c r="G130" s="8"/>
      <c r="H130" s="9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134"/>
      <c r="E131" s="7"/>
      <c r="F131" s="8"/>
      <c r="G131" s="8"/>
      <c r="H131" s="9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134"/>
      <c r="E132" s="7"/>
      <c r="F132" s="8"/>
      <c r="G132" s="8"/>
      <c r="H132" s="9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134"/>
      <c r="E133" s="7"/>
      <c r="F133" s="8"/>
      <c r="G133" s="8"/>
      <c r="H133" s="9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134"/>
      <c r="E134" s="7"/>
      <c r="F134" s="8"/>
      <c r="G134" s="8"/>
      <c r="H134" s="9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134"/>
      <c r="E135" s="7"/>
      <c r="F135" s="8"/>
      <c r="G135" s="8"/>
      <c r="H135" s="9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134"/>
      <c r="E136" s="7"/>
      <c r="F136" s="8"/>
      <c r="G136" s="8"/>
      <c r="H136" s="9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134"/>
      <c r="E137" s="7"/>
      <c r="F137" s="8"/>
      <c r="G137" s="8"/>
      <c r="H137" s="9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134"/>
      <c r="E138" s="7"/>
      <c r="F138" s="8"/>
      <c r="G138" s="8"/>
      <c r="H138" s="9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134"/>
      <c r="E139" s="7"/>
      <c r="F139" s="8"/>
      <c r="G139" s="8"/>
      <c r="H139" s="9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134"/>
      <c r="E140" s="7"/>
      <c r="F140" s="8"/>
      <c r="G140" s="8"/>
      <c r="H140" s="9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134"/>
      <c r="E141" s="7"/>
      <c r="F141" s="8"/>
      <c r="G141" s="8"/>
      <c r="H141" s="9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134"/>
      <c r="E142" s="7"/>
      <c r="F142" s="8"/>
      <c r="G142" s="8"/>
      <c r="H142" s="9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134"/>
      <c r="E143" s="7"/>
      <c r="F143" s="8"/>
      <c r="G143" s="8"/>
      <c r="H143" s="9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134"/>
      <c r="E144" s="7"/>
      <c r="F144" s="8"/>
      <c r="G144" s="8"/>
      <c r="H144" s="9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134"/>
      <c r="E145" s="7"/>
      <c r="F145" s="8"/>
      <c r="G145" s="8"/>
      <c r="H145" s="9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134"/>
      <c r="E146" s="7"/>
      <c r="F146" s="8"/>
      <c r="G146" s="8"/>
      <c r="H146" s="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134"/>
      <c r="E147" s="7"/>
      <c r="F147" s="8"/>
      <c r="G147" s="8"/>
      <c r="H147" s="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134"/>
      <c r="E148" s="7"/>
      <c r="F148" s="8"/>
      <c r="G148" s="8"/>
      <c r="H148" s="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134"/>
      <c r="E149" s="7"/>
      <c r="F149" s="8"/>
      <c r="G149" s="8"/>
      <c r="H149" s="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134"/>
      <c r="E150" s="7"/>
      <c r="F150" s="8"/>
      <c r="G150" s="8"/>
      <c r="H150" s="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134"/>
      <c r="E151" s="7"/>
      <c r="F151" s="8"/>
      <c r="G151" s="8"/>
      <c r="H151" s="9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134"/>
      <c r="E152" s="7"/>
      <c r="F152" s="8"/>
      <c r="G152" s="8"/>
      <c r="H152" s="9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134"/>
      <c r="E153" s="7"/>
      <c r="F153" s="8"/>
      <c r="G153" s="8"/>
      <c r="H153" s="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134"/>
      <c r="E154" s="7"/>
      <c r="F154" s="8"/>
      <c r="G154" s="8"/>
      <c r="H154" s="9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134"/>
      <c r="E155" s="7"/>
      <c r="F155" s="8"/>
      <c r="G155" s="8"/>
      <c r="H155" s="9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134"/>
      <c r="E156" s="7"/>
      <c r="F156" s="8"/>
      <c r="G156" s="8"/>
      <c r="H156" s="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134"/>
      <c r="E157" s="7"/>
      <c r="F157" s="8"/>
      <c r="G157" s="8"/>
      <c r="H157" s="9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134"/>
      <c r="E158" s="7"/>
      <c r="F158" s="8"/>
      <c r="G158" s="8"/>
      <c r="H158" s="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134"/>
      <c r="E159" s="7"/>
      <c r="F159" s="8"/>
      <c r="G159" s="8"/>
      <c r="H159" s="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134"/>
      <c r="E160" s="7"/>
      <c r="F160" s="8"/>
      <c r="G160" s="8"/>
      <c r="H160" s="9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134"/>
      <c r="E161" s="7"/>
      <c r="F161" s="8"/>
      <c r="G161" s="8"/>
      <c r="H161" s="9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134"/>
      <c r="E162" s="7"/>
      <c r="F162" s="8"/>
      <c r="G162" s="8"/>
      <c r="H162" s="9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134"/>
      <c r="E163" s="7"/>
      <c r="F163" s="8"/>
      <c r="G163" s="8"/>
      <c r="H163" s="9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134"/>
      <c r="E164" s="7"/>
      <c r="F164" s="8"/>
      <c r="G164" s="8"/>
      <c r="H164" s="9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134"/>
      <c r="E165" s="7"/>
      <c r="F165" s="8"/>
      <c r="G165" s="8"/>
      <c r="H165" s="9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134"/>
      <c r="E166" s="7"/>
      <c r="F166" s="8"/>
      <c r="G166" s="8"/>
      <c r="H166" s="9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134"/>
      <c r="E167" s="7"/>
      <c r="F167" s="8"/>
      <c r="G167" s="8"/>
      <c r="H167" s="9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134"/>
      <c r="E168" s="7"/>
      <c r="F168" s="8"/>
      <c r="G168" s="8"/>
      <c r="H168" s="9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134"/>
      <c r="E169" s="7"/>
      <c r="F169" s="8"/>
      <c r="G169" s="8"/>
      <c r="H169" s="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134"/>
      <c r="E170" s="7"/>
      <c r="F170" s="8"/>
      <c r="G170" s="8"/>
      <c r="H170" s="9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134"/>
      <c r="E171" s="7"/>
      <c r="F171" s="8"/>
      <c r="G171" s="8"/>
      <c r="H171" s="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134"/>
      <c r="E172" s="7"/>
      <c r="F172" s="8"/>
      <c r="G172" s="8"/>
      <c r="H172" s="9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134"/>
      <c r="E173" s="7"/>
      <c r="F173" s="8"/>
      <c r="G173" s="8"/>
      <c r="H173" s="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134"/>
      <c r="E174" s="7"/>
      <c r="F174" s="8"/>
      <c r="G174" s="8"/>
      <c r="H174" s="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134"/>
      <c r="E175" s="7"/>
      <c r="F175" s="8"/>
      <c r="G175" s="8"/>
      <c r="H175" s="9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134"/>
      <c r="E176" s="7"/>
      <c r="F176" s="8"/>
      <c r="G176" s="8"/>
      <c r="H176" s="9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134"/>
      <c r="E177" s="7"/>
      <c r="F177" s="8"/>
      <c r="G177" s="8"/>
      <c r="H177" s="9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134"/>
      <c r="E178" s="7"/>
      <c r="F178" s="8"/>
      <c r="G178" s="8"/>
      <c r="H178" s="9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134"/>
      <c r="E179" s="7"/>
      <c r="F179" s="8"/>
      <c r="G179" s="8"/>
      <c r="H179" s="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134"/>
      <c r="E180" s="7"/>
      <c r="F180" s="8"/>
      <c r="G180" s="8"/>
      <c r="H180" s="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134"/>
      <c r="E181" s="7"/>
      <c r="F181" s="8"/>
      <c r="G181" s="8"/>
      <c r="H181" s="9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134"/>
      <c r="E182" s="7"/>
      <c r="F182" s="8"/>
      <c r="G182" s="8"/>
      <c r="H182" s="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134"/>
      <c r="E183" s="7"/>
      <c r="F183" s="8"/>
      <c r="G183" s="8"/>
      <c r="H183" s="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134"/>
      <c r="E184" s="7"/>
      <c r="F184" s="8"/>
      <c r="G184" s="8"/>
      <c r="H184" s="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134"/>
      <c r="E185" s="7"/>
      <c r="F185" s="8"/>
      <c r="G185" s="8"/>
      <c r="H185" s="9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134"/>
      <c r="E186" s="7"/>
      <c r="F186" s="8"/>
      <c r="G186" s="8"/>
      <c r="H186" s="9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134"/>
      <c r="E187" s="7"/>
      <c r="F187" s="8"/>
      <c r="G187" s="8"/>
      <c r="H187" s="9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134"/>
      <c r="E188" s="7"/>
      <c r="F188" s="8"/>
      <c r="G188" s="8"/>
      <c r="H188" s="9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134"/>
      <c r="E189" s="7"/>
      <c r="F189" s="8"/>
      <c r="G189" s="8"/>
      <c r="H189" s="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134"/>
      <c r="E190" s="7"/>
      <c r="F190" s="8"/>
      <c r="G190" s="8"/>
      <c r="H190" s="9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134"/>
      <c r="E191" s="7"/>
      <c r="F191" s="8"/>
      <c r="G191" s="8"/>
      <c r="H191" s="9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134"/>
      <c r="E192" s="7"/>
      <c r="F192" s="8"/>
      <c r="G192" s="8"/>
      <c r="H192" s="9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134"/>
      <c r="E193" s="7"/>
      <c r="F193" s="8"/>
      <c r="G193" s="8"/>
      <c r="H193" s="9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134"/>
      <c r="E194" s="7"/>
      <c r="F194" s="8"/>
      <c r="G194" s="8"/>
      <c r="H194" s="9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134"/>
      <c r="E195" s="7"/>
      <c r="F195" s="8"/>
      <c r="G195" s="8"/>
      <c r="H195" s="9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134"/>
      <c r="E196" s="7"/>
      <c r="F196" s="8"/>
      <c r="G196" s="8"/>
      <c r="H196" s="9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134"/>
      <c r="E197" s="7"/>
      <c r="F197" s="8"/>
      <c r="G197" s="8"/>
      <c r="H197" s="9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134"/>
      <c r="E198" s="7"/>
      <c r="F198" s="8"/>
      <c r="G198" s="8"/>
      <c r="H198" s="9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134"/>
      <c r="E199" s="7"/>
      <c r="F199" s="8"/>
      <c r="G199" s="8"/>
      <c r="H199" s="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134"/>
      <c r="E200" s="7"/>
      <c r="F200" s="8"/>
      <c r="G200" s="8"/>
      <c r="H200" s="9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134"/>
      <c r="E201" s="7"/>
      <c r="F201" s="8"/>
      <c r="G201" s="8"/>
      <c r="H201" s="9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134"/>
      <c r="E202" s="7"/>
      <c r="F202" s="8"/>
      <c r="G202" s="8"/>
      <c r="H202" s="9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134"/>
      <c r="E203" s="7"/>
      <c r="F203" s="8"/>
      <c r="G203" s="8"/>
      <c r="H203" s="9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134"/>
      <c r="E204" s="7"/>
      <c r="F204" s="8"/>
      <c r="G204" s="8"/>
      <c r="H204" s="9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134"/>
      <c r="E205" s="7"/>
      <c r="F205" s="8"/>
      <c r="G205" s="8"/>
      <c r="H205" s="9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134"/>
      <c r="E206" s="7"/>
      <c r="F206" s="8"/>
      <c r="G206" s="8"/>
      <c r="H206" s="9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134"/>
      <c r="E207" s="7"/>
      <c r="F207" s="8"/>
      <c r="G207" s="8"/>
      <c r="H207" s="9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134"/>
      <c r="E208" s="7"/>
      <c r="F208" s="8"/>
      <c r="G208" s="8"/>
      <c r="H208" s="9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134"/>
      <c r="E209" s="7"/>
      <c r="F209" s="8"/>
      <c r="G209" s="8"/>
      <c r="H209" s="9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134"/>
      <c r="E210" s="7"/>
      <c r="F210" s="8"/>
      <c r="G210" s="8"/>
      <c r="H210" s="9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134"/>
      <c r="E211" s="7"/>
      <c r="F211" s="8"/>
      <c r="G211" s="8"/>
      <c r="H211" s="9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134"/>
      <c r="E212" s="7"/>
      <c r="F212" s="8"/>
      <c r="G212" s="8"/>
      <c r="H212" s="9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134"/>
      <c r="E213" s="7"/>
      <c r="F213" s="8"/>
      <c r="G213" s="8"/>
      <c r="H213" s="9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134"/>
      <c r="E214" s="7"/>
      <c r="F214" s="8"/>
      <c r="G214" s="8"/>
      <c r="H214" s="9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134"/>
      <c r="E215" s="7"/>
      <c r="F215" s="8"/>
      <c r="G215" s="8"/>
      <c r="H215" s="9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134"/>
      <c r="E216" s="7"/>
      <c r="F216" s="8"/>
      <c r="G216" s="8"/>
      <c r="H216" s="9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134"/>
      <c r="E217" s="7"/>
      <c r="F217" s="8"/>
      <c r="G217" s="8"/>
      <c r="H217" s="9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134"/>
      <c r="E218" s="7"/>
      <c r="F218" s="8"/>
      <c r="G218" s="8"/>
      <c r="H218" s="9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134"/>
      <c r="E219" s="7"/>
      <c r="F219" s="8"/>
      <c r="G219" s="8"/>
      <c r="H219" s="9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134"/>
      <c r="E220" s="7"/>
      <c r="F220" s="8"/>
      <c r="G220" s="8"/>
      <c r="H220" s="9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134"/>
      <c r="E221" s="7"/>
      <c r="F221" s="8"/>
      <c r="G221" s="8"/>
      <c r="H221" s="9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134"/>
      <c r="E222" s="7"/>
      <c r="F222" s="8"/>
      <c r="G222" s="8"/>
      <c r="H222" s="9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134"/>
      <c r="E223" s="7"/>
      <c r="F223" s="8"/>
      <c r="G223" s="8"/>
      <c r="H223" s="9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134"/>
      <c r="E224" s="7"/>
      <c r="F224" s="8"/>
      <c r="G224" s="8"/>
      <c r="H224" s="9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2"/>
      <c r="C225" s="2"/>
      <c r="D225" s="134"/>
      <c r="E225" s="7"/>
      <c r="F225" s="8"/>
      <c r="G225" s="8"/>
      <c r="H225" s="9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2"/>
      <c r="C226" s="2"/>
      <c r="D226" s="134"/>
      <c r="E226" s="7"/>
      <c r="F226" s="8"/>
      <c r="G226" s="8"/>
      <c r="H226" s="9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2"/>
      <c r="C227" s="2"/>
      <c r="D227" s="134"/>
      <c r="E227" s="7"/>
      <c r="F227" s="8"/>
      <c r="G227" s="8"/>
      <c r="H227" s="9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2"/>
      <c r="C228" s="2"/>
      <c r="D228" s="134"/>
      <c r="E228" s="7"/>
      <c r="F228" s="8"/>
      <c r="G228" s="8"/>
      <c r="H228" s="9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2"/>
      <c r="C229" s="2"/>
      <c r="D229" s="134"/>
      <c r="E229" s="7"/>
      <c r="F229" s="8"/>
      <c r="G229" s="8"/>
      <c r="H229" s="9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2"/>
      <c r="C230" s="2"/>
      <c r="D230" s="134"/>
      <c r="E230" s="7"/>
      <c r="F230" s="8"/>
      <c r="G230" s="8"/>
      <c r="H230" s="9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2"/>
      <c r="C231" s="2"/>
      <c r="D231" s="134"/>
      <c r="E231" s="7"/>
      <c r="F231" s="8"/>
      <c r="G231" s="8"/>
      <c r="H231" s="9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2"/>
      <c r="C232" s="2"/>
      <c r="D232" s="134"/>
      <c r="E232" s="7"/>
      <c r="F232" s="8"/>
      <c r="G232" s="8"/>
      <c r="H232" s="9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2"/>
      <c r="C233" s="2"/>
      <c r="D233" s="134"/>
      <c r="E233" s="7"/>
      <c r="F233" s="8"/>
      <c r="G233" s="8"/>
      <c r="H233" s="9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2"/>
      <c r="C234" s="2"/>
      <c r="D234" s="134"/>
      <c r="E234" s="7"/>
      <c r="F234" s="8"/>
      <c r="G234" s="8"/>
      <c r="H234" s="9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2"/>
      <c r="C235" s="2"/>
      <c r="D235" s="134"/>
      <c r="E235" s="7"/>
      <c r="F235" s="8"/>
      <c r="G235" s="8"/>
      <c r="H235" s="9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2"/>
      <c r="C236" s="2"/>
      <c r="D236" s="134"/>
      <c r="E236" s="7"/>
      <c r="F236" s="8"/>
      <c r="G236" s="8"/>
      <c r="H236" s="9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2"/>
      <c r="C237" s="2"/>
      <c r="D237" s="134"/>
      <c r="E237" s="7"/>
      <c r="F237" s="8"/>
      <c r="G237" s="8"/>
      <c r="H237" s="9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2"/>
      <c r="C238" s="2"/>
      <c r="D238" s="134"/>
      <c r="E238" s="7"/>
      <c r="F238" s="8"/>
      <c r="G238" s="8"/>
      <c r="H238" s="9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2"/>
      <c r="C239" s="2"/>
      <c r="D239" s="134"/>
      <c r="E239" s="7"/>
      <c r="F239" s="8"/>
      <c r="G239" s="8"/>
      <c r="H239" s="9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2"/>
      <c r="C240" s="2"/>
      <c r="D240" s="134"/>
      <c r="E240" s="7"/>
      <c r="F240" s="8"/>
      <c r="G240" s="8"/>
      <c r="H240" s="9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2"/>
      <c r="C241" s="2"/>
      <c r="D241" s="134"/>
      <c r="E241" s="7"/>
      <c r="F241" s="8"/>
      <c r="G241" s="8"/>
      <c r="H241" s="9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2"/>
      <c r="C242" s="2"/>
      <c r="D242" s="134"/>
      <c r="E242" s="7"/>
      <c r="F242" s="8"/>
      <c r="G242" s="8"/>
      <c r="H242" s="9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2"/>
      <c r="C243" s="2"/>
      <c r="D243" s="134"/>
      <c r="E243" s="7"/>
      <c r="F243" s="8"/>
      <c r="G243" s="8"/>
      <c r="H243" s="9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2"/>
      <c r="C244" s="2"/>
      <c r="D244" s="134"/>
      <c r="E244" s="7"/>
      <c r="F244" s="8"/>
      <c r="G244" s="8"/>
      <c r="H244" s="9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2"/>
      <c r="C245" s="2"/>
      <c r="D245" s="134"/>
      <c r="E245" s="7"/>
      <c r="F245" s="8"/>
      <c r="G245" s="8"/>
      <c r="H245" s="9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2"/>
      <c r="C246" s="2"/>
      <c r="D246" s="134"/>
      <c r="E246" s="7"/>
      <c r="F246" s="8"/>
      <c r="G246" s="8"/>
      <c r="H246" s="9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2"/>
      <c r="C247" s="2"/>
      <c r="D247" s="134"/>
      <c r="E247" s="7"/>
      <c r="F247" s="8"/>
      <c r="G247" s="8"/>
      <c r="H247" s="9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2"/>
      <c r="C248" s="2"/>
      <c r="D248" s="134"/>
      <c r="E248" s="7"/>
      <c r="F248" s="8"/>
      <c r="G248" s="8"/>
      <c r="H248" s="9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2"/>
      <c r="C249" s="2"/>
      <c r="D249" s="134"/>
      <c r="E249" s="7"/>
      <c r="F249" s="8"/>
      <c r="G249" s="8"/>
      <c r="H249" s="9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2"/>
      <c r="B250" s="2"/>
      <c r="C250" s="2"/>
      <c r="D250" s="134"/>
      <c r="E250" s="7"/>
      <c r="F250" s="8"/>
      <c r="G250" s="8"/>
      <c r="H250" s="9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2"/>
      <c r="B251" s="2"/>
      <c r="C251" s="2"/>
      <c r="D251" s="134"/>
      <c r="E251" s="7"/>
      <c r="F251" s="8"/>
      <c r="G251" s="8"/>
      <c r="H251" s="9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2"/>
      <c r="B252" s="2"/>
      <c r="C252" s="2"/>
      <c r="D252" s="134"/>
      <c r="E252" s="7"/>
      <c r="F252" s="8"/>
      <c r="G252" s="8"/>
      <c r="H252" s="9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2"/>
      <c r="B253" s="2"/>
      <c r="C253" s="2"/>
      <c r="D253" s="134"/>
      <c r="E253" s="7"/>
      <c r="F253" s="8"/>
      <c r="G253" s="8"/>
      <c r="H253" s="9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2"/>
      <c r="B254" s="2"/>
      <c r="C254" s="2"/>
      <c r="D254" s="134"/>
      <c r="E254" s="7"/>
      <c r="F254" s="8"/>
      <c r="G254" s="8"/>
      <c r="H254" s="9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2"/>
      <c r="B255" s="2"/>
      <c r="C255" s="2"/>
      <c r="D255" s="134"/>
      <c r="E255" s="7"/>
      <c r="F255" s="8"/>
      <c r="G255" s="8"/>
      <c r="H255" s="9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2"/>
      <c r="B256" s="2"/>
      <c r="C256" s="2"/>
      <c r="D256" s="134"/>
      <c r="E256" s="7"/>
      <c r="F256" s="8"/>
      <c r="G256" s="8"/>
      <c r="H256" s="9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2"/>
      <c r="B257" s="2"/>
      <c r="C257" s="2"/>
      <c r="D257" s="134"/>
      <c r="E257" s="7"/>
      <c r="F257" s="8"/>
      <c r="G257" s="8"/>
      <c r="H257" s="9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2"/>
      <c r="B258" s="2"/>
      <c r="C258" s="2"/>
      <c r="D258" s="134"/>
      <c r="E258" s="7"/>
      <c r="F258" s="8"/>
      <c r="G258" s="8"/>
      <c r="H258" s="9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2"/>
      <c r="B259" s="2"/>
      <c r="C259" s="2"/>
      <c r="D259" s="134"/>
      <c r="E259" s="7"/>
      <c r="F259" s="8"/>
      <c r="G259" s="8"/>
      <c r="H259" s="9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2"/>
      <c r="B260" s="2"/>
      <c r="C260" s="2"/>
      <c r="D260" s="134"/>
      <c r="E260" s="7"/>
      <c r="F260" s="8"/>
      <c r="G260" s="8"/>
      <c r="H260" s="9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2"/>
      <c r="B261" s="2"/>
      <c r="C261" s="2"/>
      <c r="D261" s="134"/>
      <c r="E261" s="7"/>
      <c r="F261" s="8"/>
      <c r="G261" s="8"/>
      <c r="H261" s="9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2"/>
      <c r="B262" s="2"/>
      <c r="C262" s="2"/>
      <c r="D262" s="134"/>
      <c r="E262" s="7"/>
      <c r="F262" s="8"/>
      <c r="G262" s="8"/>
      <c r="H262" s="9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2"/>
      <c r="B263" s="2"/>
      <c r="C263" s="2"/>
      <c r="D263" s="134"/>
      <c r="E263" s="7"/>
      <c r="F263" s="8"/>
      <c r="G263" s="8"/>
      <c r="H263" s="9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2"/>
      <c r="B264" s="2"/>
      <c r="C264" s="2"/>
      <c r="D264" s="134"/>
      <c r="E264" s="7"/>
      <c r="F264" s="8"/>
      <c r="G264" s="8"/>
      <c r="H264" s="9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2"/>
      <c r="B265" s="2"/>
      <c r="C265" s="2"/>
      <c r="D265" s="134"/>
      <c r="E265" s="7"/>
      <c r="F265" s="8"/>
      <c r="G265" s="8"/>
      <c r="H265" s="9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2"/>
      <c r="B266" s="2"/>
      <c r="C266" s="2"/>
      <c r="D266" s="134"/>
      <c r="E266" s="7"/>
      <c r="F266" s="8"/>
      <c r="G266" s="8"/>
      <c r="H266" s="9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2"/>
      <c r="B267" s="2"/>
      <c r="C267" s="2"/>
      <c r="D267" s="134"/>
      <c r="E267" s="7"/>
      <c r="F267" s="8"/>
      <c r="G267" s="8"/>
      <c r="H267" s="9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2"/>
      <c r="B268" s="2"/>
      <c r="C268" s="2"/>
      <c r="D268" s="134"/>
      <c r="E268" s="7"/>
      <c r="F268" s="8"/>
      <c r="G268" s="8"/>
      <c r="H268" s="9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2"/>
      <c r="B269" s="2"/>
      <c r="C269" s="2"/>
      <c r="D269" s="134"/>
      <c r="E269" s="7"/>
      <c r="F269" s="8"/>
      <c r="G269" s="8"/>
      <c r="H269" s="9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2"/>
      <c r="B270" s="2"/>
      <c r="C270" s="2"/>
      <c r="D270" s="134"/>
      <c r="E270" s="7"/>
      <c r="F270" s="8"/>
      <c r="G270" s="8"/>
      <c r="H270" s="9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2"/>
      <c r="B271" s="2"/>
      <c r="C271" s="2"/>
      <c r="D271" s="134"/>
      <c r="E271" s="7"/>
      <c r="F271" s="8"/>
      <c r="G271" s="8"/>
      <c r="H271" s="9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2"/>
      <c r="B272" s="2"/>
      <c r="C272" s="2"/>
      <c r="D272" s="134"/>
      <c r="E272" s="7"/>
      <c r="F272" s="8"/>
      <c r="G272" s="8"/>
      <c r="H272" s="9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2"/>
      <c r="B273" s="2"/>
      <c r="C273" s="2"/>
      <c r="D273" s="134"/>
      <c r="E273" s="7"/>
      <c r="F273" s="8"/>
      <c r="G273" s="8"/>
      <c r="H273" s="9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2"/>
      <c r="B274" s="2"/>
      <c r="C274" s="2"/>
      <c r="D274" s="134"/>
      <c r="E274" s="7"/>
      <c r="F274" s="8"/>
      <c r="G274" s="8"/>
      <c r="H274" s="9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2"/>
      <c r="B275" s="2"/>
      <c r="C275" s="2"/>
      <c r="D275" s="134"/>
      <c r="E275" s="7"/>
      <c r="F275" s="8"/>
      <c r="G275" s="8"/>
      <c r="H275" s="9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2"/>
      <c r="B276" s="2"/>
      <c r="C276" s="2"/>
      <c r="D276" s="134"/>
      <c r="E276" s="7"/>
      <c r="F276" s="8"/>
      <c r="G276" s="8"/>
      <c r="H276" s="9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2"/>
      <c r="B277" s="2"/>
      <c r="C277" s="2"/>
      <c r="D277" s="134"/>
      <c r="E277" s="7"/>
      <c r="F277" s="8"/>
      <c r="G277" s="8"/>
      <c r="H277" s="9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E8:E9"/>
    <mergeCell ref="F8:F9"/>
    <mergeCell ref="G8:G9"/>
    <mergeCell ref="H8:V8"/>
    <mergeCell ref="A1:V1"/>
    <mergeCell ref="A2:V2"/>
    <mergeCell ref="A3:V3"/>
    <mergeCell ref="A4:B4"/>
    <mergeCell ref="A6:F6"/>
    <mergeCell ref="A7:B7"/>
    <mergeCell ref="A8:A9"/>
    <mergeCell ref="C71:E71"/>
    <mergeCell ref="I71:N71"/>
    <mergeCell ref="V71:W71"/>
    <mergeCell ref="B8:B9"/>
    <mergeCell ref="D8:D9"/>
    <mergeCell ref="B65:I65"/>
    <mergeCell ref="A67:B67"/>
    <mergeCell ref="J68:T68"/>
    <mergeCell ref="A69:D69"/>
    <mergeCell ref="Q71:T71"/>
    <mergeCell ref="A71:B71"/>
    <mergeCell ref="A74:B74"/>
    <mergeCell ref="C74:F74"/>
    <mergeCell ref="Q74:T74"/>
    <mergeCell ref="V74:X74"/>
    <mergeCell ref="A75:B75"/>
    <mergeCell ref="C75:F75"/>
    <mergeCell ref="Q75:T75"/>
    <mergeCell ref="H81:T81"/>
    <mergeCell ref="H82:T82"/>
    <mergeCell ref="I74:N74"/>
    <mergeCell ref="I75:N75"/>
    <mergeCell ref="A77:B77"/>
    <mergeCell ref="C77:E77"/>
    <mergeCell ref="I77:L77"/>
    <mergeCell ref="Q77:T77"/>
    <mergeCell ref="H78:T7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9.0"/>
  </cols>
  <sheetData>
    <row r="1" ht="15.75" customHeight="1">
      <c r="A1" s="250" t="s">
        <v>195</v>
      </c>
      <c r="B1" s="251"/>
      <c r="C1" s="251"/>
      <c r="D1" s="251"/>
      <c r="E1" s="250"/>
      <c r="F1" s="252"/>
    </row>
    <row r="2" ht="15.75" customHeight="1">
      <c r="A2" s="253" t="s">
        <v>196</v>
      </c>
      <c r="E2" s="254" t="s">
        <v>197</v>
      </c>
      <c r="F2" s="255"/>
    </row>
    <row r="3" ht="15.75" customHeight="1">
      <c r="A3" s="256" t="s">
        <v>198</v>
      </c>
      <c r="D3" s="255"/>
      <c r="E3" s="257" t="s">
        <v>199</v>
      </c>
      <c r="F3" s="255"/>
    </row>
    <row r="4" ht="15.75" customHeight="1">
      <c r="A4" s="256" t="s">
        <v>200</v>
      </c>
      <c r="E4" s="254" t="s">
        <v>201</v>
      </c>
      <c r="F4" s="255"/>
    </row>
    <row r="5" ht="15.75" customHeight="1">
      <c r="A5" s="258" t="s">
        <v>202</v>
      </c>
      <c r="B5" s="259" t="s">
        <v>203</v>
      </c>
      <c r="C5" s="259" t="s">
        <v>204</v>
      </c>
      <c r="D5" s="259" t="s">
        <v>205</v>
      </c>
      <c r="E5" s="260" t="s">
        <v>206</v>
      </c>
      <c r="F5" s="142"/>
    </row>
    <row r="6" ht="15.75" customHeight="1">
      <c r="A6" s="261" t="s">
        <v>207</v>
      </c>
      <c r="B6" s="262"/>
      <c r="C6" s="262"/>
      <c r="D6" s="262"/>
      <c r="E6" s="262"/>
      <c r="F6" s="263" t="s">
        <v>208</v>
      </c>
    </row>
    <row r="7" ht="15.75" customHeight="1">
      <c r="A7" s="261" t="s">
        <v>209</v>
      </c>
      <c r="B7" s="262"/>
      <c r="C7" s="262"/>
      <c r="D7" s="262"/>
      <c r="E7" s="262"/>
      <c r="F7" s="263" t="s">
        <v>210</v>
      </c>
    </row>
    <row r="8" ht="15.75" customHeight="1">
      <c r="A8" s="261" t="s">
        <v>211</v>
      </c>
      <c r="B8" s="262"/>
      <c r="C8" s="262"/>
      <c r="D8" s="262"/>
      <c r="E8" s="262"/>
      <c r="F8" s="263" t="s">
        <v>212</v>
      </c>
    </row>
    <row r="9" ht="15.75" customHeight="1">
      <c r="A9" s="261" t="s">
        <v>213</v>
      </c>
      <c r="B9" s="264"/>
      <c r="C9" s="264"/>
      <c r="D9" s="264"/>
      <c r="E9" s="264"/>
      <c r="F9" s="263" t="s">
        <v>214</v>
      </c>
    </row>
    <row r="10" ht="15.75" customHeight="1">
      <c r="A10" s="261" t="s">
        <v>215</v>
      </c>
      <c r="B10" s="264"/>
      <c r="C10" s="264"/>
      <c r="D10" s="264"/>
      <c r="E10" s="264"/>
      <c r="F10" s="263" t="s">
        <v>216</v>
      </c>
    </row>
    <row r="11" ht="15.75" customHeight="1">
      <c r="A11" s="261" t="s">
        <v>217</v>
      </c>
      <c r="B11" s="264"/>
      <c r="C11" s="264"/>
      <c r="D11" s="264"/>
      <c r="E11" s="264"/>
      <c r="F11" s="263" t="s">
        <v>218</v>
      </c>
    </row>
    <row r="12" ht="15.75" customHeight="1">
      <c r="A12" s="265" t="s">
        <v>219</v>
      </c>
      <c r="B12" s="266"/>
      <c r="C12" s="267"/>
      <c r="D12" s="264"/>
      <c r="E12" s="264"/>
      <c r="F12" s="263" t="s">
        <v>220</v>
      </c>
    </row>
    <row r="13" ht="15.75" customHeight="1">
      <c r="A13" s="265" t="s">
        <v>221</v>
      </c>
      <c r="B13" s="266"/>
      <c r="C13" s="267"/>
      <c r="D13" s="266"/>
      <c r="E13" s="264"/>
      <c r="F13" s="263" t="s">
        <v>222</v>
      </c>
    </row>
    <row r="14" ht="15.75" customHeight="1">
      <c r="A14" s="268" t="s">
        <v>223</v>
      </c>
      <c r="B14" s="269"/>
      <c r="C14" s="267"/>
      <c r="D14" s="264"/>
      <c r="E14" s="264"/>
      <c r="F14" s="262" t="s">
        <v>224</v>
      </c>
    </row>
    <row r="15" ht="15.75" customHeight="1">
      <c r="A15" s="270" t="s">
        <v>225</v>
      </c>
      <c r="B15" s="142"/>
      <c r="C15" s="271" t="s">
        <v>226</v>
      </c>
      <c r="D15" s="26"/>
      <c r="E15" s="272" t="s">
        <v>227</v>
      </c>
      <c r="F15" s="272" t="s">
        <v>228</v>
      </c>
    </row>
    <row r="16" ht="15.75" customHeight="1">
      <c r="A16" s="273" t="s">
        <v>229</v>
      </c>
      <c r="B16" s="274" t="s">
        <v>230</v>
      </c>
      <c r="C16" s="274" t="s">
        <v>231</v>
      </c>
      <c r="D16" s="274" t="s">
        <v>232</v>
      </c>
      <c r="E16" s="262"/>
      <c r="F16" s="262"/>
    </row>
    <row r="17" ht="15.75" customHeight="1">
      <c r="A17" s="275"/>
      <c r="B17" s="264"/>
      <c r="C17" s="264"/>
      <c r="D17" s="264"/>
      <c r="E17" s="264"/>
      <c r="F17" s="264"/>
    </row>
    <row r="18" ht="15.75" customHeight="1">
      <c r="A18" s="275"/>
      <c r="B18" s="264"/>
      <c r="C18" s="264"/>
      <c r="D18" s="264"/>
      <c r="E18" s="264"/>
      <c r="F18" s="264"/>
    </row>
    <row r="19" ht="15.75" customHeight="1">
      <c r="A19" s="275"/>
      <c r="B19" s="264"/>
      <c r="C19" s="264"/>
      <c r="D19" s="264"/>
      <c r="E19" s="264"/>
      <c r="F19" s="264"/>
    </row>
    <row r="20" ht="15.75" customHeight="1">
      <c r="A20" s="275"/>
      <c r="B20" s="264"/>
      <c r="C20" s="264"/>
      <c r="D20" s="264"/>
      <c r="E20" s="264"/>
      <c r="F20" s="264"/>
    </row>
    <row r="21" ht="15.75" customHeight="1">
      <c r="A21" s="275"/>
      <c r="B21" s="264"/>
      <c r="C21" s="264"/>
      <c r="D21" s="264"/>
      <c r="E21" s="264"/>
      <c r="F21" s="264"/>
    </row>
    <row r="22" ht="15.75" customHeight="1">
      <c r="A22" s="275"/>
      <c r="B22" s="264"/>
      <c r="C22" s="264"/>
      <c r="D22" s="264"/>
      <c r="E22" s="264"/>
      <c r="F22" s="264"/>
    </row>
    <row r="23" ht="15.75" customHeight="1">
      <c r="A23" s="275"/>
      <c r="B23" s="264"/>
      <c r="C23" s="264"/>
      <c r="D23" s="264"/>
      <c r="E23" s="264"/>
      <c r="F23" s="264"/>
    </row>
    <row r="24" ht="15.75" customHeight="1">
      <c r="A24" s="275"/>
      <c r="B24" s="264"/>
      <c r="C24" s="264"/>
      <c r="D24" s="264"/>
      <c r="E24" s="264"/>
      <c r="F24" s="264"/>
    </row>
    <row r="25" ht="15.75" customHeight="1">
      <c r="A25" s="275"/>
      <c r="B25" s="264"/>
      <c r="C25" s="264"/>
      <c r="D25" s="264"/>
      <c r="E25" s="264"/>
      <c r="F25" s="264"/>
    </row>
    <row r="26" ht="15.75" customHeight="1">
      <c r="A26" s="275"/>
      <c r="B26" s="264"/>
      <c r="C26" s="264"/>
      <c r="D26" s="264"/>
      <c r="E26" s="264"/>
      <c r="F26" s="264"/>
    </row>
    <row r="27" ht="15.75" customHeight="1">
      <c r="A27" s="275"/>
      <c r="B27" s="264"/>
      <c r="C27" s="264"/>
      <c r="D27" s="264"/>
      <c r="E27" s="264"/>
      <c r="F27" s="264"/>
    </row>
    <row r="28" ht="15.75" customHeight="1">
      <c r="A28" s="275"/>
      <c r="B28" s="264"/>
      <c r="C28" s="264"/>
      <c r="D28" s="264"/>
      <c r="E28" s="264"/>
      <c r="F28" s="264"/>
    </row>
    <row r="29" ht="15.75" customHeight="1">
      <c r="A29" s="276" t="s">
        <v>233</v>
      </c>
      <c r="B29" s="141"/>
      <c r="C29" s="141"/>
      <c r="D29" s="141"/>
      <c r="E29" s="141"/>
      <c r="F29" s="142"/>
    </row>
    <row r="30" ht="15.75" customHeight="1">
      <c r="A30" s="277"/>
      <c r="B30" s="267"/>
      <c r="C30" s="267"/>
      <c r="D30" s="267"/>
      <c r="E30" s="267"/>
      <c r="F30" s="267"/>
    </row>
    <row r="31" ht="15.75" customHeight="1">
      <c r="A31" s="278"/>
      <c r="B31" s="278"/>
      <c r="C31" s="278"/>
      <c r="D31" s="278"/>
      <c r="E31" s="278"/>
      <c r="F31" s="278"/>
    </row>
    <row r="32" ht="15.75" customHeight="1">
      <c r="A32" s="250" t="s">
        <v>195</v>
      </c>
      <c r="B32" s="251"/>
      <c r="C32" s="251"/>
      <c r="D32" s="251"/>
      <c r="E32" s="250"/>
      <c r="F32" s="252"/>
    </row>
    <row r="33" ht="15.75" customHeight="1">
      <c r="A33" s="253" t="s">
        <v>196</v>
      </c>
      <c r="E33" s="254" t="s">
        <v>197</v>
      </c>
      <c r="F33" s="255"/>
    </row>
    <row r="34" ht="15.75" customHeight="1">
      <c r="A34" s="256" t="s">
        <v>198</v>
      </c>
      <c r="D34" s="255"/>
      <c r="E34" s="257" t="s">
        <v>199</v>
      </c>
      <c r="F34" s="255"/>
    </row>
    <row r="35" ht="15.75" customHeight="1">
      <c r="A35" s="256" t="s">
        <v>200</v>
      </c>
      <c r="E35" s="254" t="s">
        <v>201</v>
      </c>
      <c r="F35" s="255"/>
    </row>
    <row r="36" ht="15.75" customHeight="1">
      <c r="A36" s="258" t="s">
        <v>202</v>
      </c>
      <c r="B36" s="259" t="s">
        <v>203</v>
      </c>
      <c r="C36" s="259" t="s">
        <v>204</v>
      </c>
      <c r="D36" s="259" t="s">
        <v>205</v>
      </c>
      <c r="E36" s="260" t="s">
        <v>206</v>
      </c>
      <c r="F36" s="142"/>
    </row>
    <row r="37" ht="15.75" customHeight="1">
      <c r="A37" s="261" t="s">
        <v>207</v>
      </c>
      <c r="B37" s="262"/>
      <c r="C37" s="262"/>
      <c r="D37" s="262"/>
      <c r="E37" s="262"/>
      <c r="F37" s="263" t="s">
        <v>208</v>
      </c>
    </row>
    <row r="38" ht="15.75" customHeight="1">
      <c r="A38" s="261" t="s">
        <v>209</v>
      </c>
      <c r="B38" s="262"/>
      <c r="C38" s="262"/>
      <c r="D38" s="262"/>
      <c r="E38" s="262"/>
      <c r="F38" s="263" t="s">
        <v>210</v>
      </c>
    </row>
    <row r="39" ht="15.75" customHeight="1">
      <c r="A39" s="261" t="s">
        <v>211</v>
      </c>
      <c r="B39" s="262"/>
      <c r="C39" s="262"/>
      <c r="D39" s="262"/>
      <c r="E39" s="262"/>
      <c r="F39" s="263" t="s">
        <v>212</v>
      </c>
    </row>
    <row r="40" ht="15.75" customHeight="1">
      <c r="A40" s="261" t="s">
        <v>213</v>
      </c>
      <c r="B40" s="264"/>
      <c r="C40" s="264"/>
      <c r="D40" s="264"/>
      <c r="E40" s="264"/>
      <c r="F40" s="263" t="s">
        <v>214</v>
      </c>
    </row>
    <row r="41" ht="15.75" customHeight="1">
      <c r="A41" s="261" t="s">
        <v>215</v>
      </c>
      <c r="B41" s="264"/>
      <c r="C41" s="264"/>
      <c r="D41" s="264"/>
      <c r="E41" s="264"/>
      <c r="F41" s="263" t="s">
        <v>216</v>
      </c>
    </row>
    <row r="42" ht="15.75" customHeight="1">
      <c r="A42" s="261" t="s">
        <v>217</v>
      </c>
      <c r="B42" s="264"/>
      <c r="C42" s="264"/>
      <c r="D42" s="264"/>
      <c r="E42" s="264"/>
      <c r="F42" s="263" t="s">
        <v>218</v>
      </c>
    </row>
    <row r="43" ht="15.75" customHeight="1">
      <c r="A43" s="265" t="s">
        <v>219</v>
      </c>
      <c r="B43" s="266"/>
      <c r="C43" s="264"/>
      <c r="D43" s="264"/>
      <c r="E43" s="264"/>
      <c r="F43" s="263" t="s">
        <v>220</v>
      </c>
    </row>
    <row r="44" ht="15.75" customHeight="1">
      <c r="A44" s="265" t="s">
        <v>221</v>
      </c>
      <c r="B44" s="266"/>
      <c r="C44" s="267"/>
      <c r="D44" s="266"/>
      <c r="E44" s="264"/>
      <c r="F44" s="263" t="s">
        <v>222</v>
      </c>
    </row>
    <row r="45" ht="15.75" customHeight="1">
      <c r="A45" s="268" t="s">
        <v>223</v>
      </c>
      <c r="B45" s="269"/>
      <c r="C45" s="267"/>
      <c r="D45" s="264"/>
      <c r="E45" s="264"/>
      <c r="F45" s="262" t="s">
        <v>224</v>
      </c>
    </row>
    <row r="46" ht="15.75" customHeight="1">
      <c r="A46" s="270" t="s">
        <v>225</v>
      </c>
      <c r="B46" s="142"/>
      <c r="C46" s="271" t="s">
        <v>226</v>
      </c>
      <c r="D46" s="26"/>
      <c r="E46" s="272" t="s">
        <v>227</v>
      </c>
      <c r="F46" s="272" t="s">
        <v>228</v>
      </c>
    </row>
    <row r="47" ht="15.75" customHeight="1">
      <c r="A47" s="273" t="s">
        <v>229</v>
      </c>
      <c r="B47" s="274" t="s">
        <v>230</v>
      </c>
      <c r="C47" s="274" t="s">
        <v>231</v>
      </c>
      <c r="D47" s="274" t="s">
        <v>232</v>
      </c>
      <c r="E47" s="262"/>
      <c r="F47" s="262"/>
    </row>
    <row r="48" ht="15.75" customHeight="1">
      <c r="A48" s="275"/>
      <c r="B48" s="264"/>
      <c r="C48" s="264"/>
      <c r="D48" s="264"/>
      <c r="E48" s="264"/>
      <c r="F48" s="264"/>
    </row>
    <row r="49" ht="15.75" customHeight="1">
      <c r="A49" s="275"/>
      <c r="B49" s="264"/>
      <c r="C49" s="264"/>
      <c r="D49" s="264"/>
      <c r="E49" s="264"/>
      <c r="F49" s="264"/>
    </row>
    <row r="50" ht="15.75" customHeight="1">
      <c r="A50" s="275"/>
      <c r="B50" s="264"/>
      <c r="C50" s="264"/>
      <c r="D50" s="264"/>
      <c r="E50" s="264"/>
      <c r="F50" s="264"/>
    </row>
    <row r="51" ht="15.75" customHeight="1">
      <c r="A51" s="275"/>
      <c r="B51" s="264"/>
      <c r="C51" s="264"/>
      <c r="D51" s="264"/>
      <c r="E51" s="264"/>
      <c r="F51" s="264"/>
    </row>
    <row r="52" ht="15.75" customHeight="1">
      <c r="A52" s="275"/>
      <c r="B52" s="264"/>
      <c r="C52" s="264"/>
      <c r="D52" s="264"/>
      <c r="E52" s="264"/>
      <c r="F52" s="264"/>
    </row>
    <row r="53" ht="15.75" customHeight="1">
      <c r="A53" s="275"/>
      <c r="B53" s="264"/>
      <c r="C53" s="264"/>
      <c r="D53" s="264"/>
      <c r="E53" s="264"/>
      <c r="F53" s="264"/>
    </row>
    <row r="54" ht="15.75" customHeight="1">
      <c r="A54" s="275"/>
      <c r="B54" s="264"/>
      <c r="C54" s="264"/>
      <c r="D54" s="264"/>
      <c r="E54" s="264"/>
      <c r="F54" s="264"/>
    </row>
    <row r="55" ht="15.75" customHeight="1">
      <c r="A55" s="275"/>
      <c r="B55" s="264"/>
      <c r="C55" s="264"/>
      <c r="D55" s="264"/>
      <c r="E55" s="264"/>
      <c r="F55" s="264"/>
    </row>
    <row r="56" ht="15.75" customHeight="1">
      <c r="A56" s="275"/>
      <c r="B56" s="264"/>
      <c r="C56" s="264"/>
      <c r="D56" s="264"/>
      <c r="E56" s="264"/>
      <c r="F56" s="264"/>
    </row>
    <row r="57" ht="15.75" customHeight="1">
      <c r="A57" s="275"/>
      <c r="B57" s="264"/>
      <c r="C57" s="264"/>
      <c r="D57" s="264"/>
      <c r="E57" s="264"/>
      <c r="F57" s="264"/>
    </row>
    <row r="58" ht="15.75" customHeight="1">
      <c r="A58" s="275"/>
      <c r="B58" s="264"/>
      <c r="C58" s="264"/>
      <c r="D58" s="264"/>
      <c r="E58" s="264"/>
      <c r="F58" s="264"/>
    </row>
    <row r="59" ht="15.75" customHeight="1">
      <c r="A59" s="275"/>
      <c r="B59" s="264"/>
      <c r="C59" s="264"/>
      <c r="D59" s="264"/>
      <c r="E59" s="264"/>
      <c r="F59" s="264"/>
    </row>
    <row r="60" ht="15.75" customHeight="1">
      <c r="A60" s="276" t="s">
        <v>233</v>
      </c>
      <c r="B60" s="141"/>
      <c r="C60" s="141"/>
      <c r="D60" s="141"/>
      <c r="E60" s="141"/>
      <c r="F60" s="14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D1"/>
    <mergeCell ref="A2:D2"/>
    <mergeCell ref="E2:F2"/>
    <mergeCell ref="A3:D3"/>
    <mergeCell ref="E3:F3"/>
    <mergeCell ref="E4:F4"/>
    <mergeCell ref="E5:F5"/>
    <mergeCell ref="A34:D34"/>
    <mergeCell ref="E34:F34"/>
    <mergeCell ref="A35:D35"/>
    <mergeCell ref="E35:F35"/>
    <mergeCell ref="E36:F36"/>
    <mergeCell ref="A46:B46"/>
    <mergeCell ref="C46:D46"/>
    <mergeCell ref="A60:F60"/>
    <mergeCell ref="A4:D4"/>
    <mergeCell ref="A15:B15"/>
    <mergeCell ref="C15:D15"/>
    <mergeCell ref="A29:F29"/>
    <mergeCell ref="A32:D32"/>
    <mergeCell ref="A33:D33"/>
    <mergeCell ref="E33:F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9.0"/>
    <col customWidth="1" min="3" max="4" width="17.13"/>
    <col customWidth="1" min="5" max="5" width="51.38"/>
    <col customWidth="1" min="6" max="6" width="12.63"/>
  </cols>
  <sheetData>
    <row r="1" ht="15.75" customHeight="1">
      <c r="A1" s="279" t="s">
        <v>234</v>
      </c>
      <c r="B1" s="279" t="s">
        <v>235</v>
      </c>
      <c r="C1" s="279" t="s">
        <v>236</v>
      </c>
      <c r="D1" s="279" t="s">
        <v>237</v>
      </c>
      <c r="E1" s="279" t="s">
        <v>238</v>
      </c>
      <c r="F1" s="279" t="s">
        <v>239</v>
      </c>
      <c r="G1" s="279" t="s">
        <v>240</v>
      </c>
      <c r="H1" s="280" t="s">
        <v>241</v>
      </c>
      <c r="I1" s="279" t="s">
        <v>242</v>
      </c>
      <c r="J1" s="279" t="s">
        <v>243</v>
      </c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</row>
    <row r="2" ht="15.75" customHeight="1">
      <c r="A2" s="282">
        <v>1.0</v>
      </c>
      <c r="B2" s="283">
        <v>45299.0</v>
      </c>
      <c r="C2" s="284" t="s">
        <v>244</v>
      </c>
      <c r="D2" s="285"/>
      <c r="E2" s="285" t="s">
        <v>245</v>
      </c>
      <c r="F2" s="286">
        <v>5000.0</v>
      </c>
      <c r="G2" s="286" t="s">
        <v>246</v>
      </c>
      <c r="H2" s="287">
        <v>55.0</v>
      </c>
      <c r="I2" s="288">
        <f>F2*H2</f>
        <v>275000</v>
      </c>
      <c r="J2" s="286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  <c r="AA2" s="281"/>
      <c r="AB2" s="281"/>
    </row>
    <row r="3" ht="15.75" customHeight="1">
      <c r="A3" s="289"/>
      <c r="B3" s="283"/>
      <c r="C3" s="285"/>
      <c r="D3" s="285"/>
      <c r="E3" s="285"/>
      <c r="F3" s="285"/>
      <c r="G3" s="285"/>
      <c r="H3" s="285"/>
      <c r="I3" s="290"/>
      <c r="J3" s="285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</row>
    <row r="4" ht="15.75" customHeight="1">
      <c r="A4" s="282">
        <v>2.0</v>
      </c>
      <c r="B4" s="283">
        <v>45299.0</v>
      </c>
      <c r="C4" s="284" t="s">
        <v>244</v>
      </c>
      <c r="D4" s="285"/>
      <c r="E4" s="285" t="s">
        <v>247</v>
      </c>
      <c r="F4" s="286">
        <v>1500.0</v>
      </c>
      <c r="G4" s="286" t="s">
        <v>248</v>
      </c>
      <c r="H4" s="287">
        <v>600.0</v>
      </c>
      <c r="I4" s="288">
        <f>F4*H4</f>
        <v>900000</v>
      </c>
      <c r="J4" s="285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</row>
    <row r="5" ht="15.75" customHeight="1">
      <c r="A5" s="289"/>
      <c r="B5" s="283"/>
      <c r="C5" s="285"/>
      <c r="D5" s="285"/>
      <c r="E5" s="285"/>
      <c r="F5" s="285"/>
      <c r="G5" s="285"/>
      <c r="H5" s="285"/>
      <c r="I5" s="290"/>
      <c r="J5" s="285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</row>
    <row r="6" ht="15.75" customHeight="1">
      <c r="A6" s="282">
        <v>3.0</v>
      </c>
      <c r="B6" s="283">
        <v>45299.0</v>
      </c>
      <c r="C6" s="284" t="s">
        <v>244</v>
      </c>
      <c r="D6" s="285"/>
      <c r="E6" s="285" t="s">
        <v>249</v>
      </c>
      <c r="F6" s="286">
        <v>1500.0</v>
      </c>
      <c r="G6" s="286" t="s">
        <v>248</v>
      </c>
      <c r="H6" s="287">
        <v>140.0</v>
      </c>
      <c r="I6" s="288">
        <f>F6*H6</f>
        <v>210000</v>
      </c>
      <c r="J6" s="285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</row>
    <row r="7" ht="15.75" customHeight="1">
      <c r="A7" s="289"/>
      <c r="B7" s="283"/>
      <c r="C7" s="285"/>
      <c r="D7" s="285"/>
      <c r="E7" s="285"/>
      <c r="F7" s="285"/>
      <c r="G7" s="285"/>
      <c r="H7" s="285"/>
      <c r="I7" s="290"/>
      <c r="J7" s="285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</row>
    <row r="8" ht="15.75" customHeight="1">
      <c r="A8" s="282">
        <v>4.0</v>
      </c>
      <c r="B8" s="283">
        <v>45299.0</v>
      </c>
      <c r="C8" s="284" t="s">
        <v>244</v>
      </c>
      <c r="D8" s="291"/>
      <c r="E8" s="291" t="s">
        <v>250</v>
      </c>
      <c r="F8" s="285"/>
      <c r="G8" s="285"/>
      <c r="H8" s="285"/>
      <c r="I8" s="290"/>
      <c r="J8" s="285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</row>
    <row r="9" ht="15.75" customHeight="1">
      <c r="A9" s="289"/>
      <c r="B9" s="283"/>
      <c r="C9" s="285"/>
      <c r="D9" s="285"/>
      <c r="E9" s="285" t="s">
        <v>97</v>
      </c>
      <c r="F9" s="185">
        <v>9.0</v>
      </c>
      <c r="G9" s="185" t="s">
        <v>251</v>
      </c>
      <c r="H9" s="186">
        <v>8000.0</v>
      </c>
      <c r="I9" s="288">
        <f t="shared" ref="I9:I13" si="1">F9*H9</f>
        <v>72000</v>
      </c>
      <c r="J9" s="285"/>
      <c r="K9" s="281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  <c r="AB9" s="281"/>
    </row>
    <row r="10" ht="15.75" customHeight="1">
      <c r="A10" s="289"/>
      <c r="B10" s="283"/>
      <c r="C10" s="285"/>
      <c r="D10" s="285"/>
      <c r="E10" s="285" t="s">
        <v>102</v>
      </c>
      <c r="F10" s="185">
        <v>130.0</v>
      </c>
      <c r="G10" s="185" t="s">
        <v>251</v>
      </c>
      <c r="H10" s="186">
        <v>3000.0</v>
      </c>
      <c r="I10" s="288">
        <f t="shared" si="1"/>
        <v>390000</v>
      </c>
      <c r="J10" s="285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</row>
    <row r="11" ht="15.75" customHeight="1">
      <c r="A11" s="289"/>
      <c r="B11" s="283"/>
      <c r="C11" s="285"/>
      <c r="D11" s="285"/>
      <c r="E11" s="285" t="s">
        <v>252</v>
      </c>
      <c r="F11" s="185">
        <v>180.0</v>
      </c>
      <c r="G11" s="185" t="s">
        <v>248</v>
      </c>
      <c r="H11" s="186">
        <v>350.0</v>
      </c>
      <c r="I11" s="288">
        <f t="shared" si="1"/>
        <v>63000</v>
      </c>
      <c r="J11" s="285"/>
      <c r="K11" s="281"/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</row>
    <row r="12" ht="15.75" customHeight="1">
      <c r="A12" s="289"/>
      <c r="B12" s="283"/>
      <c r="C12" s="285"/>
      <c r="D12" s="285"/>
      <c r="E12" s="285" t="s">
        <v>253</v>
      </c>
      <c r="F12" s="185">
        <v>50.0</v>
      </c>
      <c r="G12" s="185" t="s">
        <v>254</v>
      </c>
      <c r="H12" s="186">
        <v>700.0</v>
      </c>
      <c r="I12" s="288">
        <f t="shared" si="1"/>
        <v>35000</v>
      </c>
      <c r="J12" s="285"/>
      <c r="K12" s="281"/>
      <c r="L12" s="281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</row>
    <row r="13" ht="15.75" customHeight="1">
      <c r="A13" s="289"/>
      <c r="B13" s="283"/>
      <c r="C13" s="285"/>
      <c r="D13" s="285"/>
      <c r="E13" s="285" t="s">
        <v>111</v>
      </c>
      <c r="F13" s="185">
        <v>38.0</v>
      </c>
      <c r="G13" s="185" t="s">
        <v>251</v>
      </c>
      <c r="H13" s="186">
        <v>9500.0</v>
      </c>
      <c r="I13" s="288">
        <f t="shared" si="1"/>
        <v>361000</v>
      </c>
      <c r="J13" s="285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</row>
    <row r="14" ht="15.75" customHeight="1">
      <c r="A14" s="289"/>
      <c r="B14" s="283"/>
      <c r="C14" s="285"/>
      <c r="D14" s="285"/>
      <c r="E14" s="285"/>
      <c r="F14" s="285"/>
      <c r="G14" s="285"/>
      <c r="H14" s="285"/>
      <c r="I14" s="290"/>
      <c r="J14" s="285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</row>
    <row r="15" ht="15.75" customHeight="1">
      <c r="A15" s="126">
        <v>5.0</v>
      </c>
      <c r="B15" s="283">
        <v>45299.0</v>
      </c>
      <c r="C15" s="284" t="s">
        <v>244</v>
      </c>
      <c r="D15" s="291"/>
      <c r="E15" s="291" t="s">
        <v>182</v>
      </c>
      <c r="F15" s="185">
        <v>1.0</v>
      </c>
      <c r="G15" s="285" t="s">
        <v>255</v>
      </c>
      <c r="H15" s="292">
        <v>30000.0</v>
      </c>
      <c r="I15" s="292">
        <v>30000.0</v>
      </c>
      <c r="J15" s="285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</row>
    <row r="16" ht="15.75" customHeight="1">
      <c r="A16" s="289"/>
      <c r="B16" s="283"/>
      <c r="C16" s="293"/>
      <c r="D16" s="293"/>
      <c r="E16" s="293" t="s">
        <v>183</v>
      </c>
      <c r="F16" s="285"/>
      <c r="G16" s="285"/>
      <c r="H16" s="285"/>
      <c r="I16" s="290"/>
      <c r="J16" s="285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</row>
    <row r="17" ht="15.75" customHeight="1">
      <c r="A17" s="126"/>
      <c r="B17" s="283"/>
      <c r="C17" s="294"/>
      <c r="D17" s="294"/>
      <c r="E17" s="294" t="s">
        <v>184</v>
      </c>
      <c r="F17" s="285"/>
      <c r="G17" s="285"/>
      <c r="H17" s="285"/>
      <c r="I17" s="290"/>
      <c r="J17" s="285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</row>
    <row r="18" ht="15.75" customHeight="1">
      <c r="A18" s="126"/>
      <c r="B18" s="283"/>
      <c r="C18" s="294"/>
      <c r="D18" s="294"/>
      <c r="E18" s="294" t="s">
        <v>185</v>
      </c>
      <c r="F18" s="285"/>
      <c r="G18" s="285"/>
      <c r="H18" s="285"/>
      <c r="I18" s="290"/>
      <c r="J18" s="285"/>
      <c r="K18" s="281"/>
      <c r="L18" s="281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</row>
    <row r="19" ht="15.75" customHeight="1">
      <c r="A19" s="126"/>
      <c r="B19" s="283"/>
      <c r="C19" s="294"/>
      <c r="D19" s="294"/>
      <c r="E19" s="294" t="s">
        <v>186</v>
      </c>
      <c r="F19" s="285"/>
      <c r="G19" s="285"/>
      <c r="H19" s="285"/>
      <c r="I19" s="290"/>
      <c r="J19" s="285"/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</row>
    <row r="20" ht="15.75" customHeight="1">
      <c r="A20" s="126"/>
      <c r="B20" s="283"/>
      <c r="C20" s="220"/>
      <c r="D20" s="220"/>
      <c r="E20" s="220"/>
      <c r="F20" s="285"/>
      <c r="G20" s="285"/>
      <c r="H20" s="285"/>
      <c r="I20" s="290"/>
      <c r="J20" s="285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</row>
    <row r="21" ht="15.75" customHeight="1">
      <c r="A21" s="126">
        <v>6.0</v>
      </c>
      <c r="B21" s="283"/>
      <c r="C21" s="220"/>
      <c r="D21" s="220"/>
      <c r="E21" s="218" t="s">
        <v>256</v>
      </c>
      <c r="F21" s="185">
        <v>30.0</v>
      </c>
      <c r="G21" s="185" t="s">
        <v>257</v>
      </c>
      <c r="H21" s="292">
        <v>14000.0</v>
      </c>
      <c r="I21" s="288">
        <f>F21*H21</f>
        <v>420000</v>
      </c>
      <c r="J21" s="285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</row>
    <row r="22" ht="15.75" customHeight="1">
      <c r="A22" s="289"/>
      <c r="B22" s="283"/>
      <c r="C22" s="285"/>
      <c r="D22" s="285"/>
      <c r="E22" s="285" t="s">
        <v>258</v>
      </c>
      <c r="F22" s="285"/>
      <c r="G22" s="285"/>
      <c r="H22" s="285"/>
      <c r="I22" s="285"/>
      <c r="J22" s="285"/>
      <c r="K22" s="281"/>
      <c r="L22" s="281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</row>
    <row r="23" ht="15.75" customHeight="1">
      <c r="A23" s="289"/>
      <c r="B23" s="283"/>
      <c r="C23" s="285"/>
      <c r="D23" s="285"/>
      <c r="E23" s="285"/>
      <c r="F23" s="285"/>
      <c r="G23" s="285"/>
      <c r="H23" s="285"/>
      <c r="I23" s="285"/>
      <c r="J23" s="285"/>
      <c r="K23" s="281"/>
      <c r="L23" s="281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</row>
    <row r="24" ht="15.75" customHeight="1">
      <c r="A24" s="289"/>
      <c r="B24" s="283"/>
      <c r="C24" s="285"/>
      <c r="D24" s="285"/>
      <c r="E24" s="285"/>
      <c r="F24" s="285"/>
      <c r="G24" s="285"/>
      <c r="H24" s="285"/>
      <c r="I24" s="285"/>
      <c r="J24" s="285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</row>
    <row r="25" ht="15.75" customHeight="1">
      <c r="A25" s="289"/>
      <c r="B25" s="283"/>
      <c r="C25" s="285"/>
      <c r="D25" s="285"/>
      <c r="E25" s="285"/>
      <c r="F25" s="285"/>
      <c r="G25" s="285"/>
      <c r="H25" s="285"/>
      <c r="I25" s="285"/>
      <c r="J25" s="285"/>
      <c r="K25" s="281"/>
      <c r="L25" s="281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</row>
    <row r="26" ht="15.75" customHeight="1">
      <c r="A26" s="281"/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</row>
    <row r="27" ht="15.75" customHeight="1">
      <c r="A27" s="281"/>
      <c r="B27" s="281"/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</row>
    <row r="28" ht="15.75" customHeight="1">
      <c r="A28" s="281"/>
      <c r="B28" s="281"/>
      <c r="C28" s="281"/>
      <c r="D28" s="281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</row>
    <row r="29" ht="15.75" customHeight="1">
      <c r="A29" s="281"/>
      <c r="B29" s="281"/>
      <c r="C29" s="281"/>
      <c r="D29" s="281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</row>
    <row r="30" ht="15.75" customHeight="1">
      <c r="A30" s="281"/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</row>
    <row r="31" ht="15.75" customHeight="1">
      <c r="A31" s="281"/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</row>
    <row r="32" ht="15.75" customHeight="1">
      <c r="A32" s="281"/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</row>
    <row r="33" ht="15.75" customHeight="1">
      <c r="A33" s="281"/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</row>
    <row r="34" ht="15.75" customHeight="1">
      <c r="A34" s="281"/>
      <c r="B34" s="281"/>
      <c r="C34" s="281"/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</row>
    <row r="35" ht="15.75" customHeight="1">
      <c r="A35" s="281"/>
      <c r="B35" s="281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</row>
    <row r="36" ht="15.75" customHeight="1">
      <c r="A36" s="281"/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  <c r="AB36" s="281"/>
    </row>
    <row r="37" ht="15.75" customHeight="1">
      <c r="A37" s="281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</row>
    <row r="38" ht="15.75" customHeight="1">
      <c r="A38" s="281"/>
      <c r="B38" s="281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  <c r="AB38" s="281"/>
    </row>
    <row r="39" ht="15.75" customHeight="1">
      <c r="A39" s="281"/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281"/>
    </row>
    <row r="40" ht="15.75" customHeight="1">
      <c r="A40" s="281"/>
      <c r="B40" s="281"/>
      <c r="C40" s="281"/>
      <c r="D40" s="281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</row>
    <row r="41" ht="15.75" customHeight="1">
      <c r="A41" s="281"/>
      <c r="B41" s="281"/>
      <c r="C41" s="281"/>
      <c r="D41" s="281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</row>
    <row r="42" ht="15.75" customHeight="1">
      <c r="A42" s="281"/>
      <c r="B42" s="281"/>
      <c r="C42" s="281"/>
      <c r="D42" s="281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</row>
    <row r="43" ht="15.75" customHeight="1">
      <c r="A43" s="281"/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</row>
    <row r="44" ht="15.75" customHeight="1">
      <c r="A44" s="281"/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</row>
    <row r="45" ht="15.75" customHeight="1">
      <c r="A45" s="281"/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1"/>
    </row>
    <row r="46" ht="15.75" customHeight="1">
      <c r="A46" s="281"/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</row>
    <row r="47" ht="15.75" customHeight="1">
      <c r="A47" s="281"/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</row>
    <row r="48" ht="15.75" customHeight="1">
      <c r="A48" s="281"/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</row>
    <row r="49" ht="15.75" customHeight="1">
      <c r="A49" s="281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</row>
    <row r="50" ht="15.75" customHeight="1">
      <c r="A50" s="281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</row>
    <row r="51" ht="15.75" customHeight="1">
      <c r="A51" s="281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</row>
    <row r="52" ht="15.75" customHeight="1">
      <c r="A52" s="281"/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</row>
    <row r="53" ht="15.75" customHeight="1">
      <c r="A53" s="281"/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</row>
    <row r="54" ht="15.75" customHeight="1">
      <c r="A54" s="281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</row>
    <row r="55" ht="15.75" customHeight="1">
      <c r="A55" s="281"/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</row>
    <row r="56" ht="15.75" customHeight="1">
      <c r="A56" s="281"/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</row>
    <row r="57" ht="15.75" customHeight="1">
      <c r="A57" s="281"/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</row>
    <row r="58" ht="15.75" customHeight="1">
      <c r="A58" s="281"/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</row>
    <row r="59" ht="15.75" customHeight="1">
      <c r="A59" s="281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81"/>
      <c r="AB59" s="281"/>
    </row>
    <row r="60" ht="15.75" customHeight="1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</row>
    <row r="61" ht="15.75" customHeight="1">
      <c r="A61" s="281"/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</row>
    <row r="62" ht="15.75" customHeight="1">
      <c r="A62" s="281"/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</row>
    <row r="63" ht="15.75" customHeight="1">
      <c r="A63" s="281"/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</row>
    <row r="64" ht="15.75" customHeight="1">
      <c r="A64" s="281"/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</row>
    <row r="65" ht="15.75" customHeight="1">
      <c r="A65" s="281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</row>
    <row r="66" ht="15.75" customHeight="1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</row>
    <row r="67" ht="15.75" customHeight="1">
      <c r="A67" s="281"/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</row>
    <row r="68" ht="15.75" customHeight="1">
      <c r="A68" s="281"/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</row>
    <row r="69" ht="15.75" customHeight="1">
      <c r="A69" s="281"/>
      <c r="B69" s="281"/>
      <c r="C69" s="281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</row>
    <row r="70" ht="15.75" customHeight="1">
      <c r="A70" s="281"/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</row>
    <row r="71" ht="15.75" customHeight="1">
      <c r="A71" s="281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</row>
    <row r="72" ht="15.75" customHeight="1">
      <c r="A72" s="281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</row>
    <row r="73" ht="15.75" customHeight="1">
      <c r="A73" s="281"/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</row>
    <row r="74" ht="15.75" customHeight="1">
      <c r="A74" s="281"/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</row>
    <row r="75" ht="15.75" customHeight="1">
      <c r="A75" s="281"/>
      <c r="B75" s="281"/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</row>
    <row r="76" ht="15.75" customHeight="1">
      <c r="A76" s="281"/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  <c r="AB76" s="281"/>
    </row>
    <row r="77" ht="15.75" customHeight="1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</row>
    <row r="78" ht="15.75" customHeight="1">
      <c r="A78" s="281"/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</row>
    <row r="79" ht="15.75" customHeight="1">
      <c r="A79" s="281"/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</row>
    <row r="80" ht="15.75" customHeight="1">
      <c r="A80" s="281"/>
      <c r="B80" s="281"/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</row>
    <row r="81" ht="15.75" customHeight="1">
      <c r="A81" s="281"/>
      <c r="B81" s="281"/>
      <c r="C81" s="281"/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</row>
    <row r="82" ht="15.75" customHeight="1">
      <c r="A82" s="281"/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</row>
    <row r="83" ht="15.75" customHeight="1">
      <c r="A83" s="281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</row>
    <row r="84" ht="15.75" customHeight="1">
      <c r="A84" s="281"/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</row>
    <row r="85" ht="15.75" customHeight="1">
      <c r="A85" s="281"/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</row>
    <row r="86" ht="15.75" customHeight="1">
      <c r="A86" s="281"/>
      <c r="B86" s="281"/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</row>
    <row r="87" ht="15.75" customHeight="1">
      <c r="A87" s="281"/>
      <c r="B87" s="281"/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</row>
    <row r="88" ht="15.75" customHeight="1">
      <c r="A88" s="281"/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  <c r="AA88" s="281"/>
      <c r="AB88" s="281"/>
    </row>
    <row r="89" ht="15.75" customHeight="1">
      <c r="A89" s="281"/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281"/>
    </row>
    <row r="90" ht="15.75" customHeight="1">
      <c r="A90" s="281"/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</row>
    <row r="91" ht="15.75" customHeight="1">
      <c r="A91" s="281"/>
      <c r="B91" s="281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</row>
    <row r="92" ht="15.75" customHeight="1">
      <c r="A92" s="281"/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81"/>
      <c r="AB92" s="281"/>
    </row>
    <row r="93" ht="15.75" customHeight="1">
      <c r="A93" s="281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  <c r="AB93" s="281"/>
    </row>
    <row r="94" ht="15.75" customHeight="1">
      <c r="A94" s="281"/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  <c r="AB94" s="281"/>
    </row>
    <row r="95" ht="15.75" customHeight="1">
      <c r="A95" s="281"/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81"/>
      <c r="AB95" s="281"/>
    </row>
    <row r="96" ht="15.75" customHeight="1">
      <c r="A96" s="281"/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81"/>
      <c r="AB96" s="281"/>
    </row>
    <row r="97" ht="15.75" customHeight="1">
      <c r="A97" s="281"/>
      <c r="B97" s="281"/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81"/>
      <c r="AB97" s="281"/>
    </row>
    <row r="98" ht="15.75" customHeight="1">
      <c r="A98" s="281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  <c r="AA98" s="281"/>
      <c r="AB98" s="281"/>
    </row>
    <row r="99" ht="15.75" customHeight="1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  <c r="AB99" s="281"/>
    </row>
    <row r="100" ht="15.75" customHeight="1">
      <c r="A100" s="281"/>
      <c r="B100" s="281"/>
      <c r="C100" s="281"/>
      <c r="D100" s="281"/>
      <c r="E100" s="281"/>
      <c r="F100" s="281"/>
      <c r="G100" s="281"/>
      <c r="H100" s="281"/>
      <c r="I100" s="281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  <c r="AB100" s="281"/>
    </row>
    <row r="101" ht="15.75" customHeight="1">
      <c r="A101" s="281"/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</row>
    <row r="102" ht="15.75" customHeight="1">
      <c r="A102" s="281"/>
      <c r="B102" s="281"/>
      <c r="C102" s="281"/>
      <c r="D102" s="281"/>
      <c r="E102" s="281"/>
      <c r="F102" s="281"/>
      <c r="G102" s="281"/>
      <c r="H102" s="281"/>
      <c r="I102" s="281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81"/>
      <c r="AB102" s="281"/>
    </row>
    <row r="103" ht="15.75" customHeight="1">
      <c r="A103" s="281"/>
      <c r="B103" s="281"/>
      <c r="C103" s="281"/>
      <c r="D103" s="281"/>
      <c r="E103" s="281"/>
      <c r="F103" s="281"/>
      <c r="G103" s="281"/>
      <c r="H103" s="281"/>
      <c r="I103" s="281"/>
      <c r="J103" s="281"/>
      <c r="K103" s="281"/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  <c r="AB103" s="281"/>
    </row>
    <row r="104" ht="15.75" customHeight="1">
      <c r="A104" s="281"/>
      <c r="B104" s="281"/>
      <c r="C104" s="281"/>
      <c r="D104" s="281"/>
      <c r="E104" s="281"/>
      <c r="F104" s="281"/>
      <c r="G104" s="281"/>
      <c r="H104" s="281"/>
      <c r="I104" s="281"/>
      <c r="J104" s="281"/>
      <c r="K104" s="281"/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  <c r="AB104" s="281"/>
    </row>
    <row r="105" ht="15.75" customHeight="1">
      <c r="A105" s="281"/>
      <c r="B105" s="281"/>
      <c r="C105" s="281"/>
      <c r="D105" s="281"/>
      <c r="E105" s="281"/>
      <c r="F105" s="281"/>
      <c r="G105" s="281"/>
      <c r="H105" s="281"/>
      <c r="I105" s="281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  <c r="AB105" s="281"/>
    </row>
    <row r="106" ht="15.75" customHeight="1">
      <c r="A106" s="281"/>
      <c r="B106" s="281"/>
      <c r="C106" s="281"/>
      <c r="D106" s="281"/>
      <c r="E106" s="281"/>
      <c r="F106" s="281"/>
      <c r="G106" s="281"/>
      <c r="H106" s="281"/>
      <c r="I106" s="281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</row>
    <row r="107" ht="15.75" customHeight="1">
      <c r="A107" s="281"/>
      <c r="B107" s="281"/>
      <c r="C107" s="281"/>
      <c r="D107" s="281"/>
      <c r="E107" s="281"/>
      <c r="F107" s="281"/>
      <c r="G107" s="281"/>
      <c r="H107" s="281"/>
      <c r="I107" s="281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1"/>
    </row>
    <row r="108" ht="15.75" customHeight="1">
      <c r="A108" s="281"/>
      <c r="B108" s="281"/>
      <c r="C108" s="281"/>
      <c r="D108" s="281"/>
      <c r="E108" s="281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81"/>
      <c r="AB108" s="281"/>
    </row>
    <row r="109" ht="15.75" customHeight="1">
      <c r="A109" s="281"/>
      <c r="B109" s="281"/>
      <c r="C109" s="281"/>
      <c r="D109" s="281"/>
      <c r="E109" s="281"/>
      <c r="F109" s="281"/>
      <c r="G109" s="281"/>
      <c r="H109" s="281"/>
      <c r="I109" s="281"/>
      <c r="J109" s="281"/>
      <c r="K109" s="281"/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1"/>
      <c r="Y109" s="281"/>
      <c r="Z109" s="281"/>
      <c r="AA109" s="281"/>
      <c r="AB109" s="281"/>
    </row>
    <row r="110" ht="15.75" customHeight="1">
      <c r="A110" s="281"/>
      <c r="B110" s="281"/>
      <c r="C110" s="281"/>
      <c r="D110" s="281"/>
      <c r="E110" s="281"/>
      <c r="F110" s="281"/>
      <c r="G110" s="281"/>
      <c r="H110" s="281"/>
      <c r="I110" s="281"/>
      <c r="J110" s="281"/>
      <c r="K110" s="281"/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281"/>
      <c r="Z110" s="281"/>
      <c r="AA110" s="281"/>
      <c r="AB110" s="281"/>
    </row>
    <row r="111" ht="15.75" customHeight="1">
      <c r="A111" s="281"/>
      <c r="B111" s="281"/>
      <c r="C111" s="281"/>
      <c r="D111" s="281"/>
      <c r="E111" s="281"/>
      <c r="F111" s="281"/>
      <c r="G111" s="281"/>
      <c r="H111" s="281"/>
      <c r="I111" s="281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1"/>
    </row>
    <row r="112" ht="15.75" customHeight="1">
      <c r="A112" s="281"/>
      <c r="B112" s="281"/>
      <c r="C112" s="281"/>
      <c r="D112" s="281"/>
      <c r="E112" s="281"/>
      <c r="F112" s="281"/>
      <c r="G112" s="281"/>
      <c r="H112" s="281"/>
      <c r="I112" s="281"/>
      <c r="J112" s="281"/>
      <c r="K112" s="281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81"/>
      <c r="AB112" s="281"/>
    </row>
    <row r="113" ht="15.75" customHeight="1">
      <c r="A113" s="281"/>
      <c r="B113" s="281"/>
      <c r="C113" s="281"/>
      <c r="D113" s="281"/>
      <c r="E113" s="281"/>
      <c r="F113" s="281"/>
      <c r="G113" s="281"/>
      <c r="H113" s="281"/>
      <c r="I113" s="281"/>
      <c r="J113" s="281"/>
      <c r="K113" s="281"/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281"/>
      <c r="Z113" s="281"/>
      <c r="AA113" s="281"/>
      <c r="AB113" s="281"/>
    </row>
    <row r="114" ht="15.75" customHeight="1">
      <c r="A114" s="281"/>
      <c r="B114" s="281"/>
      <c r="C114" s="281"/>
      <c r="D114" s="281"/>
      <c r="E114" s="281"/>
      <c r="F114" s="281"/>
      <c r="G114" s="281"/>
      <c r="H114" s="281"/>
      <c r="I114" s="281"/>
      <c r="J114" s="281"/>
      <c r="K114" s="281"/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281"/>
      <c r="Z114" s="281"/>
      <c r="AA114" s="281"/>
      <c r="AB114" s="281"/>
    </row>
    <row r="115" ht="15.75" customHeight="1">
      <c r="A115" s="281"/>
      <c r="B115" s="281"/>
      <c r="C115" s="281"/>
      <c r="D115" s="281"/>
      <c r="E115" s="281"/>
      <c r="F115" s="281"/>
      <c r="G115" s="281"/>
      <c r="H115" s="281"/>
      <c r="I115" s="281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81"/>
      <c r="AB115" s="281"/>
    </row>
    <row r="116" ht="15.75" customHeight="1">
      <c r="A116" s="281"/>
      <c r="B116" s="281"/>
      <c r="C116" s="281"/>
      <c r="D116" s="281"/>
      <c r="E116" s="281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</row>
    <row r="117" ht="15.75" customHeight="1">
      <c r="A117" s="281"/>
      <c r="B117" s="281"/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281"/>
      <c r="Z117" s="281"/>
      <c r="AA117" s="281"/>
      <c r="AB117" s="281"/>
    </row>
    <row r="118" ht="15.75" customHeight="1">
      <c r="A118" s="281"/>
      <c r="B118" s="281"/>
      <c r="C118" s="281"/>
      <c r="D118" s="281"/>
      <c r="E118" s="281"/>
      <c r="F118" s="281"/>
      <c r="G118" s="281"/>
      <c r="H118" s="281"/>
      <c r="I118" s="281"/>
      <c r="J118" s="281"/>
      <c r="K118" s="281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281"/>
      <c r="Z118" s="281"/>
      <c r="AA118" s="281"/>
      <c r="AB118" s="281"/>
    </row>
    <row r="119" ht="15.75" customHeight="1">
      <c r="A119" s="281"/>
      <c r="B119" s="281"/>
      <c r="C119" s="281"/>
      <c r="D119" s="281"/>
      <c r="E119" s="281"/>
      <c r="F119" s="281"/>
      <c r="G119" s="281"/>
      <c r="H119" s="281"/>
      <c r="I119" s="281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81"/>
      <c r="AB119" s="281"/>
    </row>
    <row r="120" ht="15.75" customHeight="1">
      <c r="A120" s="281"/>
      <c r="B120" s="281"/>
      <c r="C120" s="281"/>
      <c r="D120" s="281"/>
      <c r="E120" s="281"/>
      <c r="F120" s="281"/>
      <c r="G120" s="281"/>
      <c r="H120" s="281"/>
      <c r="I120" s="281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81"/>
      <c r="AB120" s="281"/>
    </row>
    <row r="121" ht="15.75" customHeight="1">
      <c r="A121" s="281"/>
      <c r="B121" s="281"/>
      <c r="C121" s="281"/>
      <c r="D121" s="281"/>
      <c r="E121" s="281"/>
      <c r="F121" s="281"/>
      <c r="G121" s="281"/>
      <c r="H121" s="281"/>
      <c r="I121" s="281"/>
      <c r="J121" s="281"/>
      <c r="K121" s="281"/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281"/>
      <c r="Z121" s="281"/>
      <c r="AA121" s="281"/>
      <c r="AB121" s="281"/>
    </row>
    <row r="122" ht="15.75" customHeight="1">
      <c r="A122" s="281"/>
      <c r="B122" s="281"/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  <c r="AB122" s="281"/>
    </row>
    <row r="123" ht="15.75" customHeight="1">
      <c r="A123" s="281"/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</row>
    <row r="124" ht="15.75" customHeight="1">
      <c r="A124" s="281"/>
      <c r="B124" s="281"/>
      <c r="C124" s="281"/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  <c r="AB124" s="281"/>
    </row>
    <row r="125" ht="15.75" customHeight="1">
      <c r="A125" s="281"/>
      <c r="B125" s="281"/>
      <c r="C125" s="281"/>
      <c r="D125" s="281"/>
      <c r="E125" s="281"/>
      <c r="F125" s="281"/>
      <c r="G125" s="281"/>
      <c r="H125" s="281"/>
      <c r="I125" s="281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81"/>
      <c r="AB125" s="281"/>
    </row>
    <row r="126" ht="15.75" customHeight="1">
      <c r="A126" s="281"/>
      <c r="B126" s="281"/>
      <c r="C126" s="281"/>
      <c r="D126" s="281"/>
      <c r="E126" s="281"/>
      <c r="F126" s="281"/>
      <c r="G126" s="281"/>
      <c r="H126" s="281"/>
      <c r="I126" s="281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81"/>
      <c r="AB126" s="281"/>
    </row>
    <row r="127" ht="15.75" customHeight="1">
      <c r="A127" s="281"/>
      <c r="B127" s="281"/>
      <c r="C127" s="281"/>
      <c r="D127" s="281"/>
      <c r="E127" s="281"/>
      <c r="F127" s="281"/>
      <c r="G127" s="281"/>
      <c r="H127" s="281"/>
      <c r="I127" s="281"/>
      <c r="J127" s="281"/>
      <c r="K127" s="281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281"/>
      <c r="Z127" s="281"/>
      <c r="AA127" s="281"/>
      <c r="AB127" s="281"/>
    </row>
    <row r="128" ht="15.75" customHeight="1">
      <c r="A128" s="281"/>
      <c r="B128" s="281"/>
      <c r="C128" s="281"/>
      <c r="D128" s="281"/>
      <c r="E128" s="281"/>
      <c r="F128" s="281"/>
      <c r="G128" s="281"/>
      <c r="H128" s="281"/>
      <c r="I128" s="281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281"/>
      <c r="Z128" s="281"/>
      <c r="AA128" s="281"/>
      <c r="AB128" s="281"/>
    </row>
    <row r="129" ht="15.75" customHeight="1">
      <c r="A129" s="281"/>
      <c r="B129" s="281"/>
      <c r="C129" s="281"/>
      <c r="D129" s="281"/>
      <c r="E129" s="281"/>
      <c r="F129" s="281"/>
      <c r="G129" s="281"/>
      <c r="H129" s="281"/>
      <c r="I129" s="281"/>
      <c r="J129" s="281"/>
      <c r="K129" s="281"/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281"/>
      <c r="Z129" s="281"/>
      <c r="AA129" s="281"/>
      <c r="AB129" s="281"/>
    </row>
    <row r="130" ht="15.75" customHeight="1">
      <c r="A130" s="281"/>
      <c r="B130" s="281"/>
      <c r="C130" s="281"/>
      <c r="D130" s="281"/>
      <c r="E130" s="281"/>
      <c r="F130" s="281"/>
      <c r="G130" s="281"/>
      <c r="H130" s="281"/>
      <c r="I130" s="281"/>
      <c r="J130" s="281"/>
      <c r="K130" s="281"/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1"/>
      <c r="Y130" s="281"/>
      <c r="Z130" s="281"/>
      <c r="AA130" s="281"/>
      <c r="AB130" s="281"/>
    </row>
    <row r="131" ht="15.75" customHeight="1">
      <c r="A131" s="281"/>
      <c r="B131" s="281"/>
      <c r="C131" s="281"/>
      <c r="D131" s="281"/>
      <c r="E131" s="281"/>
      <c r="F131" s="281"/>
      <c r="G131" s="281"/>
      <c r="H131" s="281"/>
      <c r="I131" s="281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81"/>
      <c r="AB131" s="281"/>
    </row>
    <row r="132" ht="15.75" customHeight="1">
      <c r="A132" s="281"/>
      <c r="B132" s="281"/>
      <c r="C132" s="281"/>
      <c r="D132" s="281"/>
      <c r="E132" s="281"/>
      <c r="F132" s="281"/>
      <c r="G132" s="281"/>
      <c r="H132" s="281"/>
      <c r="I132" s="281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81"/>
      <c r="AB132" s="281"/>
    </row>
    <row r="133" ht="15.75" customHeight="1">
      <c r="A133" s="281"/>
      <c r="B133" s="281"/>
      <c r="C133" s="281"/>
      <c r="D133" s="281"/>
      <c r="E133" s="281"/>
      <c r="F133" s="281"/>
      <c r="G133" s="281"/>
      <c r="H133" s="281"/>
      <c r="I133" s="281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81"/>
      <c r="AB133" s="281"/>
    </row>
    <row r="134" ht="15.75" customHeight="1">
      <c r="A134" s="281"/>
      <c r="B134" s="281"/>
      <c r="C134" s="281"/>
      <c r="D134" s="281"/>
      <c r="E134" s="281"/>
      <c r="F134" s="281"/>
      <c r="G134" s="281"/>
      <c r="H134" s="281"/>
      <c r="I134" s="281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81"/>
      <c r="AB134" s="281"/>
    </row>
    <row r="135" ht="15.75" customHeight="1">
      <c r="A135" s="281"/>
      <c r="B135" s="281"/>
      <c r="C135" s="281"/>
      <c r="D135" s="281"/>
      <c r="E135" s="281"/>
      <c r="F135" s="281"/>
      <c r="G135" s="281"/>
      <c r="H135" s="281"/>
      <c r="I135" s="281"/>
      <c r="J135" s="281"/>
      <c r="K135" s="281"/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281"/>
      <c r="Z135" s="281"/>
      <c r="AA135" s="281"/>
      <c r="AB135" s="281"/>
    </row>
    <row r="136" ht="15.75" customHeight="1">
      <c r="A136" s="281"/>
      <c r="B136" s="281"/>
      <c r="C136" s="281"/>
      <c r="D136" s="281"/>
      <c r="E136" s="281"/>
      <c r="F136" s="281"/>
      <c r="G136" s="281"/>
      <c r="H136" s="281"/>
      <c r="I136" s="281"/>
      <c r="J136" s="281"/>
      <c r="K136" s="281"/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281"/>
      <c r="Z136" s="281"/>
      <c r="AA136" s="281"/>
      <c r="AB136" s="281"/>
    </row>
    <row r="137" ht="15.75" customHeight="1">
      <c r="A137" s="281"/>
      <c r="B137" s="281"/>
      <c r="C137" s="281"/>
      <c r="D137" s="281"/>
      <c r="E137" s="281"/>
      <c r="F137" s="281"/>
      <c r="G137" s="281"/>
      <c r="H137" s="281"/>
      <c r="I137" s="281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81"/>
      <c r="AB137" s="281"/>
    </row>
    <row r="138" ht="15.75" customHeight="1">
      <c r="A138" s="281"/>
      <c r="B138" s="281"/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81"/>
      <c r="AB138" s="281"/>
    </row>
    <row r="139" ht="15.75" customHeight="1">
      <c r="A139" s="281"/>
      <c r="B139" s="281"/>
      <c r="C139" s="281"/>
      <c r="D139" s="281"/>
      <c r="E139" s="281"/>
      <c r="F139" s="281"/>
      <c r="G139" s="281"/>
      <c r="H139" s="281"/>
      <c r="I139" s="281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81"/>
      <c r="AB139" s="281"/>
    </row>
    <row r="140" ht="15.75" customHeight="1">
      <c r="A140" s="281"/>
      <c r="B140" s="281"/>
      <c r="C140" s="281"/>
      <c r="D140" s="281"/>
      <c r="E140" s="281"/>
      <c r="F140" s="281"/>
      <c r="G140" s="281"/>
      <c r="H140" s="281"/>
      <c r="I140" s="281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81"/>
      <c r="AB140" s="281"/>
    </row>
    <row r="141" ht="15.75" customHeight="1">
      <c r="A141" s="281"/>
      <c r="B141" s="281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81"/>
      <c r="AB141" s="281"/>
    </row>
    <row r="142" ht="15.75" customHeight="1">
      <c r="A142" s="281"/>
      <c r="B142" s="281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81"/>
      <c r="AB142" s="281"/>
    </row>
    <row r="143" ht="15.75" customHeight="1">
      <c r="A143" s="281"/>
      <c r="B143" s="281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81"/>
      <c r="AB143" s="281"/>
    </row>
    <row r="144" ht="15.75" customHeight="1">
      <c r="A144" s="281"/>
      <c r="B144" s="281"/>
      <c r="C144" s="281"/>
      <c r="D144" s="281"/>
      <c r="E144" s="281"/>
      <c r="F144" s="281"/>
      <c r="G144" s="281"/>
      <c r="H144" s="281"/>
      <c r="I144" s="281"/>
      <c r="J144" s="281"/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81"/>
      <c r="AB144" s="281"/>
    </row>
    <row r="145" ht="15.75" customHeight="1">
      <c r="A145" s="281"/>
      <c r="B145" s="281"/>
      <c r="C145" s="281"/>
      <c r="D145" s="281"/>
      <c r="E145" s="281"/>
      <c r="F145" s="281"/>
      <c r="G145" s="281"/>
      <c r="H145" s="281"/>
      <c r="I145" s="281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81"/>
      <c r="AB145" s="281"/>
    </row>
    <row r="146" ht="15.7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81"/>
      <c r="AB146" s="281"/>
    </row>
    <row r="147" ht="15.75" customHeight="1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81"/>
      <c r="AB147" s="281"/>
    </row>
    <row r="148" ht="15.75" customHeight="1">
      <c r="A148" s="281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81"/>
      <c r="AB148" s="281"/>
    </row>
    <row r="149" ht="15.75" customHeight="1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</row>
    <row r="150" ht="15.75" customHeight="1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281"/>
      <c r="AA150" s="281"/>
      <c r="AB150" s="281"/>
    </row>
    <row r="151" ht="15.75" customHeight="1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81"/>
      <c r="AB151" s="281"/>
    </row>
    <row r="152" ht="15.75" customHeight="1">
      <c r="A152" s="281"/>
      <c r="B152" s="281"/>
      <c r="C152" s="281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81"/>
      <c r="AB152" s="281"/>
    </row>
    <row r="153" ht="15.75" customHeight="1">
      <c r="A153" s="281"/>
      <c r="B153" s="281"/>
      <c r="C153" s="281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</row>
    <row r="154" ht="15.75" customHeight="1">
      <c r="A154" s="281"/>
      <c r="B154" s="281"/>
      <c r="C154" s="281"/>
      <c r="D154" s="281"/>
      <c r="E154" s="281"/>
      <c r="F154" s="281"/>
      <c r="G154" s="281"/>
      <c r="H154" s="281"/>
      <c r="I154" s="281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81"/>
      <c r="AB154" s="281"/>
    </row>
    <row r="155" ht="15.75" customHeight="1">
      <c r="A155" s="281"/>
      <c r="B155" s="281"/>
      <c r="C155" s="281"/>
      <c r="D155" s="281"/>
      <c r="E155" s="281"/>
      <c r="F155" s="281"/>
      <c r="G155" s="281"/>
      <c r="H155" s="281"/>
      <c r="I155" s="281"/>
      <c r="J155" s="281"/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81"/>
      <c r="AB155" s="281"/>
    </row>
    <row r="156" ht="15.75" customHeight="1">
      <c r="A156" s="281"/>
      <c r="B156" s="281"/>
      <c r="C156" s="281"/>
      <c r="D156" s="281"/>
      <c r="E156" s="281"/>
      <c r="F156" s="281"/>
      <c r="G156" s="281"/>
      <c r="H156" s="281"/>
      <c r="I156" s="281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81"/>
      <c r="AB156" s="281"/>
    </row>
    <row r="157" ht="15.75" customHeight="1">
      <c r="A157" s="281"/>
      <c r="B157" s="281"/>
      <c r="C157" s="281"/>
      <c r="D157" s="281"/>
      <c r="E157" s="281"/>
      <c r="F157" s="281"/>
      <c r="G157" s="281"/>
      <c r="H157" s="281"/>
      <c r="I157" s="281"/>
      <c r="J157" s="281"/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281"/>
      <c r="Z157" s="281"/>
      <c r="AA157" s="281"/>
      <c r="AB157" s="281"/>
    </row>
    <row r="158" ht="15.75" customHeight="1">
      <c r="A158" s="281"/>
      <c r="B158" s="281"/>
      <c r="C158" s="281"/>
      <c r="D158" s="281"/>
      <c r="E158" s="281"/>
      <c r="F158" s="281"/>
      <c r="G158" s="281"/>
      <c r="H158" s="281"/>
      <c r="I158" s="281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81"/>
      <c r="AB158" s="281"/>
    </row>
    <row r="159" ht="15.75" customHeight="1">
      <c r="A159" s="281"/>
      <c r="B159" s="281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81"/>
      <c r="AB159" s="281"/>
    </row>
    <row r="160" ht="15.75" customHeight="1">
      <c r="A160" s="281"/>
      <c r="B160" s="281"/>
      <c r="C160" s="281"/>
      <c r="D160" s="281"/>
      <c r="E160" s="281"/>
      <c r="F160" s="281"/>
      <c r="G160" s="281"/>
      <c r="H160" s="281"/>
      <c r="I160" s="281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81"/>
      <c r="AB160" s="281"/>
    </row>
    <row r="161" ht="15.75" customHeight="1">
      <c r="A161" s="281"/>
      <c r="B161" s="281"/>
      <c r="C161" s="281"/>
      <c r="D161" s="281"/>
      <c r="E161" s="281"/>
      <c r="F161" s="281"/>
      <c r="G161" s="281"/>
      <c r="H161" s="281"/>
      <c r="I161" s="281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81"/>
      <c r="AB161" s="281"/>
    </row>
    <row r="162" ht="15.75" customHeight="1">
      <c r="A162" s="281"/>
      <c r="B162" s="281"/>
      <c r="C162" s="281"/>
      <c r="D162" s="281"/>
      <c r="E162" s="281"/>
      <c r="F162" s="281"/>
      <c r="G162" s="281"/>
      <c r="H162" s="281"/>
      <c r="I162" s="281"/>
      <c r="J162" s="281"/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281"/>
      <c r="Z162" s="281"/>
      <c r="AA162" s="281"/>
      <c r="AB162" s="281"/>
    </row>
    <row r="163" ht="15.75" customHeight="1">
      <c r="A163" s="281"/>
      <c r="B163" s="281"/>
      <c r="C163" s="281"/>
      <c r="D163" s="281"/>
      <c r="E163" s="281"/>
      <c r="F163" s="281"/>
      <c r="G163" s="281"/>
      <c r="H163" s="281"/>
      <c r="I163" s="281"/>
      <c r="J163" s="281"/>
      <c r="K163" s="281"/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1"/>
      <c r="Y163" s="281"/>
      <c r="Z163" s="281"/>
      <c r="AA163" s="281"/>
      <c r="AB163" s="281"/>
    </row>
    <row r="164" ht="15.75" customHeight="1">
      <c r="A164" s="281"/>
      <c r="B164" s="281"/>
      <c r="C164" s="281"/>
      <c r="D164" s="281"/>
      <c r="E164" s="281"/>
      <c r="F164" s="281"/>
      <c r="G164" s="281"/>
      <c r="H164" s="281"/>
      <c r="I164" s="281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1"/>
      <c r="Z164" s="281"/>
      <c r="AA164" s="281"/>
      <c r="AB164" s="281"/>
    </row>
    <row r="165" ht="15.75" customHeight="1">
      <c r="A165" s="281"/>
      <c r="B165" s="281"/>
      <c r="C165" s="281"/>
      <c r="D165" s="281"/>
      <c r="E165" s="281"/>
      <c r="F165" s="281"/>
      <c r="G165" s="281"/>
      <c r="H165" s="281"/>
      <c r="I165" s="281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81"/>
      <c r="AB165" s="281"/>
    </row>
    <row r="166" ht="15.75" customHeight="1">
      <c r="A166" s="281"/>
      <c r="B166" s="281"/>
      <c r="C166" s="281"/>
      <c r="D166" s="281"/>
      <c r="E166" s="281"/>
      <c r="F166" s="281"/>
      <c r="G166" s="281"/>
      <c r="H166" s="281"/>
      <c r="I166" s="281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81"/>
      <c r="AB166" s="281"/>
    </row>
    <row r="167" ht="15.75" customHeight="1">
      <c r="A167" s="281"/>
      <c r="B167" s="281"/>
      <c r="C167" s="281"/>
      <c r="D167" s="281"/>
      <c r="E167" s="281"/>
      <c r="F167" s="281"/>
      <c r="G167" s="281"/>
      <c r="H167" s="281"/>
      <c r="I167" s="281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1"/>
      <c r="Z167" s="281"/>
      <c r="AA167" s="281"/>
      <c r="AB167" s="281"/>
    </row>
    <row r="168" ht="15.75" customHeight="1">
      <c r="A168" s="281"/>
      <c r="B168" s="281"/>
      <c r="C168" s="281"/>
      <c r="D168" s="281"/>
      <c r="E168" s="281"/>
      <c r="F168" s="281"/>
      <c r="G168" s="281"/>
      <c r="H168" s="281"/>
      <c r="I168" s="281"/>
      <c r="J168" s="281"/>
      <c r="K168" s="281"/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281"/>
      <c r="Z168" s="281"/>
      <c r="AA168" s="281"/>
      <c r="AB168" s="281"/>
    </row>
    <row r="169" ht="15.75" customHeight="1">
      <c r="A169" s="281"/>
      <c r="B169" s="281"/>
      <c r="C169" s="281"/>
      <c r="D169" s="281"/>
      <c r="E169" s="281"/>
      <c r="F169" s="281"/>
      <c r="G169" s="281"/>
      <c r="H169" s="281"/>
      <c r="I169" s="281"/>
      <c r="J169" s="281"/>
      <c r="K169" s="281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281"/>
      <c r="Z169" s="281"/>
      <c r="AA169" s="281"/>
      <c r="AB169" s="281"/>
    </row>
    <row r="170" ht="15.75" customHeight="1">
      <c r="A170" s="281"/>
      <c r="B170" s="281"/>
      <c r="C170" s="281"/>
      <c r="D170" s="281"/>
      <c r="E170" s="281"/>
      <c r="F170" s="281"/>
      <c r="G170" s="281"/>
      <c r="H170" s="281"/>
      <c r="I170" s="281"/>
      <c r="J170" s="281"/>
      <c r="K170" s="281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281"/>
      <c r="Z170" s="281"/>
      <c r="AA170" s="281"/>
      <c r="AB170" s="281"/>
    </row>
    <row r="171" ht="15.75" customHeight="1">
      <c r="A171" s="281"/>
      <c r="B171" s="281"/>
      <c r="C171" s="281"/>
      <c r="D171" s="281"/>
      <c r="E171" s="281"/>
      <c r="F171" s="281"/>
      <c r="G171" s="281"/>
      <c r="H171" s="281"/>
      <c r="I171" s="281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81"/>
      <c r="AB171" s="281"/>
    </row>
    <row r="172" ht="15.75" customHeight="1">
      <c r="A172" s="281"/>
      <c r="B172" s="281"/>
      <c r="C172" s="281"/>
      <c r="D172" s="281"/>
      <c r="E172" s="281"/>
      <c r="F172" s="281"/>
      <c r="G172" s="281"/>
      <c r="H172" s="281"/>
      <c r="I172" s="281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81"/>
      <c r="AB172" s="281"/>
    </row>
    <row r="173" ht="15.75" customHeight="1">
      <c r="A173" s="281"/>
      <c r="B173" s="281"/>
      <c r="C173" s="281"/>
      <c r="D173" s="281"/>
      <c r="E173" s="281"/>
      <c r="F173" s="281"/>
      <c r="G173" s="281"/>
      <c r="H173" s="281"/>
      <c r="I173" s="281"/>
      <c r="J173" s="281"/>
      <c r="K173" s="281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1"/>
      <c r="Z173" s="281"/>
      <c r="AA173" s="281"/>
      <c r="AB173" s="281"/>
    </row>
    <row r="174" ht="15.75" customHeight="1">
      <c r="A174" s="281"/>
      <c r="B174" s="281"/>
      <c r="C174" s="281"/>
      <c r="D174" s="281"/>
      <c r="E174" s="281"/>
      <c r="F174" s="281"/>
      <c r="G174" s="281"/>
      <c r="H174" s="281"/>
      <c r="I174" s="281"/>
      <c r="J174" s="281"/>
      <c r="K174" s="281"/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281"/>
      <c r="Z174" s="281"/>
      <c r="AA174" s="281"/>
      <c r="AB174" s="281"/>
    </row>
    <row r="175" ht="15.75" customHeight="1">
      <c r="A175" s="281"/>
      <c r="B175" s="281"/>
      <c r="C175" s="281"/>
      <c r="D175" s="281"/>
      <c r="E175" s="281"/>
      <c r="F175" s="281"/>
      <c r="G175" s="281"/>
      <c r="H175" s="281"/>
      <c r="I175" s="281"/>
      <c r="J175" s="281"/>
      <c r="K175" s="281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81"/>
      <c r="AB175" s="281"/>
    </row>
    <row r="176" ht="15.75" customHeight="1">
      <c r="A176" s="281"/>
      <c r="B176" s="281"/>
      <c r="C176" s="281"/>
      <c r="D176" s="281"/>
      <c r="E176" s="281"/>
      <c r="F176" s="281"/>
      <c r="G176" s="281"/>
      <c r="H176" s="281"/>
      <c r="I176" s="281"/>
      <c r="J176" s="281"/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81"/>
      <c r="AB176" s="281"/>
    </row>
    <row r="177" ht="15.75" customHeight="1">
      <c r="A177" s="281"/>
      <c r="B177" s="281"/>
      <c r="C177" s="281"/>
      <c r="D177" s="281"/>
      <c r="E177" s="281"/>
      <c r="F177" s="281"/>
      <c r="G177" s="281"/>
      <c r="H177" s="281"/>
      <c r="I177" s="281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81"/>
      <c r="AB177" s="281"/>
    </row>
    <row r="178" ht="15.75" customHeight="1">
      <c r="A178" s="281"/>
      <c r="B178" s="281"/>
      <c r="C178" s="281"/>
      <c r="D178" s="281"/>
      <c r="E178" s="281"/>
      <c r="F178" s="281"/>
      <c r="G178" s="281"/>
      <c r="H178" s="281"/>
      <c r="I178" s="281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81"/>
      <c r="AB178" s="281"/>
    </row>
    <row r="179" ht="15.75" customHeight="1">
      <c r="A179" s="281"/>
      <c r="B179" s="281"/>
      <c r="C179" s="281"/>
      <c r="D179" s="281"/>
      <c r="E179" s="281"/>
      <c r="F179" s="281"/>
      <c r="G179" s="281"/>
      <c r="H179" s="281"/>
      <c r="I179" s="281"/>
      <c r="J179" s="281"/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81"/>
      <c r="AB179" s="281"/>
    </row>
    <row r="180" ht="15.75" customHeight="1">
      <c r="A180" s="281"/>
      <c r="B180" s="281"/>
      <c r="C180" s="281"/>
      <c r="D180" s="281"/>
      <c r="E180" s="281"/>
      <c r="F180" s="281"/>
      <c r="G180" s="281"/>
      <c r="H180" s="281"/>
      <c r="I180" s="281"/>
      <c r="J180" s="281"/>
      <c r="K180" s="281"/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281"/>
      <c r="Z180" s="281"/>
      <c r="AA180" s="281"/>
      <c r="AB180" s="281"/>
    </row>
    <row r="181" ht="15.75" customHeight="1">
      <c r="A181" s="281"/>
      <c r="B181" s="281"/>
      <c r="C181" s="281"/>
      <c r="D181" s="281"/>
      <c r="E181" s="281"/>
      <c r="F181" s="281"/>
      <c r="G181" s="281"/>
      <c r="H181" s="281"/>
      <c r="I181" s="281"/>
      <c r="J181" s="281"/>
      <c r="K181" s="281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  <c r="AB181" s="281"/>
    </row>
    <row r="182" ht="15.75" customHeight="1">
      <c r="A182" s="281"/>
      <c r="B182" s="281"/>
      <c r="C182" s="281"/>
      <c r="D182" s="281"/>
      <c r="E182" s="281"/>
      <c r="F182" s="281"/>
      <c r="G182" s="281"/>
      <c r="H182" s="281"/>
      <c r="I182" s="281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81"/>
      <c r="AB182" s="281"/>
    </row>
    <row r="183" ht="15.75" customHeight="1">
      <c r="A183" s="281"/>
      <c r="B183" s="281"/>
      <c r="C183" s="281"/>
      <c r="D183" s="281"/>
      <c r="E183" s="281"/>
      <c r="F183" s="281"/>
      <c r="G183" s="281"/>
      <c r="H183" s="281"/>
      <c r="I183" s="281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</row>
    <row r="184" ht="15.75" customHeight="1">
      <c r="A184" s="281"/>
      <c r="B184" s="281"/>
      <c r="C184" s="281"/>
      <c r="D184" s="281"/>
      <c r="E184" s="281"/>
      <c r="F184" s="281"/>
      <c r="G184" s="281"/>
      <c r="H184" s="281"/>
      <c r="I184" s="281"/>
      <c r="J184" s="281"/>
      <c r="K184" s="281"/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281"/>
      <c r="Z184" s="281"/>
      <c r="AA184" s="281"/>
      <c r="AB184" s="281"/>
    </row>
    <row r="185" ht="15.75" customHeight="1">
      <c r="A185" s="281"/>
      <c r="B185" s="281"/>
      <c r="C185" s="281"/>
      <c r="D185" s="281"/>
      <c r="E185" s="281"/>
      <c r="F185" s="281"/>
      <c r="G185" s="281"/>
      <c r="H185" s="281"/>
      <c r="I185" s="281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81"/>
      <c r="AB185" s="281"/>
    </row>
    <row r="186" ht="15.75" customHeight="1">
      <c r="A186" s="281"/>
      <c r="B186" s="281"/>
      <c r="C186" s="281"/>
      <c r="D186" s="281"/>
      <c r="E186" s="281"/>
      <c r="F186" s="281"/>
      <c r="G186" s="281"/>
      <c r="H186" s="281"/>
      <c r="I186" s="281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81"/>
      <c r="AB186" s="281"/>
    </row>
    <row r="187" ht="15.75" customHeight="1">
      <c r="A187" s="281"/>
      <c r="B187" s="281"/>
      <c r="C187" s="281"/>
      <c r="D187" s="281"/>
      <c r="E187" s="281"/>
      <c r="F187" s="281"/>
      <c r="G187" s="281"/>
      <c r="H187" s="281"/>
      <c r="I187" s="281"/>
      <c r="J187" s="281"/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281"/>
      <c r="Z187" s="281"/>
      <c r="AA187" s="281"/>
      <c r="AB187" s="281"/>
    </row>
    <row r="188" ht="15.75" customHeight="1">
      <c r="A188" s="281"/>
      <c r="B188" s="281"/>
      <c r="C188" s="281"/>
      <c r="D188" s="281"/>
      <c r="E188" s="281"/>
      <c r="F188" s="281"/>
      <c r="G188" s="281"/>
      <c r="H188" s="281"/>
      <c r="I188" s="281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281"/>
      <c r="Z188" s="281"/>
      <c r="AA188" s="281"/>
      <c r="AB188" s="281"/>
    </row>
    <row r="189" ht="15.75" customHeight="1">
      <c r="A189" s="281"/>
      <c r="B189" s="281"/>
      <c r="C189" s="281"/>
      <c r="D189" s="281"/>
      <c r="E189" s="281"/>
      <c r="F189" s="281"/>
      <c r="G189" s="281"/>
      <c r="H189" s="281"/>
      <c r="I189" s="281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81"/>
      <c r="AB189" s="281"/>
    </row>
    <row r="190" ht="15.75" customHeight="1">
      <c r="A190" s="281"/>
      <c r="B190" s="281"/>
      <c r="C190" s="281"/>
      <c r="D190" s="281"/>
      <c r="E190" s="281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</row>
    <row r="191" ht="15.75" customHeight="1">
      <c r="A191" s="281"/>
      <c r="B191" s="281"/>
      <c r="C191" s="281"/>
      <c r="D191" s="281"/>
      <c r="E191" s="281"/>
      <c r="F191" s="281"/>
      <c r="G191" s="281"/>
      <c r="H191" s="281"/>
      <c r="I191" s="281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281"/>
      <c r="Z191" s="281"/>
      <c r="AA191" s="281"/>
      <c r="AB191" s="281"/>
    </row>
    <row r="192" ht="15.75" customHeight="1">
      <c r="A192" s="281"/>
      <c r="B192" s="281"/>
      <c r="C192" s="281"/>
      <c r="D192" s="281"/>
      <c r="E192" s="281"/>
      <c r="F192" s="281"/>
      <c r="G192" s="281"/>
      <c r="H192" s="281"/>
      <c r="I192" s="281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81"/>
      <c r="AB192" s="281"/>
    </row>
    <row r="193" ht="15.75" customHeight="1">
      <c r="A193" s="281"/>
      <c r="B193" s="281"/>
      <c r="C193" s="281"/>
      <c r="D193" s="281"/>
      <c r="E193" s="281"/>
      <c r="F193" s="281"/>
      <c r="G193" s="281"/>
      <c r="H193" s="281"/>
      <c r="I193" s="281"/>
      <c r="J193" s="281"/>
      <c r="K193" s="281"/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281"/>
      <c r="Z193" s="281"/>
      <c r="AA193" s="281"/>
      <c r="AB193" s="281"/>
    </row>
    <row r="194" ht="15.75" customHeight="1">
      <c r="A194" s="281"/>
      <c r="B194" s="281"/>
      <c r="C194" s="281"/>
      <c r="D194" s="281"/>
      <c r="E194" s="281"/>
      <c r="F194" s="281"/>
      <c r="G194" s="281"/>
      <c r="H194" s="281"/>
      <c r="I194" s="281"/>
      <c r="J194" s="281"/>
      <c r="K194" s="281"/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281"/>
      <c r="Z194" s="281"/>
      <c r="AA194" s="281"/>
      <c r="AB194" s="281"/>
    </row>
    <row r="195" ht="15.75" customHeight="1">
      <c r="A195" s="281"/>
      <c r="B195" s="281"/>
      <c r="C195" s="281"/>
      <c r="D195" s="281"/>
      <c r="E195" s="281"/>
      <c r="F195" s="281"/>
      <c r="G195" s="281"/>
      <c r="H195" s="281"/>
      <c r="I195" s="281"/>
      <c r="J195" s="281"/>
      <c r="K195" s="281"/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281"/>
      <c r="Y195" s="281"/>
      <c r="Z195" s="281"/>
      <c r="AA195" s="281"/>
      <c r="AB195" s="281"/>
    </row>
    <row r="196" ht="15.75" customHeight="1">
      <c r="A196" s="281"/>
      <c r="B196" s="281"/>
      <c r="C196" s="281"/>
      <c r="D196" s="281"/>
      <c r="E196" s="281"/>
      <c r="F196" s="281"/>
      <c r="G196" s="281"/>
      <c r="H196" s="281"/>
      <c r="I196" s="281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81"/>
      <c r="AB196" s="281"/>
    </row>
    <row r="197" ht="15.75" customHeight="1">
      <c r="A197" s="281"/>
      <c r="B197" s="281"/>
      <c r="C197" s="281"/>
      <c r="D197" s="281"/>
      <c r="E197" s="281"/>
      <c r="F197" s="281"/>
      <c r="G197" s="281"/>
      <c r="H197" s="281"/>
      <c r="I197" s="281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81"/>
      <c r="AB197" s="281"/>
    </row>
    <row r="198" ht="15.75" customHeight="1">
      <c r="A198" s="281"/>
      <c r="B198" s="281"/>
      <c r="C198" s="281"/>
      <c r="D198" s="281"/>
      <c r="E198" s="281"/>
      <c r="F198" s="281"/>
      <c r="G198" s="281"/>
      <c r="H198" s="281"/>
      <c r="I198" s="281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81"/>
      <c r="AB198" s="281"/>
    </row>
    <row r="199" ht="15.75" customHeight="1">
      <c r="A199" s="281"/>
      <c r="B199" s="281"/>
      <c r="C199" s="281"/>
      <c r="D199" s="281"/>
      <c r="E199" s="281"/>
      <c r="F199" s="281"/>
      <c r="G199" s="281"/>
      <c r="H199" s="281"/>
      <c r="I199" s="281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81"/>
      <c r="AB199" s="281"/>
    </row>
    <row r="200" ht="15.75" customHeight="1">
      <c r="A200" s="281"/>
      <c r="B200" s="281"/>
      <c r="C200" s="281"/>
      <c r="D200" s="281"/>
      <c r="E200" s="281"/>
      <c r="F200" s="281"/>
      <c r="G200" s="281"/>
      <c r="H200" s="281"/>
      <c r="I200" s="281"/>
      <c r="J200" s="281"/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281"/>
      <c r="V200" s="281"/>
      <c r="W200" s="281"/>
      <c r="X200" s="281"/>
      <c r="Y200" s="281"/>
      <c r="Z200" s="281"/>
      <c r="AA200" s="281"/>
      <c r="AB200" s="281"/>
    </row>
    <row r="201" ht="15.75" customHeight="1">
      <c r="A201" s="281"/>
      <c r="B201" s="281"/>
      <c r="C201" s="281"/>
      <c r="D201" s="281"/>
      <c r="E201" s="281"/>
      <c r="F201" s="281"/>
      <c r="G201" s="281"/>
      <c r="H201" s="281"/>
      <c r="I201" s="281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81"/>
      <c r="AB201" s="281"/>
    </row>
    <row r="202" ht="15.75" customHeight="1">
      <c r="A202" s="281"/>
      <c r="B202" s="281"/>
      <c r="C202" s="281"/>
      <c r="D202" s="281"/>
      <c r="E202" s="281"/>
      <c r="F202" s="281"/>
      <c r="G202" s="281"/>
      <c r="H202" s="281"/>
      <c r="I202" s="281"/>
      <c r="J202" s="281"/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281"/>
      <c r="V202" s="281"/>
      <c r="W202" s="281"/>
      <c r="X202" s="281"/>
      <c r="Y202" s="281"/>
      <c r="Z202" s="281"/>
      <c r="AA202" s="281"/>
      <c r="AB202" s="281"/>
    </row>
    <row r="203" ht="15.75" customHeight="1">
      <c r="A203" s="281"/>
      <c r="B203" s="281"/>
      <c r="C203" s="281"/>
      <c r="D203" s="281"/>
      <c r="E203" s="281"/>
      <c r="F203" s="281"/>
      <c r="G203" s="281"/>
      <c r="H203" s="281"/>
      <c r="I203" s="281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81"/>
      <c r="AB203" s="281"/>
    </row>
    <row r="204" ht="15.75" customHeight="1">
      <c r="A204" s="281"/>
      <c r="B204" s="281"/>
      <c r="C204" s="281"/>
      <c r="D204" s="281"/>
      <c r="E204" s="281"/>
      <c r="F204" s="281"/>
      <c r="G204" s="281"/>
      <c r="H204" s="281"/>
      <c r="I204" s="281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B204" s="281"/>
    </row>
    <row r="205" ht="15.75" customHeight="1">
      <c r="A205" s="281"/>
      <c r="B205" s="281"/>
      <c r="C205" s="281"/>
      <c r="D205" s="281"/>
      <c r="E205" s="281"/>
      <c r="F205" s="281"/>
      <c r="G205" s="281"/>
      <c r="H205" s="281"/>
      <c r="I205" s="281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81"/>
      <c r="AB205" s="281"/>
    </row>
    <row r="206" ht="15.75" customHeight="1">
      <c r="A206" s="281"/>
      <c r="B206" s="281"/>
      <c r="C206" s="281"/>
      <c r="D206" s="281"/>
      <c r="E206" s="281"/>
      <c r="F206" s="281"/>
      <c r="G206" s="281"/>
      <c r="H206" s="281"/>
      <c r="I206" s="281"/>
      <c r="J206" s="281"/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281"/>
      <c r="V206" s="281"/>
      <c r="W206" s="281"/>
      <c r="X206" s="281"/>
      <c r="Y206" s="281"/>
      <c r="Z206" s="281"/>
      <c r="AA206" s="281"/>
      <c r="AB206" s="281"/>
    </row>
    <row r="207" ht="15.75" customHeight="1">
      <c r="A207" s="281"/>
      <c r="B207" s="281"/>
      <c r="C207" s="281"/>
      <c r="D207" s="281"/>
      <c r="E207" s="281"/>
      <c r="F207" s="281"/>
      <c r="G207" s="281"/>
      <c r="H207" s="281"/>
      <c r="I207" s="281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81"/>
      <c r="AB207" s="281"/>
    </row>
    <row r="208" ht="15.75" customHeight="1">
      <c r="A208" s="281"/>
      <c r="B208" s="281"/>
      <c r="C208" s="281"/>
      <c r="D208" s="281"/>
      <c r="E208" s="281"/>
      <c r="F208" s="281"/>
      <c r="G208" s="281"/>
      <c r="H208" s="281"/>
      <c r="I208" s="281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81"/>
      <c r="AB208" s="281"/>
    </row>
    <row r="209" ht="15.75" customHeight="1">
      <c r="A209" s="281"/>
      <c r="B209" s="281"/>
      <c r="C209" s="281"/>
      <c r="D209" s="281"/>
      <c r="E209" s="281"/>
      <c r="F209" s="281"/>
      <c r="G209" s="281"/>
      <c r="H209" s="281"/>
      <c r="I209" s="281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81"/>
      <c r="AB209" s="281"/>
    </row>
    <row r="210" ht="15.75" customHeight="1">
      <c r="A210" s="281"/>
      <c r="B210" s="281"/>
      <c r="C210" s="281"/>
      <c r="D210" s="281"/>
      <c r="E210" s="281"/>
      <c r="F210" s="281"/>
      <c r="G210" s="281"/>
      <c r="H210" s="281"/>
      <c r="I210" s="281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81"/>
      <c r="AB210" s="281"/>
    </row>
    <row r="211" ht="15.75" customHeight="1">
      <c r="A211" s="281"/>
      <c r="B211" s="281"/>
      <c r="C211" s="281"/>
      <c r="D211" s="281"/>
      <c r="E211" s="281"/>
      <c r="F211" s="281"/>
      <c r="G211" s="281"/>
      <c r="H211" s="281"/>
      <c r="I211" s="281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1"/>
      <c r="Y211" s="281"/>
      <c r="Z211" s="281"/>
      <c r="AA211" s="281"/>
      <c r="AB211" s="281"/>
    </row>
    <row r="212" ht="15.75" customHeight="1">
      <c r="A212" s="281"/>
      <c r="B212" s="281"/>
      <c r="C212" s="281"/>
      <c r="D212" s="281"/>
      <c r="E212" s="281"/>
      <c r="F212" s="281"/>
      <c r="G212" s="281"/>
      <c r="H212" s="281"/>
      <c r="I212" s="281"/>
      <c r="J212" s="281"/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281"/>
      <c r="V212" s="281"/>
      <c r="W212" s="281"/>
      <c r="X212" s="281"/>
      <c r="Y212" s="281"/>
      <c r="Z212" s="281"/>
      <c r="AA212" s="281"/>
      <c r="AB212" s="281"/>
    </row>
    <row r="213" ht="15.75" customHeight="1">
      <c r="A213" s="281"/>
      <c r="B213" s="281"/>
      <c r="C213" s="281"/>
      <c r="D213" s="281"/>
      <c r="E213" s="281"/>
      <c r="F213" s="281"/>
      <c r="G213" s="281"/>
      <c r="H213" s="281"/>
      <c r="I213" s="281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1"/>
      <c r="Z213" s="281"/>
      <c r="AA213" s="281"/>
      <c r="AB213" s="281"/>
    </row>
    <row r="214" ht="15.75" customHeight="1">
      <c r="A214" s="281"/>
      <c r="B214" s="281"/>
      <c r="C214" s="281"/>
      <c r="D214" s="281"/>
      <c r="E214" s="281"/>
      <c r="F214" s="281"/>
      <c r="G214" s="281"/>
      <c r="H214" s="281"/>
      <c r="I214" s="281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81"/>
      <c r="AB214" s="281"/>
    </row>
    <row r="215" ht="15.75" customHeight="1">
      <c r="A215" s="281"/>
      <c r="B215" s="281"/>
      <c r="C215" s="281"/>
      <c r="D215" s="281"/>
      <c r="E215" s="281"/>
      <c r="F215" s="281"/>
      <c r="G215" s="281"/>
      <c r="H215" s="281"/>
      <c r="I215" s="281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81"/>
      <c r="AB215" s="281"/>
    </row>
    <row r="216" ht="15.75" customHeight="1">
      <c r="A216" s="281"/>
      <c r="B216" s="281"/>
      <c r="C216" s="281"/>
      <c r="D216" s="281"/>
      <c r="E216" s="281"/>
      <c r="F216" s="281"/>
      <c r="G216" s="281"/>
      <c r="H216" s="281"/>
      <c r="I216" s="281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81"/>
      <c r="AB216" s="281"/>
    </row>
    <row r="217" ht="15.75" customHeight="1">
      <c r="A217" s="281"/>
      <c r="B217" s="281"/>
      <c r="C217" s="281"/>
      <c r="D217" s="281"/>
      <c r="E217" s="281"/>
      <c r="F217" s="281"/>
      <c r="G217" s="281"/>
      <c r="H217" s="281"/>
      <c r="I217" s="281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1"/>
      <c r="Y217" s="281"/>
      <c r="Z217" s="281"/>
      <c r="AA217" s="281"/>
      <c r="AB217" s="281"/>
    </row>
    <row r="218" ht="15.75" customHeight="1">
      <c r="A218" s="281"/>
      <c r="B218" s="281"/>
      <c r="C218" s="281"/>
      <c r="D218" s="281"/>
      <c r="E218" s="281"/>
      <c r="F218" s="281"/>
      <c r="G218" s="281"/>
      <c r="H218" s="281"/>
      <c r="I218" s="281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81"/>
      <c r="AB218" s="281"/>
    </row>
    <row r="219" ht="15.75" customHeight="1">
      <c r="A219" s="281"/>
      <c r="B219" s="281"/>
      <c r="C219" s="281"/>
      <c r="D219" s="281"/>
      <c r="E219" s="281"/>
      <c r="F219" s="281"/>
      <c r="G219" s="281"/>
      <c r="H219" s="281"/>
      <c r="I219" s="281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1"/>
      <c r="Y219" s="281"/>
      <c r="Z219" s="281"/>
      <c r="AA219" s="281"/>
      <c r="AB219" s="281"/>
    </row>
    <row r="220" ht="15.75" customHeight="1">
      <c r="A220" s="281"/>
      <c r="B220" s="281"/>
      <c r="C220" s="281"/>
      <c r="D220" s="281"/>
      <c r="E220" s="281"/>
      <c r="F220" s="281"/>
      <c r="G220" s="281"/>
      <c r="H220" s="281"/>
      <c r="I220" s="281"/>
      <c r="J220" s="281"/>
      <c r="K220" s="281"/>
      <c r="L220" s="281"/>
      <c r="M220" s="281"/>
      <c r="N220" s="281"/>
      <c r="O220" s="281"/>
      <c r="P220" s="281"/>
      <c r="Q220" s="281"/>
      <c r="R220" s="281"/>
      <c r="S220" s="281"/>
      <c r="T220" s="281"/>
      <c r="U220" s="281"/>
      <c r="V220" s="281"/>
      <c r="W220" s="281"/>
      <c r="X220" s="281"/>
      <c r="Y220" s="281"/>
      <c r="Z220" s="281"/>
      <c r="AA220" s="281"/>
      <c r="AB220" s="281"/>
    </row>
    <row r="221" ht="15.75" customHeight="1">
      <c r="A221" s="281"/>
      <c r="B221" s="281"/>
      <c r="C221" s="281"/>
      <c r="D221" s="281"/>
      <c r="E221" s="281"/>
      <c r="F221" s="281"/>
      <c r="G221" s="281"/>
      <c r="H221" s="281"/>
      <c r="I221" s="281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81"/>
      <c r="AB221" s="281"/>
    </row>
    <row r="222" ht="15.75" customHeight="1">
      <c r="A222" s="281"/>
      <c r="B222" s="281"/>
      <c r="C222" s="281"/>
      <c r="D222" s="281"/>
      <c r="E222" s="281"/>
      <c r="F222" s="281"/>
      <c r="G222" s="281"/>
      <c r="H222" s="281"/>
      <c r="I222" s="281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81"/>
      <c r="AB222" s="28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7.75"/>
    <col customWidth="1" min="3" max="3" width="38.38"/>
    <col customWidth="1" min="4" max="6" width="12.63"/>
    <col customWidth="1" min="7" max="7" width="1.88"/>
  </cols>
  <sheetData>
    <row r="1" ht="15.75" customHeight="1">
      <c r="A1" s="295" t="s">
        <v>259</v>
      </c>
    </row>
    <row r="2" ht="15.75" customHeight="1">
      <c r="A2" s="295" t="s">
        <v>260</v>
      </c>
    </row>
    <row r="3" ht="15.75" customHeight="1">
      <c r="A3" s="296" t="s">
        <v>261</v>
      </c>
      <c r="I3" s="297"/>
    </row>
    <row r="4" ht="15.75" customHeight="1">
      <c r="A4" s="298" t="s">
        <v>262</v>
      </c>
      <c r="B4" s="299"/>
      <c r="C4" s="299"/>
      <c r="D4" s="299"/>
      <c r="E4" s="299"/>
      <c r="F4" s="299"/>
      <c r="G4" s="299"/>
    </row>
    <row r="5" ht="15.75" customHeight="1">
      <c r="A5" s="300" t="s">
        <v>263</v>
      </c>
      <c r="B5" s="126" t="s">
        <v>264</v>
      </c>
      <c r="D5" s="300" t="s">
        <v>265</v>
      </c>
      <c r="E5" s="126"/>
      <c r="F5" s="301" t="s">
        <v>266</v>
      </c>
      <c r="G5" s="302"/>
    </row>
    <row r="6" ht="15.75" customHeight="1">
      <c r="A6" s="300" t="s">
        <v>267</v>
      </c>
      <c r="B6" s="126" t="s">
        <v>268</v>
      </c>
      <c r="D6" s="300" t="s">
        <v>269</v>
      </c>
      <c r="E6" s="126"/>
      <c r="F6" s="301" t="s">
        <v>266</v>
      </c>
      <c r="G6" s="303"/>
    </row>
    <row r="7" ht="15.75" customHeight="1">
      <c r="A7" s="304"/>
      <c r="B7" s="305"/>
      <c r="C7" s="306"/>
      <c r="D7" s="304"/>
      <c r="E7" s="305"/>
      <c r="F7" s="305"/>
      <c r="G7" s="306"/>
    </row>
    <row r="8" ht="15.75" customHeight="1">
      <c r="A8" s="307" t="s">
        <v>6</v>
      </c>
      <c r="B8" s="308" t="s">
        <v>240</v>
      </c>
      <c r="C8" s="308" t="s">
        <v>270</v>
      </c>
      <c r="D8" s="308" t="s">
        <v>271</v>
      </c>
      <c r="E8" s="308" t="s">
        <v>272</v>
      </c>
      <c r="F8" s="309" t="s">
        <v>273</v>
      </c>
      <c r="G8" s="26"/>
    </row>
    <row r="9" ht="77.25" customHeight="1">
      <c r="A9" s="310">
        <v>1.0</v>
      </c>
      <c r="B9" s="311"/>
      <c r="C9" s="312"/>
      <c r="D9" s="313"/>
      <c r="E9" s="314"/>
      <c r="F9" s="315">
        <f>E9*D9</f>
        <v>0</v>
      </c>
      <c r="G9" s="255"/>
    </row>
    <row r="10" ht="15.75" customHeight="1">
      <c r="A10" s="316"/>
      <c r="B10" s="317"/>
      <c r="C10" s="318"/>
      <c r="D10" s="319"/>
      <c r="E10" s="314"/>
      <c r="F10" s="320"/>
      <c r="G10" s="255"/>
    </row>
    <row r="11" ht="15.75" customHeight="1">
      <c r="A11" s="316"/>
      <c r="B11" s="317"/>
      <c r="C11" s="321"/>
      <c r="D11" s="319"/>
      <c r="E11" s="314"/>
      <c r="F11" s="320"/>
      <c r="G11" s="255"/>
    </row>
    <row r="12" ht="15.75" customHeight="1">
      <c r="A12" s="310"/>
      <c r="B12" s="322"/>
      <c r="C12" s="323" t="s">
        <v>274</v>
      </c>
      <c r="D12" s="303"/>
      <c r="E12" s="303"/>
      <c r="F12" s="126"/>
      <c r="G12" s="322"/>
    </row>
    <row r="13" ht="15.75" customHeight="1">
      <c r="A13" s="324"/>
      <c r="B13" s="306"/>
      <c r="C13" s="325" t="s">
        <v>275</v>
      </c>
      <c r="D13" s="306"/>
      <c r="E13" s="306"/>
      <c r="F13" s="326">
        <f>sum(F9)</f>
        <v>0</v>
      </c>
      <c r="G13" s="26"/>
    </row>
    <row r="14" ht="15.75" customHeight="1">
      <c r="A14" s="327" t="s">
        <v>276</v>
      </c>
      <c r="B14" s="299"/>
      <c r="C14" s="299"/>
      <c r="D14" s="299"/>
      <c r="E14" s="299"/>
      <c r="F14" s="299"/>
      <c r="G14" s="26"/>
    </row>
    <row r="15" ht="15.75" customHeight="1">
      <c r="A15" s="328"/>
      <c r="B15" s="303"/>
      <c r="C15" s="303" t="s">
        <v>277</v>
      </c>
      <c r="D15" s="329" t="s">
        <v>278</v>
      </c>
      <c r="E15" s="126"/>
      <c r="F15" s="126"/>
      <c r="G15" s="303"/>
    </row>
    <row r="16" ht="15.75" customHeight="1">
      <c r="A16" s="328"/>
      <c r="B16" s="303"/>
      <c r="C16" s="303" t="s">
        <v>279</v>
      </c>
      <c r="D16" s="126"/>
      <c r="E16" s="126"/>
      <c r="F16" s="126"/>
      <c r="G16" s="303"/>
    </row>
    <row r="17" ht="15.75" customHeight="1">
      <c r="A17" s="328" t="s">
        <v>280</v>
      </c>
      <c r="B17" s="303"/>
      <c r="C17" s="303"/>
      <c r="D17" s="126"/>
      <c r="E17" s="126"/>
      <c r="F17" s="126"/>
      <c r="G17" s="303"/>
    </row>
    <row r="18" ht="15.75" customHeight="1">
      <c r="A18" s="330" t="s">
        <v>281</v>
      </c>
      <c r="B18" s="303"/>
      <c r="C18" s="331" t="s">
        <v>144</v>
      </c>
      <c r="D18" s="332" t="s">
        <v>282</v>
      </c>
      <c r="G18" s="255"/>
    </row>
    <row r="19" ht="15.75" customHeight="1">
      <c r="A19" s="330" t="s">
        <v>283</v>
      </c>
      <c r="B19" s="303"/>
      <c r="C19" s="333" t="s">
        <v>284</v>
      </c>
      <c r="D19" s="334" t="s">
        <v>151</v>
      </c>
      <c r="G19" s="255"/>
    </row>
    <row r="20" ht="15.75" customHeight="1">
      <c r="A20" s="304" t="s">
        <v>285</v>
      </c>
      <c r="B20" s="306"/>
      <c r="C20" s="335">
        <v>45306.0</v>
      </c>
      <c r="D20" s="305"/>
      <c r="E20" s="305"/>
      <c r="F20" s="305"/>
      <c r="G20" s="306"/>
    </row>
    <row r="21" ht="15.75" customHeight="1">
      <c r="A21" s="336"/>
      <c r="B21" s="336"/>
      <c r="C21" s="336"/>
      <c r="D21" s="336"/>
      <c r="E21" s="336"/>
      <c r="F21" s="336"/>
      <c r="G21" s="336"/>
    </row>
    <row r="22" ht="15.75" customHeight="1">
      <c r="A22" s="336"/>
      <c r="B22" s="336"/>
      <c r="C22" s="336"/>
      <c r="D22" s="336"/>
      <c r="E22" s="336"/>
      <c r="F22" s="336"/>
      <c r="G22" s="336"/>
    </row>
    <row r="23" ht="15.75" customHeight="1">
      <c r="A23" s="295" t="s">
        <v>259</v>
      </c>
    </row>
    <row r="24" ht="15.75" customHeight="1">
      <c r="A24" s="295" t="s">
        <v>260</v>
      </c>
    </row>
    <row r="25" ht="15.75" customHeight="1">
      <c r="A25" s="296" t="s">
        <v>261</v>
      </c>
    </row>
    <row r="26" ht="15.75" customHeight="1">
      <c r="A26" s="298" t="s">
        <v>262</v>
      </c>
      <c r="B26" s="299"/>
      <c r="C26" s="299"/>
      <c r="D26" s="299"/>
      <c r="E26" s="299"/>
      <c r="F26" s="299"/>
      <c r="G26" s="299"/>
    </row>
    <row r="27" ht="15.75" customHeight="1">
      <c r="A27" s="300" t="s">
        <v>263</v>
      </c>
      <c r="B27" s="126" t="s">
        <v>264</v>
      </c>
      <c r="D27" s="300" t="s">
        <v>265</v>
      </c>
      <c r="E27" s="126"/>
      <c r="F27" s="301" t="s">
        <v>266</v>
      </c>
      <c r="G27" s="302"/>
    </row>
    <row r="28" ht="15.75" customHeight="1">
      <c r="A28" s="300" t="s">
        <v>267</v>
      </c>
      <c r="B28" s="126" t="s">
        <v>268</v>
      </c>
      <c r="D28" s="300" t="s">
        <v>269</v>
      </c>
      <c r="E28" s="126"/>
      <c r="F28" s="301" t="s">
        <v>266</v>
      </c>
      <c r="G28" s="303"/>
    </row>
    <row r="29" ht="15.75" customHeight="1">
      <c r="A29" s="304"/>
      <c r="B29" s="305"/>
      <c r="C29" s="306"/>
      <c r="D29" s="304"/>
      <c r="E29" s="305"/>
      <c r="F29" s="305"/>
      <c r="G29" s="306"/>
    </row>
    <row r="30" ht="15.75" customHeight="1">
      <c r="A30" s="307" t="s">
        <v>6</v>
      </c>
      <c r="B30" s="308" t="s">
        <v>240</v>
      </c>
      <c r="C30" s="308" t="s">
        <v>270</v>
      </c>
      <c r="D30" s="308" t="s">
        <v>271</v>
      </c>
      <c r="E30" s="308" t="s">
        <v>272</v>
      </c>
      <c r="F30" s="309" t="s">
        <v>273</v>
      </c>
      <c r="G30" s="26"/>
    </row>
    <row r="31" ht="77.25" customHeight="1">
      <c r="A31" s="310">
        <v>1.0</v>
      </c>
      <c r="B31" s="311" t="str">
        <f t="shared" ref="B31:E31" si="1">B9</f>
        <v/>
      </c>
      <c r="C31" s="312" t="str">
        <f t="shared" si="1"/>
        <v/>
      </c>
      <c r="D31" s="313" t="str">
        <f t="shared" si="1"/>
        <v/>
      </c>
      <c r="E31" s="314" t="str">
        <f t="shared" si="1"/>
        <v/>
      </c>
      <c r="F31" s="315">
        <f>E31*D31</f>
        <v>0</v>
      </c>
      <c r="G31" s="255"/>
    </row>
    <row r="32" ht="15.75" customHeight="1">
      <c r="A32" s="316"/>
      <c r="B32" s="317"/>
      <c r="C32" s="318"/>
      <c r="D32" s="319"/>
      <c r="E32" s="314"/>
      <c r="F32" s="320"/>
      <c r="G32" s="255"/>
    </row>
    <row r="33" ht="15.75" customHeight="1">
      <c r="A33" s="316"/>
      <c r="B33" s="317"/>
      <c r="C33" s="321"/>
      <c r="D33" s="319"/>
      <c r="E33" s="314"/>
      <c r="F33" s="320"/>
      <c r="G33" s="255"/>
    </row>
    <row r="34" ht="15.75" customHeight="1">
      <c r="A34" s="310"/>
      <c r="B34" s="322"/>
      <c r="C34" s="323" t="s">
        <v>274</v>
      </c>
      <c r="D34" s="303"/>
      <c r="E34" s="303"/>
      <c r="F34" s="126"/>
      <c r="G34" s="322"/>
    </row>
    <row r="35" ht="15.75" customHeight="1">
      <c r="A35" s="324"/>
      <c r="B35" s="306"/>
      <c r="C35" s="325" t="s">
        <v>275</v>
      </c>
      <c r="D35" s="306"/>
      <c r="E35" s="306"/>
      <c r="F35" s="326">
        <f>sum(F31)</f>
        <v>0</v>
      </c>
      <c r="G35" s="26"/>
    </row>
    <row r="36" ht="15.75" customHeight="1">
      <c r="A36" s="327" t="s">
        <v>276</v>
      </c>
      <c r="B36" s="299"/>
      <c r="C36" s="299"/>
      <c r="D36" s="299"/>
      <c r="E36" s="299"/>
      <c r="F36" s="299"/>
      <c r="G36" s="26"/>
    </row>
    <row r="37" ht="15.75" customHeight="1">
      <c r="A37" s="328"/>
      <c r="B37" s="303"/>
      <c r="C37" s="303" t="s">
        <v>277</v>
      </c>
      <c r="D37" s="329" t="s">
        <v>278</v>
      </c>
      <c r="E37" s="126"/>
      <c r="F37" s="126"/>
      <c r="G37" s="303"/>
    </row>
    <row r="38" ht="15.75" customHeight="1">
      <c r="A38" s="328"/>
      <c r="B38" s="303"/>
      <c r="C38" s="303" t="s">
        <v>279</v>
      </c>
      <c r="D38" s="126"/>
      <c r="E38" s="126"/>
      <c r="F38" s="126"/>
      <c r="G38" s="303"/>
    </row>
    <row r="39" ht="15.75" customHeight="1">
      <c r="A39" s="328" t="s">
        <v>280</v>
      </c>
      <c r="B39" s="303"/>
      <c r="C39" s="303"/>
      <c r="D39" s="126"/>
      <c r="E39" s="126"/>
      <c r="F39" s="126"/>
      <c r="G39" s="303"/>
    </row>
    <row r="40" ht="15.75" customHeight="1">
      <c r="A40" s="330" t="s">
        <v>281</v>
      </c>
      <c r="B40" s="303"/>
      <c r="C40" s="331" t="s">
        <v>144</v>
      </c>
      <c r="D40" s="332" t="s">
        <v>282</v>
      </c>
      <c r="G40" s="255"/>
    </row>
    <row r="41" ht="15.75" customHeight="1">
      <c r="A41" s="330" t="s">
        <v>283</v>
      </c>
      <c r="B41" s="303"/>
      <c r="C41" s="333" t="s">
        <v>284</v>
      </c>
      <c r="D41" s="334" t="s">
        <v>151</v>
      </c>
      <c r="G41" s="255"/>
    </row>
    <row r="42" ht="15.75" customHeight="1">
      <c r="A42" s="304" t="s">
        <v>285</v>
      </c>
      <c r="B42" s="306"/>
      <c r="C42" s="335">
        <f>C20</f>
        <v>45306</v>
      </c>
      <c r="D42" s="305"/>
      <c r="E42" s="305"/>
      <c r="F42" s="305"/>
      <c r="G42" s="306"/>
    </row>
    <row r="43" ht="15.75" customHeight="1">
      <c r="A43" s="336"/>
      <c r="B43" s="336"/>
      <c r="C43" s="336"/>
      <c r="D43" s="336"/>
      <c r="E43" s="336"/>
      <c r="F43" s="336"/>
      <c r="G43" s="336"/>
    </row>
    <row r="44" ht="15.75" customHeight="1">
      <c r="A44" s="336"/>
      <c r="B44" s="336"/>
      <c r="C44" s="336"/>
      <c r="D44" s="336"/>
      <c r="E44" s="336"/>
      <c r="F44" s="336"/>
      <c r="G44" s="336"/>
    </row>
    <row r="45" ht="15.75" customHeight="1">
      <c r="A45" s="336"/>
      <c r="B45" s="336"/>
      <c r="C45" s="336"/>
      <c r="D45" s="336"/>
      <c r="E45" s="336"/>
      <c r="F45" s="336"/>
      <c r="G45" s="336"/>
    </row>
    <row r="46" ht="15.75" customHeight="1">
      <c r="A46" s="336"/>
      <c r="B46" s="336"/>
      <c r="C46" s="336"/>
      <c r="D46" s="336"/>
      <c r="E46" s="336"/>
      <c r="F46" s="336"/>
      <c r="G46" s="336"/>
    </row>
    <row r="47" ht="15.75" customHeight="1">
      <c r="A47" s="336"/>
      <c r="B47" s="336"/>
      <c r="C47" s="336"/>
      <c r="D47" s="336"/>
      <c r="E47" s="336"/>
      <c r="F47" s="336"/>
      <c r="G47" s="336"/>
    </row>
    <row r="48" ht="15.75" customHeight="1">
      <c r="A48" s="336"/>
      <c r="B48" s="336"/>
      <c r="C48" s="336"/>
      <c r="D48" s="336"/>
      <c r="E48" s="336"/>
      <c r="F48" s="336"/>
      <c r="G48" s="336"/>
    </row>
    <row r="49" ht="15.75" customHeight="1">
      <c r="A49" s="336"/>
      <c r="B49" s="336"/>
      <c r="C49" s="336"/>
      <c r="D49" s="336"/>
      <c r="E49" s="336"/>
      <c r="F49" s="336"/>
      <c r="G49" s="336"/>
    </row>
    <row r="50" ht="15.75" customHeight="1">
      <c r="A50" s="336"/>
      <c r="B50" s="336"/>
      <c r="C50" s="336"/>
      <c r="D50" s="336"/>
      <c r="E50" s="336"/>
      <c r="F50" s="336"/>
      <c r="G50" s="336"/>
    </row>
    <row r="51" ht="15.75" customHeight="1">
      <c r="A51" s="336"/>
      <c r="B51" s="336"/>
      <c r="C51" s="336"/>
      <c r="D51" s="336"/>
      <c r="E51" s="336"/>
      <c r="F51" s="336"/>
      <c r="G51" s="336"/>
    </row>
    <row r="52" ht="15.75" customHeight="1">
      <c r="A52" s="336"/>
      <c r="B52" s="336"/>
      <c r="C52" s="336"/>
      <c r="D52" s="336"/>
      <c r="E52" s="336"/>
      <c r="F52" s="336"/>
      <c r="G52" s="336"/>
    </row>
    <row r="53" ht="15.75" customHeight="1">
      <c r="A53" s="336"/>
      <c r="B53" s="336"/>
      <c r="C53" s="336"/>
      <c r="D53" s="336"/>
      <c r="E53" s="336"/>
      <c r="F53" s="336"/>
      <c r="G53" s="336"/>
    </row>
    <row r="54" ht="15.75" customHeight="1">
      <c r="A54" s="336"/>
      <c r="B54" s="336"/>
      <c r="C54" s="336"/>
      <c r="D54" s="336"/>
      <c r="E54" s="336"/>
      <c r="F54" s="336"/>
      <c r="G54" s="336"/>
    </row>
    <row r="55" ht="15.75" customHeight="1">
      <c r="A55" s="336"/>
      <c r="B55" s="336"/>
      <c r="C55" s="336"/>
      <c r="D55" s="336"/>
      <c r="E55" s="336"/>
      <c r="F55" s="336"/>
      <c r="G55" s="336"/>
    </row>
    <row r="56" ht="15.75" customHeight="1">
      <c r="A56" s="336"/>
      <c r="B56" s="336"/>
      <c r="C56" s="336"/>
      <c r="D56" s="336"/>
      <c r="E56" s="336"/>
      <c r="F56" s="336"/>
      <c r="G56" s="336"/>
    </row>
    <row r="57" ht="15.75" customHeight="1">
      <c r="A57" s="336"/>
      <c r="B57" s="336"/>
      <c r="C57" s="336"/>
      <c r="D57" s="336"/>
      <c r="E57" s="336"/>
      <c r="F57" s="336"/>
      <c r="G57" s="336"/>
    </row>
    <row r="58" ht="15.75" customHeight="1">
      <c r="A58" s="336"/>
      <c r="B58" s="336"/>
      <c r="C58" s="336"/>
      <c r="D58" s="336"/>
      <c r="E58" s="336"/>
      <c r="F58" s="336"/>
      <c r="G58" s="336"/>
    </row>
    <row r="59" ht="15.75" customHeight="1">
      <c r="A59" s="336"/>
      <c r="B59" s="336"/>
      <c r="C59" s="336"/>
      <c r="D59" s="336"/>
      <c r="E59" s="336"/>
      <c r="F59" s="336"/>
      <c r="G59" s="336"/>
    </row>
    <row r="60" ht="15.75" customHeight="1">
      <c r="A60" s="336"/>
      <c r="B60" s="336"/>
      <c r="C60" s="336"/>
      <c r="D60" s="336"/>
      <c r="E60" s="336"/>
      <c r="F60" s="336"/>
      <c r="G60" s="336"/>
    </row>
    <row r="61" ht="15.75" customHeight="1">
      <c r="A61" s="336"/>
      <c r="B61" s="336"/>
      <c r="C61" s="336"/>
      <c r="D61" s="336"/>
      <c r="E61" s="336"/>
      <c r="F61" s="336"/>
      <c r="G61" s="336"/>
    </row>
    <row r="62" ht="15.75" customHeight="1">
      <c r="A62" s="336"/>
      <c r="B62" s="336"/>
      <c r="C62" s="336"/>
      <c r="D62" s="336"/>
      <c r="E62" s="336"/>
      <c r="F62" s="336"/>
      <c r="G62" s="336"/>
    </row>
    <row r="63" ht="15.75" customHeight="1">
      <c r="A63" s="336"/>
      <c r="B63" s="336"/>
      <c r="C63" s="336"/>
      <c r="D63" s="336"/>
      <c r="E63" s="336"/>
      <c r="F63" s="336"/>
      <c r="G63" s="336"/>
    </row>
    <row r="64" ht="15.75" customHeight="1">
      <c r="A64" s="336"/>
      <c r="B64" s="336"/>
      <c r="C64" s="336"/>
      <c r="D64" s="336"/>
      <c r="E64" s="336"/>
      <c r="F64" s="336"/>
      <c r="G64" s="336"/>
    </row>
    <row r="65" ht="15.75" customHeight="1">
      <c r="A65" s="336"/>
      <c r="B65" s="336"/>
      <c r="C65" s="336"/>
      <c r="D65" s="336"/>
      <c r="E65" s="336"/>
      <c r="F65" s="336"/>
      <c r="G65" s="336"/>
    </row>
    <row r="66" ht="15.75" customHeight="1">
      <c r="A66" s="336"/>
      <c r="B66" s="336"/>
      <c r="C66" s="336"/>
      <c r="D66" s="336"/>
      <c r="E66" s="336"/>
      <c r="F66" s="336"/>
      <c r="G66" s="336"/>
    </row>
    <row r="67" ht="15.75" customHeight="1">
      <c r="A67" s="336"/>
      <c r="B67" s="336"/>
      <c r="C67" s="336"/>
      <c r="D67" s="336"/>
      <c r="E67" s="336"/>
      <c r="F67" s="336"/>
      <c r="G67" s="336"/>
    </row>
    <row r="68" ht="15.75" customHeight="1">
      <c r="A68" s="336"/>
      <c r="B68" s="336"/>
      <c r="C68" s="336"/>
      <c r="D68" s="336"/>
      <c r="E68" s="336"/>
      <c r="F68" s="336"/>
      <c r="G68" s="336"/>
    </row>
    <row r="69" ht="15.75" customHeight="1">
      <c r="A69" s="336"/>
      <c r="B69" s="336"/>
      <c r="C69" s="336"/>
      <c r="D69" s="336"/>
      <c r="E69" s="336"/>
      <c r="F69" s="336"/>
      <c r="G69" s="336"/>
    </row>
    <row r="70" ht="15.75" customHeight="1">
      <c r="A70" s="336"/>
      <c r="B70" s="336"/>
      <c r="C70" s="336"/>
      <c r="D70" s="336"/>
      <c r="E70" s="336"/>
      <c r="F70" s="336"/>
      <c r="G70" s="336"/>
    </row>
    <row r="71" ht="15.75" customHeight="1">
      <c r="A71" s="336"/>
      <c r="B71" s="336"/>
      <c r="C71" s="336"/>
      <c r="D71" s="336"/>
      <c r="E71" s="336"/>
      <c r="F71" s="336"/>
      <c r="G71" s="336"/>
    </row>
    <row r="72" ht="15.75" customHeight="1">
      <c r="A72" s="336"/>
      <c r="B72" s="336"/>
      <c r="C72" s="336"/>
      <c r="D72" s="336"/>
      <c r="E72" s="336"/>
      <c r="F72" s="336"/>
      <c r="G72" s="336"/>
    </row>
    <row r="73" ht="15.75" customHeight="1">
      <c r="A73" s="336"/>
      <c r="B73" s="336"/>
      <c r="C73" s="336"/>
      <c r="D73" s="336"/>
      <c r="E73" s="336"/>
      <c r="F73" s="336"/>
      <c r="G73" s="336"/>
    </row>
    <row r="74" ht="15.75" customHeight="1">
      <c r="A74" s="336"/>
      <c r="B74" s="336"/>
      <c r="C74" s="336"/>
      <c r="D74" s="336"/>
      <c r="E74" s="336"/>
      <c r="F74" s="336"/>
      <c r="G74" s="336"/>
    </row>
    <row r="75" ht="15.75" customHeight="1">
      <c r="A75" s="336"/>
      <c r="B75" s="336"/>
      <c r="C75" s="336"/>
      <c r="D75" s="336"/>
      <c r="E75" s="336"/>
      <c r="F75" s="336"/>
      <c r="G75" s="336"/>
    </row>
    <row r="76" ht="15.75" customHeight="1">
      <c r="A76" s="336"/>
      <c r="B76" s="336"/>
      <c r="C76" s="336"/>
      <c r="D76" s="336"/>
      <c r="E76" s="336"/>
      <c r="F76" s="336"/>
      <c r="G76" s="336"/>
    </row>
    <row r="77" ht="15.75" customHeight="1">
      <c r="A77" s="336"/>
      <c r="B77" s="336"/>
      <c r="C77" s="336"/>
      <c r="D77" s="336"/>
      <c r="E77" s="336"/>
      <c r="F77" s="336"/>
      <c r="G77" s="336"/>
    </row>
    <row r="78" ht="15.75" customHeight="1">
      <c r="A78" s="336"/>
      <c r="B78" s="336"/>
      <c r="C78" s="336"/>
      <c r="D78" s="336"/>
      <c r="E78" s="336"/>
      <c r="F78" s="336"/>
      <c r="G78" s="336"/>
    </row>
    <row r="79" ht="15.75" customHeight="1">
      <c r="A79" s="336"/>
      <c r="B79" s="336"/>
      <c r="C79" s="336"/>
      <c r="D79" s="336"/>
      <c r="E79" s="336"/>
      <c r="F79" s="336"/>
      <c r="G79" s="336"/>
    </row>
    <row r="80" ht="15.75" customHeight="1">
      <c r="A80" s="336"/>
      <c r="B80" s="336"/>
      <c r="C80" s="336"/>
      <c r="D80" s="336"/>
      <c r="E80" s="336"/>
      <c r="F80" s="336"/>
      <c r="G80" s="336"/>
    </row>
    <row r="81" ht="15.75" customHeight="1">
      <c r="A81" s="336"/>
      <c r="B81" s="336"/>
      <c r="C81" s="336"/>
      <c r="D81" s="336"/>
      <c r="E81" s="336"/>
      <c r="F81" s="336"/>
      <c r="G81" s="336"/>
    </row>
    <row r="82" ht="15.75" customHeight="1">
      <c r="A82" s="336"/>
      <c r="B82" s="336"/>
      <c r="C82" s="336"/>
      <c r="D82" s="336"/>
      <c r="E82" s="336"/>
      <c r="F82" s="336"/>
      <c r="G82" s="336"/>
    </row>
    <row r="83" ht="15.75" customHeight="1">
      <c r="A83" s="336"/>
      <c r="B83" s="336"/>
      <c r="C83" s="336"/>
      <c r="D83" s="336"/>
      <c r="E83" s="336"/>
      <c r="F83" s="336"/>
      <c r="G83" s="336"/>
    </row>
    <row r="84" ht="15.75" customHeight="1">
      <c r="A84" s="336"/>
      <c r="B84" s="336"/>
      <c r="C84" s="336"/>
      <c r="D84" s="336"/>
      <c r="E84" s="336"/>
      <c r="F84" s="336"/>
      <c r="G84" s="336"/>
    </row>
    <row r="85" ht="15.75" customHeight="1">
      <c r="A85" s="336"/>
      <c r="B85" s="336"/>
      <c r="C85" s="336"/>
      <c r="D85" s="336"/>
      <c r="E85" s="336"/>
      <c r="F85" s="336"/>
      <c r="G85" s="336"/>
    </row>
    <row r="86" ht="15.75" customHeight="1">
      <c r="A86" s="336"/>
      <c r="B86" s="336"/>
      <c r="C86" s="336"/>
      <c r="D86" s="336"/>
      <c r="E86" s="336"/>
      <c r="F86" s="336"/>
      <c r="G86" s="336"/>
    </row>
    <row r="87" ht="15.75" customHeight="1">
      <c r="A87" s="336"/>
      <c r="B87" s="336"/>
      <c r="C87" s="336"/>
      <c r="D87" s="336"/>
      <c r="E87" s="336"/>
      <c r="F87" s="336"/>
      <c r="G87" s="336"/>
    </row>
    <row r="88" ht="15.75" customHeight="1">
      <c r="A88" s="336"/>
      <c r="B88" s="336"/>
      <c r="C88" s="336"/>
      <c r="D88" s="336"/>
      <c r="E88" s="336"/>
      <c r="F88" s="336"/>
      <c r="G88" s="336"/>
    </row>
    <row r="89" ht="15.75" customHeight="1">
      <c r="A89" s="336"/>
      <c r="B89" s="336"/>
      <c r="C89" s="336"/>
      <c r="D89" s="336"/>
      <c r="E89" s="336"/>
      <c r="F89" s="336"/>
      <c r="G89" s="336"/>
    </row>
    <row r="90" ht="15.75" customHeight="1">
      <c r="A90" s="336"/>
      <c r="B90" s="336"/>
      <c r="C90" s="336"/>
      <c r="D90" s="336"/>
      <c r="E90" s="336"/>
      <c r="F90" s="336"/>
      <c r="G90" s="336"/>
    </row>
    <row r="91" ht="15.75" customHeight="1">
      <c r="A91" s="336"/>
      <c r="B91" s="336"/>
      <c r="C91" s="336"/>
      <c r="D91" s="336"/>
      <c r="E91" s="336"/>
      <c r="F91" s="336"/>
      <c r="G91" s="336"/>
    </row>
    <row r="92" ht="15.75" customHeight="1">
      <c r="A92" s="336"/>
      <c r="B92" s="336"/>
      <c r="C92" s="336"/>
      <c r="D92" s="336"/>
      <c r="E92" s="336"/>
      <c r="F92" s="336"/>
      <c r="G92" s="336"/>
    </row>
    <row r="93" ht="15.75" customHeight="1">
      <c r="A93" s="336"/>
      <c r="B93" s="336"/>
      <c r="C93" s="336"/>
      <c r="D93" s="336"/>
      <c r="E93" s="336"/>
      <c r="F93" s="336"/>
      <c r="G93" s="336"/>
    </row>
    <row r="94" ht="15.75" customHeight="1">
      <c r="A94" s="336"/>
      <c r="B94" s="336"/>
      <c r="C94" s="336"/>
      <c r="D94" s="336"/>
      <c r="E94" s="336"/>
      <c r="F94" s="336"/>
      <c r="G94" s="336"/>
    </row>
    <row r="95" ht="15.75" customHeight="1">
      <c r="A95" s="336"/>
      <c r="B95" s="336"/>
      <c r="C95" s="336"/>
      <c r="D95" s="336"/>
      <c r="E95" s="336"/>
      <c r="F95" s="336"/>
      <c r="G95" s="336"/>
    </row>
    <row r="96" ht="15.75" customHeight="1">
      <c r="A96" s="336"/>
      <c r="B96" s="336"/>
      <c r="C96" s="336"/>
      <c r="D96" s="336"/>
      <c r="E96" s="336"/>
      <c r="F96" s="336"/>
      <c r="G96" s="336"/>
    </row>
    <row r="97" ht="15.75" customHeight="1">
      <c r="A97" s="336"/>
      <c r="B97" s="336"/>
      <c r="C97" s="336"/>
      <c r="D97" s="336"/>
      <c r="E97" s="336"/>
      <c r="F97" s="336"/>
      <c r="G97" s="336"/>
    </row>
    <row r="98" ht="15.75" customHeight="1">
      <c r="A98" s="336"/>
      <c r="B98" s="336"/>
      <c r="C98" s="336"/>
      <c r="D98" s="336"/>
      <c r="E98" s="336"/>
      <c r="F98" s="336"/>
      <c r="G98" s="336"/>
    </row>
    <row r="99" ht="15.75" customHeight="1">
      <c r="A99" s="336"/>
      <c r="B99" s="336"/>
      <c r="C99" s="336"/>
      <c r="D99" s="336"/>
      <c r="E99" s="336"/>
      <c r="F99" s="336"/>
      <c r="G99" s="336"/>
    </row>
    <row r="100" ht="15.75" customHeight="1">
      <c r="A100" s="336"/>
      <c r="B100" s="336"/>
      <c r="C100" s="336"/>
      <c r="D100" s="336"/>
      <c r="E100" s="336"/>
      <c r="F100" s="336"/>
      <c r="G100" s="336"/>
    </row>
    <row r="101" ht="15.75" customHeight="1">
      <c r="A101" s="336"/>
      <c r="B101" s="336"/>
      <c r="C101" s="336"/>
      <c r="D101" s="336"/>
      <c r="E101" s="336"/>
      <c r="F101" s="336"/>
      <c r="G101" s="336"/>
    </row>
    <row r="102" ht="15.75" customHeight="1">
      <c r="A102" s="336"/>
      <c r="B102" s="336"/>
      <c r="C102" s="336"/>
      <c r="D102" s="336"/>
      <c r="E102" s="336"/>
      <c r="F102" s="336"/>
      <c r="G102" s="336"/>
    </row>
    <row r="103" ht="15.75" customHeight="1">
      <c r="A103" s="336"/>
      <c r="B103" s="336"/>
      <c r="C103" s="336"/>
      <c r="D103" s="336"/>
      <c r="E103" s="336"/>
      <c r="F103" s="336"/>
      <c r="G103" s="336"/>
    </row>
    <row r="104" ht="15.75" customHeight="1">
      <c r="A104" s="336"/>
      <c r="B104" s="336"/>
      <c r="C104" s="336"/>
      <c r="D104" s="336"/>
      <c r="E104" s="336"/>
      <c r="F104" s="336"/>
      <c r="G104" s="336"/>
    </row>
    <row r="105" ht="15.75" customHeight="1">
      <c r="A105" s="336"/>
      <c r="B105" s="336"/>
      <c r="C105" s="336"/>
      <c r="D105" s="336"/>
      <c r="E105" s="336"/>
      <c r="F105" s="336"/>
      <c r="G105" s="336"/>
    </row>
    <row r="106" ht="15.75" customHeight="1">
      <c r="A106" s="336"/>
      <c r="B106" s="336"/>
      <c r="C106" s="336"/>
      <c r="D106" s="336"/>
      <c r="E106" s="336"/>
      <c r="F106" s="336"/>
      <c r="G106" s="336"/>
    </row>
    <row r="107" ht="15.75" customHeight="1">
      <c r="A107" s="336"/>
      <c r="B107" s="336"/>
      <c r="C107" s="336"/>
      <c r="D107" s="336"/>
      <c r="E107" s="336"/>
      <c r="F107" s="336"/>
      <c r="G107" s="336"/>
    </row>
    <row r="108" ht="15.75" customHeight="1">
      <c r="A108" s="336"/>
      <c r="B108" s="336"/>
      <c r="C108" s="336"/>
      <c r="D108" s="336"/>
      <c r="E108" s="336"/>
      <c r="F108" s="336"/>
      <c r="G108" s="336"/>
    </row>
    <row r="109" ht="15.75" customHeight="1">
      <c r="A109" s="336"/>
      <c r="B109" s="336"/>
      <c r="C109" s="336"/>
      <c r="D109" s="336"/>
      <c r="E109" s="336"/>
      <c r="F109" s="336"/>
      <c r="G109" s="336"/>
    </row>
    <row r="110" ht="15.75" customHeight="1">
      <c r="A110" s="336"/>
      <c r="B110" s="336"/>
      <c r="C110" s="336"/>
      <c r="D110" s="336"/>
      <c r="E110" s="336"/>
      <c r="F110" s="336"/>
      <c r="G110" s="336"/>
    </row>
    <row r="111" ht="15.75" customHeight="1">
      <c r="A111" s="336"/>
      <c r="B111" s="336"/>
      <c r="C111" s="336"/>
      <c r="D111" s="336"/>
      <c r="E111" s="336"/>
      <c r="F111" s="336"/>
      <c r="G111" s="336"/>
    </row>
    <row r="112" ht="15.75" customHeight="1">
      <c r="A112" s="336"/>
      <c r="B112" s="336"/>
      <c r="C112" s="336"/>
      <c r="D112" s="336"/>
      <c r="E112" s="336"/>
      <c r="F112" s="336"/>
      <c r="G112" s="336"/>
    </row>
    <row r="113" ht="15.75" customHeight="1">
      <c r="A113" s="336"/>
      <c r="B113" s="336"/>
      <c r="C113" s="336"/>
      <c r="D113" s="336"/>
      <c r="E113" s="336"/>
      <c r="F113" s="336"/>
      <c r="G113" s="336"/>
    </row>
    <row r="114" ht="15.75" customHeight="1">
      <c r="A114" s="336"/>
      <c r="B114" s="336"/>
      <c r="C114" s="336"/>
      <c r="D114" s="336"/>
      <c r="E114" s="336"/>
      <c r="F114" s="336"/>
      <c r="G114" s="336"/>
    </row>
    <row r="115" ht="15.75" customHeight="1">
      <c r="A115" s="336"/>
      <c r="B115" s="336"/>
      <c r="C115" s="336"/>
      <c r="D115" s="336"/>
      <c r="E115" s="336"/>
      <c r="F115" s="336"/>
      <c r="G115" s="336"/>
    </row>
    <row r="116" ht="15.75" customHeight="1">
      <c r="A116" s="336"/>
      <c r="B116" s="336"/>
      <c r="C116" s="336"/>
      <c r="D116" s="336"/>
      <c r="E116" s="336"/>
      <c r="F116" s="336"/>
      <c r="G116" s="336"/>
    </row>
    <row r="117" ht="15.75" customHeight="1">
      <c r="A117" s="336"/>
      <c r="B117" s="336"/>
      <c r="C117" s="336"/>
      <c r="D117" s="336"/>
      <c r="E117" s="336"/>
      <c r="F117" s="336"/>
      <c r="G117" s="336"/>
    </row>
    <row r="118" ht="15.75" customHeight="1">
      <c r="A118" s="336"/>
      <c r="B118" s="336"/>
      <c r="C118" s="336"/>
      <c r="D118" s="336"/>
      <c r="E118" s="336"/>
      <c r="F118" s="336"/>
      <c r="G118" s="336"/>
    </row>
    <row r="119" ht="15.75" customHeight="1">
      <c r="A119" s="336"/>
      <c r="B119" s="336"/>
      <c r="C119" s="336"/>
      <c r="D119" s="336"/>
      <c r="E119" s="336"/>
      <c r="F119" s="336"/>
      <c r="G119" s="336"/>
    </row>
    <row r="120" ht="15.75" customHeight="1">
      <c r="A120" s="336"/>
      <c r="B120" s="336"/>
      <c r="C120" s="336"/>
      <c r="D120" s="336"/>
      <c r="E120" s="336"/>
      <c r="F120" s="336"/>
      <c r="G120" s="336"/>
    </row>
    <row r="121" ht="15.75" customHeight="1">
      <c r="A121" s="336"/>
      <c r="B121" s="336"/>
      <c r="C121" s="336"/>
      <c r="D121" s="336"/>
      <c r="E121" s="336"/>
      <c r="F121" s="336"/>
      <c r="G121" s="336"/>
    </row>
    <row r="122" ht="15.75" customHeight="1">
      <c r="A122" s="336"/>
      <c r="B122" s="336"/>
      <c r="C122" s="336"/>
      <c r="D122" s="336"/>
      <c r="E122" s="336"/>
      <c r="F122" s="336"/>
      <c r="G122" s="336"/>
    </row>
    <row r="123" ht="15.75" customHeight="1">
      <c r="A123" s="336"/>
      <c r="B123" s="336"/>
      <c r="C123" s="336"/>
      <c r="D123" s="336"/>
      <c r="E123" s="336"/>
      <c r="F123" s="336"/>
      <c r="G123" s="336"/>
    </row>
    <row r="124" ht="15.75" customHeight="1">
      <c r="A124" s="336"/>
      <c r="B124" s="336"/>
      <c r="C124" s="336"/>
      <c r="D124" s="336"/>
      <c r="E124" s="336"/>
      <c r="F124" s="336"/>
      <c r="G124" s="336"/>
    </row>
    <row r="125" ht="15.75" customHeight="1">
      <c r="A125" s="336"/>
      <c r="B125" s="336"/>
      <c r="C125" s="336"/>
      <c r="D125" s="336"/>
      <c r="E125" s="336"/>
      <c r="F125" s="336"/>
      <c r="G125" s="336"/>
    </row>
    <row r="126" ht="15.75" customHeight="1">
      <c r="A126" s="336"/>
      <c r="B126" s="336"/>
      <c r="C126" s="336"/>
      <c r="D126" s="336"/>
      <c r="E126" s="336"/>
      <c r="F126" s="336"/>
      <c r="G126" s="336"/>
    </row>
    <row r="127" ht="15.75" customHeight="1">
      <c r="A127" s="336"/>
      <c r="B127" s="336"/>
      <c r="C127" s="336"/>
      <c r="D127" s="336"/>
      <c r="E127" s="336"/>
      <c r="F127" s="336"/>
      <c r="G127" s="336"/>
    </row>
    <row r="128" ht="15.75" customHeight="1">
      <c r="A128" s="336"/>
      <c r="B128" s="336"/>
      <c r="C128" s="336"/>
      <c r="D128" s="336"/>
      <c r="E128" s="336"/>
      <c r="F128" s="336"/>
      <c r="G128" s="336"/>
    </row>
    <row r="129" ht="15.75" customHeight="1">
      <c r="A129" s="336"/>
      <c r="B129" s="336"/>
      <c r="C129" s="336"/>
      <c r="D129" s="336"/>
      <c r="E129" s="336"/>
      <c r="F129" s="336"/>
      <c r="G129" s="336"/>
    </row>
    <row r="130" ht="15.75" customHeight="1">
      <c r="A130" s="336"/>
      <c r="B130" s="336"/>
      <c r="C130" s="336"/>
      <c r="D130" s="336"/>
      <c r="E130" s="336"/>
      <c r="F130" s="336"/>
      <c r="G130" s="336"/>
    </row>
    <row r="131" ht="15.75" customHeight="1">
      <c r="A131" s="336"/>
      <c r="B131" s="336"/>
      <c r="C131" s="336"/>
      <c r="D131" s="336"/>
      <c r="E131" s="336"/>
      <c r="F131" s="336"/>
      <c r="G131" s="336"/>
    </row>
    <row r="132" ht="15.75" customHeight="1">
      <c r="A132" s="336"/>
      <c r="B132" s="336"/>
      <c r="C132" s="336"/>
      <c r="D132" s="336"/>
      <c r="E132" s="336"/>
      <c r="F132" s="336"/>
      <c r="G132" s="336"/>
    </row>
    <row r="133" ht="15.75" customHeight="1">
      <c r="A133" s="336"/>
      <c r="B133" s="336"/>
      <c r="C133" s="336"/>
      <c r="D133" s="336"/>
      <c r="E133" s="336"/>
      <c r="F133" s="336"/>
      <c r="G133" s="336"/>
    </row>
    <row r="134" ht="15.75" customHeight="1">
      <c r="A134" s="336"/>
      <c r="B134" s="336"/>
      <c r="C134" s="336"/>
      <c r="D134" s="336"/>
      <c r="E134" s="336"/>
      <c r="F134" s="336"/>
      <c r="G134" s="336"/>
    </row>
    <row r="135" ht="15.75" customHeight="1">
      <c r="A135" s="336"/>
      <c r="B135" s="336"/>
      <c r="C135" s="336"/>
      <c r="D135" s="336"/>
      <c r="E135" s="336"/>
      <c r="F135" s="336"/>
      <c r="G135" s="336"/>
    </row>
    <row r="136" ht="15.75" customHeight="1">
      <c r="A136" s="336"/>
      <c r="B136" s="336"/>
      <c r="C136" s="336"/>
      <c r="D136" s="336"/>
      <c r="E136" s="336"/>
      <c r="F136" s="336"/>
      <c r="G136" s="336"/>
    </row>
    <row r="137" ht="15.75" customHeight="1">
      <c r="A137" s="336"/>
      <c r="B137" s="336"/>
      <c r="C137" s="336"/>
      <c r="D137" s="336"/>
      <c r="E137" s="336"/>
      <c r="F137" s="336"/>
      <c r="G137" s="336"/>
    </row>
    <row r="138" ht="15.75" customHeight="1">
      <c r="A138" s="336"/>
      <c r="B138" s="336"/>
      <c r="C138" s="336"/>
      <c r="D138" s="336"/>
      <c r="E138" s="336"/>
      <c r="F138" s="336"/>
      <c r="G138" s="336"/>
    </row>
    <row r="139" ht="15.75" customHeight="1">
      <c r="A139" s="336"/>
      <c r="B139" s="336"/>
      <c r="C139" s="336"/>
      <c r="D139" s="336"/>
      <c r="E139" s="336"/>
      <c r="F139" s="336"/>
      <c r="G139" s="336"/>
    </row>
    <row r="140" ht="15.75" customHeight="1">
      <c r="A140" s="336"/>
      <c r="B140" s="336"/>
      <c r="C140" s="336"/>
      <c r="D140" s="336"/>
      <c r="E140" s="336"/>
      <c r="F140" s="336"/>
      <c r="G140" s="336"/>
    </row>
    <row r="141" ht="15.75" customHeight="1">
      <c r="A141" s="336"/>
      <c r="B141" s="336"/>
      <c r="C141" s="336"/>
      <c r="D141" s="336"/>
      <c r="E141" s="336"/>
      <c r="F141" s="336"/>
      <c r="G141" s="336"/>
    </row>
    <row r="142" ht="15.75" customHeight="1">
      <c r="A142" s="336"/>
      <c r="B142" s="336"/>
      <c r="C142" s="336"/>
      <c r="D142" s="336"/>
      <c r="E142" s="336"/>
      <c r="F142" s="336"/>
      <c r="G142" s="336"/>
    </row>
    <row r="143" ht="15.75" customHeight="1">
      <c r="A143" s="336"/>
      <c r="B143" s="336"/>
      <c r="C143" s="336"/>
      <c r="D143" s="336"/>
      <c r="E143" s="336"/>
      <c r="F143" s="336"/>
      <c r="G143" s="336"/>
    </row>
    <row r="144" ht="15.75" customHeight="1">
      <c r="A144" s="336"/>
      <c r="B144" s="336"/>
      <c r="C144" s="336"/>
      <c r="D144" s="336"/>
      <c r="E144" s="336"/>
      <c r="F144" s="336"/>
      <c r="G144" s="336"/>
    </row>
    <row r="145" ht="15.75" customHeight="1">
      <c r="A145" s="336"/>
      <c r="B145" s="336"/>
      <c r="C145" s="336"/>
      <c r="D145" s="336"/>
      <c r="E145" s="336"/>
      <c r="F145" s="336"/>
      <c r="G145" s="336"/>
    </row>
    <row r="146" ht="15.75" customHeight="1">
      <c r="A146" s="336"/>
      <c r="B146" s="336"/>
      <c r="C146" s="336"/>
      <c r="D146" s="336"/>
      <c r="E146" s="336"/>
      <c r="F146" s="336"/>
      <c r="G146" s="336"/>
    </row>
    <row r="147" ht="15.75" customHeight="1">
      <c r="A147" s="336"/>
      <c r="B147" s="336"/>
      <c r="C147" s="336"/>
      <c r="D147" s="336"/>
      <c r="E147" s="336"/>
      <c r="F147" s="336"/>
      <c r="G147" s="336"/>
    </row>
    <row r="148" ht="15.75" customHeight="1">
      <c r="A148" s="336"/>
      <c r="B148" s="336"/>
      <c r="C148" s="336"/>
      <c r="D148" s="336"/>
      <c r="E148" s="336"/>
      <c r="F148" s="336"/>
      <c r="G148" s="336"/>
    </row>
    <row r="149" ht="15.75" customHeight="1">
      <c r="A149" s="336"/>
      <c r="B149" s="336"/>
      <c r="C149" s="336"/>
      <c r="D149" s="336"/>
      <c r="E149" s="336"/>
      <c r="F149" s="336"/>
      <c r="G149" s="336"/>
    </row>
    <row r="150" ht="15.75" customHeight="1">
      <c r="A150" s="336"/>
      <c r="B150" s="336"/>
      <c r="C150" s="336"/>
      <c r="D150" s="336"/>
      <c r="E150" s="336"/>
      <c r="F150" s="336"/>
      <c r="G150" s="336"/>
    </row>
    <row r="151" ht="15.75" customHeight="1">
      <c r="A151" s="336"/>
      <c r="B151" s="336"/>
      <c r="C151" s="336"/>
      <c r="D151" s="336"/>
      <c r="E151" s="336"/>
      <c r="F151" s="336"/>
      <c r="G151" s="336"/>
    </row>
    <row r="152" ht="15.75" customHeight="1">
      <c r="A152" s="336"/>
      <c r="B152" s="336"/>
      <c r="C152" s="336"/>
      <c r="D152" s="336"/>
      <c r="E152" s="336"/>
      <c r="F152" s="336"/>
      <c r="G152" s="336"/>
    </row>
    <row r="153" ht="15.75" customHeight="1">
      <c r="A153" s="336"/>
      <c r="B153" s="336"/>
      <c r="C153" s="336"/>
      <c r="D153" s="336"/>
      <c r="E153" s="336"/>
      <c r="F153" s="336"/>
      <c r="G153" s="336"/>
    </row>
    <row r="154" ht="15.75" customHeight="1">
      <c r="A154" s="336"/>
      <c r="B154" s="336"/>
      <c r="C154" s="336"/>
      <c r="D154" s="336"/>
      <c r="E154" s="336"/>
      <c r="F154" s="336"/>
      <c r="G154" s="336"/>
    </row>
    <row r="155" ht="15.75" customHeight="1">
      <c r="A155" s="336"/>
      <c r="B155" s="336"/>
      <c r="C155" s="336"/>
      <c r="D155" s="336"/>
      <c r="E155" s="336"/>
      <c r="F155" s="336"/>
      <c r="G155" s="336"/>
    </row>
    <row r="156" ht="15.75" customHeight="1">
      <c r="A156" s="336"/>
      <c r="B156" s="336"/>
      <c r="C156" s="336"/>
      <c r="D156" s="336"/>
      <c r="E156" s="336"/>
      <c r="F156" s="336"/>
      <c r="G156" s="336"/>
    </row>
    <row r="157" ht="15.75" customHeight="1">
      <c r="A157" s="336"/>
      <c r="B157" s="336"/>
      <c r="C157" s="336"/>
      <c r="D157" s="336"/>
      <c r="E157" s="336"/>
      <c r="F157" s="336"/>
      <c r="G157" s="336"/>
    </row>
    <row r="158" ht="15.75" customHeight="1">
      <c r="A158" s="336"/>
      <c r="B158" s="336"/>
      <c r="C158" s="336"/>
      <c r="D158" s="336"/>
      <c r="E158" s="336"/>
      <c r="F158" s="336"/>
      <c r="G158" s="336"/>
    </row>
    <row r="159" ht="15.75" customHeight="1">
      <c r="A159" s="336"/>
      <c r="B159" s="336"/>
      <c r="C159" s="336"/>
      <c r="D159" s="336"/>
      <c r="E159" s="336"/>
      <c r="F159" s="336"/>
      <c r="G159" s="336"/>
    </row>
    <row r="160" ht="15.75" customHeight="1">
      <c r="A160" s="336"/>
      <c r="B160" s="336"/>
      <c r="C160" s="336"/>
      <c r="D160" s="336"/>
      <c r="E160" s="336"/>
      <c r="F160" s="336"/>
      <c r="G160" s="336"/>
    </row>
    <row r="161" ht="15.75" customHeight="1">
      <c r="A161" s="336"/>
      <c r="B161" s="336"/>
      <c r="C161" s="336"/>
      <c r="D161" s="336"/>
      <c r="E161" s="336"/>
      <c r="F161" s="336"/>
      <c r="G161" s="336"/>
    </row>
    <row r="162" ht="15.75" customHeight="1">
      <c r="A162" s="336"/>
      <c r="B162" s="336"/>
      <c r="C162" s="336"/>
      <c r="D162" s="336"/>
      <c r="E162" s="336"/>
      <c r="F162" s="336"/>
      <c r="G162" s="336"/>
    </row>
    <row r="163" ht="15.75" customHeight="1">
      <c r="A163" s="336"/>
      <c r="B163" s="336"/>
      <c r="C163" s="336"/>
      <c r="D163" s="336"/>
      <c r="E163" s="336"/>
      <c r="F163" s="336"/>
      <c r="G163" s="336"/>
    </row>
    <row r="164" ht="15.75" customHeight="1">
      <c r="A164" s="336"/>
      <c r="B164" s="336"/>
      <c r="C164" s="336"/>
      <c r="D164" s="336"/>
      <c r="E164" s="336"/>
      <c r="F164" s="336"/>
      <c r="G164" s="336"/>
    </row>
    <row r="165" ht="15.75" customHeight="1">
      <c r="A165" s="336"/>
      <c r="B165" s="336"/>
      <c r="C165" s="336"/>
      <c r="D165" s="336"/>
      <c r="E165" s="336"/>
      <c r="F165" s="336"/>
      <c r="G165" s="336"/>
    </row>
    <row r="166" ht="15.75" customHeight="1">
      <c r="A166" s="336"/>
      <c r="B166" s="336"/>
      <c r="C166" s="336"/>
      <c r="D166" s="336"/>
      <c r="E166" s="336"/>
      <c r="F166" s="336"/>
      <c r="G166" s="336"/>
    </row>
    <row r="167" ht="15.75" customHeight="1">
      <c r="A167" s="336"/>
      <c r="B167" s="336"/>
      <c r="C167" s="336"/>
      <c r="D167" s="336"/>
      <c r="E167" s="336"/>
      <c r="F167" s="336"/>
      <c r="G167" s="336"/>
    </row>
    <row r="168" ht="15.75" customHeight="1">
      <c r="A168" s="336"/>
      <c r="B168" s="336"/>
      <c r="C168" s="336"/>
      <c r="D168" s="336"/>
      <c r="E168" s="336"/>
      <c r="F168" s="336"/>
      <c r="G168" s="336"/>
    </row>
    <row r="169" ht="15.75" customHeight="1">
      <c r="A169" s="336"/>
      <c r="B169" s="336"/>
      <c r="C169" s="336"/>
      <c r="D169" s="336"/>
      <c r="E169" s="336"/>
      <c r="F169" s="336"/>
      <c r="G169" s="336"/>
    </row>
    <row r="170" ht="15.75" customHeight="1">
      <c r="A170" s="336"/>
      <c r="B170" s="336"/>
      <c r="C170" s="336"/>
      <c r="D170" s="336"/>
      <c r="E170" s="336"/>
      <c r="F170" s="336"/>
      <c r="G170" s="336"/>
    </row>
    <row r="171" ht="15.75" customHeight="1">
      <c r="A171" s="336"/>
      <c r="B171" s="336"/>
      <c r="C171" s="336"/>
      <c r="D171" s="336"/>
      <c r="E171" s="336"/>
      <c r="F171" s="336"/>
      <c r="G171" s="336"/>
    </row>
    <row r="172" ht="15.75" customHeight="1">
      <c r="A172" s="336"/>
      <c r="B172" s="336"/>
      <c r="C172" s="336"/>
      <c r="D172" s="336"/>
      <c r="E172" s="336"/>
      <c r="F172" s="336"/>
      <c r="G172" s="336"/>
    </row>
    <row r="173" ht="15.75" customHeight="1">
      <c r="A173" s="336"/>
      <c r="B173" s="336"/>
      <c r="C173" s="336"/>
      <c r="D173" s="336"/>
      <c r="E173" s="336"/>
      <c r="F173" s="336"/>
      <c r="G173" s="336"/>
    </row>
    <row r="174" ht="15.75" customHeight="1">
      <c r="A174" s="336"/>
      <c r="B174" s="336"/>
      <c r="C174" s="336"/>
      <c r="D174" s="336"/>
      <c r="E174" s="336"/>
      <c r="F174" s="336"/>
      <c r="G174" s="336"/>
    </row>
    <row r="175" ht="15.75" customHeight="1">
      <c r="A175" s="336"/>
      <c r="B175" s="336"/>
      <c r="C175" s="336"/>
      <c r="D175" s="336"/>
      <c r="E175" s="336"/>
      <c r="F175" s="336"/>
      <c r="G175" s="336"/>
    </row>
    <row r="176" ht="15.75" customHeight="1">
      <c r="A176" s="336"/>
      <c r="B176" s="336"/>
      <c r="C176" s="336"/>
      <c r="D176" s="336"/>
      <c r="E176" s="336"/>
      <c r="F176" s="336"/>
      <c r="G176" s="336"/>
    </row>
    <row r="177" ht="15.75" customHeight="1">
      <c r="A177" s="336"/>
      <c r="B177" s="336"/>
      <c r="C177" s="336"/>
      <c r="D177" s="336"/>
      <c r="E177" s="336"/>
      <c r="F177" s="336"/>
      <c r="G177" s="336"/>
    </row>
    <row r="178" ht="15.75" customHeight="1">
      <c r="A178" s="336"/>
      <c r="B178" s="336"/>
      <c r="C178" s="336"/>
      <c r="D178" s="336"/>
      <c r="E178" s="336"/>
      <c r="F178" s="336"/>
      <c r="G178" s="336"/>
    </row>
    <row r="179" ht="15.75" customHeight="1">
      <c r="A179" s="336"/>
      <c r="B179" s="336"/>
      <c r="C179" s="336"/>
      <c r="D179" s="336"/>
      <c r="E179" s="336"/>
      <c r="F179" s="336"/>
      <c r="G179" s="336"/>
    </row>
    <row r="180" ht="15.75" customHeight="1">
      <c r="A180" s="336"/>
      <c r="B180" s="336"/>
      <c r="C180" s="336"/>
      <c r="D180" s="336"/>
      <c r="E180" s="336"/>
      <c r="F180" s="336"/>
      <c r="G180" s="336"/>
    </row>
    <row r="181" ht="15.75" customHeight="1">
      <c r="A181" s="336"/>
      <c r="B181" s="336"/>
      <c r="C181" s="336"/>
      <c r="D181" s="336"/>
      <c r="E181" s="336"/>
      <c r="F181" s="336"/>
      <c r="G181" s="336"/>
    </row>
    <row r="182" ht="15.75" customHeight="1">
      <c r="A182" s="336"/>
      <c r="B182" s="336"/>
      <c r="C182" s="336"/>
      <c r="D182" s="336"/>
      <c r="E182" s="336"/>
      <c r="F182" s="336"/>
      <c r="G182" s="336"/>
    </row>
    <row r="183" ht="15.75" customHeight="1">
      <c r="A183" s="336"/>
      <c r="B183" s="336"/>
      <c r="C183" s="336"/>
      <c r="D183" s="336"/>
      <c r="E183" s="336"/>
      <c r="F183" s="336"/>
      <c r="G183" s="336"/>
    </row>
    <row r="184" ht="15.75" customHeight="1">
      <c r="A184" s="336"/>
      <c r="B184" s="336"/>
      <c r="C184" s="336"/>
      <c r="D184" s="336"/>
      <c r="E184" s="336"/>
      <c r="F184" s="336"/>
      <c r="G184" s="336"/>
    </row>
    <row r="185" ht="15.75" customHeight="1">
      <c r="A185" s="336"/>
      <c r="B185" s="336"/>
      <c r="C185" s="336"/>
      <c r="D185" s="336"/>
      <c r="E185" s="336"/>
      <c r="F185" s="336"/>
      <c r="G185" s="336"/>
    </row>
    <row r="186" ht="15.75" customHeight="1">
      <c r="A186" s="336"/>
      <c r="B186" s="336"/>
      <c r="C186" s="336"/>
      <c r="D186" s="336"/>
      <c r="E186" s="336"/>
      <c r="F186" s="336"/>
      <c r="G186" s="336"/>
    </row>
    <row r="187" ht="15.75" customHeight="1">
      <c r="A187" s="336"/>
      <c r="B187" s="336"/>
      <c r="C187" s="336"/>
      <c r="D187" s="336"/>
      <c r="E187" s="336"/>
      <c r="F187" s="336"/>
      <c r="G187" s="336"/>
    </row>
    <row r="188" ht="15.75" customHeight="1">
      <c r="A188" s="336"/>
      <c r="B188" s="336"/>
      <c r="C188" s="336"/>
      <c r="D188" s="336"/>
      <c r="E188" s="336"/>
      <c r="F188" s="336"/>
      <c r="G188" s="336"/>
    </row>
    <row r="189" ht="15.75" customHeight="1">
      <c r="A189" s="336"/>
      <c r="B189" s="336"/>
      <c r="C189" s="336"/>
      <c r="D189" s="336"/>
      <c r="E189" s="336"/>
      <c r="F189" s="336"/>
      <c r="G189" s="336"/>
    </row>
    <row r="190" ht="15.75" customHeight="1">
      <c r="A190" s="336"/>
      <c r="B190" s="336"/>
      <c r="C190" s="336"/>
      <c r="D190" s="336"/>
      <c r="E190" s="336"/>
      <c r="F190" s="336"/>
      <c r="G190" s="336"/>
    </row>
    <row r="191" ht="15.75" customHeight="1">
      <c r="A191" s="336"/>
      <c r="B191" s="336"/>
      <c r="C191" s="336"/>
      <c r="D191" s="336"/>
      <c r="E191" s="336"/>
      <c r="F191" s="336"/>
      <c r="G191" s="336"/>
    </row>
    <row r="192" ht="15.75" customHeight="1">
      <c r="A192" s="336"/>
      <c r="B192" s="336"/>
      <c r="C192" s="336"/>
      <c r="D192" s="336"/>
      <c r="E192" s="336"/>
      <c r="F192" s="336"/>
      <c r="G192" s="336"/>
    </row>
    <row r="193" ht="15.75" customHeight="1">
      <c r="A193" s="336"/>
      <c r="B193" s="336"/>
      <c r="C193" s="336"/>
      <c r="D193" s="336"/>
      <c r="E193" s="336"/>
      <c r="F193" s="336"/>
      <c r="G193" s="336"/>
    </row>
    <row r="194" ht="15.75" customHeight="1">
      <c r="A194" s="336"/>
      <c r="B194" s="336"/>
      <c r="C194" s="336"/>
      <c r="D194" s="336"/>
      <c r="E194" s="336"/>
      <c r="F194" s="336"/>
      <c r="G194" s="336"/>
    </row>
    <row r="195" ht="15.75" customHeight="1">
      <c r="A195" s="336"/>
      <c r="B195" s="336"/>
      <c r="C195" s="336"/>
      <c r="D195" s="336"/>
      <c r="E195" s="336"/>
      <c r="F195" s="336"/>
      <c r="G195" s="336"/>
    </row>
    <row r="196" ht="15.75" customHeight="1">
      <c r="A196" s="336"/>
      <c r="B196" s="336"/>
      <c r="C196" s="336"/>
      <c r="D196" s="336"/>
      <c r="E196" s="336"/>
      <c r="F196" s="336"/>
      <c r="G196" s="336"/>
    </row>
    <row r="197" ht="15.75" customHeight="1">
      <c r="A197" s="336"/>
      <c r="B197" s="336"/>
      <c r="C197" s="336"/>
      <c r="D197" s="336"/>
      <c r="E197" s="336"/>
      <c r="F197" s="336"/>
      <c r="G197" s="336"/>
    </row>
    <row r="198" ht="15.75" customHeight="1">
      <c r="A198" s="336"/>
      <c r="B198" s="336"/>
      <c r="C198" s="336"/>
      <c r="D198" s="336"/>
      <c r="E198" s="336"/>
      <c r="F198" s="336"/>
      <c r="G198" s="336"/>
    </row>
    <row r="199" ht="15.75" customHeight="1">
      <c r="A199" s="336"/>
      <c r="B199" s="336"/>
      <c r="C199" s="336"/>
      <c r="D199" s="336"/>
      <c r="E199" s="336"/>
      <c r="F199" s="336"/>
      <c r="G199" s="336"/>
    </row>
    <row r="200" ht="15.75" customHeight="1">
      <c r="A200" s="336"/>
      <c r="B200" s="336"/>
      <c r="C200" s="336"/>
      <c r="D200" s="336"/>
      <c r="E200" s="336"/>
      <c r="F200" s="336"/>
      <c r="G200" s="336"/>
    </row>
    <row r="201" ht="15.75" customHeight="1">
      <c r="A201" s="336"/>
      <c r="B201" s="336"/>
      <c r="C201" s="336"/>
      <c r="D201" s="336"/>
      <c r="E201" s="336"/>
      <c r="F201" s="336"/>
      <c r="G201" s="336"/>
    </row>
    <row r="202" ht="15.75" customHeight="1">
      <c r="A202" s="336"/>
      <c r="B202" s="336"/>
      <c r="C202" s="336"/>
      <c r="D202" s="336"/>
      <c r="E202" s="336"/>
      <c r="F202" s="336"/>
      <c r="G202" s="336"/>
    </row>
    <row r="203" ht="15.75" customHeight="1">
      <c r="A203" s="336"/>
      <c r="B203" s="336"/>
      <c r="C203" s="336"/>
      <c r="D203" s="336"/>
      <c r="E203" s="336"/>
      <c r="F203" s="336"/>
      <c r="G203" s="336"/>
    </row>
    <row r="204" ht="15.75" customHeight="1">
      <c r="A204" s="336"/>
      <c r="B204" s="336"/>
      <c r="C204" s="336"/>
      <c r="D204" s="336"/>
      <c r="E204" s="336"/>
      <c r="F204" s="336"/>
      <c r="G204" s="336"/>
    </row>
    <row r="205" ht="15.75" customHeight="1">
      <c r="A205" s="336"/>
      <c r="B205" s="336"/>
      <c r="C205" s="336"/>
      <c r="D205" s="336"/>
      <c r="E205" s="336"/>
      <c r="F205" s="336"/>
      <c r="G205" s="336"/>
    </row>
    <row r="206" ht="15.75" customHeight="1">
      <c r="A206" s="336"/>
      <c r="B206" s="336"/>
      <c r="C206" s="336"/>
      <c r="D206" s="336"/>
      <c r="E206" s="336"/>
      <c r="F206" s="336"/>
      <c r="G206" s="336"/>
    </row>
    <row r="207" ht="15.75" customHeight="1">
      <c r="A207" s="336"/>
      <c r="B207" s="336"/>
      <c r="C207" s="336"/>
      <c r="D207" s="336"/>
      <c r="E207" s="336"/>
      <c r="F207" s="336"/>
      <c r="G207" s="336"/>
    </row>
    <row r="208" ht="15.75" customHeight="1">
      <c r="A208" s="336"/>
      <c r="B208" s="336"/>
      <c r="C208" s="336"/>
      <c r="D208" s="336"/>
      <c r="E208" s="336"/>
      <c r="F208" s="336"/>
      <c r="G208" s="336"/>
    </row>
    <row r="209" ht="15.75" customHeight="1">
      <c r="A209" s="336"/>
      <c r="B209" s="336"/>
      <c r="C209" s="336"/>
      <c r="D209" s="336"/>
      <c r="E209" s="336"/>
      <c r="F209" s="336"/>
      <c r="G209" s="336"/>
    </row>
    <row r="210" ht="15.75" customHeight="1">
      <c r="A210" s="336"/>
      <c r="B210" s="336"/>
      <c r="C210" s="336"/>
      <c r="D210" s="336"/>
      <c r="E210" s="336"/>
      <c r="F210" s="336"/>
      <c r="G210" s="336"/>
    </row>
    <row r="211" ht="15.75" customHeight="1">
      <c r="A211" s="336"/>
      <c r="B211" s="336"/>
      <c r="C211" s="336"/>
      <c r="D211" s="336"/>
      <c r="E211" s="336"/>
      <c r="F211" s="336"/>
      <c r="G211" s="336"/>
    </row>
    <row r="212" ht="15.75" customHeight="1">
      <c r="A212" s="336"/>
      <c r="B212" s="336"/>
      <c r="C212" s="336"/>
      <c r="D212" s="336"/>
      <c r="E212" s="336"/>
      <c r="F212" s="336"/>
      <c r="G212" s="336"/>
    </row>
    <row r="213" ht="15.75" customHeight="1">
      <c r="A213" s="336"/>
      <c r="B213" s="336"/>
      <c r="C213" s="336"/>
      <c r="D213" s="336"/>
      <c r="E213" s="336"/>
      <c r="F213" s="336"/>
      <c r="G213" s="336"/>
    </row>
    <row r="214" ht="15.75" customHeight="1">
      <c r="A214" s="336"/>
      <c r="B214" s="336"/>
      <c r="C214" s="336"/>
      <c r="D214" s="336"/>
      <c r="E214" s="336"/>
      <c r="F214" s="336"/>
      <c r="G214" s="336"/>
    </row>
    <row r="215" ht="15.75" customHeight="1">
      <c r="A215" s="336"/>
      <c r="B215" s="336"/>
      <c r="C215" s="336"/>
      <c r="D215" s="336"/>
      <c r="E215" s="336"/>
      <c r="F215" s="336"/>
      <c r="G215" s="336"/>
    </row>
    <row r="216" ht="15.75" customHeight="1">
      <c r="A216" s="336"/>
      <c r="B216" s="336"/>
      <c r="C216" s="336"/>
      <c r="D216" s="336"/>
      <c r="E216" s="336"/>
      <c r="F216" s="336"/>
      <c r="G216" s="336"/>
    </row>
    <row r="217" ht="15.75" customHeight="1">
      <c r="A217" s="336"/>
      <c r="B217" s="336"/>
      <c r="C217" s="336"/>
      <c r="D217" s="336"/>
      <c r="E217" s="336"/>
      <c r="F217" s="336"/>
      <c r="G217" s="336"/>
    </row>
    <row r="218" ht="15.75" customHeight="1">
      <c r="A218" s="336"/>
      <c r="B218" s="336"/>
      <c r="C218" s="336"/>
      <c r="D218" s="336"/>
      <c r="E218" s="336"/>
      <c r="F218" s="336"/>
      <c r="G218" s="336"/>
    </row>
    <row r="219" ht="15.75" customHeight="1">
      <c r="A219" s="336"/>
      <c r="B219" s="336"/>
      <c r="C219" s="336"/>
      <c r="D219" s="336"/>
      <c r="E219" s="336"/>
      <c r="F219" s="336"/>
      <c r="G219" s="336"/>
    </row>
    <row r="220" ht="15.75" customHeight="1">
      <c r="A220" s="336"/>
      <c r="B220" s="336"/>
      <c r="C220" s="336"/>
      <c r="D220" s="336"/>
      <c r="E220" s="336"/>
      <c r="F220" s="336"/>
      <c r="G220" s="336"/>
    </row>
    <row r="221" ht="15.75" customHeight="1">
      <c r="A221" s="336"/>
      <c r="B221" s="336"/>
      <c r="C221" s="336"/>
      <c r="D221" s="336"/>
      <c r="E221" s="336"/>
      <c r="F221" s="336"/>
      <c r="G221" s="336"/>
    </row>
    <row r="222" ht="15.75" customHeight="1">
      <c r="A222" s="336"/>
      <c r="B222" s="336"/>
      <c r="C222" s="336"/>
      <c r="D222" s="336"/>
      <c r="E222" s="336"/>
      <c r="F222" s="336"/>
      <c r="G222" s="336"/>
    </row>
    <row r="223" ht="15.75" customHeight="1">
      <c r="A223" s="336"/>
      <c r="B223" s="336"/>
      <c r="C223" s="336"/>
      <c r="D223" s="336"/>
      <c r="E223" s="336"/>
      <c r="F223" s="336"/>
      <c r="G223" s="336"/>
    </row>
    <row r="224" ht="15.75" customHeight="1">
      <c r="A224" s="336"/>
      <c r="B224" s="336"/>
      <c r="C224" s="336"/>
      <c r="D224" s="336"/>
      <c r="E224" s="336"/>
      <c r="F224" s="336"/>
      <c r="G224" s="336"/>
    </row>
    <row r="225" ht="15.75" customHeight="1">
      <c r="A225" s="336"/>
      <c r="B225" s="336"/>
      <c r="C225" s="336"/>
      <c r="D225" s="336"/>
      <c r="E225" s="336"/>
      <c r="F225" s="336"/>
      <c r="G225" s="336"/>
    </row>
    <row r="226" ht="15.75" customHeight="1">
      <c r="A226" s="336"/>
      <c r="B226" s="336"/>
      <c r="C226" s="336"/>
      <c r="D226" s="336"/>
      <c r="E226" s="336"/>
      <c r="F226" s="336"/>
      <c r="G226" s="336"/>
    </row>
    <row r="227" ht="15.75" customHeight="1">
      <c r="A227" s="336"/>
      <c r="B227" s="336"/>
      <c r="C227" s="336"/>
      <c r="D227" s="336"/>
      <c r="E227" s="336"/>
      <c r="F227" s="336"/>
      <c r="G227" s="336"/>
    </row>
    <row r="228" ht="15.75" customHeight="1">
      <c r="A228" s="336"/>
      <c r="B228" s="336"/>
      <c r="C228" s="336"/>
      <c r="D228" s="336"/>
      <c r="E228" s="336"/>
      <c r="F228" s="336"/>
      <c r="G228" s="336"/>
    </row>
    <row r="229" ht="15.75" customHeight="1">
      <c r="A229" s="336"/>
      <c r="B229" s="336"/>
      <c r="C229" s="336"/>
      <c r="D229" s="336"/>
      <c r="E229" s="336"/>
      <c r="F229" s="336"/>
      <c r="G229" s="336"/>
    </row>
    <row r="230" ht="15.75" customHeight="1">
      <c r="A230" s="336"/>
      <c r="B230" s="336"/>
      <c r="C230" s="336"/>
      <c r="D230" s="336"/>
      <c r="E230" s="336"/>
      <c r="F230" s="336"/>
      <c r="G230" s="336"/>
    </row>
    <row r="231" ht="15.75" customHeight="1">
      <c r="A231" s="336"/>
      <c r="B231" s="336"/>
      <c r="C231" s="336"/>
      <c r="D231" s="336"/>
      <c r="E231" s="336"/>
      <c r="F231" s="336"/>
      <c r="G231" s="336"/>
    </row>
    <row r="232" ht="15.75" customHeight="1">
      <c r="A232" s="336"/>
      <c r="B232" s="336"/>
      <c r="C232" s="336"/>
      <c r="D232" s="336"/>
      <c r="E232" s="336"/>
      <c r="F232" s="336"/>
      <c r="G232" s="336"/>
    </row>
    <row r="233" ht="15.75" customHeight="1">
      <c r="A233" s="336"/>
      <c r="B233" s="336"/>
      <c r="C233" s="336"/>
      <c r="D233" s="336"/>
      <c r="E233" s="336"/>
      <c r="F233" s="336"/>
      <c r="G233" s="336"/>
    </row>
    <row r="234" ht="15.75" customHeight="1">
      <c r="A234" s="336"/>
      <c r="B234" s="336"/>
      <c r="C234" s="336"/>
      <c r="D234" s="336"/>
      <c r="E234" s="336"/>
      <c r="F234" s="336"/>
      <c r="G234" s="336"/>
    </row>
    <row r="235" ht="15.75" customHeight="1">
      <c r="A235" s="336"/>
      <c r="B235" s="336"/>
      <c r="C235" s="336"/>
      <c r="D235" s="336"/>
      <c r="E235" s="336"/>
      <c r="F235" s="336"/>
      <c r="G235" s="336"/>
    </row>
    <row r="236" ht="15.75" customHeight="1">
      <c r="A236" s="336"/>
      <c r="B236" s="336"/>
      <c r="C236" s="336"/>
      <c r="D236" s="336"/>
      <c r="E236" s="336"/>
      <c r="F236" s="336"/>
      <c r="G236" s="336"/>
    </row>
    <row r="237" ht="15.75" customHeight="1">
      <c r="A237" s="336"/>
      <c r="B237" s="336"/>
      <c r="C237" s="336"/>
      <c r="D237" s="336"/>
      <c r="E237" s="336"/>
      <c r="F237" s="336"/>
      <c r="G237" s="336"/>
    </row>
    <row r="238" ht="15.75" customHeight="1">
      <c r="A238" s="336"/>
      <c r="B238" s="336"/>
      <c r="C238" s="336"/>
      <c r="D238" s="336"/>
      <c r="E238" s="336"/>
      <c r="F238" s="336"/>
      <c r="G238" s="336"/>
    </row>
    <row r="239" ht="15.75" customHeight="1">
      <c r="A239" s="336"/>
      <c r="B239" s="336"/>
      <c r="C239" s="336"/>
      <c r="D239" s="336"/>
      <c r="E239" s="336"/>
      <c r="F239" s="336"/>
      <c r="G239" s="336"/>
    </row>
    <row r="240" ht="15.75" customHeight="1">
      <c r="A240" s="336"/>
      <c r="B240" s="336"/>
      <c r="C240" s="336"/>
      <c r="D240" s="336"/>
      <c r="E240" s="336"/>
      <c r="F240" s="336"/>
      <c r="G240" s="336"/>
    </row>
    <row r="241" ht="15.75" customHeight="1">
      <c r="A241" s="336"/>
      <c r="B241" s="336"/>
      <c r="C241" s="336"/>
      <c r="D241" s="336"/>
      <c r="E241" s="336"/>
      <c r="F241" s="336"/>
      <c r="G241" s="336"/>
    </row>
    <row r="242" ht="15.75" customHeight="1">
      <c r="A242" s="336"/>
      <c r="B242" s="336"/>
      <c r="C242" s="336"/>
      <c r="D242" s="336"/>
      <c r="E242" s="336"/>
      <c r="F242" s="336"/>
      <c r="G242" s="33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G1"/>
    <mergeCell ref="A2:G2"/>
    <mergeCell ref="A3:G3"/>
    <mergeCell ref="A4:G4"/>
    <mergeCell ref="B5:C5"/>
    <mergeCell ref="B6:C6"/>
    <mergeCell ref="F8:G8"/>
    <mergeCell ref="F9:G9"/>
    <mergeCell ref="F10:G10"/>
    <mergeCell ref="F11:G11"/>
    <mergeCell ref="F13:G13"/>
    <mergeCell ref="A14:G14"/>
    <mergeCell ref="D18:G18"/>
    <mergeCell ref="D19:G19"/>
    <mergeCell ref="F31:G31"/>
    <mergeCell ref="F32:G32"/>
    <mergeCell ref="F33:G33"/>
    <mergeCell ref="F35:G35"/>
    <mergeCell ref="A36:G36"/>
    <mergeCell ref="D40:G40"/>
    <mergeCell ref="D41:G41"/>
    <mergeCell ref="A23:G23"/>
    <mergeCell ref="A24:G24"/>
    <mergeCell ref="A25:G25"/>
    <mergeCell ref="A26:G26"/>
    <mergeCell ref="B27:C27"/>
    <mergeCell ref="B28:C28"/>
    <mergeCell ref="F30:G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7.75"/>
    <col customWidth="1" min="3" max="3" width="43.75"/>
    <col customWidth="1" min="4" max="6" width="12.63"/>
  </cols>
  <sheetData>
    <row r="1" ht="15.75" customHeight="1">
      <c r="A1" s="337" t="s">
        <v>259</v>
      </c>
    </row>
    <row r="2" ht="15.75" customHeight="1">
      <c r="A2" s="337" t="s">
        <v>260</v>
      </c>
    </row>
    <row r="3" ht="15.75" customHeight="1">
      <c r="A3" s="338" t="s">
        <v>261</v>
      </c>
    </row>
    <row r="4" ht="15.75" customHeight="1">
      <c r="A4" s="339" t="s">
        <v>262</v>
      </c>
      <c r="B4" s="299"/>
      <c r="C4" s="299"/>
      <c r="D4" s="299"/>
      <c r="E4" s="299"/>
      <c r="F4" s="299"/>
      <c r="G4" s="299"/>
    </row>
    <row r="5" ht="15.75" customHeight="1">
      <c r="A5" s="340" t="s">
        <v>263</v>
      </c>
      <c r="B5" s="341" t="s">
        <v>264</v>
      </c>
      <c r="D5" s="342" t="s">
        <v>265</v>
      </c>
      <c r="E5" s="341"/>
      <c r="F5" s="343" t="s">
        <v>266</v>
      </c>
      <c r="G5" s="344"/>
    </row>
    <row r="6" ht="15.75" customHeight="1">
      <c r="A6" s="340" t="s">
        <v>267</v>
      </c>
      <c r="B6" s="341" t="s">
        <v>268</v>
      </c>
      <c r="D6" s="342" t="s">
        <v>269</v>
      </c>
      <c r="E6" s="341"/>
      <c r="F6" s="343" t="s">
        <v>266</v>
      </c>
      <c r="G6" s="345"/>
    </row>
    <row r="7" ht="15.75" customHeight="1">
      <c r="A7" s="346"/>
      <c r="B7" s="347"/>
      <c r="C7" s="348"/>
      <c r="D7" s="347"/>
      <c r="E7" s="347"/>
      <c r="F7" s="347"/>
      <c r="G7" s="348"/>
    </row>
    <row r="8" ht="15.75" customHeight="1">
      <c r="A8" s="349" t="s">
        <v>6</v>
      </c>
      <c r="B8" s="350" t="s">
        <v>240</v>
      </c>
      <c r="C8" s="350" t="s">
        <v>270</v>
      </c>
      <c r="D8" s="350" t="s">
        <v>271</v>
      </c>
      <c r="E8" s="350" t="s">
        <v>272</v>
      </c>
      <c r="F8" s="351" t="s">
        <v>273</v>
      </c>
      <c r="G8" s="26"/>
    </row>
    <row r="9" ht="15.75" customHeight="1">
      <c r="A9" s="352"/>
      <c r="B9" s="353" t="s">
        <v>255</v>
      </c>
      <c r="C9" s="354" t="s">
        <v>286</v>
      </c>
      <c r="D9" s="353">
        <v>1.0</v>
      </c>
      <c r="E9" s="355">
        <v>30000.0</v>
      </c>
      <c r="F9" s="356"/>
      <c r="G9" s="355">
        <f>E9</f>
        <v>30000</v>
      </c>
    </row>
    <row r="10" ht="15.75" customHeight="1">
      <c r="A10" s="352"/>
      <c r="B10" s="357"/>
      <c r="C10" s="358" t="s">
        <v>183</v>
      </c>
      <c r="D10" s="357"/>
      <c r="E10" s="355"/>
      <c r="F10" s="356"/>
      <c r="G10" s="355"/>
    </row>
    <row r="11" ht="15.75" customHeight="1">
      <c r="A11" s="359"/>
      <c r="B11" s="360"/>
      <c r="C11" s="361" t="s">
        <v>184</v>
      </c>
      <c r="D11" s="360"/>
      <c r="E11" s="362"/>
      <c r="F11" s="356"/>
      <c r="G11" s="362"/>
    </row>
    <row r="12" ht="15.75" customHeight="1">
      <c r="A12" s="359"/>
      <c r="B12" s="360"/>
      <c r="C12" s="361" t="s">
        <v>185</v>
      </c>
      <c r="D12" s="360"/>
      <c r="E12" s="362"/>
      <c r="F12" s="356"/>
      <c r="G12" s="362"/>
    </row>
    <row r="13" ht="15.75" customHeight="1">
      <c r="A13" s="359"/>
      <c r="B13" s="360"/>
      <c r="C13" s="361" t="s">
        <v>186</v>
      </c>
      <c r="D13" s="360"/>
      <c r="E13" s="362"/>
      <c r="F13" s="356"/>
      <c r="G13" s="362"/>
    </row>
    <row r="14" ht="15.75" customHeight="1">
      <c r="A14" s="359"/>
      <c r="B14" s="360"/>
      <c r="C14" s="361"/>
      <c r="D14" s="360"/>
      <c r="E14" s="362"/>
      <c r="F14" s="356"/>
      <c r="G14" s="362"/>
    </row>
    <row r="15" ht="15.75" customHeight="1">
      <c r="A15" s="352"/>
      <c r="B15" s="357"/>
      <c r="C15" s="358"/>
      <c r="D15" s="357"/>
      <c r="E15" s="355"/>
      <c r="F15" s="356"/>
      <c r="G15" s="355"/>
    </row>
    <row r="16" ht="15.75" customHeight="1">
      <c r="A16" s="352"/>
      <c r="B16" s="357"/>
      <c r="C16" s="358"/>
      <c r="D16" s="357"/>
      <c r="E16" s="355"/>
      <c r="F16" s="356"/>
      <c r="G16" s="355"/>
    </row>
    <row r="17" ht="15.75" customHeight="1">
      <c r="A17" s="352"/>
      <c r="B17" s="357"/>
      <c r="C17" s="363" t="s">
        <v>274</v>
      </c>
      <c r="D17" s="345"/>
      <c r="E17" s="345"/>
      <c r="F17" s="341"/>
      <c r="G17" s="357"/>
    </row>
    <row r="18" ht="15.75" customHeight="1">
      <c r="A18" s="352"/>
      <c r="B18" s="357"/>
      <c r="C18" s="345"/>
      <c r="D18" s="345"/>
      <c r="E18" s="345"/>
      <c r="F18" s="341"/>
      <c r="G18" s="357"/>
    </row>
    <row r="19" ht="15.75" customHeight="1">
      <c r="A19" s="364"/>
      <c r="B19" s="348"/>
      <c r="C19" s="365" t="s">
        <v>275</v>
      </c>
      <c r="D19" s="348"/>
      <c r="E19" s="348"/>
      <c r="F19" s="347"/>
      <c r="G19" s="366">
        <f>sum(G9:G16)</f>
        <v>30000</v>
      </c>
    </row>
    <row r="20" ht="15.75" customHeight="1">
      <c r="A20" s="367" t="s">
        <v>276</v>
      </c>
      <c r="B20" s="299"/>
      <c r="C20" s="299"/>
      <c r="D20" s="299"/>
      <c r="E20" s="299"/>
      <c r="F20" s="299"/>
      <c r="G20" s="26"/>
    </row>
    <row r="21" ht="15.75" customHeight="1">
      <c r="A21" s="368"/>
      <c r="B21" s="345"/>
      <c r="C21" s="345" t="s">
        <v>277</v>
      </c>
      <c r="D21" s="369" t="s">
        <v>278</v>
      </c>
      <c r="E21" s="341"/>
      <c r="F21" s="341"/>
      <c r="G21" s="345"/>
    </row>
    <row r="22" ht="15.75" customHeight="1">
      <c r="A22" s="368"/>
      <c r="B22" s="345"/>
      <c r="C22" s="345" t="s">
        <v>279</v>
      </c>
      <c r="D22" s="341"/>
      <c r="E22" s="341"/>
      <c r="F22" s="341"/>
      <c r="G22" s="345"/>
    </row>
    <row r="23" ht="15.75" customHeight="1">
      <c r="A23" s="368" t="s">
        <v>280</v>
      </c>
      <c r="B23" s="345"/>
      <c r="C23" s="345"/>
      <c r="D23" s="341"/>
      <c r="E23" s="341"/>
      <c r="F23" s="341"/>
      <c r="G23" s="345"/>
    </row>
    <row r="24" ht="15.75" customHeight="1">
      <c r="A24" s="370" t="s">
        <v>281</v>
      </c>
      <c r="B24" s="345"/>
      <c r="C24" s="371" t="s">
        <v>144</v>
      </c>
      <c r="D24" s="372" t="s">
        <v>282</v>
      </c>
      <c r="G24" s="255"/>
    </row>
    <row r="25" ht="15.75" customHeight="1">
      <c r="A25" s="370" t="s">
        <v>283</v>
      </c>
      <c r="B25" s="345"/>
      <c r="C25" s="373" t="s">
        <v>284</v>
      </c>
      <c r="D25" s="374" t="s">
        <v>151</v>
      </c>
      <c r="G25" s="255"/>
    </row>
    <row r="26" ht="15.75" customHeight="1">
      <c r="A26" s="304" t="s">
        <v>285</v>
      </c>
      <c r="B26" s="306"/>
      <c r="C26" s="335">
        <v>45299.0</v>
      </c>
      <c r="D26" s="305"/>
      <c r="E26" s="305"/>
      <c r="F26" s="305"/>
      <c r="G26" s="306"/>
    </row>
    <row r="27" ht="15.75" customHeight="1">
      <c r="A27" s="336"/>
      <c r="B27" s="336"/>
      <c r="C27" s="336"/>
      <c r="D27" s="336"/>
      <c r="E27" s="336"/>
      <c r="F27" s="336"/>
      <c r="G27" s="336"/>
    </row>
    <row r="28" ht="15.75" customHeight="1">
      <c r="A28" s="336"/>
      <c r="B28" s="336"/>
      <c r="C28" s="336"/>
      <c r="D28" s="336"/>
      <c r="E28" s="336"/>
      <c r="F28" s="336"/>
      <c r="G28" s="336"/>
    </row>
    <row r="29" ht="15.75" customHeight="1">
      <c r="A29" s="295" t="s">
        <v>259</v>
      </c>
    </row>
    <row r="30" ht="15.75" customHeight="1">
      <c r="A30" s="295" t="s">
        <v>260</v>
      </c>
    </row>
    <row r="31" ht="15.75" customHeight="1">
      <c r="A31" s="296" t="s">
        <v>261</v>
      </c>
    </row>
    <row r="32" ht="15.75" customHeight="1">
      <c r="A32" s="298" t="s">
        <v>262</v>
      </c>
      <c r="B32" s="299"/>
      <c r="C32" s="299"/>
      <c r="D32" s="299"/>
      <c r="E32" s="299"/>
      <c r="F32" s="299"/>
      <c r="G32" s="299"/>
    </row>
    <row r="33" ht="15.75" customHeight="1">
      <c r="A33" s="300" t="s">
        <v>263</v>
      </c>
      <c r="B33" s="126" t="s">
        <v>264</v>
      </c>
      <c r="D33" s="375" t="s">
        <v>265</v>
      </c>
      <c r="E33" s="126"/>
      <c r="F33" s="301" t="s">
        <v>266</v>
      </c>
      <c r="G33" s="302"/>
    </row>
    <row r="34" ht="15.75" customHeight="1">
      <c r="A34" s="300" t="s">
        <v>267</v>
      </c>
      <c r="B34" s="126" t="s">
        <v>268</v>
      </c>
      <c r="D34" s="375" t="s">
        <v>269</v>
      </c>
      <c r="E34" s="126"/>
      <c r="F34" s="301" t="s">
        <v>266</v>
      </c>
      <c r="G34" s="303"/>
    </row>
    <row r="35" ht="15.75" customHeight="1">
      <c r="A35" s="304"/>
      <c r="B35" s="305"/>
      <c r="C35" s="306"/>
      <c r="D35" s="305"/>
      <c r="E35" s="305"/>
      <c r="F35" s="305"/>
      <c r="G35" s="306"/>
    </row>
    <row r="36" ht="15.75" customHeight="1">
      <c r="A36" s="307" t="s">
        <v>6</v>
      </c>
      <c r="B36" s="308" t="s">
        <v>240</v>
      </c>
      <c r="C36" s="308" t="s">
        <v>270</v>
      </c>
      <c r="D36" s="308" t="s">
        <v>271</v>
      </c>
      <c r="E36" s="308" t="s">
        <v>272</v>
      </c>
      <c r="F36" s="309" t="s">
        <v>273</v>
      </c>
      <c r="G36" s="26"/>
    </row>
    <row r="37" ht="15.75" customHeight="1">
      <c r="A37" s="310"/>
      <c r="B37" s="376" t="s">
        <v>255</v>
      </c>
      <c r="C37" s="377" t="s">
        <v>286</v>
      </c>
      <c r="D37" s="376">
        <v>1.0</v>
      </c>
      <c r="E37" s="378">
        <v>30000.0</v>
      </c>
      <c r="F37" s="379"/>
      <c r="G37" s="378">
        <f>E37</f>
        <v>30000</v>
      </c>
    </row>
    <row r="38" ht="15.75" customHeight="1">
      <c r="A38" s="310"/>
      <c r="B38" s="322"/>
      <c r="C38" s="380" t="s">
        <v>183</v>
      </c>
      <c r="D38" s="322"/>
      <c r="E38" s="378"/>
      <c r="F38" s="379"/>
      <c r="G38" s="378"/>
    </row>
    <row r="39" ht="15.75" customHeight="1">
      <c r="A39" s="381"/>
      <c r="B39" s="382"/>
      <c r="C39" s="383" t="s">
        <v>184</v>
      </c>
      <c r="D39" s="382"/>
      <c r="E39" s="384"/>
      <c r="F39" s="379"/>
      <c r="G39" s="384"/>
    </row>
    <row r="40" ht="15.75" customHeight="1">
      <c r="A40" s="381"/>
      <c r="B40" s="382"/>
      <c r="C40" s="383" t="s">
        <v>185</v>
      </c>
      <c r="D40" s="382"/>
      <c r="E40" s="384"/>
      <c r="F40" s="379"/>
      <c r="G40" s="384"/>
    </row>
    <row r="41" ht="15.75" customHeight="1">
      <c r="A41" s="381"/>
      <c r="B41" s="382"/>
      <c r="C41" s="383" t="s">
        <v>186</v>
      </c>
      <c r="D41" s="382"/>
      <c r="E41" s="384"/>
      <c r="F41" s="379"/>
      <c r="G41" s="384"/>
    </row>
    <row r="42" ht="15.75" customHeight="1">
      <c r="A42" s="381"/>
      <c r="B42" s="382"/>
      <c r="C42" s="383"/>
      <c r="D42" s="382"/>
      <c r="E42" s="384"/>
      <c r="F42" s="379"/>
      <c r="G42" s="384"/>
    </row>
    <row r="43" ht="15.75" customHeight="1">
      <c r="A43" s="310"/>
      <c r="B43" s="322"/>
      <c r="C43" s="380"/>
      <c r="D43" s="322"/>
      <c r="E43" s="378"/>
      <c r="F43" s="379"/>
      <c r="G43" s="378"/>
    </row>
    <row r="44" ht="15.75" customHeight="1">
      <c r="A44" s="310"/>
      <c r="B44" s="322"/>
      <c r="C44" s="380"/>
      <c r="D44" s="322"/>
      <c r="E44" s="378"/>
      <c r="F44" s="379"/>
      <c r="G44" s="378"/>
    </row>
    <row r="45" ht="15.75" customHeight="1">
      <c r="A45" s="310"/>
      <c r="B45" s="322"/>
      <c r="C45" s="323" t="s">
        <v>274</v>
      </c>
      <c r="D45" s="303"/>
      <c r="E45" s="303"/>
      <c r="F45" s="126"/>
      <c r="G45" s="322"/>
    </row>
    <row r="46" ht="15.75" customHeight="1">
      <c r="A46" s="310"/>
      <c r="B46" s="322"/>
      <c r="C46" s="385"/>
      <c r="D46" s="303"/>
      <c r="E46" s="303"/>
      <c r="F46" s="126"/>
      <c r="G46" s="322"/>
    </row>
    <row r="47" ht="15.75" customHeight="1">
      <c r="A47" s="324"/>
      <c r="B47" s="306"/>
      <c r="C47" s="325" t="s">
        <v>275</v>
      </c>
      <c r="D47" s="306"/>
      <c r="E47" s="306"/>
      <c r="F47" s="305"/>
      <c r="G47" s="386">
        <f>sum(G37:G44)</f>
        <v>30000</v>
      </c>
    </row>
    <row r="48" ht="15.75" customHeight="1">
      <c r="A48" s="327" t="s">
        <v>276</v>
      </c>
      <c r="B48" s="299"/>
      <c r="C48" s="299"/>
      <c r="D48" s="299"/>
      <c r="E48" s="299"/>
      <c r="F48" s="299"/>
      <c r="G48" s="26"/>
    </row>
    <row r="49" ht="15.75" customHeight="1">
      <c r="A49" s="328"/>
      <c r="B49" s="303"/>
      <c r="C49" s="303" t="s">
        <v>277</v>
      </c>
      <c r="D49" s="329" t="s">
        <v>278</v>
      </c>
      <c r="E49" s="126"/>
      <c r="F49" s="126"/>
      <c r="G49" s="303"/>
    </row>
    <row r="50" ht="15.75" customHeight="1">
      <c r="A50" s="328"/>
      <c r="B50" s="303"/>
      <c r="C50" s="303" t="s">
        <v>279</v>
      </c>
      <c r="D50" s="126"/>
      <c r="E50" s="126"/>
      <c r="F50" s="126"/>
      <c r="G50" s="303"/>
    </row>
    <row r="51" ht="15.75" customHeight="1">
      <c r="A51" s="328" t="s">
        <v>280</v>
      </c>
      <c r="B51" s="303"/>
      <c r="C51" s="303"/>
      <c r="D51" s="126"/>
      <c r="E51" s="126"/>
      <c r="F51" s="126"/>
      <c r="G51" s="303"/>
    </row>
    <row r="52" ht="15.75" customHeight="1">
      <c r="A52" s="330" t="s">
        <v>281</v>
      </c>
      <c r="B52" s="303"/>
      <c r="C52" s="331" t="s">
        <v>144</v>
      </c>
      <c r="D52" s="332" t="s">
        <v>282</v>
      </c>
      <c r="G52" s="255"/>
    </row>
    <row r="53" ht="15.75" customHeight="1">
      <c r="A53" s="330" t="s">
        <v>283</v>
      </c>
      <c r="B53" s="303"/>
      <c r="C53" s="333" t="s">
        <v>284</v>
      </c>
      <c r="D53" s="334" t="s">
        <v>151</v>
      </c>
      <c r="G53" s="255"/>
    </row>
    <row r="54" ht="15.75" customHeight="1">
      <c r="A54" s="304" t="s">
        <v>285</v>
      </c>
      <c r="B54" s="306"/>
      <c r="C54" s="335">
        <v>45299.0</v>
      </c>
      <c r="D54" s="305"/>
      <c r="E54" s="305"/>
      <c r="F54" s="305"/>
      <c r="G54" s="306"/>
    </row>
    <row r="55" ht="15.75" customHeight="1">
      <c r="A55" s="336"/>
      <c r="B55" s="336"/>
      <c r="C55" s="387"/>
      <c r="D55" s="336"/>
      <c r="E55" s="336"/>
      <c r="F55" s="336"/>
      <c r="G55" s="336"/>
    </row>
    <row r="56" ht="15.75" customHeight="1">
      <c r="A56" s="336"/>
      <c r="B56" s="336"/>
      <c r="C56" s="336"/>
      <c r="D56" s="336"/>
      <c r="E56" s="336"/>
      <c r="F56" s="336"/>
      <c r="G56" s="336"/>
    </row>
    <row r="57" ht="15.75" customHeight="1">
      <c r="A57" s="336"/>
      <c r="B57" s="336"/>
      <c r="C57" s="336"/>
      <c r="D57" s="336"/>
      <c r="E57" s="336"/>
      <c r="F57" s="336"/>
      <c r="G57" s="336"/>
    </row>
    <row r="58" ht="15.75" customHeight="1">
      <c r="A58" s="336"/>
      <c r="B58" s="336"/>
      <c r="C58" s="336"/>
      <c r="D58" s="336"/>
      <c r="E58" s="336"/>
      <c r="F58" s="336"/>
      <c r="G58" s="336"/>
    </row>
    <row r="59" ht="15.75" customHeight="1">
      <c r="A59" s="336"/>
      <c r="B59" s="336"/>
      <c r="C59" s="336"/>
      <c r="D59" s="336"/>
      <c r="E59" s="336"/>
      <c r="F59" s="336"/>
      <c r="G59" s="336"/>
    </row>
    <row r="60" ht="15.75" customHeight="1">
      <c r="A60" s="336"/>
      <c r="B60" s="336"/>
      <c r="C60" s="336"/>
      <c r="D60" s="336"/>
      <c r="E60" s="336"/>
      <c r="F60" s="336"/>
      <c r="G60" s="336"/>
    </row>
    <row r="61" ht="15.75" customHeight="1">
      <c r="A61" s="336"/>
      <c r="B61" s="336"/>
      <c r="C61" s="336"/>
      <c r="D61" s="336"/>
      <c r="E61" s="336"/>
      <c r="F61" s="336"/>
      <c r="G61" s="336"/>
    </row>
    <row r="62" ht="15.75" customHeight="1">
      <c r="A62" s="336"/>
      <c r="B62" s="336"/>
      <c r="C62" s="336"/>
      <c r="D62" s="336"/>
      <c r="E62" s="336"/>
      <c r="F62" s="336"/>
      <c r="G62" s="336"/>
    </row>
    <row r="63" ht="15.75" customHeight="1">
      <c r="A63" s="336"/>
      <c r="B63" s="336"/>
      <c r="C63" s="336"/>
      <c r="D63" s="336"/>
      <c r="E63" s="336"/>
      <c r="F63" s="336"/>
      <c r="G63" s="336"/>
    </row>
    <row r="64" ht="15.75" customHeight="1">
      <c r="A64" s="336"/>
      <c r="B64" s="336"/>
      <c r="C64" s="336"/>
      <c r="D64" s="336"/>
      <c r="E64" s="336"/>
      <c r="F64" s="336"/>
      <c r="G64" s="336"/>
    </row>
    <row r="65" ht="15.75" customHeight="1">
      <c r="A65" s="336"/>
      <c r="B65" s="336"/>
      <c r="C65" s="336"/>
      <c r="D65" s="336"/>
      <c r="E65" s="336"/>
      <c r="F65" s="336"/>
      <c r="G65" s="336"/>
    </row>
    <row r="66" ht="15.75" customHeight="1">
      <c r="A66" s="336"/>
      <c r="B66" s="336"/>
      <c r="C66" s="336"/>
      <c r="D66" s="336"/>
      <c r="E66" s="336"/>
      <c r="F66" s="336"/>
      <c r="G66" s="336"/>
    </row>
    <row r="67" ht="15.75" customHeight="1">
      <c r="A67" s="336"/>
      <c r="B67" s="336"/>
      <c r="C67" s="336"/>
      <c r="D67" s="336"/>
      <c r="E67" s="336"/>
      <c r="F67" s="336"/>
      <c r="G67" s="336"/>
    </row>
    <row r="68" ht="15.75" customHeight="1">
      <c r="A68" s="336"/>
      <c r="B68" s="336"/>
      <c r="C68" s="336"/>
      <c r="D68" s="336"/>
      <c r="E68" s="336"/>
      <c r="F68" s="336"/>
      <c r="G68" s="336"/>
    </row>
    <row r="69" ht="15.75" customHeight="1">
      <c r="A69" s="336"/>
      <c r="B69" s="336"/>
      <c r="C69" s="336"/>
      <c r="D69" s="336"/>
      <c r="E69" s="336"/>
      <c r="F69" s="336"/>
      <c r="G69" s="336"/>
    </row>
    <row r="70" ht="15.75" customHeight="1">
      <c r="A70" s="336"/>
      <c r="B70" s="336"/>
      <c r="C70" s="336"/>
      <c r="D70" s="336"/>
      <c r="E70" s="336"/>
      <c r="F70" s="336"/>
      <c r="G70" s="336"/>
    </row>
    <row r="71" ht="15.75" customHeight="1">
      <c r="A71" s="336"/>
      <c r="B71" s="336"/>
      <c r="C71" s="336"/>
      <c r="D71" s="336"/>
      <c r="E71" s="336"/>
      <c r="F71" s="336"/>
      <c r="G71" s="336"/>
    </row>
    <row r="72" ht="15.75" customHeight="1">
      <c r="A72" s="336"/>
      <c r="B72" s="336"/>
      <c r="C72" s="336"/>
      <c r="D72" s="336"/>
      <c r="E72" s="336"/>
      <c r="F72" s="336"/>
      <c r="G72" s="336"/>
    </row>
    <row r="73" ht="15.75" customHeight="1">
      <c r="A73" s="336"/>
      <c r="B73" s="336"/>
      <c r="C73" s="336"/>
      <c r="D73" s="336"/>
      <c r="E73" s="336"/>
      <c r="F73" s="336"/>
      <c r="G73" s="336"/>
    </row>
    <row r="74" ht="15.75" customHeight="1">
      <c r="A74" s="336"/>
      <c r="B74" s="336"/>
      <c r="C74" s="336"/>
      <c r="D74" s="336"/>
      <c r="E74" s="336"/>
      <c r="F74" s="336"/>
      <c r="G74" s="336"/>
    </row>
    <row r="75" ht="15.75" customHeight="1">
      <c r="A75" s="336"/>
      <c r="B75" s="336"/>
      <c r="C75" s="336"/>
      <c r="D75" s="336"/>
      <c r="E75" s="336"/>
      <c r="F75" s="336"/>
      <c r="G75" s="336"/>
    </row>
    <row r="76" ht="15.75" customHeight="1">
      <c r="A76" s="336"/>
      <c r="B76" s="336"/>
      <c r="C76" s="336"/>
      <c r="D76" s="336"/>
      <c r="E76" s="336"/>
      <c r="F76" s="336"/>
      <c r="G76" s="336"/>
    </row>
    <row r="77" ht="15.75" customHeight="1">
      <c r="A77" s="336"/>
      <c r="B77" s="336"/>
      <c r="C77" s="336"/>
      <c r="D77" s="336"/>
      <c r="E77" s="336"/>
      <c r="F77" s="336"/>
      <c r="G77" s="336"/>
    </row>
    <row r="78" ht="15.75" customHeight="1">
      <c r="A78" s="336"/>
      <c r="B78" s="336"/>
      <c r="C78" s="336"/>
      <c r="D78" s="336"/>
      <c r="E78" s="336"/>
      <c r="F78" s="336"/>
      <c r="G78" s="336"/>
    </row>
    <row r="79" ht="15.75" customHeight="1">
      <c r="A79" s="336"/>
      <c r="B79" s="336"/>
      <c r="C79" s="336"/>
      <c r="D79" s="336"/>
      <c r="E79" s="336"/>
      <c r="F79" s="336"/>
      <c r="G79" s="336"/>
    </row>
    <row r="80" ht="15.75" customHeight="1">
      <c r="A80" s="336"/>
      <c r="B80" s="336"/>
      <c r="C80" s="336"/>
      <c r="D80" s="336"/>
      <c r="E80" s="336"/>
      <c r="F80" s="336"/>
      <c r="G80" s="336"/>
    </row>
    <row r="81" ht="15.75" customHeight="1">
      <c r="A81" s="336"/>
      <c r="B81" s="336"/>
      <c r="C81" s="336"/>
      <c r="D81" s="336"/>
      <c r="E81" s="336"/>
      <c r="F81" s="336"/>
      <c r="G81" s="336"/>
    </row>
    <row r="82" ht="15.75" customHeight="1">
      <c r="A82" s="336"/>
      <c r="B82" s="336"/>
      <c r="C82" s="336"/>
      <c r="D82" s="336"/>
      <c r="E82" s="336"/>
      <c r="F82" s="336"/>
      <c r="G82" s="336"/>
    </row>
    <row r="83" ht="15.75" customHeight="1">
      <c r="A83" s="336"/>
      <c r="B83" s="336"/>
      <c r="C83" s="336"/>
      <c r="D83" s="336"/>
      <c r="E83" s="336"/>
      <c r="F83" s="336"/>
      <c r="G83" s="336"/>
    </row>
    <row r="84" ht="15.75" customHeight="1">
      <c r="A84" s="336"/>
      <c r="B84" s="336"/>
      <c r="C84" s="336"/>
      <c r="D84" s="336"/>
      <c r="E84" s="336"/>
      <c r="F84" s="336"/>
      <c r="G84" s="336"/>
    </row>
    <row r="85" ht="15.75" customHeight="1">
      <c r="A85" s="336"/>
      <c r="B85" s="336"/>
      <c r="C85" s="336"/>
      <c r="D85" s="336"/>
      <c r="E85" s="336"/>
      <c r="F85" s="336"/>
      <c r="G85" s="336"/>
    </row>
    <row r="86" ht="15.75" customHeight="1">
      <c r="A86" s="336"/>
      <c r="B86" s="336"/>
      <c r="C86" s="336"/>
      <c r="D86" s="336"/>
      <c r="E86" s="336"/>
      <c r="F86" s="336"/>
      <c r="G86" s="336"/>
    </row>
    <row r="87" ht="15.75" customHeight="1">
      <c r="A87" s="336"/>
      <c r="B87" s="336"/>
      <c r="C87" s="336"/>
      <c r="D87" s="336"/>
      <c r="E87" s="336"/>
      <c r="F87" s="336"/>
      <c r="G87" s="336"/>
    </row>
    <row r="88" ht="15.75" customHeight="1">
      <c r="A88" s="336"/>
      <c r="B88" s="336"/>
      <c r="C88" s="336"/>
      <c r="D88" s="336"/>
      <c r="E88" s="336"/>
      <c r="F88" s="336"/>
      <c r="G88" s="336"/>
    </row>
    <row r="89" ht="15.75" customHeight="1">
      <c r="A89" s="336"/>
      <c r="B89" s="336"/>
      <c r="C89" s="336"/>
      <c r="D89" s="336"/>
      <c r="E89" s="336"/>
      <c r="F89" s="336"/>
      <c r="G89" s="336"/>
    </row>
    <row r="90" ht="15.75" customHeight="1">
      <c r="A90" s="336"/>
      <c r="B90" s="336"/>
      <c r="C90" s="336"/>
      <c r="D90" s="336"/>
      <c r="E90" s="336"/>
      <c r="F90" s="336"/>
      <c r="G90" s="336"/>
    </row>
    <row r="91" ht="15.75" customHeight="1">
      <c r="A91" s="336"/>
      <c r="B91" s="336"/>
      <c r="C91" s="336"/>
      <c r="D91" s="336"/>
      <c r="E91" s="336"/>
      <c r="F91" s="336"/>
      <c r="G91" s="336"/>
    </row>
    <row r="92" ht="15.75" customHeight="1">
      <c r="A92" s="336"/>
      <c r="B92" s="336"/>
      <c r="C92" s="336"/>
      <c r="D92" s="336"/>
      <c r="E92" s="336"/>
      <c r="F92" s="336"/>
      <c r="G92" s="336"/>
    </row>
    <row r="93" ht="15.75" customHeight="1">
      <c r="A93" s="336"/>
      <c r="B93" s="336"/>
      <c r="C93" s="336"/>
      <c r="D93" s="336"/>
      <c r="E93" s="336"/>
      <c r="F93" s="336"/>
      <c r="G93" s="336"/>
    </row>
    <row r="94" ht="15.75" customHeight="1">
      <c r="A94" s="336"/>
      <c r="B94" s="336"/>
      <c r="C94" s="336"/>
      <c r="D94" s="336"/>
      <c r="E94" s="336"/>
      <c r="F94" s="336"/>
      <c r="G94" s="336"/>
    </row>
    <row r="95" ht="15.75" customHeight="1">
      <c r="A95" s="336"/>
      <c r="B95" s="336"/>
      <c r="C95" s="336"/>
      <c r="D95" s="336"/>
      <c r="E95" s="336"/>
      <c r="F95" s="336"/>
      <c r="G95" s="336"/>
    </row>
    <row r="96" ht="15.75" customHeight="1">
      <c r="A96" s="336"/>
      <c r="B96" s="336"/>
      <c r="C96" s="336"/>
      <c r="D96" s="336"/>
      <c r="E96" s="336"/>
      <c r="F96" s="336"/>
      <c r="G96" s="336"/>
    </row>
    <row r="97" ht="15.75" customHeight="1">
      <c r="A97" s="336"/>
      <c r="B97" s="336"/>
      <c r="C97" s="336"/>
      <c r="D97" s="336"/>
      <c r="E97" s="336"/>
      <c r="F97" s="336"/>
      <c r="G97" s="336"/>
    </row>
    <row r="98" ht="15.75" customHeight="1">
      <c r="A98" s="336"/>
      <c r="B98" s="336"/>
      <c r="C98" s="336"/>
      <c r="D98" s="336"/>
      <c r="E98" s="336"/>
      <c r="F98" s="336"/>
      <c r="G98" s="336"/>
    </row>
    <row r="99" ht="15.75" customHeight="1">
      <c r="A99" s="336"/>
      <c r="B99" s="336"/>
      <c r="C99" s="336"/>
      <c r="D99" s="336"/>
      <c r="E99" s="336"/>
      <c r="F99" s="336"/>
      <c r="G99" s="336"/>
    </row>
    <row r="100" ht="15.75" customHeight="1">
      <c r="A100" s="336"/>
      <c r="B100" s="336"/>
      <c r="C100" s="336"/>
      <c r="D100" s="336"/>
      <c r="E100" s="336"/>
      <c r="F100" s="336"/>
      <c r="G100" s="336"/>
    </row>
    <row r="101" ht="15.75" customHeight="1">
      <c r="A101" s="336"/>
      <c r="B101" s="336"/>
      <c r="C101" s="336"/>
      <c r="D101" s="336"/>
      <c r="E101" s="336"/>
      <c r="F101" s="336"/>
      <c r="G101" s="336"/>
    </row>
    <row r="102" ht="15.75" customHeight="1">
      <c r="A102" s="336"/>
      <c r="B102" s="336"/>
      <c r="C102" s="336"/>
      <c r="D102" s="336"/>
      <c r="E102" s="336"/>
      <c r="F102" s="336"/>
      <c r="G102" s="336"/>
    </row>
    <row r="103" ht="15.75" customHeight="1">
      <c r="A103" s="336"/>
      <c r="B103" s="336"/>
      <c r="C103" s="336"/>
      <c r="D103" s="336"/>
      <c r="E103" s="336"/>
      <c r="F103" s="336"/>
      <c r="G103" s="336"/>
    </row>
    <row r="104" ht="15.75" customHeight="1">
      <c r="A104" s="336"/>
      <c r="B104" s="336"/>
      <c r="C104" s="336"/>
      <c r="D104" s="336"/>
      <c r="E104" s="336"/>
      <c r="F104" s="336"/>
      <c r="G104" s="336"/>
    </row>
    <row r="105" ht="15.75" customHeight="1">
      <c r="A105" s="336"/>
      <c r="B105" s="336"/>
      <c r="C105" s="336"/>
      <c r="D105" s="336"/>
      <c r="E105" s="336"/>
      <c r="F105" s="336"/>
      <c r="G105" s="336"/>
    </row>
    <row r="106" ht="15.75" customHeight="1">
      <c r="A106" s="336"/>
      <c r="B106" s="336"/>
      <c r="C106" s="336"/>
      <c r="D106" s="336"/>
      <c r="E106" s="336"/>
      <c r="F106" s="336"/>
      <c r="G106" s="336"/>
    </row>
    <row r="107" ht="15.75" customHeight="1">
      <c r="A107" s="336"/>
      <c r="B107" s="336"/>
      <c r="C107" s="336"/>
      <c r="D107" s="336"/>
      <c r="E107" s="336"/>
      <c r="F107" s="336"/>
      <c r="G107" s="336"/>
    </row>
    <row r="108" ht="15.75" customHeight="1">
      <c r="A108" s="336"/>
      <c r="B108" s="336"/>
      <c r="C108" s="336"/>
      <c r="D108" s="336"/>
      <c r="E108" s="336"/>
      <c r="F108" s="336"/>
      <c r="G108" s="336"/>
    </row>
    <row r="109" ht="15.75" customHeight="1">
      <c r="A109" s="336"/>
      <c r="B109" s="336"/>
      <c r="C109" s="336"/>
      <c r="D109" s="336"/>
      <c r="E109" s="336"/>
      <c r="F109" s="336"/>
      <c r="G109" s="336"/>
    </row>
    <row r="110" ht="15.75" customHeight="1">
      <c r="A110" s="336"/>
      <c r="B110" s="336"/>
      <c r="C110" s="336"/>
      <c r="D110" s="336"/>
      <c r="E110" s="336"/>
      <c r="F110" s="336"/>
      <c r="G110" s="336"/>
    </row>
    <row r="111" ht="15.75" customHeight="1">
      <c r="A111" s="336"/>
      <c r="B111" s="336"/>
      <c r="C111" s="336"/>
      <c r="D111" s="336"/>
      <c r="E111" s="336"/>
      <c r="F111" s="336"/>
      <c r="G111" s="336"/>
    </row>
    <row r="112" ht="15.75" customHeight="1">
      <c r="A112" s="336"/>
      <c r="B112" s="336"/>
      <c r="C112" s="336"/>
      <c r="D112" s="336"/>
      <c r="E112" s="336"/>
      <c r="F112" s="336"/>
      <c r="G112" s="336"/>
    </row>
    <row r="113" ht="15.75" customHeight="1">
      <c r="A113" s="336"/>
      <c r="B113" s="336"/>
      <c r="C113" s="336"/>
      <c r="D113" s="336"/>
      <c r="E113" s="336"/>
      <c r="F113" s="336"/>
      <c r="G113" s="336"/>
    </row>
    <row r="114" ht="15.75" customHeight="1">
      <c r="A114" s="336"/>
      <c r="B114" s="336"/>
      <c r="C114" s="336"/>
      <c r="D114" s="336"/>
      <c r="E114" s="336"/>
      <c r="F114" s="336"/>
      <c r="G114" s="336"/>
    </row>
    <row r="115" ht="15.75" customHeight="1">
      <c r="A115" s="336"/>
      <c r="B115" s="336"/>
      <c r="C115" s="336"/>
      <c r="D115" s="336"/>
      <c r="E115" s="336"/>
      <c r="F115" s="336"/>
      <c r="G115" s="336"/>
    </row>
    <row r="116" ht="15.75" customHeight="1">
      <c r="A116" s="336"/>
      <c r="B116" s="336"/>
      <c r="C116" s="336"/>
      <c r="D116" s="336"/>
      <c r="E116" s="336"/>
      <c r="F116" s="336"/>
      <c r="G116" s="336"/>
    </row>
    <row r="117" ht="15.75" customHeight="1">
      <c r="A117" s="336"/>
      <c r="B117" s="336"/>
      <c r="C117" s="336"/>
      <c r="D117" s="336"/>
      <c r="E117" s="336"/>
      <c r="F117" s="336"/>
      <c r="G117" s="336"/>
    </row>
    <row r="118" ht="15.75" customHeight="1">
      <c r="A118" s="336"/>
      <c r="B118" s="336"/>
      <c r="C118" s="336"/>
      <c r="D118" s="336"/>
      <c r="E118" s="336"/>
      <c r="F118" s="336"/>
      <c r="G118" s="336"/>
    </row>
    <row r="119" ht="15.75" customHeight="1">
      <c r="A119" s="336"/>
      <c r="B119" s="336"/>
      <c r="C119" s="336"/>
      <c r="D119" s="336"/>
      <c r="E119" s="336"/>
      <c r="F119" s="336"/>
      <c r="G119" s="336"/>
    </row>
    <row r="120" ht="15.75" customHeight="1">
      <c r="A120" s="336"/>
      <c r="B120" s="336"/>
      <c r="C120" s="336"/>
      <c r="D120" s="336"/>
      <c r="E120" s="336"/>
      <c r="F120" s="336"/>
      <c r="G120" s="336"/>
    </row>
    <row r="121" ht="15.75" customHeight="1">
      <c r="A121" s="336"/>
      <c r="B121" s="336"/>
      <c r="C121" s="336"/>
      <c r="D121" s="336"/>
      <c r="E121" s="336"/>
      <c r="F121" s="336"/>
      <c r="G121" s="336"/>
    </row>
    <row r="122" ht="15.75" customHeight="1">
      <c r="A122" s="336"/>
      <c r="B122" s="336"/>
      <c r="C122" s="336"/>
      <c r="D122" s="336"/>
      <c r="E122" s="336"/>
      <c r="F122" s="336"/>
      <c r="G122" s="336"/>
    </row>
    <row r="123" ht="15.75" customHeight="1">
      <c r="A123" s="336"/>
      <c r="B123" s="336"/>
      <c r="C123" s="336"/>
      <c r="D123" s="336"/>
      <c r="E123" s="336"/>
      <c r="F123" s="336"/>
      <c r="G123" s="336"/>
    </row>
    <row r="124" ht="15.75" customHeight="1">
      <c r="A124" s="336"/>
      <c r="B124" s="336"/>
      <c r="C124" s="336"/>
      <c r="D124" s="336"/>
      <c r="E124" s="336"/>
      <c r="F124" s="336"/>
      <c r="G124" s="336"/>
    </row>
    <row r="125" ht="15.75" customHeight="1">
      <c r="A125" s="336"/>
      <c r="B125" s="336"/>
      <c r="C125" s="336"/>
      <c r="D125" s="336"/>
      <c r="E125" s="336"/>
      <c r="F125" s="336"/>
      <c r="G125" s="336"/>
    </row>
    <row r="126" ht="15.75" customHeight="1">
      <c r="A126" s="336"/>
      <c r="B126" s="336"/>
      <c r="C126" s="336"/>
      <c r="D126" s="336"/>
      <c r="E126" s="336"/>
      <c r="F126" s="336"/>
      <c r="G126" s="336"/>
    </row>
    <row r="127" ht="15.75" customHeight="1">
      <c r="A127" s="336"/>
      <c r="B127" s="336"/>
      <c r="C127" s="336"/>
      <c r="D127" s="336"/>
      <c r="E127" s="336"/>
      <c r="F127" s="336"/>
      <c r="G127" s="336"/>
    </row>
    <row r="128" ht="15.75" customHeight="1">
      <c r="A128" s="336"/>
      <c r="B128" s="336"/>
      <c r="C128" s="336"/>
      <c r="D128" s="336"/>
      <c r="E128" s="336"/>
      <c r="F128" s="336"/>
      <c r="G128" s="336"/>
    </row>
    <row r="129" ht="15.75" customHeight="1">
      <c r="A129" s="336"/>
      <c r="B129" s="336"/>
      <c r="C129" s="336"/>
      <c r="D129" s="336"/>
      <c r="E129" s="336"/>
      <c r="F129" s="336"/>
      <c r="G129" s="336"/>
    </row>
    <row r="130" ht="15.75" customHeight="1">
      <c r="A130" s="336"/>
      <c r="B130" s="336"/>
      <c r="C130" s="336"/>
      <c r="D130" s="336"/>
      <c r="E130" s="336"/>
      <c r="F130" s="336"/>
      <c r="G130" s="336"/>
    </row>
    <row r="131" ht="15.75" customHeight="1">
      <c r="A131" s="336"/>
      <c r="B131" s="336"/>
      <c r="C131" s="336"/>
      <c r="D131" s="336"/>
      <c r="E131" s="336"/>
      <c r="F131" s="336"/>
      <c r="G131" s="336"/>
    </row>
    <row r="132" ht="15.75" customHeight="1">
      <c r="A132" s="336"/>
      <c r="B132" s="336"/>
      <c r="C132" s="336"/>
      <c r="D132" s="336"/>
      <c r="E132" s="336"/>
      <c r="F132" s="336"/>
      <c r="G132" s="336"/>
    </row>
    <row r="133" ht="15.75" customHeight="1">
      <c r="A133" s="336"/>
      <c r="B133" s="336"/>
      <c r="C133" s="336"/>
      <c r="D133" s="336"/>
      <c r="E133" s="336"/>
      <c r="F133" s="336"/>
      <c r="G133" s="336"/>
    </row>
    <row r="134" ht="15.75" customHeight="1">
      <c r="A134" s="336"/>
      <c r="B134" s="336"/>
      <c r="C134" s="336"/>
      <c r="D134" s="336"/>
      <c r="E134" s="336"/>
      <c r="F134" s="336"/>
      <c r="G134" s="336"/>
    </row>
    <row r="135" ht="15.75" customHeight="1">
      <c r="A135" s="336"/>
      <c r="B135" s="336"/>
      <c r="C135" s="336"/>
      <c r="D135" s="336"/>
      <c r="E135" s="336"/>
      <c r="F135" s="336"/>
      <c r="G135" s="336"/>
    </row>
    <row r="136" ht="15.75" customHeight="1">
      <c r="A136" s="336"/>
      <c r="B136" s="336"/>
      <c r="C136" s="336"/>
      <c r="D136" s="336"/>
      <c r="E136" s="336"/>
      <c r="F136" s="336"/>
      <c r="G136" s="336"/>
    </row>
    <row r="137" ht="15.75" customHeight="1">
      <c r="A137" s="336"/>
      <c r="B137" s="336"/>
      <c r="C137" s="336"/>
      <c r="D137" s="336"/>
      <c r="E137" s="336"/>
      <c r="F137" s="336"/>
      <c r="G137" s="336"/>
    </row>
    <row r="138" ht="15.75" customHeight="1">
      <c r="A138" s="336"/>
      <c r="B138" s="336"/>
      <c r="C138" s="336"/>
      <c r="D138" s="336"/>
      <c r="E138" s="336"/>
      <c r="F138" s="336"/>
      <c r="G138" s="336"/>
    </row>
    <row r="139" ht="15.75" customHeight="1">
      <c r="A139" s="336"/>
      <c r="B139" s="336"/>
      <c r="C139" s="336"/>
      <c r="D139" s="336"/>
      <c r="E139" s="336"/>
      <c r="F139" s="336"/>
      <c r="G139" s="336"/>
    </row>
    <row r="140" ht="15.75" customHeight="1">
      <c r="A140" s="336"/>
      <c r="B140" s="336"/>
      <c r="C140" s="336"/>
      <c r="D140" s="336"/>
      <c r="E140" s="336"/>
      <c r="F140" s="336"/>
      <c r="G140" s="336"/>
    </row>
    <row r="141" ht="15.75" customHeight="1">
      <c r="A141" s="336"/>
      <c r="B141" s="336"/>
      <c r="C141" s="336"/>
      <c r="D141" s="336"/>
      <c r="E141" s="336"/>
      <c r="F141" s="336"/>
      <c r="G141" s="336"/>
    </row>
    <row r="142" ht="15.75" customHeight="1">
      <c r="A142" s="336"/>
      <c r="B142" s="336"/>
      <c r="C142" s="336"/>
      <c r="D142" s="336"/>
      <c r="E142" s="336"/>
      <c r="F142" s="336"/>
      <c r="G142" s="336"/>
    </row>
    <row r="143" ht="15.75" customHeight="1">
      <c r="A143" s="336"/>
      <c r="B143" s="336"/>
      <c r="C143" s="336"/>
      <c r="D143" s="336"/>
      <c r="E143" s="336"/>
      <c r="F143" s="336"/>
      <c r="G143" s="336"/>
    </row>
    <row r="144" ht="15.75" customHeight="1">
      <c r="A144" s="336"/>
      <c r="B144" s="336"/>
      <c r="C144" s="336"/>
      <c r="D144" s="336"/>
      <c r="E144" s="336"/>
      <c r="F144" s="336"/>
      <c r="G144" s="336"/>
    </row>
    <row r="145" ht="15.75" customHeight="1">
      <c r="A145" s="336"/>
      <c r="B145" s="336"/>
      <c r="C145" s="336"/>
      <c r="D145" s="336"/>
      <c r="E145" s="336"/>
      <c r="F145" s="336"/>
      <c r="G145" s="336"/>
    </row>
    <row r="146" ht="15.75" customHeight="1">
      <c r="A146" s="336"/>
      <c r="B146" s="336"/>
      <c r="C146" s="336"/>
      <c r="D146" s="336"/>
      <c r="E146" s="336"/>
      <c r="F146" s="336"/>
      <c r="G146" s="336"/>
    </row>
    <row r="147" ht="15.75" customHeight="1">
      <c r="A147" s="336"/>
      <c r="B147" s="336"/>
      <c r="C147" s="336"/>
      <c r="D147" s="336"/>
      <c r="E147" s="336"/>
      <c r="F147" s="336"/>
      <c r="G147" s="336"/>
    </row>
    <row r="148" ht="15.75" customHeight="1">
      <c r="A148" s="336"/>
      <c r="B148" s="336"/>
      <c r="C148" s="336"/>
      <c r="D148" s="336"/>
      <c r="E148" s="336"/>
      <c r="F148" s="336"/>
      <c r="G148" s="336"/>
    </row>
    <row r="149" ht="15.75" customHeight="1">
      <c r="A149" s="336"/>
      <c r="B149" s="336"/>
      <c r="C149" s="336"/>
      <c r="D149" s="336"/>
      <c r="E149" s="336"/>
      <c r="F149" s="336"/>
      <c r="G149" s="336"/>
    </row>
    <row r="150" ht="15.75" customHeight="1">
      <c r="A150" s="336"/>
      <c r="B150" s="336"/>
      <c r="C150" s="336"/>
      <c r="D150" s="336"/>
      <c r="E150" s="336"/>
      <c r="F150" s="336"/>
      <c r="G150" s="336"/>
    </row>
    <row r="151" ht="15.75" customHeight="1">
      <c r="A151" s="336"/>
      <c r="B151" s="336"/>
      <c r="C151" s="336"/>
      <c r="D151" s="336"/>
      <c r="E151" s="336"/>
      <c r="F151" s="336"/>
      <c r="G151" s="336"/>
    </row>
    <row r="152" ht="15.75" customHeight="1">
      <c r="A152" s="336"/>
      <c r="B152" s="336"/>
      <c r="C152" s="336"/>
      <c r="D152" s="336"/>
      <c r="E152" s="336"/>
      <c r="F152" s="336"/>
      <c r="G152" s="336"/>
    </row>
    <row r="153" ht="15.75" customHeight="1">
      <c r="A153" s="336"/>
      <c r="B153" s="336"/>
      <c r="C153" s="336"/>
      <c r="D153" s="336"/>
      <c r="E153" s="336"/>
      <c r="F153" s="336"/>
      <c r="G153" s="336"/>
    </row>
    <row r="154" ht="15.75" customHeight="1">
      <c r="A154" s="336"/>
      <c r="B154" s="336"/>
      <c r="C154" s="336"/>
      <c r="D154" s="336"/>
      <c r="E154" s="336"/>
      <c r="F154" s="336"/>
      <c r="G154" s="336"/>
    </row>
    <row r="155" ht="15.75" customHeight="1">
      <c r="A155" s="336"/>
      <c r="B155" s="336"/>
      <c r="C155" s="336"/>
      <c r="D155" s="336"/>
      <c r="E155" s="336"/>
      <c r="F155" s="336"/>
      <c r="G155" s="336"/>
    </row>
    <row r="156" ht="15.75" customHeight="1">
      <c r="A156" s="336"/>
      <c r="B156" s="336"/>
      <c r="C156" s="336"/>
      <c r="D156" s="336"/>
      <c r="E156" s="336"/>
      <c r="F156" s="336"/>
      <c r="G156" s="336"/>
    </row>
    <row r="157" ht="15.75" customHeight="1">
      <c r="A157" s="336"/>
      <c r="B157" s="336"/>
      <c r="C157" s="336"/>
      <c r="D157" s="336"/>
      <c r="E157" s="336"/>
      <c r="F157" s="336"/>
      <c r="G157" s="336"/>
    </row>
    <row r="158" ht="15.75" customHeight="1">
      <c r="A158" s="336"/>
      <c r="B158" s="336"/>
      <c r="C158" s="336"/>
      <c r="D158" s="336"/>
      <c r="E158" s="336"/>
      <c r="F158" s="336"/>
      <c r="G158" s="336"/>
    </row>
    <row r="159" ht="15.75" customHeight="1">
      <c r="A159" s="336"/>
      <c r="B159" s="336"/>
      <c r="C159" s="336"/>
      <c r="D159" s="336"/>
      <c r="E159" s="336"/>
      <c r="F159" s="336"/>
      <c r="G159" s="336"/>
    </row>
    <row r="160" ht="15.75" customHeight="1">
      <c r="A160" s="336"/>
      <c r="B160" s="336"/>
      <c r="C160" s="336"/>
      <c r="D160" s="336"/>
      <c r="E160" s="336"/>
      <c r="F160" s="336"/>
      <c r="G160" s="336"/>
    </row>
    <row r="161" ht="15.75" customHeight="1">
      <c r="A161" s="336"/>
      <c r="B161" s="336"/>
      <c r="C161" s="336"/>
      <c r="D161" s="336"/>
      <c r="E161" s="336"/>
      <c r="F161" s="336"/>
      <c r="G161" s="336"/>
    </row>
    <row r="162" ht="15.75" customHeight="1">
      <c r="A162" s="336"/>
      <c r="B162" s="336"/>
      <c r="C162" s="336"/>
      <c r="D162" s="336"/>
      <c r="E162" s="336"/>
      <c r="F162" s="336"/>
      <c r="G162" s="336"/>
    </row>
    <row r="163" ht="15.75" customHeight="1">
      <c r="A163" s="336"/>
      <c r="B163" s="336"/>
      <c r="C163" s="336"/>
      <c r="D163" s="336"/>
      <c r="E163" s="336"/>
      <c r="F163" s="336"/>
      <c r="G163" s="336"/>
    </row>
    <row r="164" ht="15.75" customHeight="1">
      <c r="A164" s="336"/>
      <c r="B164" s="336"/>
      <c r="C164" s="336"/>
      <c r="D164" s="336"/>
      <c r="E164" s="336"/>
      <c r="F164" s="336"/>
      <c r="G164" s="336"/>
    </row>
    <row r="165" ht="15.75" customHeight="1">
      <c r="A165" s="336"/>
      <c r="B165" s="336"/>
      <c r="C165" s="336"/>
      <c r="D165" s="336"/>
      <c r="E165" s="336"/>
      <c r="F165" s="336"/>
      <c r="G165" s="336"/>
    </row>
    <row r="166" ht="15.75" customHeight="1">
      <c r="A166" s="336"/>
      <c r="B166" s="336"/>
      <c r="C166" s="336"/>
      <c r="D166" s="336"/>
      <c r="E166" s="336"/>
      <c r="F166" s="336"/>
      <c r="G166" s="336"/>
    </row>
    <row r="167" ht="15.75" customHeight="1">
      <c r="A167" s="336"/>
      <c r="B167" s="336"/>
      <c r="C167" s="336"/>
      <c r="D167" s="336"/>
      <c r="E167" s="336"/>
      <c r="F167" s="336"/>
      <c r="G167" s="336"/>
    </row>
    <row r="168" ht="15.75" customHeight="1">
      <c r="A168" s="336"/>
      <c r="B168" s="336"/>
      <c r="C168" s="336"/>
      <c r="D168" s="336"/>
      <c r="E168" s="336"/>
      <c r="F168" s="336"/>
      <c r="G168" s="336"/>
    </row>
    <row r="169" ht="15.75" customHeight="1">
      <c r="A169" s="336"/>
      <c r="B169" s="336"/>
      <c r="C169" s="336"/>
      <c r="D169" s="336"/>
      <c r="E169" s="336"/>
      <c r="F169" s="336"/>
      <c r="G169" s="336"/>
    </row>
    <row r="170" ht="15.75" customHeight="1">
      <c r="A170" s="336"/>
      <c r="B170" s="336"/>
      <c r="C170" s="336"/>
      <c r="D170" s="336"/>
      <c r="E170" s="336"/>
      <c r="F170" s="336"/>
      <c r="G170" s="336"/>
    </row>
    <row r="171" ht="15.75" customHeight="1">
      <c r="A171" s="336"/>
      <c r="B171" s="336"/>
      <c r="C171" s="336"/>
      <c r="D171" s="336"/>
      <c r="E171" s="336"/>
      <c r="F171" s="336"/>
      <c r="G171" s="336"/>
    </row>
    <row r="172" ht="15.75" customHeight="1">
      <c r="A172" s="336"/>
      <c r="B172" s="336"/>
      <c r="C172" s="336"/>
      <c r="D172" s="336"/>
      <c r="E172" s="336"/>
      <c r="F172" s="336"/>
      <c r="G172" s="336"/>
    </row>
    <row r="173" ht="15.75" customHeight="1">
      <c r="A173" s="336"/>
      <c r="B173" s="336"/>
      <c r="C173" s="336"/>
      <c r="D173" s="336"/>
      <c r="E173" s="336"/>
      <c r="F173" s="336"/>
      <c r="G173" s="336"/>
    </row>
    <row r="174" ht="15.75" customHeight="1">
      <c r="A174" s="336"/>
      <c r="B174" s="336"/>
      <c r="C174" s="336"/>
      <c r="D174" s="336"/>
      <c r="E174" s="336"/>
      <c r="F174" s="336"/>
      <c r="G174" s="336"/>
    </row>
    <row r="175" ht="15.75" customHeight="1">
      <c r="A175" s="336"/>
      <c r="B175" s="336"/>
      <c r="C175" s="336"/>
      <c r="D175" s="336"/>
      <c r="E175" s="336"/>
      <c r="F175" s="336"/>
      <c r="G175" s="336"/>
    </row>
    <row r="176" ht="15.75" customHeight="1">
      <c r="A176" s="336"/>
      <c r="B176" s="336"/>
      <c r="C176" s="336"/>
      <c r="D176" s="336"/>
      <c r="E176" s="336"/>
      <c r="F176" s="336"/>
      <c r="G176" s="336"/>
    </row>
    <row r="177" ht="15.75" customHeight="1">
      <c r="A177" s="336"/>
      <c r="B177" s="336"/>
      <c r="C177" s="336"/>
      <c r="D177" s="336"/>
      <c r="E177" s="336"/>
      <c r="F177" s="336"/>
      <c r="G177" s="336"/>
    </row>
    <row r="178" ht="15.75" customHeight="1">
      <c r="A178" s="336"/>
      <c r="B178" s="336"/>
      <c r="C178" s="336"/>
      <c r="D178" s="336"/>
      <c r="E178" s="336"/>
      <c r="F178" s="336"/>
      <c r="G178" s="336"/>
    </row>
    <row r="179" ht="15.75" customHeight="1">
      <c r="A179" s="336"/>
      <c r="B179" s="336"/>
      <c r="C179" s="336"/>
      <c r="D179" s="336"/>
      <c r="E179" s="336"/>
      <c r="F179" s="336"/>
      <c r="G179" s="336"/>
    </row>
    <row r="180" ht="15.75" customHeight="1">
      <c r="A180" s="336"/>
      <c r="B180" s="336"/>
      <c r="C180" s="336"/>
      <c r="D180" s="336"/>
      <c r="E180" s="336"/>
      <c r="F180" s="336"/>
      <c r="G180" s="336"/>
    </row>
    <row r="181" ht="15.75" customHeight="1">
      <c r="A181" s="336"/>
      <c r="B181" s="336"/>
      <c r="C181" s="336"/>
      <c r="D181" s="336"/>
      <c r="E181" s="336"/>
      <c r="F181" s="336"/>
      <c r="G181" s="336"/>
    </row>
    <row r="182" ht="15.75" customHeight="1">
      <c r="A182" s="336"/>
      <c r="B182" s="336"/>
      <c r="C182" s="336"/>
      <c r="D182" s="336"/>
      <c r="E182" s="336"/>
      <c r="F182" s="336"/>
      <c r="G182" s="336"/>
    </row>
    <row r="183" ht="15.75" customHeight="1">
      <c r="A183" s="336"/>
      <c r="B183" s="336"/>
      <c r="C183" s="336"/>
      <c r="D183" s="336"/>
      <c r="E183" s="336"/>
      <c r="F183" s="336"/>
      <c r="G183" s="336"/>
    </row>
    <row r="184" ht="15.75" customHeight="1">
      <c r="A184" s="336"/>
      <c r="B184" s="336"/>
      <c r="C184" s="336"/>
      <c r="D184" s="336"/>
      <c r="E184" s="336"/>
      <c r="F184" s="336"/>
      <c r="G184" s="336"/>
    </row>
    <row r="185" ht="15.75" customHeight="1">
      <c r="A185" s="336"/>
      <c r="B185" s="336"/>
      <c r="C185" s="336"/>
      <c r="D185" s="336"/>
      <c r="E185" s="336"/>
      <c r="F185" s="336"/>
      <c r="G185" s="336"/>
    </row>
    <row r="186" ht="15.75" customHeight="1">
      <c r="A186" s="336"/>
      <c r="B186" s="336"/>
      <c r="C186" s="336"/>
      <c r="D186" s="336"/>
      <c r="E186" s="336"/>
      <c r="F186" s="336"/>
      <c r="G186" s="336"/>
    </row>
    <row r="187" ht="15.75" customHeight="1">
      <c r="A187" s="336"/>
      <c r="B187" s="336"/>
      <c r="C187" s="336"/>
      <c r="D187" s="336"/>
      <c r="E187" s="336"/>
      <c r="F187" s="336"/>
      <c r="G187" s="336"/>
    </row>
    <row r="188" ht="15.75" customHeight="1">
      <c r="A188" s="336"/>
      <c r="B188" s="336"/>
      <c r="C188" s="336"/>
      <c r="D188" s="336"/>
      <c r="E188" s="336"/>
      <c r="F188" s="336"/>
      <c r="G188" s="336"/>
    </row>
    <row r="189" ht="15.75" customHeight="1">
      <c r="A189" s="336"/>
      <c r="B189" s="336"/>
      <c r="C189" s="336"/>
      <c r="D189" s="336"/>
      <c r="E189" s="336"/>
      <c r="F189" s="336"/>
      <c r="G189" s="336"/>
    </row>
    <row r="190" ht="15.75" customHeight="1">
      <c r="A190" s="336"/>
      <c r="B190" s="336"/>
      <c r="C190" s="336"/>
      <c r="D190" s="336"/>
      <c r="E190" s="336"/>
      <c r="F190" s="336"/>
      <c r="G190" s="336"/>
    </row>
    <row r="191" ht="15.75" customHeight="1">
      <c r="A191" s="336"/>
      <c r="B191" s="336"/>
      <c r="C191" s="336"/>
      <c r="D191" s="336"/>
      <c r="E191" s="336"/>
      <c r="F191" s="336"/>
      <c r="G191" s="336"/>
    </row>
    <row r="192" ht="15.75" customHeight="1">
      <c r="A192" s="336"/>
      <c r="B192" s="336"/>
      <c r="C192" s="336"/>
      <c r="D192" s="336"/>
      <c r="E192" s="336"/>
      <c r="F192" s="336"/>
      <c r="G192" s="336"/>
    </row>
    <row r="193" ht="15.75" customHeight="1">
      <c r="A193" s="336"/>
      <c r="B193" s="336"/>
      <c r="C193" s="336"/>
      <c r="D193" s="336"/>
      <c r="E193" s="336"/>
      <c r="F193" s="336"/>
      <c r="G193" s="336"/>
    </row>
    <row r="194" ht="15.75" customHeight="1">
      <c r="A194" s="336"/>
      <c r="B194" s="336"/>
      <c r="C194" s="336"/>
      <c r="D194" s="336"/>
      <c r="E194" s="336"/>
      <c r="F194" s="336"/>
      <c r="G194" s="336"/>
    </row>
    <row r="195" ht="15.75" customHeight="1">
      <c r="A195" s="336"/>
      <c r="B195" s="336"/>
      <c r="C195" s="336"/>
      <c r="D195" s="336"/>
      <c r="E195" s="336"/>
      <c r="F195" s="336"/>
      <c r="G195" s="336"/>
    </row>
    <row r="196" ht="15.75" customHeight="1">
      <c r="A196" s="336"/>
      <c r="B196" s="336"/>
      <c r="C196" s="336"/>
      <c r="D196" s="336"/>
      <c r="E196" s="336"/>
      <c r="F196" s="336"/>
      <c r="G196" s="336"/>
    </row>
    <row r="197" ht="15.75" customHeight="1">
      <c r="A197" s="336"/>
      <c r="B197" s="336"/>
      <c r="C197" s="336"/>
      <c r="D197" s="336"/>
      <c r="E197" s="336"/>
      <c r="F197" s="336"/>
      <c r="G197" s="336"/>
    </row>
    <row r="198" ht="15.75" customHeight="1">
      <c r="A198" s="336"/>
      <c r="B198" s="336"/>
      <c r="C198" s="336"/>
      <c r="D198" s="336"/>
      <c r="E198" s="336"/>
      <c r="F198" s="336"/>
      <c r="G198" s="336"/>
    </row>
    <row r="199" ht="15.75" customHeight="1">
      <c r="A199" s="336"/>
      <c r="B199" s="336"/>
      <c r="C199" s="336"/>
      <c r="D199" s="336"/>
      <c r="E199" s="336"/>
      <c r="F199" s="336"/>
      <c r="G199" s="336"/>
    </row>
    <row r="200" ht="15.75" customHeight="1">
      <c r="A200" s="336"/>
      <c r="B200" s="336"/>
      <c r="C200" s="336"/>
      <c r="D200" s="336"/>
      <c r="E200" s="336"/>
      <c r="F200" s="336"/>
      <c r="G200" s="336"/>
    </row>
    <row r="201" ht="15.75" customHeight="1">
      <c r="A201" s="336"/>
      <c r="B201" s="336"/>
      <c r="C201" s="336"/>
      <c r="D201" s="336"/>
      <c r="E201" s="336"/>
      <c r="F201" s="336"/>
      <c r="G201" s="336"/>
    </row>
    <row r="202" ht="15.75" customHeight="1">
      <c r="A202" s="336"/>
      <c r="B202" s="336"/>
      <c r="C202" s="336"/>
      <c r="D202" s="336"/>
      <c r="E202" s="336"/>
      <c r="F202" s="336"/>
      <c r="G202" s="336"/>
    </row>
    <row r="203" ht="15.75" customHeight="1">
      <c r="A203" s="336"/>
      <c r="B203" s="336"/>
      <c r="C203" s="336"/>
      <c r="D203" s="336"/>
      <c r="E203" s="336"/>
      <c r="F203" s="336"/>
      <c r="G203" s="336"/>
    </row>
    <row r="204" ht="15.75" customHeight="1">
      <c r="A204" s="336"/>
      <c r="B204" s="336"/>
      <c r="C204" s="336"/>
      <c r="D204" s="336"/>
      <c r="E204" s="336"/>
      <c r="F204" s="336"/>
      <c r="G204" s="336"/>
    </row>
    <row r="205" ht="15.75" customHeight="1">
      <c r="A205" s="336"/>
      <c r="B205" s="336"/>
      <c r="C205" s="336"/>
      <c r="D205" s="336"/>
      <c r="E205" s="336"/>
      <c r="F205" s="336"/>
      <c r="G205" s="336"/>
    </row>
    <row r="206" ht="15.75" customHeight="1">
      <c r="A206" s="336"/>
      <c r="B206" s="336"/>
      <c r="C206" s="336"/>
      <c r="D206" s="336"/>
      <c r="E206" s="336"/>
      <c r="F206" s="336"/>
      <c r="G206" s="336"/>
    </row>
    <row r="207" ht="15.75" customHeight="1">
      <c r="A207" s="336"/>
      <c r="B207" s="336"/>
      <c r="C207" s="336"/>
      <c r="D207" s="336"/>
      <c r="E207" s="336"/>
      <c r="F207" s="336"/>
      <c r="G207" s="336"/>
    </row>
    <row r="208" ht="15.75" customHeight="1">
      <c r="A208" s="336"/>
      <c r="B208" s="336"/>
      <c r="C208" s="336"/>
      <c r="D208" s="336"/>
      <c r="E208" s="336"/>
      <c r="F208" s="336"/>
      <c r="G208" s="336"/>
    </row>
    <row r="209" ht="15.75" customHeight="1">
      <c r="A209" s="336"/>
      <c r="B209" s="336"/>
      <c r="C209" s="336"/>
      <c r="D209" s="336"/>
      <c r="E209" s="336"/>
      <c r="F209" s="336"/>
      <c r="G209" s="336"/>
    </row>
    <row r="210" ht="15.75" customHeight="1">
      <c r="A210" s="336"/>
      <c r="B210" s="336"/>
      <c r="C210" s="336"/>
      <c r="D210" s="336"/>
      <c r="E210" s="336"/>
      <c r="F210" s="336"/>
      <c r="G210" s="336"/>
    </row>
    <row r="211" ht="15.75" customHeight="1">
      <c r="A211" s="336"/>
      <c r="B211" s="336"/>
      <c r="C211" s="336"/>
      <c r="D211" s="336"/>
      <c r="E211" s="336"/>
      <c r="F211" s="336"/>
      <c r="G211" s="336"/>
    </row>
    <row r="212" ht="15.75" customHeight="1">
      <c r="A212" s="336"/>
      <c r="B212" s="336"/>
      <c r="C212" s="336"/>
      <c r="D212" s="336"/>
      <c r="E212" s="336"/>
      <c r="F212" s="336"/>
      <c r="G212" s="336"/>
    </row>
    <row r="213" ht="15.75" customHeight="1">
      <c r="A213" s="336"/>
      <c r="B213" s="336"/>
      <c r="C213" s="336"/>
      <c r="D213" s="336"/>
      <c r="E213" s="336"/>
      <c r="F213" s="336"/>
      <c r="G213" s="336"/>
    </row>
    <row r="214" ht="15.75" customHeight="1">
      <c r="A214" s="336"/>
      <c r="B214" s="336"/>
      <c r="C214" s="336"/>
      <c r="D214" s="336"/>
      <c r="E214" s="336"/>
      <c r="F214" s="336"/>
      <c r="G214" s="336"/>
    </row>
    <row r="215" ht="15.75" customHeight="1">
      <c r="A215" s="336"/>
      <c r="B215" s="336"/>
      <c r="C215" s="336"/>
      <c r="D215" s="336"/>
      <c r="E215" s="336"/>
      <c r="F215" s="336"/>
      <c r="G215" s="336"/>
    </row>
    <row r="216" ht="15.75" customHeight="1">
      <c r="A216" s="336"/>
      <c r="B216" s="336"/>
      <c r="C216" s="336"/>
      <c r="D216" s="336"/>
      <c r="E216" s="336"/>
      <c r="F216" s="336"/>
      <c r="G216" s="336"/>
    </row>
    <row r="217" ht="15.75" customHeight="1">
      <c r="A217" s="336"/>
      <c r="B217" s="336"/>
      <c r="C217" s="336"/>
      <c r="D217" s="336"/>
      <c r="E217" s="336"/>
      <c r="F217" s="336"/>
      <c r="G217" s="336"/>
    </row>
    <row r="218" ht="15.75" customHeight="1">
      <c r="A218" s="336"/>
      <c r="B218" s="336"/>
      <c r="C218" s="336"/>
      <c r="D218" s="336"/>
      <c r="E218" s="336"/>
      <c r="F218" s="336"/>
      <c r="G218" s="336"/>
    </row>
    <row r="219" ht="15.75" customHeight="1">
      <c r="A219" s="336"/>
      <c r="B219" s="336"/>
      <c r="C219" s="336"/>
      <c r="D219" s="336"/>
      <c r="E219" s="336"/>
      <c r="F219" s="336"/>
      <c r="G219" s="336"/>
    </row>
    <row r="220" ht="15.75" customHeight="1">
      <c r="A220" s="336"/>
      <c r="B220" s="336"/>
      <c r="C220" s="336"/>
      <c r="D220" s="336"/>
      <c r="E220" s="336"/>
      <c r="F220" s="336"/>
      <c r="G220" s="336"/>
    </row>
    <row r="221" ht="15.75" customHeight="1">
      <c r="A221" s="336"/>
      <c r="B221" s="336"/>
      <c r="C221" s="336"/>
      <c r="D221" s="336"/>
      <c r="E221" s="336"/>
      <c r="F221" s="336"/>
      <c r="G221" s="336"/>
    </row>
    <row r="222" ht="15.75" customHeight="1">
      <c r="A222" s="336"/>
      <c r="B222" s="336"/>
      <c r="C222" s="336"/>
      <c r="D222" s="336"/>
      <c r="E222" s="336"/>
      <c r="F222" s="336"/>
      <c r="G222" s="336"/>
    </row>
    <row r="223" ht="15.75" customHeight="1">
      <c r="A223" s="336"/>
      <c r="B223" s="336"/>
      <c r="C223" s="336"/>
      <c r="D223" s="336"/>
      <c r="E223" s="336"/>
      <c r="F223" s="336"/>
      <c r="G223" s="336"/>
    </row>
    <row r="224" ht="15.75" customHeight="1">
      <c r="A224" s="336"/>
      <c r="B224" s="336"/>
      <c r="C224" s="336"/>
      <c r="D224" s="336"/>
      <c r="E224" s="336"/>
      <c r="F224" s="336"/>
      <c r="G224" s="336"/>
    </row>
    <row r="225" ht="15.75" customHeight="1">
      <c r="A225" s="336"/>
      <c r="B225" s="336"/>
      <c r="C225" s="336"/>
      <c r="D225" s="336"/>
      <c r="E225" s="336"/>
      <c r="F225" s="336"/>
      <c r="G225" s="336"/>
    </row>
    <row r="226" ht="15.75" customHeight="1">
      <c r="A226" s="336"/>
      <c r="B226" s="336"/>
      <c r="C226" s="336"/>
      <c r="D226" s="336"/>
      <c r="E226" s="336"/>
      <c r="F226" s="336"/>
      <c r="G226" s="336"/>
    </row>
    <row r="227" ht="15.75" customHeight="1">
      <c r="A227" s="336"/>
      <c r="B227" s="336"/>
      <c r="C227" s="336"/>
      <c r="D227" s="336"/>
      <c r="E227" s="336"/>
      <c r="F227" s="336"/>
      <c r="G227" s="336"/>
    </row>
    <row r="228" ht="15.75" customHeight="1">
      <c r="A228" s="336"/>
      <c r="B228" s="336"/>
      <c r="C228" s="336"/>
      <c r="D228" s="336"/>
      <c r="E228" s="336"/>
      <c r="F228" s="336"/>
      <c r="G228" s="336"/>
    </row>
    <row r="229" ht="15.75" customHeight="1">
      <c r="A229" s="336"/>
      <c r="B229" s="336"/>
      <c r="C229" s="336"/>
      <c r="D229" s="336"/>
      <c r="E229" s="336"/>
      <c r="F229" s="336"/>
      <c r="G229" s="336"/>
    </row>
    <row r="230" ht="15.75" customHeight="1">
      <c r="A230" s="336"/>
      <c r="B230" s="336"/>
      <c r="C230" s="336"/>
      <c r="D230" s="336"/>
      <c r="E230" s="336"/>
      <c r="F230" s="336"/>
      <c r="G230" s="336"/>
    </row>
    <row r="231" ht="15.75" customHeight="1">
      <c r="A231" s="336"/>
      <c r="B231" s="336"/>
      <c r="C231" s="336"/>
      <c r="D231" s="336"/>
      <c r="E231" s="336"/>
      <c r="F231" s="336"/>
      <c r="G231" s="336"/>
    </row>
    <row r="232" ht="15.75" customHeight="1">
      <c r="A232" s="336"/>
      <c r="B232" s="336"/>
      <c r="C232" s="336"/>
      <c r="D232" s="336"/>
      <c r="E232" s="336"/>
      <c r="F232" s="336"/>
      <c r="G232" s="336"/>
    </row>
    <row r="233" ht="15.75" customHeight="1">
      <c r="A233" s="336"/>
      <c r="B233" s="336"/>
      <c r="C233" s="336"/>
      <c r="D233" s="336"/>
      <c r="E233" s="336"/>
      <c r="F233" s="336"/>
      <c r="G233" s="336"/>
    </row>
    <row r="234" ht="15.75" customHeight="1">
      <c r="A234" s="336"/>
      <c r="B234" s="336"/>
      <c r="C234" s="336"/>
      <c r="D234" s="336"/>
      <c r="E234" s="336"/>
      <c r="F234" s="336"/>
      <c r="G234" s="336"/>
    </row>
    <row r="235" ht="15.75" customHeight="1">
      <c r="A235" s="336"/>
      <c r="B235" s="336"/>
      <c r="C235" s="336"/>
      <c r="D235" s="336"/>
      <c r="E235" s="336"/>
      <c r="F235" s="336"/>
      <c r="G235" s="336"/>
    </row>
    <row r="236" ht="15.75" customHeight="1">
      <c r="A236" s="336"/>
      <c r="B236" s="336"/>
      <c r="C236" s="336"/>
      <c r="D236" s="336"/>
      <c r="E236" s="336"/>
      <c r="F236" s="336"/>
      <c r="G236" s="336"/>
    </row>
    <row r="237" ht="15.75" customHeight="1">
      <c r="A237" s="336"/>
      <c r="B237" s="336"/>
      <c r="C237" s="336"/>
      <c r="D237" s="336"/>
      <c r="E237" s="336"/>
      <c r="F237" s="336"/>
      <c r="G237" s="336"/>
    </row>
    <row r="238" ht="15.75" customHeight="1">
      <c r="A238" s="336"/>
      <c r="B238" s="336"/>
      <c r="C238" s="336"/>
      <c r="D238" s="336"/>
      <c r="E238" s="336"/>
      <c r="F238" s="336"/>
      <c r="G238" s="336"/>
    </row>
    <row r="239" ht="15.75" customHeight="1">
      <c r="A239" s="336"/>
      <c r="B239" s="336"/>
      <c r="C239" s="336"/>
      <c r="D239" s="336"/>
      <c r="E239" s="336"/>
      <c r="F239" s="336"/>
      <c r="G239" s="336"/>
    </row>
    <row r="240" ht="15.75" customHeight="1">
      <c r="A240" s="336"/>
      <c r="B240" s="336"/>
      <c r="C240" s="336"/>
      <c r="D240" s="336"/>
      <c r="E240" s="336"/>
      <c r="F240" s="336"/>
      <c r="G240" s="336"/>
    </row>
    <row r="241" ht="15.75" customHeight="1">
      <c r="A241" s="336"/>
      <c r="B241" s="336"/>
      <c r="C241" s="336"/>
      <c r="D241" s="336"/>
      <c r="E241" s="336"/>
      <c r="F241" s="336"/>
      <c r="G241" s="336"/>
    </row>
    <row r="242" ht="15.75" customHeight="1">
      <c r="A242" s="336"/>
      <c r="B242" s="336"/>
      <c r="C242" s="336"/>
      <c r="D242" s="336"/>
      <c r="E242" s="336"/>
      <c r="F242" s="336"/>
      <c r="G242" s="336"/>
    </row>
    <row r="243" ht="15.75" customHeight="1">
      <c r="A243" s="336"/>
      <c r="B243" s="336"/>
      <c r="C243" s="336"/>
      <c r="D243" s="336"/>
      <c r="E243" s="336"/>
      <c r="F243" s="336"/>
      <c r="G243" s="336"/>
    </row>
    <row r="244" ht="15.75" customHeight="1">
      <c r="A244" s="336"/>
      <c r="B244" s="336"/>
      <c r="C244" s="336"/>
      <c r="D244" s="336"/>
      <c r="E244" s="336"/>
      <c r="F244" s="336"/>
      <c r="G244" s="336"/>
    </row>
    <row r="245" ht="15.75" customHeight="1">
      <c r="A245" s="336"/>
      <c r="B245" s="336"/>
      <c r="C245" s="336"/>
      <c r="D245" s="336"/>
      <c r="E245" s="336"/>
      <c r="F245" s="336"/>
      <c r="G245" s="336"/>
    </row>
    <row r="246" ht="15.75" customHeight="1">
      <c r="A246" s="336"/>
      <c r="B246" s="336"/>
      <c r="C246" s="336"/>
      <c r="D246" s="336"/>
      <c r="E246" s="336"/>
      <c r="F246" s="336"/>
      <c r="G246" s="336"/>
    </row>
    <row r="247" ht="15.75" customHeight="1">
      <c r="A247" s="336"/>
      <c r="B247" s="336"/>
      <c r="C247" s="336"/>
      <c r="D247" s="336"/>
      <c r="E247" s="336"/>
      <c r="F247" s="336"/>
      <c r="G247" s="336"/>
    </row>
    <row r="248" ht="15.75" customHeight="1">
      <c r="A248" s="336"/>
      <c r="B248" s="336"/>
      <c r="C248" s="336"/>
      <c r="D248" s="336"/>
      <c r="E248" s="336"/>
      <c r="F248" s="336"/>
      <c r="G248" s="336"/>
    </row>
    <row r="249" ht="15.75" customHeight="1">
      <c r="A249" s="336"/>
      <c r="B249" s="336"/>
      <c r="C249" s="336"/>
      <c r="D249" s="336"/>
      <c r="E249" s="336"/>
      <c r="F249" s="336"/>
      <c r="G249" s="336"/>
    </row>
    <row r="250" ht="15.75" customHeight="1">
      <c r="A250" s="336"/>
      <c r="B250" s="336"/>
      <c r="C250" s="336"/>
      <c r="D250" s="336"/>
      <c r="E250" s="336"/>
      <c r="F250" s="336"/>
      <c r="G250" s="336"/>
    </row>
    <row r="251" ht="15.75" customHeight="1">
      <c r="A251" s="336"/>
      <c r="B251" s="336"/>
      <c r="C251" s="336"/>
      <c r="D251" s="336"/>
      <c r="E251" s="336"/>
      <c r="F251" s="336"/>
      <c r="G251" s="336"/>
    </row>
    <row r="252" ht="15.75" customHeight="1">
      <c r="A252" s="336"/>
      <c r="B252" s="336"/>
      <c r="C252" s="336"/>
      <c r="D252" s="336"/>
      <c r="E252" s="336"/>
      <c r="F252" s="336"/>
      <c r="G252" s="336"/>
    </row>
    <row r="253" ht="15.75" customHeight="1">
      <c r="A253" s="336"/>
      <c r="B253" s="336"/>
      <c r="C253" s="336"/>
      <c r="D253" s="336"/>
      <c r="E253" s="336"/>
      <c r="F253" s="336"/>
      <c r="G253" s="336"/>
    </row>
    <row r="254" ht="15.75" customHeight="1">
      <c r="A254" s="336"/>
      <c r="B254" s="336"/>
      <c r="C254" s="336"/>
      <c r="D254" s="336"/>
      <c r="E254" s="336"/>
      <c r="F254" s="336"/>
      <c r="G254" s="336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G1"/>
    <mergeCell ref="A2:G2"/>
    <mergeCell ref="A3:G3"/>
    <mergeCell ref="A4:G4"/>
    <mergeCell ref="B5:C5"/>
    <mergeCell ref="B6:C6"/>
    <mergeCell ref="F8:G8"/>
    <mergeCell ref="B33:C33"/>
    <mergeCell ref="B34:C34"/>
    <mergeCell ref="F36:G36"/>
    <mergeCell ref="A48:G48"/>
    <mergeCell ref="D52:G52"/>
    <mergeCell ref="D53:G53"/>
    <mergeCell ref="A20:G20"/>
    <mergeCell ref="D24:G24"/>
    <mergeCell ref="D25:G25"/>
    <mergeCell ref="A29:G29"/>
    <mergeCell ref="A30:G30"/>
    <mergeCell ref="A31:G31"/>
    <mergeCell ref="A32:G3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7.75"/>
    <col customWidth="1" min="3" max="3" width="35.13"/>
    <col customWidth="1" min="4" max="6" width="12.63"/>
    <col customWidth="1" min="7" max="7" width="1.88"/>
  </cols>
  <sheetData>
    <row r="1" ht="15.75" customHeight="1">
      <c r="A1" s="295" t="s">
        <v>259</v>
      </c>
    </row>
    <row r="2" ht="15.75" customHeight="1">
      <c r="A2" s="295" t="s">
        <v>260</v>
      </c>
    </row>
    <row r="3" ht="15.75" customHeight="1">
      <c r="A3" s="296" t="s">
        <v>261</v>
      </c>
    </row>
    <row r="4" ht="15.75" customHeight="1">
      <c r="A4" s="298" t="s">
        <v>262</v>
      </c>
      <c r="B4" s="299"/>
      <c r="C4" s="299"/>
      <c r="D4" s="299"/>
      <c r="E4" s="299"/>
      <c r="F4" s="299"/>
      <c r="G4" s="299"/>
    </row>
    <row r="5" ht="15.75" customHeight="1">
      <c r="A5" s="300" t="s">
        <v>263</v>
      </c>
      <c r="B5" s="126" t="s">
        <v>264</v>
      </c>
      <c r="D5" s="300" t="s">
        <v>265</v>
      </c>
      <c r="E5" s="126"/>
      <c r="F5" s="301" t="s">
        <v>266</v>
      </c>
      <c r="G5" s="302"/>
    </row>
    <row r="6" ht="15.75" customHeight="1">
      <c r="A6" s="300" t="s">
        <v>267</v>
      </c>
      <c r="B6" s="126" t="s">
        <v>268</v>
      </c>
      <c r="D6" s="300" t="s">
        <v>269</v>
      </c>
      <c r="E6" s="126"/>
      <c r="F6" s="301" t="s">
        <v>266</v>
      </c>
      <c r="G6" s="303"/>
    </row>
    <row r="7" ht="15.75" customHeight="1">
      <c r="A7" s="388"/>
      <c r="B7" s="389"/>
      <c r="C7" s="390"/>
      <c r="D7" s="388"/>
      <c r="E7" s="389"/>
      <c r="F7" s="389"/>
      <c r="G7" s="390"/>
    </row>
    <row r="8" ht="15.75" customHeight="1">
      <c r="A8" s="307" t="s">
        <v>6</v>
      </c>
      <c r="B8" s="308" t="s">
        <v>240</v>
      </c>
      <c r="C8" s="308" t="s">
        <v>270</v>
      </c>
      <c r="D8" s="308" t="s">
        <v>271</v>
      </c>
      <c r="E8" s="308" t="s">
        <v>272</v>
      </c>
      <c r="F8" s="309" t="s">
        <v>273</v>
      </c>
      <c r="G8" s="26"/>
    </row>
    <row r="9" ht="15.75" customHeight="1">
      <c r="A9" s="391"/>
      <c r="B9" s="322" t="s">
        <v>246</v>
      </c>
      <c r="C9" s="377" t="s">
        <v>287</v>
      </c>
      <c r="D9" s="392">
        <v>5000.0</v>
      </c>
      <c r="E9" s="393">
        <v>55.0</v>
      </c>
      <c r="F9" s="394">
        <f>E9*D9</f>
        <v>275000</v>
      </c>
      <c r="G9" s="255"/>
    </row>
    <row r="10" ht="15.75" customHeight="1">
      <c r="A10" s="391"/>
      <c r="B10" s="395"/>
      <c r="C10" s="396"/>
      <c r="D10" s="395"/>
      <c r="E10" s="397"/>
      <c r="F10" s="398"/>
      <c r="G10" s="397"/>
    </row>
    <row r="11" ht="15.75" customHeight="1">
      <c r="A11" s="399"/>
      <c r="B11" s="400"/>
      <c r="C11" s="401"/>
      <c r="D11" s="400"/>
      <c r="E11" s="402"/>
      <c r="F11" s="398"/>
      <c r="G11" s="402"/>
    </row>
    <row r="12" ht="15.75" customHeight="1">
      <c r="A12" s="391"/>
      <c r="B12" s="395"/>
      <c r="C12" s="396"/>
      <c r="D12" s="395"/>
      <c r="E12" s="397"/>
      <c r="F12" s="398"/>
      <c r="G12" s="397"/>
    </row>
    <row r="13" ht="15.75" customHeight="1">
      <c r="A13" s="391"/>
      <c r="B13" s="395"/>
      <c r="C13" s="396"/>
      <c r="D13" s="395"/>
      <c r="E13" s="397"/>
      <c r="F13" s="398"/>
      <c r="G13" s="397"/>
    </row>
    <row r="14" ht="15.75" customHeight="1">
      <c r="A14" s="391"/>
      <c r="B14" s="395"/>
      <c r="C14" s="403" t="s">
        <v>274</v>
      </c>
      <c r="D14" s="404"/>
      <c r="E14" s="404"/>
      <c r="F14" s="336"/>
      <c r="G14" s="395"/>
    </row>
    <row r="15" ht="15.75" customHeight="1">
      <c r="A15" s="391"/>
      <c r="B15" s="395"/>
      <c r="C15" s="405"/>
      <c r="D15" s="404"/>
      <c r="E15" s="404"/>
      <c r="F15" s="336"/>
      <c r="G15" s="395"/>
    </row>
    <row r="16" ht="15.75" customHeight="1">
      <c r="A16" s="406"/>
      <c r="B16" s="390"/>
      <c r="C16" s="325" t="s">
        <v>275</v>
      </c>
      <c r="D16" s="390"/>
      <c r="E16" s="390"/>
      <c r="F16" s="326">
        <f>sum(F9)</f>
        <v>275000</v>
      </c>
      <c r="G16" s="26"/>
    </row>
    <row r="17" ht="15.75" customHeight="1">
      <c r="A17" s="327" t="s">
        <v>276</v>
      </c>
      <c r="B17" s="299"/>
      <c r="C17" s="299"/>
      <c r="D17" s="299"/>
      <c r="E17" s="299"/>
      <c r="F17" s="299"/>
      <c r="G17" s="26"/>
    </row>
    <row r="18" ht="15.75" customHeight="1">
      <c r="A18" s="407"/>
      <c r="B18" s="404"/>
      <c r="C18" s="303" t="s">
        <v>277</v>
      </c>
      <c r="D18" s="329" t="s">
        <v>278</v>
      </c>
      <c r="E18" s="126"/>
      <c r="F18" s="336"/>
      <c r="G18" s="404"/>
    </row>
    <row r="19" ht="15.75" customHeight="1">
      <c r="A19" s="407"/>
      <c r="B19" s="404"/>
      <c r="C19" s="404" t="s">
        <v>279</v>
      </c>
      <c r="D19" s="336"/>
      <c r="E19" s="336"/>
      <c r="F19" s="336"/>
      <c r="G19" s="404"/>
    </row>
    <row r="20" ht="15.75" customHeight="1">
      <c r="A20" s="407" t="s">
        <v>280</v>
      </c>
      <c r="B20" s="404"/>
      <c r="C20" s="404"/>
      <c r="D20" s="336"/>
      <c r="E20" s="336"/>
      <c r="F20" s="336"/>
      <c r="G20" s="404"/>
    </row>
    <row r="21" ht="15.75" customHeight="1">
      <c r="A21" s="408" t="s">
        <v>281</v>
      </c>
      <c r="B21" s="404"/>
      <c r="C21" s="331" t="s">
        <v>144</v>
      </c>
      <c r="D21" s="332" t="s">
        <v>282</v>
      </c>
      <c r="G21" s="255"/>
    </row>
    <row r="22" ht="15.75" customHeight="1">
      <c r="A22" s="408" t="s">
        <v>283</v>
      </c>
      <c r="B22" s="404"/>
      <c r="C22" s="333" t="s">
        <v>284</v>
      </c>
      <c r="D22" s="334" t="s">
        <v>151</v>
      </c>
      <c r="G22" s="255"/>
    </row>
    <row r="23" ht="15.75" customHeight="1">
      <c r="A23" s="388" t="s">
        <v>285</v>
      </c>
      <c r="B23" s="390"/>
      <c r="C23" s="335">
        <v>45299.0</v>
      </c>
      <c r="D23" s="389"/>
      <c r="E23" s="389"/>
      <c r="F23" s="389"/>
      <c r="G23" s="390"/>
    </row>
    <row r="24" ht="15.75" customHeight="1">
      <c r="A24" s="336"/>
      <c r="B24" s="336"/>
      <c r="C24" s="336"/>
      <c r="D24" s="336"/>
      <c r="E24" s="336"/>
      <c r="F24" s="336"/>
      <c r="G24" s="336"/>
    </row>
    <row r="25" ht="15.75" customHeight="1">
      <c r="A25" s="295" t="s">
        <v>259</v>
      </c>
    </row>
    <row r="26" ht="15.75" customHeight="1">
      <c r="A26" s="295" t="s">
        <v>260</v>
      </c>
    </row>
    <row r="27" ht="15.75" customHeight="1">
      <c r="A27" s="336"/>
      <c r="B27" s="336"/>
      <c r="C27" s="336"/>
      <c r="D27" s="336"/>
      <c r="E27" s="336"/>
      <c r="F27" s="336"/>
      <c r="G27" s="336"/>
    </row>
    <row r="28" ht="15.75" customHeight="1">
      <c r="A28" s="409"/>
      <c r="B28" s="409"/>
      <c r="C28" s="409"/>
      <c r="D28" s="409"/>
      <c r="E28" s="409"/>
      <c r="F28" s="409"/>
      <c r="G28" s="409"/>
    </row>
    <row r="29" ht="15.75" customHeight="1">
      <c r="A29" s="409" t="s">
        <v>261</v>
      </c>
    </row>
    <row r="30" ht="15.75" customHeight="1">
      <c r="A30" s="298" t="s">
        <v>262</v>
      </c>
      <c r="B30" s="299"/>
      <c r="C30" s="299"/>
      <c r="D30" s="299"/>
      <c r="E30" s="299"/>
      <c r="F30" s="299"/>
      <c r="G30" s="299"/>
    </row>
    <row r="31" ht="15.75" customHeight="1">
      <c r="A31" s="300" t="s">
        <v>263</v>
      </c>
      <c r="B31" s="126" t="s">
        <v>264</v>
      </c>
      <c r="D31" s="300" t="s">
        <v>265</v>
      </c>
      <c r="E31" s="126"/>
      <c r="F31" s="301" t="s">
        <v>266</v>
      </c>
      <c r="G31" s="302"/>
    </row>
    <row r="32" ht="15.75" customHeight="1">
      <c r="A32" s="300" t="s">
        <v>267</v>
      </c>
      <c r="B32" s="126" t="s">
        <v>268</v>
      </c>
      <c r="D32" s="300" t="s">
        <v>269</v>
      </c>
      <c r="E32" s="126"/>
      <c r="F32" s="301" t="s">
        <v>266</v>
      </c>
      <c r="G32" s="303"/>
    </row>
    <row r="33" ht="15.75" customHeight="1">
      <c r="A33" s="388"/>
      <c r="B33" s="389"/>
      <c r="C33" s="390"/>
      <c r="D33" s="388"/>
      <c r="E33" s="389"/>
      <c r="F33" s="389"/>
      <c r="G33" s="390"/>
    </row>
    <row r="34" ht="15.75" customHeight="1">
      <c r="A34" s="307" t="s">
        <v>6</v>
      </c>
      <c r="B34" s="308" t="s">
        <v>240</v>
      </c>
      <c r="C34" s="308" t="s">
        <v>270</v>
      </c>
      <c r="D34" s="308" t="s">
        <v>271</v>
      </c>
      <c r="E34" s="308" t="s">
        <v>272</v>
      </c>
      <c r="F34" s="309" t="s">
        <v>273</v>
      </c>
      <c r="G34" s="26"/>
    </row>
    <row r="35" ht="15.75" customHeight="1">
      <c r="A35" s="391"/>
      <c r="B35" s="322" t="s">
        <v>246</v>
      </c>
      <c r="C35" s="377" t="s">
        <v>288</v>
      </c>
      <c r="D35" s="392">
        <v>5000.0</v>
      </c>
      <c r="E35" s="393">
        <v>55.0</v>
      </c>
      <c r="F35" s="394">
        <f>E35*D35</f>
        <v>275000</v>
      </c>
      <c r="G35" s="255"/>
    </row>
    <row r="36" ht="15.75" customHeight="1">
      <c r="A36" s="391"/>
      <c r="B36" s="395"/>
      <c r="C36" s="396"/>
      <c r="D36" s="395"/>
      <c r="E36" s="397"/>
      <c r="F36" s="398"/>
      <c r="G36" s="397"/>
    </row>
    <row r="37" ht="15.75" customHeight="1">
      <c r="A37" s="399"/>
      <c r="B37" s="400"/>
      <c r="C37" s="401"/>
      <c r="D37" s="400"/>
      <c r="E37" s="402"/>
      <c r="F37" s="398"/>
      <c r="G37" s="402"/>
    </row>
    <row r="38" ht="15.75" customHeight="1">
      <c r="A38" s="391"/>
      <c r="B38" s="395"/>
      <c r="C38" s="396"/>
      <c r="D38" s="395"/>
      <c r="E38" s="397"/>
      <c r="F38" s="398"/>
      <c r="G38" s="397"/>
    </row>
    <row r="39" ht="15.75" customHeight="1">
      <c r="A39" s="391"/>
      <c r="B39" s="395"/>
      <c r="C39" s="396"/>
      <c r="D39" s="395"/>
      <c r="E39" s="397"/>
      <c r="F39" s="398"/>
      <c r="G39" s="397"/>
    </row>
    <row r="40" ht="15.75" customHeight="1">
      <c r="A40" s="391"/>
      <c r="B40" s="395"/>
      <c r="C40" s="403" t="s">
        <v>274</v>
      </c>
      <c r="D40" s="404"/>
      <c r="E40" s="404"/>
      <c r="F40" s="336"/>
      <c r="G40" s="395"/>
    </row>
    <row r="41" ht="15.75" customHeight="1">
      <c r="A41" s="391"/>
      <c r="B41" s="395"/>
      <c r="C41" s="405"/>
      <c r="D41" s="404"/>
      <c r="E41" s="404"/>
      <c r="F41" s="336"/>
      <c r="G41" s="395"/>
    </row>
    <row r="42" ht="15.75" customHeight="1">
      <c r="A42" s="406"/>
      <c r="B42" s="390"/>
      <c r="C42" s="325" t="s">
        <v>275</v>
      </c>
      <c r="D42" s="390"/>
      <c r="E42" s="390"/>
      <c r="F42" s="410">
        <f>F16</f>
        <v>275000</v>
      </c>
      <c r="G42" s="26"/>
    </row>
    <row r="43" ht="15.75" customHeight="1">
      <c r="A43" s="327" t="s">
        <v>276</v>
      </c>
      <c r="B43" s="299"/>
      <c r="C43" s="299"/>
      <c r="D43" s="299"/>
      <c r="E43" s="299"/>
      <c r="F43" s="299"/>
      <c r="G43" s="26"/>
    </row>
    <row r="44" ht="15.75" customHeight="1">
      <c r="A44" s="407"/>
      <c r="B44" s="404"/>
      <c r="C44" s="303" t="s">
        <v>277</v>
      </c>
      <c r="D44" s="329" t="s">
        <v>278</v>
      </c>
      <c r="E44" s="126"/>
      <c r="F44" s="336"/>
      <c r="G44" s="404"/>
    </row>
    <row r="45" ht="15.75" customHeight="1">
      <c r="A45" s="407"/>
      <c r="B45" s="404"/>
      <c r="C45" s="404" t="s">
        <v>279</v>
      </c>
      <c r="D45" s="336"/>
      <c r="E45" s="336"/>
      <c r="F45" s="336"/>
      <c r="G45" s="404"/>
    </row>
    <row r="46" ht="15.75" customHeight="1">
      <c r="A46" s="407" t="s">
        <v>280</v>
      </c>
      <c r="B46" s="404"/>
      <c r="C46" s="404"/>
      <c r="D46" s="336"/>
      <c r="E46" s="336"/>
      <c r="F46" s="336"/>
      <c r="G46" s="404"/>
    </row>
    <row r="47" ht="15.75" customHeight="1">
      <c r="A47" s="408" t="s">
        <v>281</v>
      </c>
      <c r="B47" s="404"/>
      <c r="C47" s="331" t="s">
        <v>144</v>
      </c>
      <c r="D47" s="332" t="s">
        <v>282</v>
      </c>
      <c r="G47" s="255"/>
    </row>
    <row r="48" ht="15.75" customHeight="1">
      <c r="A48" s="408" t="s">
        <v>283</v>
      </c>
      <c r="B48" s="404"/>
      <c r="C48" s="333" t="s">
        <v>284</v>
      </c>
      <c r="D48" s="334" t="s">
        <v>151</v>
      </c>
      <c r="G48" s="255"/>
    </row>
    <row r="49" ht="15.75" customHeight="1">
      <c r="A49" s="388" t="s">
        <v>285</v>
      </c>
      <c r="B49" s="390"/>
      <c r="C49" s="335">
        <v>45299.0</v>
      </c>
      <c r="D49" s="389"/>
      <c r="E49" s="389"/>
      <c r="F49" s="389"/>
      <c r="G49" s="390"/>
    </row>
    <row r="50" ht="15.75" customHeight="1">
      <c r="A50" s="336"/>
      <c r="B50" s="336"/>
      <c r="C50" s="336"/>
      <c r="D50" s="336"/>
      <c r="E50" s="336"/>
      <c r="F50" s="336"/>
      <c r="G50" s="336"/>
    </row>
    <row r="51" ht="15.75" customHeight="1">
      <c r="A51" s="336"/>
      <c r="B51" s="336"/>
      <c r="C51" s="336"/>
      <c r="D51" s="336"/>
      <c r="E51" s="336"/>
      <c r="F51" s="336"/>
      <c r="G51" s="336"/>
    </row>
    <row r="52" ht="15.75" customHeight="1">
      <c r="A52" s="336"/>
      <c r="B52" s="336"/>
      <c r="C52" s="336"/>
      <c r="D52" s="336"/>
      <c r="E52" s="336"/>
      <c r="F52" s="336"/>
      <c r="G52" s="336"/>
    </row>
    <row r="53" ht="15.75" customHeight="1">
      <c r="A53" s="336"/>
      <c r="B53" s="336"/>
      <c r="C53" s="336"/>
      <c r="D53" s="336"/>
      <c r="E53" s="336"/>
      <c r="F53" s="336"/>
      <c r="G53" s="336"/>
    </row>
    <row r="54" ht="15.75" customHeight="1">
      <c r="A54" s="336"/>
      <c r="B54" s="336"/>
      <c r="C54" s="336"/>
      <c r="D54" s="336"/>
      <c r="E54" s="336"/>
      <c r="F54" s="336"/>
      <c r="G54" s="336"/>
    </row>
    <row r="55" ht="15.75" customHeight="1">
      <c r="A55" s="336"/>
      <c r="B55" s="336"/>
      <c r="C55" s="336"/>
      <c r="D55" s="336"/>
      <c r="E55" s="336"/>
      <c r="F55" s="336"/>
      <c r="G55" s="336"/>
    </row>
    <row r="56" ht="15.75" customHeight="1">
      <c r="A56" s="336"/>
      <c r="B56" s="336"/>
      <c r="C56" s="336"/>
      <c r="D56" s="336"/>
      <c r="E56" s="336"/>
      <c r="F56" s="336"/>
      <c r="G56" s="336"/>
    </row>
    <row r="57" ht="15.75" customHeight="1">
      <c r="A57" s="336"/>
      <c r="B57" s="336"/>
      <c r="C57" s="336"/>
      <c r="D57" s="336"/>
      <c r="E57" s="336"/>
      <c r="F57" s="336"/>
      <c r="G57" s="336"/>
    </row>
    <row r="58" ht="15.75" customHeight="1">
      <c r="A58" s="336"/>
      <c r="B58" s="336"/>
      <c r="C58" s="336"/>
      <c r="D58" s="336"/>
      <c r="E58" s="336"/>
      <c r="F58" s="336"/>
      <c r="G58" s="336"/>
    </row>
    <row r="59" ht="15.75" customHeight="1">
      <c r="A59" s="336"/>
      <c r="B59" s="336"/>
      <c r="C59" s="336"/>
      <c r="D59" s="336"/>
      <c r="E59" s="336"/>
      <c r="F59" s="336"/>
      <c r="G59" s="336"/>
    </row>
    <row r="60" ht="15.75" customHeight="1">
      <c r="A60" s="336"/>
      <c r="B60" s="336"/>
      <c r="C60" s="336"/>
      <c r="D60" s="336"/>
      <c r="E60" s="336"/>
      <c r="F60" s="336"/>
      <c r="G60" s="336"/>
    </row>
    <row r="61" ht="15.75" customHeight="1">
      <c r="A61" s="336"/>
      <c r="B61" s="336"/>
      <c r="C61" s="336"/>
      <c r="D61" s="336"/>
      <c r="E61" s="336"/>
      <c r="F61" s="336"/>
      <c r="G61" s="336"/>
    </row>
    <row r="62" ht="15.75" customHeight="1">
      <c r="A62" s="336"/>
      <c r="B62" s="336"/>
      <c r="C62" s="336"/>
      <c r="D62" s="336"/>
      <c r="E62" s="336"/>
      <c r="F62" s="336"/>
      <c r="G62" s="336"/>
    </row>
    <row r="63" ht="15.75" customHeight="1">
      <c r="A63" s="336"/>
      <c r="B63" s="336"/>
      <c r="C63" s="336"/>
      <c r="D63" s="336"/>
      <c r="E63" s="336"/>
      <c r="F63" s="336"/>
      <c r="G63" s="336"/>
    </row>
    <row r="64" ht="15.75" customHeight="1">
      <c r="A64" s="336"/>
      <c r="B64" s="336"/>
      <c r="C64" s="336"/>
      <c r="D64" s="336"/>
      <c r="E64" s="336"/>
      <c r="F64" s="336"/>
      <c r="G64" s="336"/>
    </row>
    <row r="65" ht="15.75" customHeight="1">
      <c r="A65" s="336"/>
      <c r="B65" s="336"/>
      <c r="C65" s="336"/>
      <c r="D65" s="336"/>
      <c r="E65" s="336"/>
      <c r="F65" s="336"/>
      <c r="G65" s="336"/>
    </row>
    <row r="66" ht="15.75" customHeight="1">
      <c r="A66" s="336"/>
      <c r="B66" s="336"/>
      <c r="C66" s="336"/>
      <c r="D66" s="336"/>
      <c r="E66" s="336"/>
      <c r="F66" s="336"/>
      <c r="G66" s="336"/>
    </row>
    <row r="67" ht="15.75" customHeight="1">
      <c r="A67" s="336"/>
      <c r="B67" s="336"/>
      <c r="C67" s="336"/>
      <c r="D67" s="336"/>
      <c r="E67" s="336"/>
      <c r="F67" s="336"/>
      <c r="G67" s="336"/>
    </row>
    <row r="68" ht="15.75" customHeight="1">
      <c r="A68" s="336"/>
      <c r="B68" s="336"/>
      <c r="C68" s="336"/>
      <c r="D68" s="336"/>
      <c r="E68" s="336"/>
      <c r="F68" s="336"/>
      <c r="G68" s="336"/>
    </row>
    <row r="69" ht="15.75" customHeight="1">
      <c r="A69" s="336"/>
      <c r="B69" s="336"/>
      <c r="C69" s="336"/>
      <c r="D69" s="336"/>
      <c r="E69" s="336"/>
      <c r="F69" s="336"/>
      <c r="G69" s="336"/>
    </row>
    <row r="70" ht="15.75" customHeight="1">
      <c r="A70" s="336"/>
      <c r="B70" s="336"/>
      <c r="C70" s="336"/>
      <c r="D70" s="336"/>
      <c r="E70" s="336"/>
      <c r="F70" s="336"/>
      <c r="G70" s="336"/>
    </row>
    <row r="71" ht="15.75" customHeight="1">
      <c r="A71" s="336"/>
      <c r="B71" s="336"/>
      <c r="C71" s="336"/>
      <c r="D71" s="336"/>
      <c r="E71" s="336"/>
      <c r="F71" s="336"/>
      <c r="G71" s="336"/>
    </row>
    <row r="72" ht="15.75" customHeight="1">
      <c r="A72" s="336"/>
      <c r="B72" s="336"/>
      <c r="C72" s="336"/>
      <c r="D72" s="336"/>
      <c r="E72" s="336"/>
      <c r="F72" s="336"/>
      <c r="G72" s="336"/>
    </row>
    <row r="73" ht="15.75" customHeight="1">
      <c r="A73" s="336"/>
      <c r="B73" s="336"/>
      <c r="C73" s="336"/>
      <c r="D73" s="336"/>
      <c r="E73" s="336"/>
      <c r="F73" s="336"/>
      <c r="G73" s="336"/>
    </row>
    <row r="74" ht="15.75" customHeight="1">
      <c r="A74" s="336"/>
      <c r="B74" s="336"/>
      <c r="C74" s="336"/>
      <c r="D74" s="336"/>
      <c r="E74" s="336"/>
      <c r="F74" s="336"/>
      <c r="G74" s="336"/>
    </row>
    <row r="75" ht="15.75" customHeight="1">
      <c r="A75" s="336"/>
      <c r="B75" s="336"/>
      <c r="C75" s="336"/>
      <c r="D75" s="336"/>
      <c r="E75" s="336"/>
      <c r="F75" s="336"/>
      <c r="G75" s="336"/>
    </row>
    <row r="76" ht="15.75" customHeight="1">
      <c r="A76" s="336"/>
      <c r="B76" s="336"/>
      <c r="C76" s="336"/>
      <c r="D76" s="336"/>
      <c r="E76" s="336"/>
      <c r="F76" s="336"/>
      <c r="G76" s="336"/>
    </row>
    <row r="77" ht="15.75" customHeight="1">
      <c r="A77" s="336"/>
      <c r="B77" s="336"/>
      <c r="C77" s="336"/>
      <c r="D77" s="336"/>
      <c r="E77" s="336"/>
      <c r="F77" s="336"/>
      <c r="G77" s="336"/>
    </row>
    <row r="78" ht="15.75" customHeight="1">
      <c r="A78" s="336"/>
      <c r="B78" s="336"/>
      <c r="C78" s="336"/>
      <c r="D78" s="336"/>
      <c r="E78" s="336"/>
      <c r="F78" s="336"/>
      <c r="G78" s="336"/>
    </row>
    <row r="79" ht="15.75" customHeight="1">
      <c r="A79" s="336"/>
      <c r="B79" s="336"/>
      <c r="C79" s="336"/>
      <c r="D79" s="336"/>
      <c r="E79" s="336"/>
      <c r="F79" s="336"/>
      <c r="G79" s="336"/>
    </row>
    <row r="80" ht="15.75" customHeight="1">
      <c r="A80" s="336"/>
      <c r="B80" s="336"/>
      <c r="C80" s="336"/>
      <c r="D80" s="336"/>
      <c r="E80" s="336"/>
      <c r="F80" s="336"/>
      <c r="G80" s="336"/>
    </row>
    <row r="81" ht="15.75" customHeight="1">
      <c r="A81" s="336"/>
      <c r="B81" s="336"/>
      <c r="C81" s="336"/>
      <c r="D81" s="336"/>
      <c r="E81" s="336"/>
      <c r="F81" s="336"/>
      <c r="G81" s="336"/>
    </row>
    <row r="82" ht="15.75" customHeight="1">
      <c r="A82" s="336"/>
      <c r="B82" s="336"/>
      <c r="C82" s="336"/>
      <c r="D82" s="336"/>
      <c r="E82" s="336"/>
      <c r="F82" s="336"/>
      <c r="G82" s="336"/>
    </row>
    <row r="83" ht="15.75" customHeight="1">
      <c r="A83" s="336"/>
      <c r="B83" s="336"/>
      <c r="C83" s="336"/>
      <c r="D83" s="336"/>
      <c r="E83" s="336"/>
      <c r="F83" s="336"/>
      <c r="G83" s="336"/>
    </row>
    <row r="84" ht="15.75" customHeight="1">
      <c r="A84" s="336"/>
      <c r="B84" s="336"/>
      <c r="C84" s="336"/>
      <c r="D84" s="336"/>
      <c r="E84" s="336"/>
      <c r="F84" s="336"/>
      <c r="G84" s="336"/>
    </row>
    <row r="85" ht="15.75" customHeight="1">
      <c r="A85" s="336"/>
      <c r="B85" s="336"/>
      <c r="C85" s="336"/>
      <c r="D85" s="336"/>
      <c r="E85" s="336"/>
      <c r="F85" s="336"/>
      <c r="G85" s="336"/>
    </row>
    <row r="86" ht="15.75" customHeight="1">
      <c r="A86" s="336"/>
      <c r="B86" s="336"/>
      <c r="C86" s="336"/>
      <c r="D86" s="336"/>
      <c r="E86" s="336"/>
      <c r="F86" s="336"/>
      <c r="G86" s="336"/>
    </row>
    <row r="87" ht="15.75" customHeight="1">
      <c r="A87" s="336"/>
      <c r="B87" s="336"/>
      <c r="C87" s="336"/>
      <c r="D87" s="336"/>
      <c r="E87" s="336"/>
      <c r="F87" s="336"/>
      <c r="G87" s="336"/>
    </row>
    <row r="88" ht="15.75" customHeight="1">
      <c r="A88" s="336"/>
      <c r="B88" s="336"/>
      <c r="C88" s="336"/>
      <c r="D88" s="336"/>
      <c r="E88" s="336"/>
      <c r="F88" s="336"/>
      <c r="G88" s="336"/>
    </row>
    <row r="89" ht="15.75" customHeight="1">
      <c r="A89" s="336"/>
      <c r="B89" s="336"/>
      <c r="C89" s="336"/>
      <c r="D89" s="336"/>
      <c r="E89" s="336"/>
      <c r="F89" s="336"/>
      <c r="G89" s="336"/>
    </row>
    <row r="90" ht="15.75" customHeight="1">
      <c r="A90" s="336"/>
      <c r="B90" s="336"/>
      <c r="C90" s="336"/>
      <c r="D90" s="336"/>
      <c r="E90" s="336"/>
      <c r="F90" s="336"/>
      <c r="G90" s="336"/>
    </row>
    <row r="91" ht="15.75" customHeight="1">
      <c r="A91" s="336"/>
      <c r="B91" s="336"/>
      <c r="C91" s="336"/>
      <c r="D91" s="336"/>
      <c r="E91" s="336"/>
      <c r="F91" s="336"/>
      <c r="G91" s="336"/>
    </row>
    <row r="92" ht="15.75" customHeight="1">
      <c r="A92" s="336"/>
      <c r="B92" s="336"/>
      <c r="C92" s="336"/>
      <c r="D92" s="336"/>
      <c r="E92" s="336"/>
      <c r="F92" s="336"/>
      <c r="G92" s="336"/>
    </row>
    <row r="93" ht="15.75" customHeight="1">
      <c r="A93" s="336"/>
      <c r="B93" s="336"/>
      <c r="C93" s="336"/>
      <c r="D93" s="336"/>
      <c r="E93" s="336"/>
      <c r="F93" s="336"/>
      <c r="G93" s="336"/>
    </row>
    <row r="94" ht="15.75" customHeight="1">
      <c r="A94" s="336"/>
      <c r="B94" s="336"/>
      <c r="C94" s="336"/>
      <c r="D94" s="336"/>
      <c r="E94" s="336"/>
      <c r="F94" s="336"/>
      <c r="G94" s="336"/>
    </row>
    <row r="95" ht="15.75" customHeight="1">
      <c r="A95" s="336"/>
      <c r="B95" s="336"/>
      <c r="C95" s="336"/>
      <c r="D95" s="336"/>
      <c r="E95" s="336"/>
      <c r="F95" s="336"/>
      <c r="G95" s="336"/>
    </row>
    <row r="96" ht="15.75" customHeight="1">
      <c r="A96" s="336"/>
      <c r="B96" s="336"/>
      <c r="C96" s="336"/>
      <c r="D96" s="336"/>
      <c r="E96" s="336"/>
      <c r="F96" s="336"/>
      <c r="G96" s="336"/>
    </row>
    <row r="97" ht="15.75" customHeight="1">
      <c r="A97" s="336"/>
      <c r="B97" s="336"/>
      <c r="C97" s="336"/>
      <c r="D97" s="336"/>
      <c r="E97" s="336"/>
      <c r="F97" s="336"/>
      <c r="G97" s="336"/>
    </row>
    <row r="98" ht="15.75" customHeight="1">
      <c r="A98" s="336"/>
      <c r="B98" s="336"/>
      <c r="C98" s="336"/>
      <c r="D98" s="336"/>
      <c r="E98" s="336"/>
      <c r="F98" s="336"/>
      <c r="G98" s="336"/>
    </row>
    <row r="99" ht="15.75" customHeight="1">
      <c r="A99" s="336"/>
      <c r="B99" s="336"/>
      <c r="C99" s="336"/>
      <c r="D99" s="336"/>
      <c r="E99" s="336"/>
      <c r="F99" s="336"/>
      <c r="G99" s="336"/>
    </row>
    <row r="100" ht="15.75" customHeight="1">
      <c r="A100" s="336"/>
      <c r="B100" s="336"/>
      <c r="C100" s="336"/>
      <c r="D100" s="336"/>
      <c r="E100" s="336"/>
      <c r="F100" s="336"/>
      <c r="G100" s="336"/>
    </row>
    <row r="101" ht="15.75" customHeight="1">
      <c r="A101" s="336"/>
      <c r="B101" s="336"/>
      <c r="C101" s="336"/>
      <c r="D101" s="336"/>
      <c r="E101" s="336"/>
      <c r="F101" s="336"/>
      <c r="G101" s="336"/>
    </row>
    <row r="102" ht="15.75" customHeight="1">
      <c r="A102" s="336"/>
      <c r="B102" s="336"/>
      <c r="C102" s="336"/>
      <c r="D102" s="336"/>
      <c r="E102" s="336"/>
      <c r="F102" s="336"/>
      <c r="G102" s="336"/>
    </row>
    <row r="103" ht="15.75" customHeight="1">
      <c r="A103" s="336"/>
      <c r="B103" s="336"/>
      <c r="C103" s="336"/>
      <c r="D103" s="336"/>
      <c r="E103" s="336"/>
      <c r="F103" s="336"/>
      <c r="G103" s="336"/>
    </row>
    <row r="104" ht="15.75" customHeight="1">
      <c r="A104" s="336"/>
      <c r="B104" s="336"/>
      <c r="C104" s="336"/>
      <c r="D104" s="336"/>
      <c r="E104" s="336"/>
      <c r="F104" s="336"/>
      <c r="G104" s="336"/>
    </row>
    <row r="105" ht="15.75" customHeight="1">
      <c r="A105" s="336"/>
      <c r="B105" s="336"/>
      <c r="C105" s="336"/>
      <c r="D105" s="336"/>
      <c r="E105" s="336"/>
      <c r="F105" s="336"/>
      <c r="G105" s="336"/>
    </row>
    <row r="106" ht="15.75" customHeight="1">
      <c r="A106" s="336"/>
      <c r="B106" s="336"/>
      <c r="C106" s="336"/>
      <c r="D106" s="336"/>
      <c r="E106" s="336"/>
      <c r="F106" s="336"/>
      <c r="G106" s="336"/>
    </row>
    <row r="107" ht="15.75" customHeight="1">
      <c r="A107" s="336"/>
      <c r="B107" s="336"/>
      <c r="C107" s="336"/>
      <c r="D107" s="336"/>
      <c r="E107" s="336"/>
      <c r="F107" s="336"/>
      <c r="G107" s="336"/>
    </row>
    <row r="108" ht="15.75" customHeight="1">
      <c r="A108" s="336"/>
      <c r="B108" s="336"/>
      <c r="C108" s="336"/>
      <c r="D108" s="336"/>
      <c r="E108" s="336"/>
      <c r="F108" s="336"/>
      <c r="G108" s="336"/>
    </row>
    <row r="109" ht="15.75" customHeight="1">
      <c r="A109" s="336"/>
      <c r="B109" s="336"/>
      <c r="C109" s="336"/>
      <c r="D109" s="336"/>
      <c r="E109" s="336"/>
      <c r="F109" s="336"/>
      <c r="G109" s="336"/>
    </row>
    <row r="110" ht="15.75" customHeight="1">
      <c r="A110" s="336"/>
      <c r="B110" s="336"/>
      <c r="C110" s="336"/>
      <c r="D110" s="336"/>
      <c r="E110" s="336"/>
      <c r="F110" s="336"/>
      <c r="G110" s="336"/>
    </row>
    <row r="111" ht="15.75" customHeight="1">
      <c r="A111" s="336"/>
      <c r="B111" s="336"/>
      <c r="C111" s="336"/>
      <c r="D111" s="336"/>
      <c r="E111" s="336"/>
      <c r="F111" s="336"/>
      <c r="G111" s="336"/>
    </row>
    <row r="112" ht="15.75" customHeight="1">
      <c r="A112" s="336"/>
      <c r="B112" s="336"/>
      <c r="C112" s="336"/>
      <c r="D112" s="336"/>
      <c r="E112" s="336"/>
      <c r="F112" s="336"/>
      <c r="G112" s="336"/>
    </row>
    <row r="113" ht="15.75" customHeight="1">
      <c r="A113" s="336"/>
      <c r="B113" s="336"/>
      <c r="C113" s="336"/>
      <c r="D113" s="336"/>
      <c r="E113" s="336"/>
      <c r="F113" s="336"/>
      <c r="G113" s="336"/>
    </row>
    <row r="114" ht="15.75" customHeight="1">
      <c r="A114" s="336"/>
      <c r="B114" s="336"/>
      <c r="C114" s="336"/>
      <c r="D114" s="336"/>
      <c r="E114" s="336"/>
      <c r="F114" s="336"/>
      <c r="G114" s="336"/>
    </row>
    <row r="115" ht="15.75" customHeight="1">
      <c r="A115" s="336"/>
      <c r="B115" s="336"/>
      <c r="C115" s="336"/>
      <c r="D115" s="336"/>
      <c r="E115" s="336"/>
      <c r="F115" s="336"/>
      <c r="G115" s="336"/>
    </row>
    <row r="116" ht="15.75" customHeight="1">
      <c r="A116" s="336"/>
      <c r="B116" s="336"/>
      <c r="C116" s="336"/>
      <c r="D116" s="336"/>
      <c r="E116" s="336"/>
      <c r="F116" s="336"/>
      <c r="G116" s="336"/>
    </row>
    <row r="117" ht="15.75" customHeight="1">
      <c r="A117" s="336"/>
      <c r="B117" s="336"/>
      <c r="C117" s="336"/>
      <c r="D117" s="336"/>
      <c r="E117" s="336"/>
      <c r="F117" s="336"/>
      <c r="G117" s="336"/>
    </row>
    <row r="118" ht="15.75" customHeight="1">
      <c r="A118" s="336"/>
      <c r="B118" s="336"/>
      <c r="C118" s="336"/>
      <c r="D118" s="336"/>
      <c r="E118" s="336"/>
      <c r="F118" s="336"/>
      <c r="G118" s="336"/>
    </row>
    <row r="119" ht="15.75" customHeight="1">
      <c r="A119" s="336"/>
      <c r="B119" s="336"/>
      <c r="C119" s="336"/>
      <c r="D119" s="336"/>
      <c r="E119" s="336"/>
      <c r="F119" s="336"/>
      <c r="G119" s="336"/>
    </row>
    <row r="120" ht="15.75" customHeight="1">
      <c r="A120" s="336"/>
      <c r="B120" s="336"/>
      <c r="C120" s="336"/>
      <c r="D120" s="336"/>
      <c r="E120" s="336"/>
      <c r="F120" s="336"/>
      <c r="G120" s="336"/>
    </row>
    <row r="121" ht="15.75" customHeight="1">
      <c r="A121" s="336"/>
      <c r="B121" s="336"/>
      <c r="C121" s="336"/>
      <c r="D121" s="336"/>
      <c r="E121" s="336"/>
      <c r="F121" s="336"/>
      <c r="G121" s="336"/>
    </row>
    <row r="122" ht="15.75" customHeight="1">
      <c r="A122" s="336"/>
      <c r="B122" s="336"/>
      <c r="C122" s="336"/>
      <c r="D122" s="336"/>
      <c r="E122" s="336"/>
      <c r="F122" s="336"/>
      <c r="G122" s="336"/>
    </row>
    <row r="123" ht="15.75" customHeight="1">
      <c r="A123" s="336"/>
      <c r="B123" s="336"/>
      <c r="C123" s="336"/>
      <c r="D123" s="336"/>
      <c r="E123" s="336"/>
      <c r="F123" s="336"/>
      <c r="G123" s="336"/>
    </row>
    <row r="124" ht="15.75" customHeight="1">
      <c r="A124" s="336"/>
      <c r="B124" s="336"/>
      <c r="C124" s="336"/>
      <c r="D124" s="336"/>
      <c r="E124" s="336"/>
      <c r="F124" s="336"/>
      <c r="G124" s="336"/>
    </row>
    <row r="125" ht="15.75" customHeight="1">
      <c r="A125" s="336"/>
      <c r="B125" s="336"/>
      <c r="C125" s="336"/>
      <c r="D125" s="336"/>
      <c r="E125" s="336"/>
      <c r="F125" s="336"/>
      <c r="G125" s="336"/>
    </row>
    <row r="126" ht="15.75" customHeight="1">
      <c r="A126" s="336"/>
      <c r="B126" s="336"/>
      <c r="C126" s="336"/>
      <c r="D126" s="336"/>
      <c r="E126" s="336"/>
      <c r="F126" s="336"/>
      <c r="G126" s="336"/>
    </row>
    <row r="127" ht="15.75" customHeight="1">
      <c r="A127" s="336"/>
      <c r="B127" s="336"/>
      <c r="C127" s="336"/>
      <c r="D127" s="336"/>
      <c r="E127" s="336"/>
      <c r="F127" s="336"/>
      <c r="G127" s="336"/>
    </row>
    <row r="128" ht="15.75" customHeight="1">
      <c r="A128" s="336"/>
      <c r="B128" s="336"/>
      <c r="C128" s="336"/>
      <c r="D128" s="336"/>
      <c r="E128" s="336"/>
      <c r="F128" s="336"/>
      <c r="G128" s="336"/>
    </row>
    <row r="129" ht="15.75" customHeight="1">
      <c r="A129" s="336"/>
      <c r="B129" s="336"/>
      <c r="C129" s="336"/>
      <c r="D129" s="336"/>
      <c r="E129" s="336"/>
      <c r="F129" s="336"/>
      <c r="G129" s="336"/>
    </row>
    <row r="130" ht="15.75" customHeight="1">
      <c r="A130" s="336"/>
      <c r="B130" s="336"/>
      <c r="C130" s="336"/>
      <c r="D130" s="336"/>
      <c r="E130" s="336"/>
      <c r="F130" s="336"/>
      <c r="G130" s="336"/>
    </row>
    <row r="131" ht="15.75" customHeight="1">
      <c r="A131" s="336"/>
      <c r="B131" s="336"/>
      <c r="C131" s="336"/>
      <c r="D131" s="336"/>
      <c r="E131" s="336"/>
      <c r="F131" s="336"/>
      <c r="G131" s="336"/>
    </row>
    <row r="132" ht="15.75" customHeight="1">
      <c r="A132" s="336"/>
      <c r="B132" s="336"/>
      <c r="C132" s="336"/>
      <c r="D132" s="336"/>
      <c r="E132" s="336"/>
      <c r="F132" s="336"/>
      <c r="G132" s="336"/>
    </row>
    <row r="133" ht="15.75" customHeight="1">
      <c r="A133" s="336"/>
      <c r="B133" s="336"/>
      <c r="C133" s="336"/>
      <c r="D133" s="336"/>
      <c r="E133" s="336"/>
      <c r="F133" s="336"/>
      <c r="G133" s="336"/>
    </row>
    <row r="134" ht="15.75" customHeight="1">
      <c r="A134" s="336"/>
      <c r="B134" s="336"/>
      <c r="C134" s="336"/>
      <c r="D134" s="336"/>
      <c r="E134" s="336"/>
      <c r="F134" s="336"/>
      <c r="G134" s="336"/>
    </row>
    <row r="135" ht="15.75" customHeight="1">
      <c r="A135" s="336"/>
      <c r="B135" s="336"/>
      <c r="C135" s="336"/>
      <c r="D135" s="336"/>
      <c r="E135" s="336"/>
      <c r="F135" s="336"/>
      <c r="G135" s="336"/>
    </row>
    <row r="136" ht="15.75" customHeight="1">
      <c r="A136" s="336"/>
      <c r="B136" s="336"/>
      <c r="C136" s="336"/>
      <c r="D136" s="336"/>
      <c r="E136" s="336"/>
      <c r="F136" s="336"/>
      <c r="G136" s="336"/>
    </row>
    <row r="137" ht="15.75" customHeight="1">
      <c r="A137" s="336"/>
      <c r="B137" s="336"/>
      <c r="C137" s="336"/>
      <c r="D137" s="336"/>
      <c r="E137" s="336"/>
      <c r="F137" s="336"/>
      <c r="G137" s="336"/>
    </row>
    <row r="138" ht="15.75" customHeight="1">
      <c r="A138" s="336"/>
      <c r="B138" s="336"/>
      <c r="C138" s="336"/>
      <c r="D138" s="336"/>
      <c r="E138" s="336"/>
      <c r="F138" s="336"/>
      <c r="G138" s="336"/>
    </row>
    <row r="139" ht="15.75" customHeight="1">
      <c r="A139" s="336"/>
      <c r="B139" s="336"/>
      <c r="C139" s="336"/>
      <c r="D139" s="336"/>
      <c r="E139" s="336"/>
      <c r="F139" s="336"/>
      <c r="G139" s="336"/>
    </row>
    <row r="140" ht="15.75" customHeight="1">
      <c r="A140" s="336"/>
      <c r="B140" s="336"/>
      <c r="C140" s="336"/>
      <c r="D140" s="336"/>
      <c r="E140" s="336"/>
      <c r="F140" s="336"/>
      <c r="G140" s="336"/>
    </row>
    <row r="141" ht="15.75" customHeight="1">
      <c r="A141" s="336"/>
      <c r="B141" s="336"/>
      <c r="C141" s="336"/>
      <c r="D141" s="336"/>
      <c r="E141" s="336"/>
      <c r="F141" s="336"/>
      <c r="G141" s="336"/>
    </row>
    <row r="142" ht="15.75" customHeight="1">
      <c r="A142" s="336"/>
      <c r="B142" s="336"/>
      <c r="C142" s="336"/>
      <c r="D142" s="336"/>
      <c r="E142" s="336"/>
      <c r="F142" s="336"/>
      <c r="G142" s="336"/>
    </row>
    <row r="143" ht="15.75" customHeight="1">
      <c r="A143" s="336"/>
      <c r="B143" s="336"/>
      <c r="C143" s="336"/>
      <c r="D143" s="336"/>
      <c r="E143" s="336"/>
      <c r="F143" s="336"/>
      <c r="G143" s="336"/>
    </row>
    <row r="144" ht="15.75" customHeight="1">
      <c r="A144" s="336"/>
      <c r="B144" s="336"/>
      <c r="C144" s="336"/>
      <c r="D144" s="336"/>
      <c r="E144" s="336"/>
      <c r="F144" s="336"/>
      <c r="G144" s="336"/>
    </row>
    <row r="145" ht="15.75" customHeight="1">
      <c r="A145" s="336"/>
      <c r="B145" s="336"/>
      <c r="C145" s="336"/>
      <c r="D145" s="336"/>
      <c r="E145" s="336"/>
      <c r="F145" s="336"/>
      <c r="G145" s="336"/>
    </row>
    <row r="146" ht="15.75" customHeight="1">
      <c r="A146" s="336"/>
      <c r="B146" s="336"/>
      <c r="C146" s="336"/>
      <c r="D146" s="336"/>
      <c r="E146" s="336"/>
      <c r="F146" s="336"/>
      <c r="G146" s="336"/>
    </row>
    <row r="147" ht="15.75" customHeight="1">
      <c r="A147" s="336"/>
      <c r="B147" s="336"/>
      <c r="C147" s="336"/>
      <c r="D147" s="336"/>
      <c r="E147" s="336"/>
      <c r="F147" s="336"/>
      <c r="G147" s="336"/>
    </row>
    <row r="148" ht="15.75" customHeight="1">
      <c r="A148" s="336"/>
      <c r="B148" s="336"/>
      <c r="C148" s="336"/>
      <c r="D148" s="336"/>
      <c r="E148" s="336"/>
      <c r="F148" s="336"/>
      <c r="G148" s="336"/>
    </row>
    <row r="149" ht="15.75" customHeight="1">
      <c r="A149" s="336"/>
      <c r="B149" s="336"/>
      <c r="C149" s="336"/>
      <c r="D149" s="336"/>
      <c r="E149" s="336"/>
      <c r="F149" s="336"/>
      <c r="G149" s="336"/>
    </row>
    <row r="150" ht="15.75" customHeight="1">
      <c r="A150" s="336"/>
      <c r="B150" s="336"/>
      <c r="C150" s="336"/>
      <c r="D150" s="336"/>
      <c r="E150" s="336"/>
      <c r="F150" s="336"/>
      <c r="G150" s="336"/>
    </row>
    <row r="151" ht="15.75" customHeight="1">
      <c r="A151" s="336"/>
      <c r="B151" s="336"/>
      <c r="C151" s="336"/>
      <c r="D151" s="336"/>
      <c r="E151" s="336"/>
      <c r="F151" s="336"/>
      <c r="G151" s="336"/>
    </row>
    <row r="152" ht="15.75" customHeight="1">
      <c r="A152" s="336"/>
      <c r="B152" s="336"/>
      <c r="C152" s="336"/>
      <c r="D152" s="336"/>
      <c r="E152" s="336"/>
      <c r="F152" s="336"/>
      <c r="G152" s="336"/>
    </row>
    <row r="153" ht="15.75" customHeight="1">
      <c r="A153" s="336"/>
      <c r="B153" s="336"/>
      <c r="C153" s="336"/>
      <c r="D153" s="336"/>
      <c r="E153" s="336"/>
      <c r="F153" s="336"/>
      <c r="G153" s="336"/>
    </row>
    <row r="154" ht="15.75" customHeight="1">
      <c r="A154" s="336"/>
      <c r="B154" s="336"/>
      <c r="C154" s="336"/>
      <c r="D154" s="336"/>
      <c r="E154" s="336"/>
      <c r="F154" s="336"/>
      <c r="G154" s="336"/>
    </row>
    <row r="155" ht="15.75" customHeight="1">
      <c r="A155" s="336"/>
      <c r="B155" s="336"/>
      <c r="C155" s="336"/>
      <c r="D155" s="336"/>
      <c r="E155" s="336"/>
      <c r="F155" s="336"/>
      <c r="G155" s="336"/>
    </row>
    <row r="156" ht="15.75" customHeight="1">
      <c r="A156" s="336"/>
      <c r="B156" s="336"/>
      <c r="C156" s="336"/>
      <c r="D156" s="336"/>
      <c r="E156" s="336"/>
      <c r="F156" s="336"/>
      <c r="G156" s="336"/>
    </row>
    <row r="157" ht="15.75" customHeight="1">
      <c r="A157" s="336"/>
      <c r="B157" s="336"/>
      <c r="C157" s="336"/>
      <c r="D157" s="336"/>
      <c r="E157" s="336"/>
      <c r="F157" s="336"/>
      <c r="G157" s="336"/>
    </row>
    <row r="158" ht="15.75" customHeight="1">
      <c r="A158" s="336"/>
      <c r="B158" s="336"/>
      <c r="C158" s="336"/>
      <c r="D158" s="336"/>
      <c r="E158" s="336"/>
      <c r="F158" s="336"/>
      <c r="G158" s="336"/>
    </row>
    <row r="159" ht="15.75" customHeight="1">
      <c r="A159" s="336"/>
      <c r="B159" s="336"/>
      <c r="C159" s="336"/>
      <c r="D159" s="336"/>
      <c r="E159" s="336"/>
      <c r="F159" s="336"/>
      <c r="G159" s="336"/>
    </row>
    <row r="160" ht="15.75" customHeight="1">
      <c r="A160" s="336"/>
      <c r="B160" s="336"/>
      <c r="C160" s="336"/>
      <c r="D160" s="336"/>
      <c r="E160" s="336"/>
      <c r="F160" s="336"/>
      <c r="G160" s="336"/>
    </row>
    <row r="161" ht="15.75" customHeight="1">
      <c r="A161" s="336"/>
      <c r="B161" s="336"/>
      <c r="C161" s="336"/>
      <c r="D161" s="336"/>
      <c r="E161" s="336"/>
      <c r="F161" s="336"/>
      <c r="G161" s="336"/>
    </row>
    <row r="162" ht="15.75" customHeight="1">
      <c r="A162" s="336"/>
      <c r="B162" s="336"/>
      <c r="C162" s="336"/>
      <c r="D162" s="336"/>
      <c r="E162" s="336"/>
      <c r="F162" s="336"/>
      <c r="G162" s="336"/>
    </row>
    <row r="163" ht="15.75" customHeight="1">
      <c r="A163" s="336"/>
      <c r="B163" s="336"/>
      <c r="C163" s="336"/>
      <c r="D163" s="336"/>
      <c r="E163" s="336"/>
      <c r="F163" s="336"/>
      <c r="G163" s="336"/>
    </row>
    <row r="164" ht="15.75" customHeight="1">
      <c r="A164" s="336"/>
      <c r="B164" s="336"/>
      <c r="C164" s="336"/>
      <c r="D164" s="336"/>
      <c r="E164" s="336"/>
      <c r="F164" s="336"/>
      <c r="G164" s="336"/>
    </row>
    <row r="165" ht="15.75" customHeight="1">
      <c r="A165" s="336"/>
      <c r="B165" s="336"/>
      <c r="C165" s="336"/>
      <c r="D165" s="336"/>
      <c r="E165" s="336"/>
      <c r="F165" s="336"/>
      <c r="G165" s="336"/>
    </row>
    <row r="166" ht="15.75" customHeight="1">
      <c r="A166" s="336"/>
      <c r="B166" s="336"/>
      <c r="C166" s="336"/>
      <c r="D166" s="336"/>
      <c r="E166" s="336"/>
      <c r="F166" s="336"/>
      <c r="G166" s="336"/>
    </row>
    <row r="167" ht="15.75" customHeight="1">
      <c r="A167" s="336"/>
      <c r="B167" s="336"/>
      <c r="C167" s="336"/>
      <c r="D167" s="336"/>
      <c r="E167" s="336"/>
      <c r="F167" s="336"/>
      <c r="G167" s="336"/>
    </row>
    <row r="168" ht="15.75" customHeight="1">
      <c r="A168" s="336"/>
      <c r="B168" s="336"/>
      <c r="C168" s="336"/>
      <c r="D168" s="336"/>
      <c r="E168" s="336"/>
      <c r="F168" s="336"/>
      <c r="G168" s="336"/>
    </row>
    <row r="169" ht="15.75" customHeight="1">
      <c r="A169" s="336"/>
      <c r="B169" s="336"/>
      <c r="C169" s="336"/>
      <c r="D169" s="336"/>
      <c r="E169" s="336"/>
      <c r="F169" s="336"/>
      <c r="G169" s="336"/>
    </row>
    <row r="170" ht="15.75" customHeight="1">
      <c r="A170" s="336"/>
      <c r="B170" s="336"/>
      <c r="C170" s="336"/>
      <c r="D170" s="336"/>
      <c r="E170" s="336"/>
      <c r="F170" s="336"/>
      <c r="G170" s="336"/>
    </row>
    <row r="171" ht="15.75" customHeight="1">
      <c r="A171" s="336"/>
      <c r="B171" s="336"/>
      <c r="C171" s="336"/>
      <c r="D171" s="336"/>
      <c r="E171" s="336"/>
      <c r="F171" s="336"/>
      <c r="G171" s="336"/>
    </row>
    <row r="172" ht="15.75" customHeight="1">
      <c r="A172" s="336"/>
      <c r="B172" s="336"/>
      <c r="C172" s="336"/>
      <c r="D172" s="336"/>
      <c r="E172" s="336"/>
      <c r="F172" s="336"/>
      <c r="G172" s="336"/>
    </row>
    <row r="173" ht="15.75" customHeight="1">
      <c r="A173" s="336"/>
      <c r="B173" s="336"/>
      <c r="C173" s="336"/>
      <c r="D173" s="336"/>
      <c r="E173" s="336"/>
      <c r="F173" s="336"/>
      <c r="G173" s="336"/>
    </row>
    <row r="174" ht="15.75" customHeight="1">
      <c r="A174" s="336"/>
      <c r="B174" s="336"/>
      <c r="C174" s="336"/>
      <c r="D174" s="336"/>
      <c r="E174" s="336"/>
      <c r="F174" s="336"/>
      <c r="G174" s="336"/>
    </row>
    <row r="175" ht="15.75" customHeight="1">
      <c r="A175" s="336"/>
      <c r="B175" s="336"/>
      <c r="C175" s="336"/>
      <c r="D175" s="336"/>
      <c r="E175" s="336"/>
      <c r="F175" s="336"/>
      <c r="G175" s="336"/>
    </row>
    <row r="176" ht="15.75" customHeight="1">
      <c r="A176" s="336"/>
      <c r="B176" s="336"/>
      <c r="C176" s="336"/>
      <c r="D176" s="336"/>
      <c r="E176" s="336"/>
      <c r="F176" s="336"/>
      <c r="G176" s="336"/>
    </row>
    <row r="177" ht="15.75" customHeight="1">
      <c r="A177" s="336"/>
      <c r="B177" s="336"/>
      <c r="C177" s="336"/>
      <c r="D177" s="336"/>
      <c r="E177" s="336"/>
      <c r="F177" s="336"/>
      <c r="G177" s="336"/>
    </row>
    <row r="178" ht="15.75" customHeight="1">
      <c r="A178" s="336"/>
      <c r="B178" s="336"/>
      <c r="C178" s="336"/>
      <c r="D178" s="336"/>
      <c r="E178" s="336"/>
      <c r="F178" s="336"/>
      <c r="G178" s="336"/>
    </row>
    <row r="179" ht="15.75" customHeight="1">
      <c r="A179" s="336"/>
      <c r="B179" s="336"/>
      <c r="C179" s="336"/>
      <c r="D179" s="336"/>
      <c r="E179" s="336"/>
      <c r="F179" s="336"/>
      <c r="G179" s="336"/>
    </row>
    <row r="180" ht="15.75" customHeight="1">
      <c r="A180" s="336"/>
      <c r="B180" s="336"/>
      <c r="C180" s="336"/>
      <c r="D180" s="336"/>
      <c r="E180" s="336"/>
      <c r="F180" s="336"/>
      <c r="G180" s="336"/>
    </row>
    <row r="181" ht="15.75" customHeight="1">
      <c r="A181" s="336"/>
      <c r="B181" s="336"/>
      <c r="C181" s="336"/>
      <c r="D181" s="336"/>
      <c r="E181" s="336"/>
      <c r="F181" s="336"/>
      <c r="G181" s="336"/>
    </row>
    <row r="182" ht="15.75" customHeight="1">
      <c r="A182" s="336"/>
      <c r="B182" s="336"/>
      <c r="C182" s="336"/>
      <c r="D182" s="336"/>
      <c r="E182" s="336"/>
      <c r="F182" s="336"/>
      <c r="G182" s="336"/>
    </row>
    <row r="183" ht="15.75" customHeight="1">
      <c r="A183" s="336"/>
      <c r="B183" s="336"/>
      <c r="C183" s="336"/>
      <c r="D183" s="336"/>
      <c r="E183" s="336"/>
      <c r="F183" s="336"/>
      <c r="G183" s="336"/>
    </row>
    <row r="184" ht="15.75" customHeight="1">
      <c r="A184" s="336"/>
      <c r="B184" s="336"/>
      <c r="C184" s="336"/>
      <c r="D184" s="336"/>
      <c r="E184" s="336"/>
      <c r="F184" s="336"/>
      <c r="G184" s="336"/>
    </row>
    <row r="185" ht="15.75" customHeight="1">
      <c r="A185" s="336"/>
      <c r="B185" s="336"/>
      <c r="C185" s="336"/>
      <c r="D185" s="336"/>
      <c r="E185" s="336"/>
      <c r="F185" s="336"/>
      <c r="G185" s="336"/>
    </row>
    <row r="186" ht="15.75" customHeight="1">
      <c r="A186" s="336"/>
      <c r="B186" s="336"/>
      <c r="C186" s="336"/>
      <c r="D186" s="336"/>
      <c r="E186" s="336"/>
      <c r="F186" s="336"/>
      <c r="G186" s="336"/>
    </row>
    <row r="187" ht="15.75" customHeight="1">
      <c r="A187" s="336"/>
      <c r="B187" s="336"/>
      <c r="C187" s="336"/>
      <c r="D187" s="336"/>
      <c r="E187" s="336"/>
      <c r="F187" s="336"/>
      <c r="G187" s="336"/>
    </row>
    <row r="188" ht="15.75" customHeight="1">
      <c r="A188" s="336"/>
      <c r="B188" s="336"/>
      <c r="C188" s="336"/>
      <c r="D188" s="336"/>
      <c r="E188" s="336"/>
      <c r="F188" s="336"/>
      <c r="G188" s="336"/>
    </row>
    <row r="189" ht="15.75" customHeight="1">
      <c r="A189" s="336"/>
      <c r="B189" s="336"/>
      <c r="C189" s="336"/>
      <c r="D189" s="336"/>
      <c r="E189" s="336"/>
      <c r="F189" s="336"/>
      <c r="G189" s="336"/>
    </row>
    <row r="190" ht="15.75" customHeight="1">
      <c r="A190" s="336"/>
      <c r="B190" s="336"/>
      <c r="C190" s="336"/>
      <c r="D190" s="336"/>
      <c r="E190" s="336"/>
      <c r="F190" s="336"/>
      <c r="G190" s="336"/>
    </row>
    <row r="191" ht="15.75" customHeight="1">
      <c r="A191" s="336"/>
      <c r="B191" s="336"/>
      <c r="C191" s="336"/>
      <c r="D191" s="336"/>
      <c r="E191" s="336"/>
      <c r="F191" s="336"/>
      <c r="G191" s="336"/>
    </row>
    <row r="192" ht="15.75" customHeight="1">
      <c r="A192" s="336"/>
      <c r="B192" s="336"/>
      <c r="C192" s="336"/>
      <c r="D192" s="336"/>
      <c r="E192" s="336"/>
      <c r="F192" s="336"/>
      <c r="G192" s="336"/>
    </row>
    <row r="193" ht="15.75" customHeight="1">
      <c r="A193" s="336"/>
      <c r="B193" s="336"/>
      <c r="C193" s="336"/>
      <c r="D193" s="336"/>
      <c r="E193" s="336"/>
      <c r="F193" s="336"/>
      <c r="G193" s="336"/>
    </row>
    <row r="194" ht="15.75" customHeight="1">
      <c r="A194" s="336"/>
      <c r="B194" s="336"/>
      <c r="C194" s="336"/>
      <c r="D194" s="336"/>
      <c r="E194" s="336"/>
      <c r="F194" s="336"/>
      <c r="G194" s="336"/>
    </row>
    <row r="195" ht="15.75" customHeight="1">
      <c r="A195" s="336"/>
      <c r="B195" s="336"/>
      <c r="C195" s="336"/>
      <c r="D195" s="336"/>
      <c r="E195" s="336"/>
      <c r="F195" s="336"/>
      <c r="G195" s="336"/>
    </row>
    <row r="196" ht="15.75" customHeight="1">
      <c r="A196" s="336"/>
      <c r="B196" s="336"/>
      <c r="C196" s="336"/>
      <c r="D196" s="336"/>
      <c r="E196" s="336"/>
      <c r="F196" s="336"/>
      <c r="G196" s="336"/>
    </row>
    <row r="197" ht="15.75" customHeight="1">
      <c r="A197" s="336"/>
      <c r="B197" s="336"/>
      <c r="C197" s="336"/>
      <c r="D197" s="336"/>
      <c r="E197" s="336"/>
      <c r="F197" s="336"/>
      <c r="G197" s="336"/>
    </row>
    <row r="198" ht="15.75" customHeight="1">
      <c r="A198" s="336"/>
      <c r="B198" s="336"/>
      <c r="C198" s="336"/>
      <c r="D198" s="336"/>
      <c r="E198" s="336"/>
      <c r="F198" s="336"/>
      <c r="G198" s="336"/>
    </row>
    <row r="199" ht="15.75" customHeight="1">
      <c r="A199" s="336"/>
      <c r="B199" s="336"/>
      <c r="C199" s="336"/>
      <c r="D199" s="336"/>
      <c r="E199" s="336"/>
      <c r="F199" s="336"/>
      <c r="G199" s="336"/>
    </row>
    <row r="200" ht="15.75" customHeight="1">
      <c r="A200" s="336"/>
      <c r="B200" s="336"/>
      <c r="C200" s="336"/>
      <c r="D200" s="336"/>
      <c r="E200" s="336"/>
      <c r="F200" s="336"/>
      <c r="G200" s="336"/>
    </row>
    <row r="201" ht="15.75" customHeight="1">
      <c r="A201" s="336"/>
      <c r="B201" s="336"/>
      <c r="C201" s="336"/>
      <c r="D201" s="336"/>
      <c r="E201" s="336"/>
      <c r="F201" s="336"/>
      <c r="G201" s="336"/>
    </row>
    <row r="202" ht="15.75" customHeight="1">
      <c r="A202" s="336"/>
      <c r="B202" s="336"/>
      <c r="C202" s="336"/>
      <c r="D202" s="336"/>
      <c r="E202" s="336"/>
      <c r="F202" s="336"/>
      <c r="G202" s="336"/>
    </row>
    <row r="203" ht="15.75" customHeight="1">
      <c r="A203" s="336"/>
      <c r="B203" s="336"/>
      <c r="C203" s="336"/>
      <c r="D203" s="336"/>
      <c r="E203" s="336"/>
      <c r="F203" s="336"/>
      <c r="G203" s="336"/>
    </row>
    <row r="204" ht="15.75" customHeight="1">
      <c r="A204" s="336"/>
      <c r="B204" s="336"/>
      <c r="C204" s="336"/>
      <c r="D204" s="336"/>
      <c r="E204" s="336"/>
      <c r="F204" s="336"/>
      <c r="G204" s="336"/>
    </row>
    <row r="205" ht="15.75" customHeight="1">
      <c r="A205" s="336"/>
      <c r="B205" s="336"/>
      <c r="C205" s="336"/>
      <c r="D205" s="336"/>
      <c r="E205" s="336"/>
      <c r="F205" s="336"/>
      <c r="G205" s="336"/>
    </row>
    <row r="206" ht="15.75" customHeight="1">
      <c r="A206" s="336"/>
      <c r="B206" s="336"/>
      <c r="C206" s="336"/>
      <c r="D206" s="336"/>
      <c r="E206" s="336"/>
      <c r="F206" s="336"/>
      <c r="G206" s="336"/>
    </row>
    <row r="207" ht="15.75" customHeight="1">
      <c r="A207" s="336"/>
      <c r="B207" s="336"/>
      <c r="C207" s="336"/>
      <c r="D207" s="336"/>
      <c r="E207" s="336"/>
      <c r="F207" s="336"/>
      <c r="G207" s="336"/>
    </row>
    <row r="208" ht="15.75" customHeight="1">
      <c r="A208" s="336"/>
      <c r="B208" s="336"/>
      <c r="C208" s="336"/>
      <c r="D208" s="336"/>
      <c r="E208" s="336"/>
      <c r="F208" s="336"/>
      <c r="G208" s="336"/>
    </row>
    <row r="209" ht="15.75" customHeight="1">
      <c r="A209" s="336"/>
      <c r="B209" s="336"/>
      <c r="C209" s="336"/>
      <c r="D209" s="336"/>
      <c r="E209" s="336"/>
      <c r="F209" s="336"/>
      <c r="G209" s="336"/>
    </row>
    <row r="210" ht="15.75" customHeight="1">
      <c r="A210" s="336"/>
      <c r="B210" s="336"/>
      <c r="C210" s="336"/>
      <c r="D210" s="336"/>
      <c r="E210" s="336"/>
      <c r="F210" s="336"/>
      <c r="G210" s="336"/>
    </row>
    <row r="211" ht="15.75" customHeight="1">
      <c r="A211" s="336"/>
      <c r="B211" s="336"/>
      <c r="C211" s="336"/>
      <c r="D211" s="336"/>
      <c r="E211" s="336"/>
      <c r="F211" s="336"/>
      <c r="G211" s="336"/>
    </row>
    <row r="212" ht="15.75" customHeight="1">
      <c r="A212" s="336"/>
      <c r="B212" s="336"/>
      <c r="C212" s="336"/>
      <c r="D212" s="336"/>
      <c r="E212" s="336"/>
      <c r="F212" s="336"/>
      <c r="G212" s="336"/>
    </row>
    <row r="213" ht="15.75" customHeight="1">
      <c r="A213" s="336"/>
      <c r="B213" s="336"/>
      <c r="C213" s="336"/>
      <c r="D213" s="336"/>
      <c r="E213" s="336"/>
      <c r="F213" s="336"/>
      <c r="G213" s="336"/>
    </row>
    <row r="214" ht="15.75" customHeight="1">
      <c r="A214" s="336"/>
      <c r="B214" s="336"/>
      <c r="C214" s="336"/>
      <c r="D214" s="336"/>
      <c r="E214" s="336"/>
      <c r="F214" s="336"/>
      <c r="G214" s="336"/>
    </row>
    <row r="215" ht="15.75" customHeight="1">
      <c r="A215" s="336"/>
      <c r="B215" s="336"/>
      <c r="C215" s="336"/>
      <c r="D215" s="336"/>
      <c r="E215" s="336"/>
      <c r="F215" s="336"/>
      <c r="G215" s="336"/>
    </row>
    <row r="216" ht="15.75" customHeight="1">
      <c r="A216" s="336"/>
      <c r="B216" s="336"/>
      <c r="C216" s="336"/>
      <c r="D216" s="336"/>
      <c r="E216" s="336"/>
      <c r="F216" s="336"/>
      <c r="G216" s="336"/>
    </row>
    <row r="217" ht="15.75" customHeight="1">
      <c r="A217" s="336"/>
      <c r="B217" s="336"/>
      <c r="C217" s="336"/>
      <c r="D217" s="336"/>
      <c r="E217" s="336"/>
      <c r="F217" s="336"/>
      <c r="G217" s="336"/>
    </row>
    <row r="218" ht="15.75" customHeight="1">
      <c r="A218" s="336"/>
      <c r="B218" s="336"/>
      <c r="C218" s="336"/>
      <c r="D218" s="336"/>
      <c r="E218" s="336"/>
      <c r="F218" s="336"/>
      <c r="G218" s="336"/>
    </row>
    <row r="219" ht="15.75" customHeight="1">
      <c r="A219" s="336"/>
      <c r="B219" s="336"/>
      <c r="C219" s="336"/>
      <c r="D219" s="336"/>
      <c r="E219" s="336"/>
      <c r="F219" s="336"/>
      <c r="G219" s="336"/>
    </row>
    <row r="220" ht="15.75" customHeight="1">
      <c r="A220" s="336"/>
      <c r="B220" s="336"/>
      <c r="C220" s="336"/>
      <c r="D220" s="336"/>
      <c r="E220" s="336"/>
      <c r="F220" s="336"/>
      <c r="G220" s="336"/>
    </row>
    <row r="221" ht="15.75" customHeight="1">
      <c r="A221" s="336"/>
      <c r="B221" s="336"/>
      <c r="C221" s="336"/>
      <c r="D221" s="336"/>
      <c r="E221" s="336"/>
      <c r="F221" s="336"/>
      <c r="G221" s="336"/>
    </row>
    <row r="222" ht="15.75" customHeight="1">
      <c r="A222" s="336"/>
      <c r="B222" s="336"/>
      <c r="C222" s="336"/>
      <c r="D222" s="336"/>
      <c r="E222" s="336"/>
      <c r="F222" s="336"/>
      <c r="G222" s="336"/>
    </row>
    <row r="223" ht="15.75" customHeight="1">
      <c r="A223" s="336"/>
      <c r="B223" s="336"/>
      <c r="C223" s="336"/>
      <c r="D223" s="336"/>
      <c r="E223" s="336"/>
      <c r="F223" s="336"/>
      <c r="G223" s="336"/>
    </row>
    <row r="224" ht="15.75" customHeight="1">
      <c r="A224" s="336"/>
      <c r="B224" s="336"/>
      <c r="C224" s="336"/>
      <c r="D224" s="336"/>
      <c r="E224" s="336"/>
      <c r="F224" s="336"/>
      <c r="G224" s="336"/>
    </row>
    <row r="225" ht="15.75" customHeight="1">
      <c r="A225" s="336"/>
      <c r="B225" s="336"/>
      <c r="C225" s="336"/>
      <c r="D225" s="336"/>
      <c r="E225" s="336"/>
      <c r="F225" s="336"/>
      <c r="G225" s="336"/>
    </row>
    <row r="226" ht="15.75" customHeight="1">
      <c r="A226" s="336"/>
      <c r="B226" s="336"/>
      <c r="C226" s="336"/>
      <c r="D226" s="336"/>
      <c r="E226" s="336"/>
      <c r="F226" s="336"/>
      <c r="G226" s="336"/>
    </row>
    <row r="227" ht="15.75" customHeight="1">
      <c r="A227" s="336"/>
      <c r="B227" s="336"/>
      <c r="C227" s="336"/>
      <c r="D227" s="336"/>
      <c r="E227" s="336"/>
      <c r="F227" s="336"/>
      <c r="G227" s="336"/>
    </row>
    <row r="228" ht="15.75" customHeight="1">
      <c r="A228" s="336"/>
      <c r="B228" s="336"/>
      <c r="C228" s="336"/>
      <c r="D228" s="336"/>
      <c r="E228" s="336"/>
      <c r="F228" s="336"/>
      <c r="G228" s="336"/>
    </row>
    <row r="229" ht="15.75" customHeight="1">
      <c r="A229" s="336"/>
      <c r="B229" s="336"/>
      <c r="C229" s="336"/>
      <c r="D229" s="336"/>
      <c r="E229" s="336"/>
      <c r="F229" s="336"/>
      <c r="G229" s="336"/>
    </row>
    <row r="230" ht="15.75" customHeight="1">
      <c r="A230" s="336"/>
      <c r="B230" s="336"/>
      <c r="C230" s="336"/>
      <c r="D230" s="336"/>
      <c r="E230" s="336"/>
      <c r="F230" s="336"/>
      <c r="G230" s="336"/>
    </row>
    <row r="231" ht="15.75" customHeight="1">
      <c r="A231" s="336"/>
      <c r="B231" s="336"/>
      <c r="C231" s="336"/>
      <c r="D231" s="336"/>
      <c r="E231" s="336"/>
      <c r="F231" s="336"/>
      <c r="G231" s="336"/>
    </row>
    <row r="232" ht="15.75" customHeight="1">
      <c r="A232" s="336"/>
      <c r="B232" s="336"/>
      <c r="C232" s="336"/>
      <c r="D232" s="336"/>
      <c r="E232" s="336"/>
      <c r="F232" s="336"/>
      <c r="G232" s="336"/>
    </row>
    <row r="233" ht="15.75" customHeight="1">
      <c r="A233" s="336"/>
      <c r="B233" s="336"/>
      <c r="C233" s="336"/>
      <c r="D233" s="336"/>
      <c r="E233" s="336"/>
      <c r="F233" s="336"/>
      <c r="G233" s="336"/>
    </row>
    <row r="234" ht="15.75" customHeight="1">
      <c r="A234" s="336"/>
      <c r="B234" s="336"/>
      <c r="C234" s="336"/>
      <c r="D234" s="336"/>
      <c r="E234" s="336"/>
      <c r="F234" s="336"/>
      <c r="G234" s="336"/>
    </row>
    <row r="235" ht="15.75" customHeight="1">
      <c r="A235" s="336"/>
      <c r="B235" s="336"/>
      <c r="C235" s="336"/>
      <c r="D235" s="336"/>
      <c r="E235" s="336"/>
      <c r="F235" s="336"/>
      <c r="G235" s="336"/>
    </row>
    <row r="236" ht="15.75" customHeight="1">
      <c r="A236" s="336"/>
      <c r="B236" s="336"/>
      <c r="C236" s="336"/>
      <c r="D236" s="336"/>
      <c r="E236" s="336"/>
      <c r="F236" s="336"/>
      <c r="G236" s="336"/>
    </row>
    <row r="237" ht="15.75" customHeight="1">
      <c r="A237" s="336"/>
      <c r="B237" s="336"/>
      <c r="C237" s="336"/>
      <c r="D237" s="336"/>
      <c r="E237" s="336"/>
      <c r="F237" s="336"/>
      <c r="G237" s="336"/>
    </row>
    <row r="238" ht="15.75" customHeight="1">
      <c r="A238" s="336"/>
      <c r="B238" s="336"/>
      <c r="C238" s="336"/>
      <c r="D238" s="336"/>
      <c r="E238" s="336"/>
      <c r="F238" s="336"/>
      <c r="G238" s="336"/>
    </row>
    <row r="239" ht="15.75" customHeight="1">
      <c r="A239" s="336"/>
      <c r="B239" s="336"/>
      <c r="C239" s="336"/>
      <c r="D239" s="336"/>
      <c r="E239" s="336"/>
      <c r="F239" s="336"/>
      <c r="G239" s="336"/>
    </row>
    <row r="240" ht="15.75" customHeight="1">
      <c r="A240" s="336"/>
      <c r="B240" s="336"/>
      <c r="C240" s="336"/>
      <c r="D240" s="336"/>
      <c r="E240" s="336"/>
      <c r="F240" s="336"/>
      <c r="G240" s="336"/>
    </row>
    <row r="241" ht="15.75" customHeight="1">
      <c r="A241" s="336"/>
      <c r="B241" s="336"/>
      <c r="C241" s="336"/>
      <c r="D241" s="336"/>
      <c r="E241" s="336"/>
      <c r="F241" s="336"/>
      <c r="G241" s="336"/>
    </row>
    <row r="242" ht="15.75" customHeight="1">
      <c r="A242" s="336"/>
      <c r="B242" s="336"/>
      <c r="C242" s="336"/>
      <c r="D242" s="336"/>
      <c r="E242" s="336"/>
      <c r="F242" s="336"/>
      <c r="G242" s="336"/>
    </row>
    <row r="243" ht="15.75" customHeight="1">
      <c r="A243" s="336"/>
      <c r="B243" s="336"/>
      <c r="C243" s="336"/>
      <c r="D243" s="336"/>
      <c r="E243" s="336"/>
      <c r="F243" s="336"/>
      <c r="G243" s="336"/>
    </row>
    <row r="244" ht="15.75" customHeight="1">
      <c r="A244" s="336"/>
      <c r="B244" s="336"/>
      <c r="C244" s="336"/>
      <c r="D244" s="336"/>
      <c r="E244" s="336"/>
      <c r="F244" s="336"/>
      <c r="G244" s="336"/>
    </row>
    <row r="245" ht="15.75" customHeight="1">
      <c r="A245" s="336"/>
      <c r="B245" s="336"/>
      <c r="C245" s="336"/>
      <c r="D245" s="336"/>
      <c r="E245" s="336"/>
      <c r="F245" s="336"/>
      <c r="G245" s="336"/>
    </row>
    <row r="246" ht="15.75" customHeight="1">
      <c r="A246" s="336"/>
      <c r="B246" s="336"/>
      <c r="C246" s="336"/>
      <c r="D246" s="336"/>
      <c r="E246" s="336"/>
      <c r="F246" s="336"/>
      <c r="G246" s="336"/>
    </row>
    <row r="247" ht="15.75" customHeight="1">
      <c r="A247" s="336"/>
      <c r="B247" s="336"/>
      <c r="C247" s="336"/>
      <c r="D247" s="336"/>
      <c r="E247" s="336"/>
      <c r="F247" s="336"/>
      <c r="G247" s="336"/>
    </row>
    <row r="248" ht="15.75" customHeight="1">
      <c r="A248" s="336"/>
      <c r="B248" s="336"/>
      <c r="C248" s="336"/>
      <c r="D248" s="336"/>
      <c r="E248" s="336"/>
      <c r="F248" s="336"/>
      <c r="G248" s="336"/>
    </row>
    <row r="249" ht="15.75" customHeight="1">
      <c r="A249" s="336"/>
      <c r="B249" s="336"/>
      <c r="C249" s="336"/>
      <c r="D249" s="336"/>
      <c r="E249" s="336"/>
      <c r="F249" s="336"/>
      <c r="G249" s="336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G1"/>
    <mergeCell ref="A2:G2"/>
    <mergeCell ref="A3:G3"/>
    <mergeCell ref="A4:G4"/>
    <mergeCell ref="B5:C5"/>
    <mergeCell ref="B6:C6"/>
    <mergeCell ref="F8:G8"/>
    <mergeCell ref="F9:G9"/>
    <mergeCell ref="F16:G16"/>
    <mergeCell ref="A17:G17"/>
    <mergeCell ref="D21:G21"/>
    <mergeCell ref="D22:G22"/>
    <mergeCell ref="A25:G25"/>
    <mergeCell ref="A26:G26"/>
    <mergeCell ref="F42:G42"/>
    <mergeCell ref="D47:G47"/>
    <mergeCell ref="D48:G48"/>
    <mergeCell ref="A29:G29"/>
    <mergeCell ref="A30:G30"/>
    <mergeCell ref="B31:C31"/>
    <mergeCell ref="B32:C32"/>
    <mergeCell ref="F34:G34"/>
    <mergeCell ref="F35:G35"/>
    <mergeCell ref="A43:G43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7.75"/>
    <col customWidth="1" min="3" max="3" width="35.0"/>
    <col customWidth="1" min="4" max="6" width="12.63"/>
    <col customWidth="1" min="7" max="7" width="1.88"/>
  </cols>
  <sheetData>
    <row r="1" ht="15.75" customHeight="1">
      <c r="A1" s="295" t="s">
        <v>259</v>
      </c>
    </row>
    <row r="2" ht="15.75" customHeight="1">
      <c r="A2" s="295" t="s">
        <v>260</v>
      </c>
    </row>
    <row r="3" ht="15.75" customHeight="1">
      <c r="A3" s="296" t="s">
        <v>261</v>
      </c>
    </row>
    <row r="4" ht="15.75" customHeight="1">
      <c r="A4" s="298" t="s">
        <v>262</v>
      </c>
      <c r="B4" s="299"/>
      <c r="C4" s="299"/>
      <c r="D4" s="299"/>
      <c r="E4" s="299"/>
      <c r="F4" s="299"/>
      <c r="G4" s="299"/>
    </row>
    <row r="5" ht="15.75" customHeight="1">
      <c r="A5" s="300" t="s">
        <v>263</v>
      </c>
      <c r="B5" s="336" t="s">
        <v>264</v>
      </c>
      <c r="D5" s="300" t="s">
        <v>265</v>
      </c>
      <c r="E5" s="336"/>
      <c r="F5" s="301" t="s">
        <v>266</v>
      </c>
      <c r="G5" s="411"/>
    </row>
    <row r="6" ht="15.75" customHeight="1">
      <c r="A6" s="300" t="s">
        <v>267</v>
      </c>
      <c r="B6" s="336" t="s">
        <v>268</v>
      </c>
      <c r="D6" s="300" t="s">
        <v>269</v>
      </c>
      <c r="E6" s="336"/>
      <c r="F6" s="301" t="s">
        <v>266</v>
      </c>
      <c r="G6" s="404"/>
    </row>
    <row r="7" ht="15.75" customHeight="1">
      <c r="A7" s="388"/>
      <c r="B7" s="389"/>
      <c r="C7" s="390"/>
      <c r="D7" s="388"/>
      <c r="E7" s="389"/>
      <c r="F7" s="389"/>
      <c r="G7" s="390"/>
    </row>
    <row r="8" ht="15.75" customHeight="1">
      <c r="A8" s="307" t="s">
        <v>6</v>
      </c>
      <c r="B8" s="308" t="s">
        <v>240</v>
      </c>
      <c r="C8" s="308" t="s">
        <v>270</v>
      </c>
      <c r="D8" s="308" t="s">
        <v>271</v>
      </c>
      <c r="E8" s="308" t="s">
        <v>272</v>
      </c>
      <c r="F8" s="309" t="s">
        <v>273</v>
      </c>
      <c r="G8" s="26"/>
    </row>
    <row r="9" ht="15.75" customHeight="1">
      <c r="A9" s="391"/>
      <c r="B9" s="322" t="s">
        <v>248</v>
      </c>
      <c r="C9" s="383" t="s">
        <v>289</v>
      </c>
      <c r="D9" s="392">
        <v>1500.0</v>
      </c>
      <c r="E9" s="393">
        <v>600.0</v>
      </c>
      <c r="F9" s="394">
        <f>E9*D9</f>
        <v>900000</v>
      </c>
      <c r="G9" s="255"/>
    </row>
    <row r="10" ht="15.75" customHeight="1">
      <c r="A10" s="391"/>
      <c r="B10" s="395"/>
      <c r="C10" s="396"/>
      <c r="D10" s="395"/>
      <c r="E10" s="397"/>
      <c r="F10" s="398"/>
      <c r="G10" s="397"/>
    </row>
    <row r="11" ht="15.75" customHeight="1">
      <c r="A11" s="399"/>
      <c r="B11" s="400"/>
      <c r="C11" s="401"/>
      <c r="D11" s="400"/>
      <c r="E11" s="402"/>
      <c r="F11" s="398"/>
      <c r="G11" s="402"/>
    </row>
    <row r="12" ht="15.75" customHeight="1">
      <c r="A12" s="391"/>
      <c r="B12" s="395"/>
      <c r="C12" s="403" t="s">
        <v>274</v>
      </c>
      <c r="D12" s="404"/>
      <c r="E12" s="404"/>
      <c r="F12" s="336"/>
      <c r="G12" s="395"/>
    </row>
    <row r="13" ht="15.75" customHeight="1">
      <c r="A13" s="391"/>
      <c r="B13" s="395"/>
      <c r="C13" s="405"/>
      <c r="D13" s="404"/>
      <c r="E13" s="404"/>
      <c r="F13" s="336"/>
      <c r="G13" s="395"/>
    </row>
    <row r="14" ht="15.75" customHeight="1">
      <c r="A14" s="406"/>
      <c r="B14" s="390"/>
      <c r="C14" s="412" t="s">
        <v>275</v>
      </c>
      <c r="D14" s="390"/>
      <c r="E14" s="390"/>
      <c r="F14" s="326">
        <f>sum(F9)</f>
        <v>900000</v>
      </c>
      <c r="G14" s="26"/>
    </row>
    <row r="15" ht="15.75" customHeight="1">
      <c r="A15" s="327" t="s">
        <v>276</v>
      </c>
      <c r="B15" s="299"/>
      <c r="C15" s="299"/>
      <c r="D15" s="299"/>
      <c r="E15" s="299"/>
      <c r="F15" s="299"/>
      <c r="G15" s="26"/>
    </row>
    <row r="16" ht="15.75" customHeight="1">
      <c r="A16" s="407"/>
      <c r="B16" s="404"/>
      <c r="C16" s="404" t="s">
        <v>277</v>
      </c>
      <c r="D16" s="413" t="s">
        <v>278</v>
      </c>
      <c r="E16" s="336"/>
      <c r="F16" s="336"/>
      <c r="G16" s="404"/>
    </row>
    <row r="17" ht="15.75" customHeight="1">
      <c r="A17" s="407"/>
      <c r="B17" s="404"/>
      <c r="C17" s="404" t="s">
        <v>279</v>
      </c>
      <c r="D17" s="336"/>
      <c r="E17" s="336"/>
      <c r="F17" s="336"/>
      <c r="G17" s="404"/>
    </row>
    <row r="18" ht="15.75" customHeight="1">
      <c r="A18" s="407" t="s">
        <v>280</v>
      </c>
      <c r="B18" s="404"/>
      <c r="C18" s="404"/>
      <c r="D18" s="336"/>
      <c r="E18" s="336"/>
      <c r="F18" s="336"/>
      <c r="G18" s="404"/>
    </row>
    <row r="19" ht="15.75" customHeight="1">
      <c r="A19" s="408" t="s">
        <v>281</v>
      </c>
      <c r="B19" s="404"/>
      <c r="C19" s="331" t="s">
        <v>144</v>
      </c>
      <c r="D19" s="332" t="s">
        <v>282</v>
      </c>
      <c r="G19" s="255"/>
    </row>
    <row r="20" ht="15.75" customHeight="1">
      <c r="A20" s="408" t="s">
        <v>283</v>
      </c>
      <c r="B20" s="404"/>
      <c r="C20" s="333" t="s">
        <v>284</v>
      </c>
      <c r="D20" s="334" t="s">
        <v>151</v>
      </c>
      <c r="G20" s="255"/>
    </row>
    <row r="21" ht="15.75" customHeight="1">
      <c r="A21" s="388" t="s">
        <v>285</v>
      </c>
      <c r="B21" s="390"/>
      <c r="C21" s="335">
        <v>45299.0</v>
      </c>
      <c r="D21" s="389"/>
      <c r="E21" s="389"/>
      <c r="F21" s="389"/>
      <c r="G21" s="390"/>
    </row>
    <row r="22" ht="15.75" customHeight="1">
      <c r="A22" s="336"/>
      <c r="B22" s="336"/>
      <c r="C22" s="336"/>
      <c r="D22" s="336"/>
      <c r="E22" s="336"/>
      <c r="F22" s="336"/>
      <c r="G22" s="336"/>
    </row>
    <row r="23" ht="15.75" customHeight="1">
      <c r="A23" s="336"/>
      <c r="B23" s="336"/>
      <c r="C23" s="336"/>
      <c r="D23" s="336"/>
      <c r="E23" s="336"/>
      <c r="F23" s="336"/>
      <c r="G23" s="336"/>
    </row>
    <row r="24" ht="15.75" customHeight="1">
      <c r="A24" s="336"/>
      <c r="B24" s="336"/>
      <c r="C24" s="336"/>
      <c r="D24" s="336"/>
      <c r="E24" s="336"/>
      <c r="F24" s="336"/>
      <c r="G24" s="336"/>
    </row>
    <row r="25" ht="15.75" customHeight="1">
      <c r="A25" s="295" t="s">
        <v>259</v>
      </c>
    </row>
    <row r="26" ht="15.75" customHeight="1">
      <c r="A26" s="295" t="s">
        <v>260</v>
      </c>
    </row>
    <row r="27" ht="15.75" customHeight="1">
      <c r="A27" s="409" t="s">
        <v>261</v>
      </c>
    </row>
    <row r="28" ht="15.75" customHeight="1">
      <c r="A28" s="298" t="s">
        <v>262</v>
      </c>
      <c r="B28" s="299"/>
      <c r="C28" s="299"/>
      <c r="D28" s="299"/>
      <c r="E28" s="299"/>
      <c r="F28" s="299"/>
      <c r="G28" s="299"/>
    </row>
    <row r="29" ht="15.75" customHeight="1">
      <c r="A29" s="300" t="s">
        <v>263</v>
      </c>
      <c r="B29" s="126" t="s">
        <v>264</v>
      </c>
      <c r="D29" s="300" t="s">
        <v>265</v>
      </c>
      <c r="E29" s="126"/>
      <c r="F29" s="301" t="s">
        <v>266</v>
      </c>
      <c r="G29" s="302"/>
    </row>
    <row r="30" ht="15.75" customHeight="1">
      <c r="A30" s="300" t="s">
        <v>267</v>
      </c>
      <c r="B30" s="126" t="s">
        <v>268</v>
      </c>
      <c r="D30" s="300" t="s">
        <v>269</v>
      </c>
      <c r="E30" s="126"/>
      <c r="F30" s="301" t="s">
        <v>266</v>
      </c>
      <c r="G30" s="303"/>
    </row>
    <row r="31" ht="15.75" customHeight="1">
      <c r="A31" s="388"/>
      <c r="B31" s="389"/>
      <c r="C31" s="390"/>
      <c r="D31" s="388"/>
      <c r="E31" s="389"/>
      <c r="F31" s="389"/>
      <c r="G31" s="390"/>
    </row>
    <row r="32" ht="15.75" customHeight="1">
      <c r="A32" s="307" t="s">
        <v>6</v>
      </c>
      <c r="B32" s="308" t="s">
        <v>240</v>
      </c>
      <c r="C32" s="308" t="s">
        <v>270</v>
      </c>
      <c r="D32" s="308" t="s">
        <v>271</v>
      </c>
      <c r="E32" s="308" t="s">
        <v>272</v>
      </c>
      <c r="F32" s="309" t="s">
        <v>273</v>
      </c>
      <c r="G32" s="26"/>
    </row>
    <row r="33" ht="15.75" customHeight="1">
      <c r="A33" s="391"/>
      <c r="B33" s="322" t="str">
        <f>B9</f>
        <v>kg</v>
      </c>
      <c r="C33" s="383" t="s">
        <v>290</v>
      </c>
      <c r="D33" s="392">
        <f t="shared" ref="D33:F33" si="1">D9</f>
        <v>1500</v>
      </c>
      <c r="E33" s="393">
        <f t="shared" si="1"/>
        <v>600</v>
      </c>
      <c r="F33" s="394">
        <f t="shared" si="1"/>
        <v>900000</v>
      </c>
      <c r="G33" s="255"/>
    </row>
    <row r="34" ht="15.75" customHeight="1">
      <c r="A34" s="391"/>
      <c r="B34" s="395"/>
      <c r="C34" s="396"/>
      <c r="D34" s="395"/>
      <c r="E34" s="397"/>
      <c r="F34" s="398"/>
      <c r="G34" s="397"/>
    </row>
    <row r="35" ht="15.75" customHeight="1">
      <c r="A35" s="391"/>
      <c r="B35" s="395"/>
      <c r="C35" s="396"/>
      <c r="D35" s="395"/>
      <c r="E35" s="397"/>
      <c r="F35" s="398"/>
      <c r="G35" s="397"/>
    </row>
    <row r="36" ht="15.75" customHeight="1">
      <c r="A36" s="391"/>
      <c r="B36" s="395"/>
      <c r="C36" s="403" t="s">
        <v>274</v>
      </c>
      <c r="D36" s="404"/>
      <c r="E36" s="404"/>
      <c r="F36" s="336"/>
      <c r="G36" s="395"/>
    </row>
    <row r="37" ht="15.75" customHeight="1">
      <c r="A37" s="391"/>
      <c r="B37" s="395"/>
      <c r="C37" s="405"/>
      <c r="D37" s="404"/>
      <c r="E37" s="404"/>
      <c r="F37" s="336"/>
      <c r="G37" s="395"/>
    </row>
    <row r="38" ht="15.75" customHeight="1">
      <c r="A38" s="406"/>
      <c r="B38" s="390"/>
      <c r="C38" s="412" t="s">
        <v>275</v>
      </c>
      <c r="D38" s="390"/>
      <c r="E38" s="390"/>
      <c r="F38" s="410">
        <f>F14</f>
        <v>900000</v>
      </c>
      <c r="G38" s="26"/>
    </row>
    <row r="39" ht="15.75" customHeight="1">
      <c r="A39" s="327" t="s">
        <v>276</v>
      </c>
      <c r="B39" s="299"/>
      <c r="C39" s="299"/>
      <c r="D39" s="299"/>
      <c r="E39" s="299"/>
      <c r="F39" s="299"/>
      <c r="G39" s="26"/>
    </row>
    <row r="40" ht="15.75" customHeight="1">
      <c r="A40" s="407"/>
      <c r="B40" s="404"/>
      <c r="C40" s="404" t="s">
        <v>277</v>
      </c>
      <c r="D40" s="413" t="s">
        <v>278</v>
      </c>
      <c r="E40" s="336"/>
      <c r="F40" s="336"/>
      <c r="G40" s="404"/>
    </row>
    <row r="41" ht="15.75" customHeight="1">
      <c r="A41" s="407"/>
      <c r="B41" s="404"/>
      <c r="C41" s="404" t="s">
        <v>279</v>
      </c>
      <c r="D41" s="336"/>
      <c r="E41" s="336"/>
      <c r="F41" s="336"/>
      <c r="G41" s="404"/>
    </row>
    <row r="42" ht="15.75" customHeight="1">
      <c r="A42" s="407" t="s">
        <v>280</v>
      </c>
      <c r="B42" s="404"/>
      <c r="C42" s="404"/>
      <c r="D42" s="336"/>
      <c r="E42" s="336"/>
      <c r="F42" s="336"/>
      <c r="G42" s="404"/>
    </row>
    <row r="43" ht="15.75" customHeight="1">
      <c r="A43" s="408" t="s">
        <v>281</v>
      </c>
      <c r="B43" s="404"/>
      <c r="C43" s="331" t="s">
        <v>144</v>
      </c>
      <c r="D43" s="332" t="s">
        <v>282</v>
      </c>
      <c r="G43" s="255"/>
    </row>
    <row r="44" ht="15.75" customHeight="1">
      <c r="A44" s="408" t="s">
        <v>283</v>
      </c>
      <c r="B44" s="404"/>
      <c r="C44" s="333" t="s">
        <v>284</v>
      </c>
      <c r="D44" s="334" t="s">
        <v>151</v>
      </c>
      <c r="G44" s="255"/>
    </row>
    <row r="45" ht="15.75" customHeight="1">
      <c r="A45" s="388" t="s">
        <v>285</v>
      </c>
      <c r="B45" s="390"/>
      <c r="C45" s="335">
        <v>45299.0</v>
      </c>
      <c r="D45" s="389"/>
      <c r="E45" s="389"/>
      <c r="F45" s="389"/>
      <c r="G45" s="390"/>
    </row>
    <row r="46" ht="15.75" customHeight="1">
      <c r="A46" s="336"/>
      <c r="B46" s="336"/>
      <c r="C46" s="336"/>
      <c r="D46" s="336"/>
      <c r="E46" s="336"/>
      <c r="F46" s="336"/>
      <c r="G46" s="336"/>
    </row>
    <row r="47" ht="15.75" customHeight="1">
      <c r="A47" s="336"/>
      <c r="B47" s="336"/>
      <c r="C47" s="336"/>
      <c r="D47" s="336"/>
      <c r="E47" s="336"/>
      <c r="F47" s="336"/>
      <c r="G47" s="336"/>
    </row>
    <row r="48" ht="15.75" customHeight="1">
      <c r="A48" s="336"/>
      <c r="B48" s="336"/>
      <c r="C48" s="336"/>
      <c r="D48" s="336"/>
      <c r="E48" s="336"/>
      <c r="F48" s="336"/>
      <c r="G48" s="336"/>
    </row>
    <row r="49" ht="15.75" customHeight="1">
      <c r="A49" s="336"/>
      <c r="B49" s="336"/>
      <c r="C49" s="336"/>
      <c r="D49" s="336"/>
      <c r="E49" s="336"/>
      <c r="F49" s="336"/>
      <c r="G49" s="336"/>
    </row>
    <row r="50" ht="15.75" customHeight="1">
      <c r="A50" s="336"/>
      <c r="B50" s="336"/>
      <c r="C50" s="336"/>
      <c r="D50" s="336"/>
      <c r="E50" s="336"/>
      <c r="F50" s="336"/>
      <c r="G50" s="336"/>
    </row>
    <row r="51" ht="15.75" customHeight="1">
      <c r="A51" s="336"/>
      <c r="B51" s="336"/>
      <c r="C51" s="336"/>
      <c r="D51" s="336"/>
      <c r="E51" s="336"/>
      <c r="F51" s="336"/>
      <c r="G51" s="336"/>
    </row>
    <row r="52" ht="15.75" customHeight="1">
      <c r="A52" s="336"/>
      <c r="B52" s="336"/>
      <c r="C52" s="336"/>
      <c r="D52" s="336"/>
      <c r="E52" s="336"/>
      <c r="F52" s="336"/>
      <c r="G52" s="336"/>
    </row>
    <row r="53" ht="15.75" customHeight="1">
      <c r="A53" s="336"/>
      <c r="B53" s="336"/>
      <c r="C53" s="336"/>
      <c r="D53" s="336"/>
      <c r="E53" s="336"/>
      <c r="F53" s="336"/>
      <c r="G53" s="336"/>
    </row>
    <row r="54" ht="15.75" customHeight="1">
      <c r="A54" s="336"/>
      <c r="B54" s="336"/>
      <c r="C54" s="336"/>
      <c r="D54" s="336"/>
      <c r="E54" s="336"/>
      <c r="F54" s="336"/>
      <c r="G54" s="336"/>
    </row>
    <row r="55" ht="15.75" customHeight="1">
      <c r="A55" s="336"/>
      <c r="B55" s="336"/>
      <c r="C55" s="336"/>
      <c r="D55" s="336"/>
      <c r="E55" s="336"/>
      <c r="F55" s="336"/>
      <c r="G55" s="336"/>
    </row>
    <row r="56" ht="15.75" customHeight="1">
      <c r="A56" s="336"/>
      <c r="B56" s="336"/>
      <c r="C56" s="336"/>
      <c r="D56" s="336"/>
      <c r="E56" s="336"/>
      <c r="F56" s="336"/>
      <c r="G56" s="336"/>
    </row>
    <row r="57" ht="15.75" customHeight="1">
      <c r="A57" s="336"/>
      <c r="B57" s="336"/>
      <c r="C57" s="336"/>
      <c r="D57" s="336"/>
      <c r="E57" s="336"/>
      <c r="F57" s="336"/>
      <c r="G57" s="336"/>
    </row>
    <row r="58" ht="15.75" customHeight="1">
      <c r="A58" s="336"/>
      <c r="B58" s="336"/>
      <c r="C58" s="336"/>
      <c r="D58" s="336"/>
      <c r="E58" s="336"/>
      <c r="F58" s="336"/>
      <c r="G58" s="336"/>
    </row>
    <row r="59" ht="15.75" customHeight="1">
      <c r="A59" s="336"/>
      <c r="B59" s="336"/>
      <c r="C59" s="336"/>
      <c r="D59" s="336"/>
      <c r="E59" s="336"/>
      <c r="F59" s="336"/>
      <c r="G59" s="336"/>
    </row>
    <row r="60" ht="15.75" customHeight="1">
      <c r="A60" s="336"/>
      <c r="B60" s="336"/>
      <c r="C60" s="336"/>
      <c r="D60" s="336"/>
      <c r="E60" s="336"/>
      <c r="F60" s="336"/>
      <c r="G60" s="336"/>
    </row>
    <row r="61" ht="15.75" customHeight="1">
      <c r="A61" s="336"/>
      <c r="B61" s="336"/>
      <c r="C61" s="336"/>
      <c r="D61" s="336"/>
      <c r="E61" s="336"/>
      <c r="F61" s="336"/>
      <c r="G61" s="336"/>
    </row>
    <row r="62" ht="15.75" customHeight="1">
      <c r="A62" s="336"/>
      <c r="B62" s="336"/>
      <c r="C62" s="336"/>
      <c r="D62" s="336"/>
      <c r="E62" s="336"/>
      <c r="F62" s="336"/>
      <c r="G62" s="336"/>
    </row>
    <row r="63" ht="15.75" customHeight="1">
      <c r="A63" s="336"/>
      <c r="B63" s="336"/>
      <c r="C63" s="336"/>
      <c r="D63" s="336"/>
      <c r="E63" s="336"/>
      <c r="F63" s="336"/>
      <c r="G63" s="336"/>
    </row>
    <row r="64" ht="15.75" customHeight="1">
      <c r="A64" s="336"/>
      <c r="B64" s="336"/>
      <c r="C64" s="336"/>
      <c r="D64" s="336"/>
      <c r="E64" s="336"/>
      <c r="F64" s="336"/>
      <c r="G64" s="336"/>
    </row>
    <row r="65" ht="15.75" customHeight="1">
      <c r="A65" s="336"/>
      <c r="B65" s="336"/>
      <c r="C65" s="336"/>
      <c r="D65" s="336"/>
      <c r="E65" s="336"/>
      <c r="F65" s="336"/>
      <c r="G65" s="336"/>
    </row>
    <row r="66" ht="15.75" customHeight="1">
      <c r="A66" s="336"/>
      <c r="B66" s="336"/>
      <c r="C66" s="336"/>
      <c r="D66" s="336"/>
      <c r="E66" s="336"/>
      <c r="F66" s="336"/>
      <c r="G66" s="336"/>
    </row>
    <row r="67" ht="15.75" customHeight="1">
      <c r="A67" s="336"/>
      <c r="B67" s="336"/>
      <c r="C67" s="336"/>
      <c r="D67" s="336"/>
      <c r="E67" s="336"/>
      <c r="F67" s="336"/>
      <c r="G67" s="336"/>
    </row>
    <row r="68" ht="15.75" customHeight="1">
      <c r="A68" s="336"/>
      <c r="B68" s="336"/>
      <c r="C68" s="336"/>
      <c r="D68" s="336"/>
      <c r="E68" s="336"/>
      <c r="F68" s="336"/>
      <c r="G68" s="336"/>
    </row>
    <row r="69" ht="15.75" customHeight="1">
      <c r="A69" s="336"/>
      <c r="B69" s="336"/>
      <c r="C69" s="336"/>
      <c r="D69" s="336"/>
      <c r="E69" s="336"/>
      <c r="F69" s="336"/>
      <c r="G69" s="336"/>
    </row>
    <row r="70" ht="15.75" customHeight="1">
      <c r="A70" s="336"/>
      <c r="B70" s="336"/>
      <c r="C70" s="336"/>
      <c r="D70" s="336"/>
      <c r="E70" s="336"/>
      <c r="F70" s="336"/>
      <c r="G70" s="336"/>
    </row>
    <row r="71" ht="15.75" customHeight="1">
      <c r="A71" s="336"/>
      <c r="B71" s="336"/>
      <c r="C71" s="336"/>
      <c r="D71" s="336"/>
      <c r="E71" s="336"/>
      <c r="F71" s="336"/>
      <c r="G71" s="336"/>
    </row>
    <row r="72" ht="15.75" customHeight="1">
      <c r="A72" s="336"/>
      <c r="B72" s="336"/>
      <c r="C72" s="336"/>
      <c r="D72" s="336"/>
      <c r="E72" s="336"/>
      <c r="F72" s="336"/>
      <c r="G72" s="336"/>
    </row>
    <row r="73" ht="15.75" customHeight="1">
      <c r="A73" s="336"/>
      <c r="B73" s="336"/>
      <c r="C73" s="336"/>
      <c r="D73" s="336"/>
      <c r="E73" s="336"/>
      <c r="F73" s="336"/>
      <c r="G73" s="336"/>
    </row>
    <row r="74" ht="15.75" customHeight="1">
      <c r="A74" s="336"/>
      <c r="B74" s="336"/>
      <c r="C74" s="336"/>
      <c r="D74" s="336"/>
      <c r="E74" s="336"/>
      <c r="F74" s="336"/>
      <c r="G74" s="336"/>
    </row>
    <row r="75" ht="15.75" customHeight="1">
      <c r="A75" s="336"/>
      <c r="B75" s="336"/>
      <c r="C75" s="336"/>
      <c r="D75" s="336"/>
      <c r="E75" s="336"/>
      <c r="F75" s="336"/>
      <c r="G75" s="336"/>
    </row>
    <row r="76" ht="15.75" customHeight="1">
      <c r="A76" s="336"/>
      <c r="B76" s="336"/>
      <c r="C76" s="336"/>
      <c r="D76" s="336"/>
      <c r="E76" s="336"/>
      <c r="F76" s="336"/>
      <c r="G76" s="336"/>
    </row>
    <row r="77" ht="15.75" customHeight="1">
      <c r="A77" s="336"/>
      <c r="B77" s="336"/>
      <c r="C77" s="336"/>
      <c r="D77" s="336"/>
      <c r="E77" s="336"/>
      <c r="F77" s="336"/>
      <c r="G77" s="336"/>
    </row>
    <row r="78" ht="15.75" customHeight="1">
      <c r="A78" s="336"/>
      <c r="B78" s="336"/>
      <c r="C78" s="336"/>
      <c r="D78" s="336"/>
      <c r="E78" s="336"/>
      <c r="F78" s="336"/>
      <c r="G78" s="336"/>
    </row>
    <row r="79" ht="15.75" customHeight="1">
      <c r="A79" s="336"/>
      <c r="B79" s="336"/>
      <c r="C79" s="336"/>
      <c r="D79" s="336"/>
      <c r="E79" s="336"/>
      <c r="F79" s="336"/>
      <c r="G79" s="336"/>
    </row>
    <row r="80" ht="15.75" customHeight="1">
      <c r="A80" s="336"/>
      <c r="B80" s="336"/>
      <c r="C80" s="336"/>
      <c r="D80" s="336"/>
      <c r="E80" s="336"/>
      <c r="F80" s="336"/>
      <c r="G80" s="336"/>
    </row>
    <row r="81" ht="15.75" customHeight="1">
      <c r="A81" s="336"/>
      <c r="B81" s="336"/>
      <c r="C81" s="336"/>
      <c r="D81" s="336"/>
      <c r="E81" s="336"/>
      <c r="F81" s="336"/>
      <c r="G81" s="336"/>
    </row>
    <row r="82" ht="15.75" customHeight="1">
      <c r="A82" s="336"/>
      <c r="B82" s="336"/>
      <c r="C82" s="336"/>
      <c r="D82" s="336"/>
      <c r="E82" s="336"/>
      <c r="F82" s="336"/>
      <c r="G82" s="336"/>
    </row>
    <row r="83" ht="15.75" customHeight="1">
      <c r="A83" s="336"/>
      <c r="B83" s="336"/>
      <c r="C83" s="336"/>
      <c r="D83" s="336"/>
      <c r="E83" s="336"/>
      <c r="F83" s="336"/>
      <c r="G83" s="336"/>
    </row>
    <row r="84" ht="15.75" customHeight="1">
      <c r="A84" s="336"/>
      <c r="B84" s="336"/>
      <c r="C84" s="336"/>
      <c r="D84" s="336"/>
      <c r="E84" s="336"/>
      <c r="F84" s="336"/>
      <c r="G84" s="336"/>
    </row>
    <row r="85" ht="15.75" customHeight="1">
      <c r="A85" s="336"/>
      <c r="B85" s="336"/>
      <c r="C85" s="336"/>
      <c r="D85" s="336"/>
      <c r="E85" s="336"/>
      <c r="F85" s="336"/>
      <c r="G85" s="336"/>
    </row>
    <row r="86" ht="15.75" customHeight="1">
      <c r="A86" s="336"/>
      <c r="B86" s="336"/>
      <c r="C86" s="336"/>
      <c r="D86" s="336"/>
      <c r="E86" s="336"/>
      <c r="F86" s="336"/>
      <c r="G86" s="336"/>
    </row>
    <row r="87" ht="15.75" customHeight="1">
      <c r="A87" s="336"/>
      <c r="B87" s="336"/>
      <c r="C87" s="336"/>
      <c r="D87" s="336"/>
      <c r="E87" s="336"/>
      <c r="F87" s="336"/>
      <c r="G87" s="336"/>
    </row>
    <row r="88" ht="15.75" customHeight="1">
      <c r="A88" s="336"/>
      <c r="B88" s="336"/>
      <c r="C88" s="336"/>
      <c r="D88" s="336"/>
      <c r="E88" s="336"/>
      <c r="F88" s="336"/>
      <c r="G88" s="336"/>
    </row>
    <row r="89" ht="15.75" customHeight="1">
      <c r="A89" s="336"/>
      <c r="B89" s="336"/>
      <c r="C89" s="336"/>
      <c r="D89" s="336"/>
      <c r="E89" s="336"/>
      <c r="F89" s="336"/>
      <c r="G89" s="336"/>
    </row>
    <row r="90" ht="15.75" customHeight="1">
      <c r="A90" s="336"/>
      <c r="B90" s="336"/>
      <c r="C90" s="336"/>
      <c r="D90" s="336"/>
      <c r="E90" s="336"/>
      <c r="F90" s="336"/>
      <c r="G90" s="336"/>
    </row>
    <row r="91" ht="15.75" customHeight="1">
      <c r="A91" s="336"/>
      <c r="B91" s="336"/>
      <c r="C91" s="336"/>
      <c r="D91" s="336"/>
      <c r="E91" s="336"/>
      <c r="F91" s="336"/>
      <c r="G91" s="336"/>
    </row>
    <row r="92" ht="15.75" customHeight="1">
      <c r="A92" s="336"/>
      <c r="B92" s="336"/>
      <c r="C92" s="336"/>
      <c r="D92" s="336"/>
      <c r="E92" s="336"/>
      <c r="F92" s="336"/>
      <c r="G92" s="336"/>
    </row>
    <row r="93" ht="15.75" customHeight="1">
      <c r="A93" s="336"/>
      <c r="B93" s="336"/>
      <c r="C93" s="336"/>
      <c r="D93" s="336"/>
      <c r="E93" s="336"/>
      <c r="F93" s="336"/>
      <c r="G93" s="336"/>
    </row>
    <row r="94" ht="15.75" customHeight="1">
      <c r="A94" s="336"/>
      <c r="B94" s="336"/>
      <c r="C94" s="336"/>
      <c r="D94" s="336"/>
      <c r="E94" s="336"/>
      <c r="F94" s="336"/>
      <c r="G94" s="336"/>
    </row>
    <row r="95" ht="15.75" customHeight="1">
      <c r="A95" s="336"/>
      <c r="B95" s="336"/>
      <c r="C95" s="336"/>
      <c r="D95" s="336"/>
      <c r="E95" s="336"/>
      <c r="F95" s="336"/>
      <c r="G95" s="336"/>
    </row>
    <row r="96" ht="15.75" customHeight="1">
      <c r="A96" s="336"/>
      <c r="B96" s="336"/>
      <c r="C96" s="336"/>
      <c r="D96" s="336"/>
      <c r="E96" s="336"/>
      <c r="F96" s="336"/>
      <c r="G96" s="336"/>
    </row>
    <row r="97" ht="15.75" customHeight="1">
      <c r="A97" s="336"/>
      <c r="B97" s="336"/>
      <c r="C97" s="336"/>
      <c r="D97" s="336"/>
      <c r="E97" s="336"/>
      <c r="F97" s="336"/>
      <c r="G97" s="336"/>
    </row>
    <row r="98" ht="15.75" customHeight="1">
      <c r="A98" s="336"/>
      <c r="B98" s="336"/>
      <c r="C98" s="336"/>
      <c r="D98" s="336"/>
      <c r="E98" s="336"/>
      <c r="F98" s="336"/>
      <c r="G98" s="336"/>
    </row>
    <row r="99" ht="15.75" customHeight="1">
      <c r="A99" s="336"/>
      <c r="B99" s="336"/>
      <c r="C99" s="336"/>
      <c r="D99" s="336"/>
      <c r="E99" s="336"/>
      <c r="F99" s="336"/>
      <c r="G99" s="336"/>
    </row>
    <row r="100" ht="15.75" customHeight="1">
      <c r="A100" s="336"/>
      <c r="B100" s="336"/>
      <c r="C100" s="336"/>
      <c r="D100" s="336"/>
      <c r="E100" s="336"/>
      <c r="F100" s="336"/>
      <c r="G100" s="336"/>
    </row>
    <row r="101" ht="15.75" customHeight="1">
      <c r="A101" s="336"/>
      <c r="B101" s="336"/>
      <c r="C101" s="336"/>
      <c r="D101" s="336"/>
      <c r="E101" s="336"/>
      <c r="F101" s="336"/>
      <c r="G101" s="336"/>
    </row>
    <row r="102" ht="15.75" customHeight="1">
      <c r="A102" s="336"/>
      <c r="B102" s="336"/>
      <c r="C102" s="336"/>
      <c r="D102" s="336"/>
      <c r="E102" s="336"/>
      <c r="F102" s="336"/>
      <c r="G102" s="336"/>
    </row>
    <row r="103" ht="15.75" customHeight="1">
      <c r="A103" s="336"/>
      <c r="B103" s="336"/>
      <c r="C103" s="336"/>
      <c r="D103" s="336"/>
      <c r="E103" s="336"/>
      <c r="F103" s="336"/>
      <c r="G103" s="336"/>
    </row>
    <row r="104" ht="15.75" customHeight="1">
      <c r="A104" s="336"/>
      <c r="B104" s="336"/>
      <c r="C104" s="336"/>
      <c r="D104" s="336"/>
      <c r="E104" s="336"/>
      <c r="F104" s="336"/>
      <c r="G104" s="336"/>
    </row>
    <row r="105" ht="15.75" customHeight="1">
      <c r="A105" s="336"/>
      <c r="B105" s="336"/>
      <c r="C105" s="336"/>
      <c r="D105" s="336"/>
      <c r="E105" s="336"/>
      <c r="F105" s="336"/>
      <c r="G105" s="336"/>
    </row>
    <row r="106" ht="15.75" customHeight="1">
      <c r="A106" s="336"/>
      <c r="B106" s="336"/>
      <c r="C106" s="336"/>
      <c r="D106" s="336"/>
      <c r="E106" s="336"/>
      <c r="F106" s="336"/>
      <c r="G106" s="336"/>
    </row>
    <row r="107" ht="15.75" customHeight="1">
      <c r="A107" s="336"/>
      <c r="B107" s="336"/>
      <c r="C107" s="336"/>
      <c r="D107" s="336"/>
      <c r="E107" s="336"/>
      <c r="F107" s="336"/>
      <c r="G107" s="336"/>
    </row>
    <row r="108" ht="15.75" customHeight="1">
      <c r="A108" s="336"/>
      <c r="B108" s="336"/>
      <c r="C108" s="336"/>
      <c r="D108" s="336"/>
      <c r="E108" s="336"/>
      <c r="F108" s="336"/>
      <c r="G108" s="336"/>
    </row>
    <row r="109" ht="15.75" customHeight="1">
      <c r="A109" s="336"/>
      <c r="B109" s="336"/>
      <c r="C109" s="336"/>
      <c r="D109" s="336"/>
      <c r="E109" s="336"/>
      <c r="F109" s="336"/>
      <c r="G109" s="336"/>
    </row>
    <row r="110" ht="15.75" customHeight="1">
      <c r="A110" s="336"/>
      <c r="B110" s="336"/>
      <c r="C110" s="336"/>
      <c r="D110" s="336"/>
      <c r="E110" s="336"/>
      <c r="F110" s="336"/>
      <c r="G110" s="336"/>
    </row>
    <row r="111" ht="15.75" customHeight="1">
      <c r="A111" s="336"/>
      <c r="B111" s="336"/>
      <c r="C111" s="336"/>
      <c r="D111" s="336"/>
      <c r="E111" s="336"/>
      <c r="F111" s="336"/>
      <c r="G111" s="336"/>
    </row>
    <row r="112" ht="15.75" customHeight="1">
      <c r="A112" s="336"/>
      <c r="B112" s="336"/>
      <c r="C112" s="336"/>
      <c r="D112" s="336"/>
      <c r="E112" s="336"/>
      <c r="F112" s="336"/>
      <c r="G112" s="336"/>
    </row>
    <row r="113" ht="15.75" customHeight="1">
      <c r="A113" s="336"/>
      <c r="B113" s="336"/>
      <c r="C113" s="336"/>
      <c r="D113" s="336"/>
      <c r="E113" s="336"/>
      <c r="F113" s="336"/>
      <c r="G113" s="336"/>
    </row>
    <row r="114" ht="15.75" customHeight="1">
      <c r="A114" s="336"/>
      <c r="B114" s="336"/>
      <c r="C114" s="336"/>
      <c r="D114" s="336"/>
      <c r="E114" s="336"/>
      <c r="F114" s="336"/>
      <c r="G114" s="336"/>
    </row>
    <row r="115" ht="15.75" customHeight="1">
      <c r="A115" s="336"/>
      <c r="B115" s="336"/>
      <c r="C115" s="336"/>
      <c r="D115" s="336"/>
      <c r="E115" s="336"/>
      <c r="F115" s="336"/>
      <c r="G115" s="336"/>
    </row>
    <row r="116" ht="15.75" customHeight="1">
      <c r="A116" s="336"/>
      <c r="B116" s="336"/>
      <c r="C116" s="336"/>
      <c r="D116" s="336"/>
      <c r="E116" s="336"/>
      <c r="F116" s="336"/>
      <c r="G116" s="336"/>
    </row>
    <row r="117" ht="15.75" customHeight="1">
      <c r="A117" s="336"/>
      <c r="B117" s="336"/>
      <c r="C117" s="336"/>
      <c r="D117" s="336"/>
      <c r="E117" s="336"/>
      <c r="F117" s="336"/>
      <c r="G117" s="336"/>
    </row>
    <row r="118" ht="15.75" customHeight="1">
      <c r="A118" s="336"/>
      <c r="B118" s="336"/>
      <c r="C118" s="336"/>
      <c r="D118" s="336"/>
      <c r="E118" s="336"/>
      <c r="F118" s="336"/>
      <c r="G118" s="336"/>
    </row>
    <row r="119" ht="15.75" customHeight="1">
      <c r="A119" s="336"/>
      <c r="B119" s="336"/>
      <c r="C119" s="336"/>
      <c r="D119" s="336"/>
      <c r="E119" s="336"/>
      <c r="F119" s="336"/>
      <c r="G119" s="336"/>
    </row>
    <row r="120" ht="15.75" customHeight="1">
      <c r="A120" s="336"/>
      <c r="B120" s="336"/>
      <c r="C120" s="336"/>
      <c r="D120" s="336"/>
      <c r="E120" s="336"/>
      <c r="F120" s="336"/>
      <c r="G120" s="336"/>
    </row>
    <row r="121" ht="15.75" customHeight="1">
      <c r="A121" s="336"/>
      <c r="B121" s="336"/>
      <c r="C121" s="336"/>
      <c r="D121" s="336"/>
      <c r="E121" s="336"/>
      <c r="F121" s="336"/>
      <c r="G121" s="336"/>
    </row>
    <row r="122" ht="15.75" customHeight="1">
      <c r="A122" s="336"/>
      <c r="B122" s="336"/>
      <c r="C122" s="336"/>
      <c r="D122" s="336"/>
      <c r="E122" s="336"/>
      <c r="F122" s="336"/>
      <c r="G122" s="336"/>
    </row>
    <row r="123" ht="15.75" customHeight="1">
      <c r="A123" s="336"/>
      <c r="B123" s="336"/>
      <c r="C123" s="336"/>
      <c r="D123" s="336"/>
      <c r="E123" s="336"/>
      <c r="F123" s="336"/>
      <c r="G123" s="336"/>
    </row>
    <row r="124" ht="15.75" customHeight="1">
      <c r="A124" s="336"/>
      <c r="B124" s="336"/>
      <c r="C124" s="336"/>
      <c r="D124" s="336"/>
      <c r="E124" s="336"/>
      <c r="F124" s="336"/>
      <c r="G124" s="336"/>
    </row>
    <row r="125" ht="15.75" customHeight="1">
      <c r="A125" s="336"/>
      <c r="B125" s="336"/>
      <c r="C125" s="336"/>
      <c r="D125" s="336"/>
      <c r="E125" s="336"/>
      <c r="F125" s="336"/>
      <c r="G125" s="336"/>
    </row>
    <row r="126" ht="15.75" customHeight="1">
      <c r="A126" s="336"/>
      <c r="B126" s="336"/>
      <c r="C126" s="336"/>
      <c r="D126" s="336"/>
      <c r="E126" s="336"/>
      <c r="F126" s="336"/>
      <c r="G126" s="336"/>
    </row>
    <row r="127" ht="15.75" customHeight="1">
      <c r="A127" s="336"/>
      <c r="B127" s="336"/>
      <c r="C127" s="336"/>
      <c r="D127" s="336"/>
      <c r="E127" s="336"/>
      <c r="F127" s="336"/>
      <c r="G127" s="336"/>
    </row>
    <row r="128" ht="15.75" customHeight="1">
      <c r="A128" s="336"/>
      <c r="B128" s="336"/>
      <c r="C128" s="336"/>
      <c r="D128" s="336"/>
      <c r="E128" s="336"/>
      <c r="F128" s="336"/>
      <c r="G128" s="336"/>
    </row>
    <row r="129" ht="15.75" customHeight="1">
      <c r="A129" s="336"/>
      <c r="B129" s="336"/>
      <c r="C129" s="336"/>
      <c r="D129" s="336"/>
      <c r="E129" s="336"/>
      <c r="F129" s="336"/>
      <c r="G129" s="336"/>
    </row>
    <row r="130" ht="15.75" customHeight="1">
      <c r="A130" s="336"/>
      <c r="B130" s="336"/>
      <c r="C130" s="336"/>
      <c r="D130" s="336"/>
      <c r="E130" s="336"/>
      <c r="F130" s="336"/>
      <c r="G130" s="336"/>
    </row>
    <row r="131" ht="15.75" customHeight="1">
      <c r="A131" s="336"/>
      <c r="B131" s="336"/>
      <c r="C131" s="336"/>
      <c r="D131" s="336"/>
      <c r="E131" s="336"/>
      <c r="F131" s="336"/>
      <c r="G131" s="336"/>
    </row>
    <row r="132" ht="15.75" customHeight="1">
      <c r="A132" s="336"/>
      <c r="B132" s="336"/>
      <c r="C132" s="336"/>
      <c r="D132" s="336"/>
      <c r="E132" s="336"/>
      <c r="F132" s="336"/>
      <c r="G132" s="336"/>
    </row>
    <row r="133" ht="15.75" customHeight="1">
      <c r="A133" s="336"/>
      <c r="B133" s="336"/>
      <c r="C133" s="336"/>
      <c r="D133" s="336"/>
      <c r="E133" s="336"/>
      <c r="F133" s="336"/>
      <c r="G133" s="336"/>
    </row>
    <row r="134" ht="15.75" customHeight="1">
      <c r="A134" s="336"/>
      <c r="B134" s="336"/>
      <c r="C134" s="336"/>
      <c r="D134" s="336"/>
      <c r="E134" s="336"/>
      <c r="F134" s="336"/>
      <c r="G134" s="336"/>
    </row>
    <row r="135" ht="15.75" customHeight="1">
      <c r="A135" s="336"/>
      <c r="B135" s="336"/>
      <c r="C135" s="336"/>
      <c r="D135" s="336"/>
      <c r="E135" s="336"/>
      <c r="F135" s="336"/>
      <c r="G135" s="336"/>
    </row>
    <row r="136" ht="15.75" customHeight="1">
      <c r="A136" s="336"/>
      <c r="B136" s="336"/>
      <c r="C136" s="336"/>
      <c r="D136" s="336"/>
      <c r="E136" s="336"/>
      <c r="F136" s="336"/>
      <c r="G136" s="336"/>
    </row>
    <row r="137" ht="15.75" customHeight="1">
      <c r="A137" s="336"/>
      <c r="B137" s="336"/>
      <c r="C137" s="336"/>
      <c r="D137" s="336"/>
      <c r="E137" s="336"/>
      <c r="F137" s="336"/>
      <c r="G137" s="336"/>
    </row>
    <row r="138" ht="15.75" customHeight="1">
      <c r="A138" s="336"/>
      <c r="B138" s="336"/>
      <c r="C138" s="336"/>
      <c r="D138" s="336"/>
      <c r="E138" s="336"/>
      <c r="F138" s="336"/>
      <c r="G138" s="336"/>
    </row>
    <row r="139" ht="15.75" customHeight="1">
      <c r="A139" s="336"/>
      <c r="B139" s="336"/>
      <c r="C139" s="336"/>
      <c r="D139" s="336"/>
      <c r="E139" s="336"/>
      <c r="F139" s="336"/>
      <c r="G139" s="336"/>
    </row>
    <row r="140" ht="15.75" customHeight="1">
      <c r="A140" s="336"/>
      <c r="B140" s="336"/>
      <c r="C140" s="336"/>
      <c r="D140" s="336"/>
      <c r="E140" s="336"/>
      <c r="F140" s="336"/>
      <c r="G140" s="336"/>
    </row>
    <row r="141" ht="15.75" customHeight="1">
      <c r="A141" s="336"/>
      <c r="B141" s="336"/>
      <c r="C141" s="336"/>
      <c r="D141" s="336"/>
      <c r="E141" s="336"/>
      <c r="F141" s="336"/>
      <c r="G141" s="336"/>
    </row>
    <row r="142" ht="15.75" customHeight="1">
      <c r="A142" s="336"/>
      <c r="B142" s="336"/>
      <c r="C142" s="336"/>
      <c r="D142" s="336"/>
      <c r="E142" s="336"/>
      <c r="F142" s="336"/>
      <c r="G142" s="336"/>
    </row>
    <row r="143" ht="15.75" customHeight="1">
      <c r="A143" s="336"/>
      <c r="B143" s="336"/>
      <c r="C143" s="336"/>
      <c r="D143" s="336"/>
      <c r="E143" s="336"/>
      <c r="F143" s="336"/>
      <c r="G143" s="336"/>
    </row>
    <row r="144" ht="15.75" customHeight="1">
      <c r="A144" s="336"/>
      <c r="B144" s="336"/>
      <c r="C144" s="336"/>
      <c r="D144" s="336"/>
      <c r="E144" s="336"/>
      <c r="F144" s="336"/>
      <c r="G144" s="336"/>
    </row>
    <row r="145" ht="15.75" customHeight="1">
      <c r="A145" s="336"/>
      <c r="B145" s="336"/>
      <c r="C145" s="336"/>
      <c r="D145" s="336"/>
      <c r="E145" s="336"/>
      <c r="F145" s="336"/>
      <c r="G145" s="336"/>
    </row>
    <row r="146" ht="15.75" customHeight="1">
      <c r="A146" s="336"/>
      <c r="B146" s="336"/>
      <c r="C146" s="336"/>
      <c r="D146" s="336"/>
      <c r="E146" s="336"/>
      <c r="F146" s="336"/>
      <c r="G146" s="336"/>
    </row>
    <row r="147" ht="15.75" customHeight="1">
      <c r="A147" s="336"/>
      <c r="B147" s="336"/>
      <c r="C147" s="336"/>
      <c r="D147" s="336"/>
      <c r="E147" s="336"/>
      <c r="F147" s="336"/>
      <c r="G147" s="336"/>
    </row>
    <row r="148" ht="15.75" customHeight="1">
      <c r="A148" s="336"/>
      <c r="B148" s="336"/>
      <c r="C148" s="336"/>
      <c r="D148" s="336"/>
      <c r="E148" s="336"/>
      <c r="F148" s="336"/>
      <c r="G148" s="336"/>
    </row>
    <row r="149" ht="15.75" customHeight="1">
      <c r="A149" s="336"/>
      <c r="B149" s="336"/>
      <c r="C149" s="336"/>
      <c r="D149" s="336"/>
      <c r="E149" s="336"/>
      <c r="F149" s="336"/>
      <c r="G149" s="336"/>
    </row>
    <row r="150" ht="15.75" customHeight="1">
      <c r="A150" s="336"/>
      <c r="B150" s="336"/>
      <c r="C150" s="336"/>
      <c r="D150" s="336"/>
      <c r="E150" s="336"/>
      <c r="F150" s="336"/>
      <c r="G150" s="336"/>
    </row>
    <row r="151" ht="15.75" customHeight="1">
      <c r="A151" s="336"/>
      <c r="B151" s="336"/>
      <c r="C151" s="336"/>
      <c r="D151" s="336"/>
      <c r="E151" s="336"/>
      <c r="F151" s="336"/>
      <c r="G151" s="336"/>
    </row>
    <row r="152" ht="15.75" customHeight="1">
      <c r="A152" s="336"/>
      <c r="B152" s="336"/>
      <c r="C152" s="336"/>
      <c r="D152" s="336"/>
      <c r="E152" s="336"/>
      <c r="F152" s="336"/>
      <c r="G152" s="336"/>
    </row>
    <row r="153" ht="15.75" customHeight="1">
      <c r="A153" s="336"/>
      <c r="B153" s="336"/>
      <c r="C153" s="336"/>
      <c r="D153" s="336"/>
      <c r="E153" s="336"/>
      <c r="F153" s="336"/>
      <c r="G153" s="336"/>
    </row>
    <row r="154" ht="15.75" customHeight="1">
      <c r="A154" s="336"/>
      <c r="B154" s="336"/>
      <c r="C154" s="336"/>
      <c r="D154" s="336"/>
      <c r="E154" s="336"/>
      <c r="F154" s="336"/>
      <c r="G154" s="336"/>
    </row>
    <row r="155" ht="15.75" customHeight="1">
      <c r="A155" s="336"/>
      <c r="B155" s="336"/>
      <c r="C155" s="336"/>
      <c r="D155" s="336"/>
      <c r="E155" s="336"/>
      <c r="F155" s="336"/>
      <c r="G155" s="336"/>
    </row>
    <row r="156" ht="15.75" customHeight="1">
      <c r="A156" s="336"/>
      <c r="B156" s="336"/>
      <c r="C156" s="336"/>
      <c r="D156" s="336"/>
      <c r="E156" s="336"/>
      <c r="F156" s="336"/>
      <c r="G156" s="336"/>
    </row>
    <row r="157" ht="15.75" customHeight="1">
      <c r="A157" s="336"/>
      <c r="B157" s="336"/>
      <c r="C157" s="336"/>
      <c r="D157" s="336"/>
      <c r="E157" s="336"/>
      <c r="F157" s="336"/>
      <c r="G157" s="336"/>
    </row>
    <row r="158" ht="15.75" customHeight="1">
      <c r="A158" s="336"/>
      <c r="B158" s="336"/>
      <c r="C158" s="336"/>
      <c r="D158" s="336"/>
      <c r="E158" s="336"/>
      <c r="F158" s="336"/>
      <c r="G158" s="336"/>
    </row>
    <row r="159" ht="15.75" customHeight="1">
      <c r="A159" s="336"/>
      <c r="B159" s="336"/>
      <c r="C159" s="336"/>
      <c r="D159" s="336"/>
      <c r="E159" s="336"/>
      <c r="F159" s="336"/>
      <c r="G159" s="336"/>
    </row>
    <row r="160" ht="15.75" customHeight="1">
      <c r="A160" s="336"/>
      <c r="B160" s="336"/>
      <c r="C160" s="336"/>
      <c r="D160" s="336"/>
      <c r="E160" s="336"/>
      <c r="F160" s="336"/>
      <c r="G160" s="336"/>
    </row>
    <row r="161" ht="15.75" customHeight="1">
      <c r="A161" s="336"/>
      <c r="B161" s="336"/>
      <c r="C161" s="336"/>
      <c r="D161" s="336"/>
      <c r="E161" s="336"/>
      <c r="F161" s="336"/>
      <c r="G161" s="336"/>
    </row>
    <row r="162" ht="15.75" customHeight="1">
      <c r="A162" s="336"/>
      <c r="B162" s="336"/>
      <c r="C162" s="336"/>
      <c r="D162" s="336"/>
      <c r="E162" s="336"/>
      <c r="F162" s="336"/>
      <c r="G162" s="336"/>
    </row>
    <row r="163" ht="15.75" customHeight="1">
      <c r="A163" s="336"/>
      <c r="B163" s="336"/>
      <c r="C163" s="336"/>
      <c r="D163" s="336"/>
      <c r="E163" s="336"/>
      <c r="F163" s="336"/>
      <c r="G163" s="336"/>
    </row>
    <row r="164" ht="15.75" customHeight="1">
      <c r="A164" s="336"/>
      <c r="B164" s="336"/>
      <c r="C164" s="336"/>
      <c r="D164" s="336"/>
      <c r="E164" s="336"/>
      <c r="F164" s="336"/>
      <c r="G164" s="336"/>
    </row>
    <row r="165" ht="15.75" customHeight="1">
      <c r="A165" s="336"/>
      <c r="B165" s="336"/>
      <c r="C165" s="336"/>
      <c r="D165" s="336"/>
      <c r="E165" s="336"/>
      <c r="F165" s="336"/>
      <c r="G165" s="336"/>
    </row>
    <row r="166" ht="15.75" customHeight="1">
      <c r="A166" s="336"/>
      <c r="B166" s="336"/>
      <c r="C166" s="336"/>
      <c r="D166" s="336"/>
      <c r="E166" s="336"/>
      <c r="F166" s="336"/>
      <c r="G166" s="336"/>
    </row>
    <row r="167" ht="15.75" customHeight="1">
      <c r="A167" s="336"/>
      <c r="B167" s="336"/>
      <c r="C167" s="336"/>
      <c r="D167" s="336"/>
      <c r="E167" s="336"/>
      <c r="F167" s="336"/>
      <c r="G167" s="336"/>
    </row>
    <row r="168" ht="15.75" customHeight="1">
      <c r="A168" s="336"/>
      <c r="B168" s="336"/>
      <c r="C168" s="336"/>
      <c r="D168" s="336"/>
      <c r="E168" s="336"/>
      <c r="F168" s="336"/>
      <c r="G168" s="336"/>
    </row>
    <row r="169" ht="15.75" customHeight="1">
      <c r="A169" s="336"/>
      <c r="B169" s="336"/>
      <c r="C169" s="336"/>
      <c r="D169" s="336"/>
      <c r="E169" s="336"/>
      <c r="F169" s="336"/>
      <c r="G169" s="336"/>
    </row>
    <row r="170" ht="15.75" customHeight="1">
      <c r="A170" s="336"/>
      <c r="B170" s="336"/>
      <c r="C170" s="336"/>
      <c r="D170" s="336"/>
      <c r="E170" s="336"/>
      <c r="F170" s="336"/>
      <c r="G170" s="336"/>
    </row>
    <row r="171" ht="15.75" customHeight="1">
      <c r="A171" s="336"/>
      <c r="B171" s="336"/>
      <c r="C171" s="336"/>
      <c r="D171" s="336"/>
      <c r="E171" s="336"/>
      <c r="F171" s="336"/>
      <c r="G171" s="336"/>
    </row>
    <row r="172" ht="15.75" customHeight="1">
      <c r="A172" s="336"/>
      <c r="B172" s="336"/>
      <c r="C172" s="336"/>
      <c r="D172" s="336"/>
      <c r="E172" s="336"/>
      <c r="F172" s="336"/>
      <c r="G172" s="336"/>
    </row>
    <row r="173" ht="15.75" customHeight="1">
      <c r="A173" s="336"/>
      <c r="B173" s="336"/>
      <c r="C173" s="336"/>
      <c r="D173" s="336"/>
      <c r="E173" s="336"/>
      <c r="F173" s="336"/>
      <c r="G173" s="336"/>
    </row>
    <row r="174" ht="15.75" customHeight="1">
      <c r="A174" s="336"/>
      <c r="B174" s="336"/>
      <c r="C174" s="336"/>
      <c r="D174" s="336"/>
      <c r="E174" s="336"/>
      <c r="F174" s="336"/>
      <c r="G174" s="336"/>
    </row>
    <row r="175" ht="15.75" customHeight="1">
      <c r="A175" s="336"/>
      <c r="B175" s="336"/>
      <c r="C175" s="336"/>
      <c r="D175" s="336"/>
      <c r="E175" s="336"/>
      <c r="F175" s="336"/>
      <c r="G175" s="336"/>
    </row>
    <row r="176" ht="15.75" customHeight="1">
      <c r="A176" s="336"/>
      <c r="B176" s="336"/>
      <c r="C176" s="336"/>
      <c r="D176" s="336"/>
      <c r="E176" s="336"/>
      <c r="F176" s="336"/>
      <c r="G176" s="336"/>
    </row>
    <row r="177" ht="15.75" customHeight="1">
      <c r="A177" s="336"/>
      <c r="B177" s="336"/>
      <c r="C177" s="336"/>
      <c r="D177" s="336"/>
      <c r="E177" s="336"/>
      <c r="F177" s="336"/>
      <c r="G177" s="336"/>
    </row>
    <row r="178" ht="15.75" customHeight="1">
      <c r="A178" s="336"/>
      <c r="B178" s="336"/>
      <c r="C178" s="336"/>
      <c r="D178" s="336"/>
      <c r="E178" s="336"/>
      <c r="F178" s="336"/>
      <c r="G178" s="336"/>
    </row>
    <row r="179" ht="15.75" customHeight="1">
      <c r="A179" s="336"/>
      <c r="B179" s="336"/>
      <c r="C179" s="336"/>
      <c r="D179" s="336"/>
      <c r="E179" s="336"/>
      <c r="F179" s="336"/>
      <c r="G179" s="336"/>
    </row>
    <row r="180" ht="15.75" customHeight="1">
      <c r="A180" s="336"/>
      <c r="B180" s="336"/>
      <c r="C180" s="336"/>
      <c r="D180" s="336"/>
      <c r="E180" s="336"/>
      <c r="F180" s="336"/>
      <c r="G180" s="336"/>
    </row>
    <row r="181" ht="15.75" customHeight="1">
      <c r="A181" s="336"/>
      <c r="B181" s="336"/>
      <c r="C181" s="336"/>
      <c r="D181" s="336"/>
      <c r="E181" s="336"/>
      <c r="F181" s="336"/>
      <c r="G181" s="336"/>
    </row>
    <row r="182" ht="15.75" customHeight="1">
      <c r="A182" s="336"/>
      <c r="B182" s="336"/>
      <c r="C182" s="336"/>
      <c r="D182" s="336"/>
      <c r="E182" s="336"/>
      <c r="F182" s="336"/>
      <c r="G182" s="336"/>
    </row>
    <row r="183" ht="15.75" customHeight="1">
      <c r="A183" s="336"/>
      <c r="B183" s="336"/>
      <c r="C183" s="336"/>
      <c r="D183" s="336"/>
      <c r="E183" s="336"/>
      <c r="F183" s="336"/>
      <c r="G183" s="336"/>
    </row>
    <row r="184" ht="15.75" customHeight="1">
      <c r="A184" s="336"/>
      <c r="B184" s="336"/>
      <c r="C184" s="336"/>
      <c r="D184" s="336"/>
      <c r="E184" s="336"/>
      <c r="F184" s="336"/>
      <c r="G184" s="336"/>
    </row>
    <row r="185" ht="15.75" customHeight="1">
      <c r="A185" s="336"/>
      <c r="B185" s="336"/>
      <c r="C185" s="336"/>
      <c r="D185" s="336"/>
      <c r="E185" s="336"/>
      <c r="F185" s="336"/>
      <c r="G185" s="336"/>
    </row>
    <row r="186" ht="15.75" customHeight="1">
      <c r="A186" s="336"/>
      <c r="B186" s="336"/>
      <c r="C186" s="336"/>
      <c r="D186" s="336"/>
      <c r="E186" s="336"/>
      <c r="F186" s="336"/>
      <c r="G186" s="336"/>
    </row>
    <row r="187" ht="15.75" customHeight="1">
      <c r="A187" s="336"/>
      <c r="B187" s="336"/>
      <c r="C187" s="336"/>
      <c r="D187" s="336"/>
      <c r="E187" s="336"/>
      <c r="F187" s="336"/>
      <c r="G187" s="336"/>
    </row>
    <row r="188" ht="15.75" customHeight="1">
      <c r="A188" s="336"/>
      <c r="B188" s="336"/>
      <c r="C188" s="336"/>
      <c r="D188" s="336"/>
      <c r="E188" s="336"/>
      <c r="F188" s="336"/>
      <c r="G188" s="336"/>
    </row>
    <row r="189" ht="15.75" customHeight="1">
      <c r="A189" s="336"/>
      <c r="B189" s="336"/>
      <c r="C189" s="336"/>
      <c r="D189" s="336"/>
      <c r="E189" s="336"/>
      <c r="F189" s="336"/>
      <c r="G189" s="336"/>
    </row>
    <row r="190" ht="15.75" customHeight="1">
      <c r="A190" s="336"/>
      <c r="B190" s="336"/>
      <c r="C190" s="336"/>
      <c r="D190" s="336"/>
      <c r="E190" s="336"/>
      <c r="F190" s="336"/>
      <c r="G190" s="336"/>
    </row>
    <row r="191" ht="15.75" customHeight="1">
      <c r="A191" s="336"/>
      <c r="B191" s="336"/>
      <c r="C191" s="336"/>
      <c r="D191" s="336"/>
      <c r="E191" s="336"/>
      <c r="F191" s="336"/>
      <c r="G191" s="336"/>
    </row>
    <row r="192" ht="15.75" customHeight="1">
      <c r="A192" s="336"/>
      <c r="B192" s="336"/>
      <c r="C192" s="336"/>
      <c r="D192" s="336"/>
      <c r="E192" s="336"/>
      <c r="F192" s="336"/>
      <c r="G192" s="336"/>
    </row>
    <row r="193" ht="15.75" customHeight="1">
      <c r="A193" s="336"/>
      <c r="B193" s="336"/>
      <c r="C193" s="336"/>
      <c r="D193" s="336"/>
      <c r="E193" s="336"/>
      <c r="F193" s="336"/>
      <c r="G193" s="336"/>
    </row>
    <row r="194" ht="15.75" customHeight="1">
      <c r="A194" s="336"/>
      <c r="B194" s="336"/>
      <c r="C194" s="336"/>
      <c r="D194" s="336"/>
      <c r="E194" s="336"/>
      <c r="F194" s="336"/>
      <c r="G194" s="336"/>
    </row>
    <row r="195" ht="15.75" customHeight="1">
      <c r="A195" s="336"/>
      <c r="B195" s="336"/>
      <c r="C195" s="336"/>
      <c r="D195" s="336"/>
      <c r="E195" s="336"/>
      <c r="F195" s="336"/>
      <c r="G195" s="336"/>
    </row>
    <row r="196" ht="15.75" customHeight="1">
      <c r="A196" s="336"/>
      <c r="B196" s="336"/>
      <c r="C196" s="336"/>
      <c r="D196" s="336"/>
      <c r="E196" s="336"/>
      <c r="F196" s="336"/>
      <c r="G196" s="336"/>
    </row>
    <row r="197" ht="15.75" customHeight="1">
      <c r="A197" s="336"/>
      <c r="B197" s="336"/>
      <c r="C197" s="336"/>
      <c r="D197" s="336"/>
      <c r="E197" s="336"/>
      <c r="F197" s="336"/>
      <c r="G197" s="336"/>
    </row>
    <row r="198" ht="15.75" customHeight="1">
      <c r="A198" s="336"/>
      <c r="B198" s="336"/>
      <c r="C198" s="336"/>
      <c r="D198" s="336"/>
      <c r="E198" s="336"/>
      <c r="F198" s="336"/>
      <c r="G198" s="336"/>
    </row>
    <row r="199" ht="15.75" customHeight="1">
      <c r="A199" s="336"/>
      <c r="B199" s="336"/>
      <c r="C199" s="336"/>
      <c r="D199" s="336"/>
      <c r="E199" s="336"/>
      <c r="F199" s="336"/>
      <c r="G199" s="336"/>
    </row>
    <row r="200" ht="15.75" customHeight="1">
      <c r="A200" s="336"/>
      <c r="B200" s="336"/>
      <c r="C200" s="336"/>
      <c r="D200" s="336"/>
      <c r="E200" s="336"/>
      <c r="F200" s="336"/>
      <c r="G200" s="336"/>
    </row>
    <row r="201" ht="15.75" customHeight="1">
      <c r="A201" s="336"/>
      <c r="B201" s="336"/>
      <c r="C201" s="336"/>
      <c r="D201" s="336"/>
      <c r="E201" s="336"/>
      <c r="F201" s="336"/>
      <c r="G201" s="336"/>
    </row>
    <row r="202" ht="15.75" customHeight="1">
      <c r="A202" s="336"/>
      <c r="B202" s="336"/>
      <c r="C202" s="336"/>
      <c r="D202" s="336"/>
      <c r="E202" s="336"/>
      <c r="F202" s="336"/>
      <c r="G202" s="336"/>
    </row>
    <row r="203" ht="15.75" customHeight="1">
      <c r="A203" s="336"/>
      <c r="B203" s="336"/>
      <c r="C203" s="336"/>
      <c r="D203" s="336"/>
      <c r="E203" s="336"/>
      <c r="F203" s="336"/>
      <c r="G203" s="336"/>
    </row>
    <row r="204" ht="15.75" customHeight="1">
      <c r="A204" s="336"/>
      <c r="B204" s="336"/>
      <c r="C204" s="336"/>
      <c r="D204" s="336"/>
      <c r="E204" s="336"/>
      <c r="F204" s="336"/>
      <c r="G204" s="336"/>
    </row>
    <row r="205" ht="15.75" customHeight="1">
      <c r="A205" s="336"/>
      <c r="B205" s="336"/>
      <c r="C205" s="336"/>
      <c r="D205" s="336"/>
      <c r="E205" s="336"/>
      <c r="F205" s="336"/>
      <c r="G205" s="336"/>
    </row>
    <row r="206" ht="15.75" customHeight="1">
      <c r="A206" s="336"/>
      <c r="B206" s="336"/>
      <c r="C206" s="336"/>
      <c r="D206" s="336"/>
      <c r="E206" s="336"/>
      <c r="F206" s="336"/>
      <c r="G206" s="336"/>
    </row>
    <row r="207" ht="15.75" customHeight="1">
      <c r="A207" s="336"/>
      <c r="B207" s="336"/>
      <c r="C207" s="336"/>
      <c r="D207" s="336"/>
      <c r="E207" s="336"/>
      <c r="F207" s="336"/>
      <c r="G207" s="336"/>
    </row>
    <row r="208" ht="15.75" customHeight="1">
      <c r="A208" s="336"/>
      <c r="B208" s="336"/>
      <c r="C208" s="336"/>
      <c r="D208" s="336"/>
      <c r="E208" s="336"/>
      <c r="F208" s="336"/>
      <c r="G208" s="336"/>
    </row>
    <row r="209" ht="15.75" customHeight="1">
      <c r="A209" s="336"/>
      <c r="B209" s="336"/>
      <c r="C209" s="336"/>
      <c r="D209" s="336"/>
      <c r="E209" s="336"/>
      <c r="F209" s="336"/>
      <c r="G209" s="336"/>
    </row>
    <row r="210" ht="15.75" customHeight="1">
      <c r="A210" s="336"/>
      <c r="B210" s="336"/>
      <c r="C210" s="336"/>
      <c r="D210" s="336"/>
      <c r="E210" s="336"/>
      <c r="F210" s="336"/>
      <c r="G210" s="336"/>
    </row>
    <row r="211" ht="15.75" customHeight="1">
      <c r="A211" s="336"/>
      <c r="B211" s="336"/>
      <c r="C211" s="336"/>
      <c r="D211" s="336"/>
      <c r="E211" s="336"/>
      <c r="F211" s="336"/>
      <c r="G211" s="336"/>
    </row>
    <row r="212" ht="15.75" customHeight="1">
      <c r="A212" s="336"/>
      <c r="B212" s="336"/>
      <c r="C212" s="336"/>
      <c r="D212" s="336"/>
      <c r="E212" s="336"/>
      <c r="F212" s="336"/>
      <c r="G212" s="336"/>
    </row>
    <row r="213" ht="15.75" customHeight="1">
      <c r="A213" s="336"/>
      <c r="B213" s="336"/>
      <c r="C213" s="336"/>
      <c r="D213" s="336"/>
      <c r="E213" s="336"/>
      <c r="F213" s="336"/>
      <c r="G213" s="336"/>
    </row>
    <row r="214" ht="15.75" customHeight="1">
      <c r="A214" s="336"/>
      <c r="B214" s="336"/>
      <c r="C214" s="336"/>
      <c r="D214" s="336"/>
      <c r="E214" s="336"/>
      <c r="F214" s="336"/>
      <c r="G214" s="336"/>
    </row>
    <row r="215" ht="15.75" customHeight="1">
      <c r="A215" s="336"/>
      <c r="B215" s="336"/>
      <c r="C215" s="336"/>
      <c r="D215" s="336"/>
      <c r="E215" s="336"/>
      <c r="F215" s="336"/>
      <c r="G215" s="336"/>
    </row>
    <row r="216" ht="15.75" customHeight="1">
      <c r="A216" s="336"/>
      <c r="B216" s="336"/>
      <c r="C216" s="336"/>
      <c r="D216" s="336"/>
      <c r="E216" s="336"/>
      <c r="F216" s="336"/>
      <c r="G216" s="336"/>
    </row>
    <row r="217" ht="15.75" customHeight="1">
      <c r="A217" s="336"/>
      <c r="B217" s="336"/>
      <c r="C217" s="336"/>
      <c r="D217" s="336"/>
      <c r="E217" s="336"/>
      <c r="F217" s="336"/>
      <c r="G217" s="336"/>
    </row>
    <row r="218" ht="15.75" customHeight="1">
      <c r="A218" s="336"/>
      <c r="B218" s="336"/>
      <c r="C218" s="336"/>
      <c r="D218" s="336"/>
      <c r="E218" s="336"/>
      <c r="F218" s="336"/>
      <c r="G218" s="336"/>
    </row>
    <row r="219" ht="15.75" customHeight="1">
      <c r="A219" s="336"/>
      <c r="B219" s="336"/>
      <c r="C219" s="336"/>
      <c r="D219" s="336"/>
      <c r="E219" s="336"/>
      <c r="F219" s="336"/>
      <c r="G219" s="336"/>
    </row>
    <row r="220" ht="15.75" customHeight="1">
      <c r="A220" s="336"/>
      <c r="B220" s="336"/>
      <c r="C220" s="336"/>
      <c r="D220" s="336"/>
      <c r="E220" s="336"/>
      <c r="F220" s="336"/>
      <c r="G220" s="336"/>
    </row>
    <row r="221" ht="15.75" customHeight="1">
      <c r="A221" s="336"/>
      <c r="B221" s="336"/>
      <c r="C221" s="336"/>
      <c r="D221" s="336"/>
      <c r="E221" s="336"/>
      <c r="F221" s="336"/>
      <c r="G221" s="336"/>
    </row>
    <row r="222" ht="15.75" customHeight="1">
      <c r="A222" s="336"/>
      <c r="B222" s="336"/>
      <c r="C222" s="336"/>
      <c r="D222" s="336"/>
      <c r="E222" s="336"/>
      <c r="F222" s="336"/>
      <c r="G222" s="336"/>
    </row>
    <row r="223" ht="15.75" customHeight="1">
      <c r="A223" s="336"/>
      <c r="B223" s="336"/>
      <c r="C223" s="336"/>
      <c r="D223" s="336"/>
      <c r="E223" s="336"/>
      <c r="F223" s="336"/>
      <c r="G223" s="336"/>
    </row>
    <row r="224" ht="15.75" customHeight="1">
      <c r="A224" s="336"/>
      <c r="B224" s="336"/>
      <c r="C224" s="336"/>
      <c r="D224" s="336"/>
      <c r="E224" s="336"/>
      <c r="F224" s="336"/>
      <c r="G224" s="336"/>
    </row>
    <row r="225" ht="15.75" customHeight="1">
      <c r="A225" s="336"/>
      <c r="B225" s="336"/>
      <c r="C225" s="336"/>
      <c r="D225" s="336"/>
      <c r="E225" s="336"/>
      <c r="F225" s="336"/>
      <c r="G225" s="336"/>
    </row>
    <row r="226" ht="15.75" customHeight="1">
      <c r="A226" s="336"/>
      <c r="B226" s="336"/>
      <c r="C226" s="336"/>
      <c r="D226" s="336"/>
      <c r="E226" s="336"/>
      <c r="F226" s="336"/>
      <c r="G226" s="336"/>
    </row>
    <row r="227" ht="15.75" customHeight="1">
      <c r="A227" s="336"/>
      <c r="B227" s="336"/>
      <c r="C227" s="336"/>
      <c r="D227" s="336"/>
      <c r="E227" s="336"/>
      <c r="F227" s="336"/>
      <c r="G227" s="336"/>
    </row>
    <row r="228" ht="15.75" customHeight="1">
      <c r="A228" s="336"/>
      <c r="B228" s="336"/>
      <c r="C228" s="336"/>
      <c r="D228" s="336"/>
      <c r="E228" s="336"/>
      <c r="F228" s="336"/>
      <c r="G228" s="336"/>
    </row>
    <row r="229" ht="15.75" customHeight="1">
      <c r="A229" s="336"/>
      <c r="B229" s="336"/>
      <c r="C229" s="336"/>
      <c r="D229" s="336"/>
      <c r="E229" s="336"/>
      <c r="F229" s="336"/>
      <c r="G229" s="336"/>
    </row>
    <row r="230" ht="15.75" customHeight="1">
      <c r="A230" s="336"/>
      <c r="B230" s="336"/>
      <c r="C230" s="336"/>
      <c r="D230" s="336"/>
      <c r="E230" s="336"/>
      <c r="F230" s="336"/>
      <c r="G230" s="336"/>
    </row>
    <row r="231" ht="15.75" customHeight="1">
      <c r="A231" s="336"/>
      <c r="B231" s="336"/>
      <c r="C231" s="336"/>
      <c r="D231" s="336"/>
      <c r="E231" s="336"/>
      <c r="F231" s="336"/>
      <c r="G231" s="336"/>
    </row>
    <row r="232" ht="15.75" customHeight="1">
      <c r="A232" s="336"/>
      <c r="B232" s="336"/>
      <c r="C232" s="336"/>
      <c r="D232" s="336"/>
      <c r="E232" s="336"/>
      <c r="F232" s="336"/>
      <c r="G232" s="336"/>
    </row>
    <row r="233" ht="15.75" customHeight="1">
      <c r="A233" s="336"/>
      <c r="B233" s="336"/>
      <c r="C233" s="336"/>
      <c r="D233" s="336"/>
      <c r="E233" s="336"/>
      <c r="F233" s="336"/>
      <c r="G233" s="336"/>
    </row>
    <row r="234" ht="15.75" customHeight="1">
      <c r="A234" s="336"/>
      <c r="B234" s="336"/>
      <c r="C234" s="336"/>
      <c r="D234" s="336"/>
      <c r="E234" s="336"/>
      <c r="F234" s="336"/>
      <c r="G234" s="336"/>
    </row>
    <row r="235" ht="15.75" customHeight="1">
      <c r="A235" s="336"/>
      <c r="B235" s="336"/>
      <c r="C235" s="336"/>
      <c r="D235" s="336"/>
      <c r="E235" s="336"/>
      <c r="F235" s="336"/>
      <c r="G235" s="336"/>
    </row>
    <row r="236" ht="15.75" customHeight="1">
      <c r="A236" s="336"/>
      <c r="B236" s="336"/>
      <c r="C236" s="336"/>
      <c r="D236" s="336"/>
      <c r="E236" s="336"/>
      <c r="F236" s="336"/>
      <c r="G236" s="336"/>
    </row>
    <row r="237" ht="15.75" customHeight="1">
      <c r="A237" s="336"/>
      <c r="B237" s="336"/>
      <c r="C237" s="336"/>
      <c r="D237" s="336"/>
      <c r="E237" s="336"/>
      <c r="F237" s="336"/>
      <c r="G237" s="336"/>
    </row>
    <row r="238" ht="15.75" customHeight="1">
      <c r="A238" s="336"/>
      <c r="B238" s="336"/>
      <c r="C238" s="336"/>
      <c r="D238" s="336"/>
      <c r="E238" s="336"/>
      <c r="F238" s="336"/>
      <c r="G238" s="336"/>
    </row>
    <row r="239" ht="15.75" customHeight="1">
      <c r="A239" s="336"/>
      <c r="B239" s="336"/>
      <c r="C239" s="336"/>
      <c r="D239" s="336"/>
      <c r="E239" s="336"/>
      <c r="F239" s="336"/>
      <c r="G239" s="336"/>
    </row>
    <row r="240" ht="15.75" customHeight="1">
      <c r="A240" s="336"/>
      <c r="B240" s="336"/>
      <c r="C240" s="336"/>
      <c r="D240" s="336"/>
      <c r="E240" s="336"/>
      <c r="F240" s="336"/>
      <c r="G240" s="336"/>
    </row>
    <row r="241" ht="15.75" customHeight="1">
      <c r="A241" s="336"/>
      <c r="B241" s="336"/>
      <c r="C241" s="336"/>
      <c r="D241" s="336"/>
      <c r="E241" s="336"/>
      <c r="F241" s="336"/>
      <c r="G241" s="336"/>
    </row>
    <row r="242" ht="15.75" customHeight="1">
      <c r="A242" s="336"/>
      <c r="B242" s="336"/>
      <c r="C242" s="336"/>
      <c r="D242" s="336"/>
      <c r="E242" s="336"/>
      <c r="F242" s="336"/>
      <c r="G242" s="336"/>
    </row>
    <row r="243" ht="15.75" customHeight="1">
      <c r="A243" s="336"/>
      <c r="B243" s="336"/>
      <c r="C243" s="336"/>
      <c r="D243" s="336"/>
      <c r="E243" s="336"/>
      <c r="F243" s="336"/>
      <c r="G243" s="336"/>
    </row>
    <row r="244" ht="15.75" customHeight="1">
      <c r="A244" s="336"/>
      <c r="B244" s="336"/>
      <c r="C244" s="336"/>
      <c r="D244" s="336"/>
      <c r="E244" s="336"/>
      <c r="F244" s="336"/>
      <c r="G244" s="336"/>
    </row>
    <row r="245" ht="15.75" customHeight="1">
      <c r="A245" s="336"/>
      <c r="B245" s="336"/>
      <c r="C245" s="336"/>
      <c r="D245" s="336"/>
      <c r="E245" s="336"/>
      <c r="F245" s="336"/>
      <c r="G245" s="336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G1"/>
    <mergeCell ref="A2:G2"/>
    <mergeCell ref="A3:G3"/>
    <mergeCell ref="A4:G4"/>
    <mergeCell ref="B5:C5"/>
    <mergeCell ref="B6:C6"/>
    <mergeCell ref="F8:G8"/>
    <mergeCell ref="F9:G9"/>
    <mergeCell ref="F14:G14"/>
    <mergeCell ref="A15:G15"/>
    <mergeCell ref="D19:G19"/>
    <mergeCell ref="D20:G20"/>
    <mergeCell ref="A25:G25"/>
    <mergeCell ref="A26:G26"/>
    <mergeCell ref="F38:G38"/>
    <mergeCell ref="D43:G43"/>
    <mergeCell ref="D44:G44"/>
    <mergeCell ref="A27:G27"/>
    <mergeCell ref="A28:G28"/>
    <mergeCell ref="B29:C29"/>
    <mergeCell ref="B30:C30"/>
    <mergeCell ref="F32:G32"/>
    <mergeCell ref="F33:G33"/>
    <mergeCell ref="A39:G39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7.75"/>
    <col customWidth="1" min="3" max="3" width="35.88"/>
    <col customWidth="1" min="4" max="6" width="12.63"/>
    <col customWidth="1" min="7" max="7" width="1.88"/>
  </cols>
  <sheetData>
    <row r="1" ht="15.75" customHeight="1">
      <c r="A1" s="295" t="s">
        <v>259</v>
      </c>
    </row>
    <row r="2" ht="15.75" customHeight="1">
      <c r="A2" s="295" t="s">
        <v>260</v>
      </c>
    </row>
    <row r="3" ht="15.75" customHeight="1">
      <c r="A3" s="296" t="s">
        <v>261</v>
      </c>
    </row>
    <row r="4" ht="15.75" customHeight="1">
      <c r="A4" s="298" t="s">
        <v>262</v>
      </c>
      <c r="B4" s="299"/>
      <c r="C4" s="299"/>
      <c r="D4" s="299"/>
      <c r="E4" s="299"/>
      <c r="F4" s="299"/>
      <c r="G4" s="299"/>
    </row>
    <row r="5" ht="15.75" customHeight="1">
      <c r="A5" s="300" t="s">
        <v>263</v>
      </c>
      <c r="B5" s="126" t="s">
        <v>264</v>
      </c>
      <c r="D5" s="300" t="s">
        <v>265</v>
      </c>
      <c r="E5" s="336"/>
      <c r="F5" s="301" t="s">
        <v>266</v>
      </c>
      <c r="G5" s="411"/>
    </row>
    <row r="6" ht="15.75" customHeight="1">
      <c r="A6" s="300" t="s">
        <v>267</v>
      </c>
      <c r="B6" s="126" t="s">
        <v>268</v>
      </c>
      <c r="D6" s="300" t="s">
        <v>269</v>
      </c>
      <c r="E6" s="336"/>
      <c r="F6" s="301" t="s">
        <v>266</v>
      </c>
      <c r="G6" s="404"/>
    </row>
    <row r="7" ht="15.75" customHeight="1">
      <c r="A7" s="388"/>
      <c r="B7" s="389"/>
      <c r="C7" s="390"/>
      <c r="D7" s="388"/>
      <c r="E7" s="389"/>
      <c r="F7" s="389"/>
      <c r="G7" s="390"/>
    </row>
    <row r="8" ht="15.75" customHeight="1">
      <c r="A8" s="307" t="s">
        <v>6</v>
      </c>
      <c r="B8" s="308" t="s">
        <v>240</v>
      </c>
      <c r="C8" s="308" t="s">
        <v>270</v>
      </c>
      <c r="D8" s="308" t="s">
        <v>271</v>
      </c>
      <c r="E8" s="308" t="s">
        <v>272</v>
      </c>
      <c r="F8" s="309" t="s">
        <v>273</v>
      </c>
      <c r="G8" s="26"/>
    </row>
    <row r="9" ht="15.75" customHeight="1">
      <c r="A9" s="391"/>
      <c r="B9" s="322" t="s">
        <v>248</v>
      </c>
      <c r="C9" s="383" t="s">
        <v>291</v>
      </c>
      <c r="D9" s="392">
        <v>1500.0</v>
      </c>
      <c r="E9" s="393">
        <v>140.0</v>
      </c>
      <c r="F9" s="394">
        <f>E9*D9</f>
        <v>210000</v>
      </c>
      <c r="G9" s="255"/>
    </row>
    <row r="10" ht="15.75" customHeight="1">
      <c r="A10" s="391"/>
      <c r="B10" s="395"/>
      <c r="C10" s="396"/>
      <c r="D10" s="395"/>
      <c r="E10" s="397"/>
      <c r="F10" s="398"/>
      <c r="G10" s="397"/>
    </row>
    <row r="11" ht="15.75" customHeight="1">
      <c r="A11" s="399"/>
      <c r="B11" s="400"/>
      <c r="C11" s="401"/>
      <c r="D11" s="400"/>
      <c r="E11" s="402"/>
      <c r="F11" s="398"/>
      <c r="G11" s="402"/>
    </row>
    <row r="12" ht="15.75" customHeight="1">
      <c r="A12" s="391"/>
      <c r="B12" s="395"/>
      <c r="C12" s="403" t="s">
        <v>274</v>
      </c>
      <c r="D12" s="404"/>
      <c r="E12" s="404"/>
      <c r="F12" s="336"/>
      <c r="G12" s="395"/>
    </row>
    <row r="13" ht="15.75" customHeight="1">
      <c r="A13" s="391"/>
      <c r="B13" s="395"/>
      <c r="C13" s="405"/>
      <c r="D13" s="404"/>
      <c r="E13" s="404"/>
      <c r="F13" s="336"/>
      <c r="G13" s="395"/>
    </row>
    <row r="14" ht="15.75" customHeight="1">
      <c r="A14" s="406"/>
      <c r="B14" s="390"/>
      <c r="C14" s="412" t="s">
        <v>275</v>
      </c>
      <c r="D14" s="390"/>
      <c r="E14" s="390"/>
      <c r="F14" s="326">
        <f>sum(F9)</f>
        <v>210000</v>
      </c>
      <c r="G14" s="26"/>
    </row>
    <row r="15" ht="15.75" customHeight="1">
      <c r="A15" s="327" t="s">
        <v>276</v>
      </c>
      <c r="B15" s="299"/>
      <c r="C15" s="299"/>
      <c r="D15" s="299"/>
      <c r="E15" s="299"/>
      <c r="F15" s="299"/>
      <c r="G15" s="26"/>
    </row>
    <row r="16" ht="15.75" customHeight="1">
      <c r="A16" s="407"/>
      <c r="B16" s="404"/>
      <c r="C16" s="404" t="s">
        <v>277</v>
      </c>
      <c r="D16" s="413" t="s">
        <v>278</v>
      </c>
      <c r="E16" s="336"/>
      <c r="F16" s="336"/>
      <c r="G16" s="404"/>
    </row>
    <row r="17" ht="15.75" customHeight="1">
      <c r="A17" s="407"/>
      <c r="B17" s="404"/>
      <c r="C17" s="404" t="s">
        <v>279</v>
      </c>
      <c r="D17" s="336"/>
      <c r="E17" s="336"/>
      <c r="F17" s="336"/>
      <c r="G17" s="404"/>
    </row>
    <row r="18" ht="15.75" customHeight="1">
      <c r="A18" s="407" t="s">
        <v>280</v>
      </c>
      <c r="B18" s="404"/>
      <c r="C18" s="404"/>
      <c r="D18" s="336"/>
      <c r="E18" s="336"/>
      <c r="F18" s="336"/>
      <c r="G18" s="404"/>
    </row>
    <row r="19" ht="15.75" customHeight="1">
      <c r="A19" s="408" t="s">
        <v>281</v>
      </c>
      <c r="B19" s="404"/>
      <c r="C19" s="331" t="s">
        <v>144</v>
      </c>
      <c r="D19" s="332" t="s">
        <v>282</v>
      </c>
      <c r="G19" s="255"/>
    </row>
    <row r="20" ht="15.75" customHeight="1">
      <c r="A20" s="408" t="s">
        <v>283</v>
      </c>
      <c r="B20" s="404"/>
      <c r="C20" s="333" t="s">
        <v>284</v>
      </c>
      <c r="D20" s="334" t="s">
        <v>151</v>
      </c>
      <c r="G20" s="255"/>
    </row>
    <row r="21" ht="15.75" customHeight="1">
      <c r="A21" s="388" t="s">
        <v>285</v>
      </c>
      <c r="B21" s="390"/>
      <c r="C21" s="335">
        <v>45299.0</v>
      </c>
      <c r="D21" s="389"/>
      <c r="E21" s="389"/>
      <c r="F21" s="389"/>
      <c r="G21" s="390"/>
    </row>
    <row r="22" ht="15.75" customHeight="1">
      <c r="A22" s="336"/>
      <c r="B22" s="336"/>
      <c r="C22" s="336"/>
      <c r="D22" s="336"/>
      <c r="E22" s="336"/>
      <c r="F22" s="336"/>
      <c r="G22" s="336"/>
    </row>
    <row r="23" ht="15.75" customHeight="1">
      <c r="A23" s="336"/>
      <c r="B23" s="336"/>
      <c r="C23" s="336"/>
      <c r="D23" s="336"/>
      <c r="E23" s="336"/>
      <c r="F23" s="336"/>
      <c r="G23" s="336"/>
    </row>
    <row r="24" ht="15.75" customHeight="1">
      <c r="A24" s="295" t="s">
        <v>259</v>
      </c>
    </row>
    <row r="25" ht="15.75" customHeight="1">
      <c r="A25" s="295" t="s">
        <v>260</v>
      </c>
    </row>
    <row r="26" ht="15.75" customHeight="1">
      <c r="A26" s="409" t="s">
        <v>261</v>
      </c>
    </row>
    <row r="27" ht="15.75" customHeight="1">
      <c r="A27" s="298" t="s">
        <v>262</v>
      </c>
      <c r="B27" s="299"/>
      <c r="C27" s="299"/>
      <c r="D27" s="299"/>
      <c r="E27" s="299"/>
      <c r="F27" s="299"/>
      <c r="G27" s="299"/>
    </row>
    <row r="28" ht="15.75" customHeight="1">
      <c r="A28" s="300" t="s">
        <v>263</v>
      </c>
      <c r="B28" s="126" t="s">
        <v>264</v>
      </c>
      <c r="D28" s="300" t="s">
        <v>265</v>
      </c>
      <c r="E28" s="126"/>
      <c r="F28" s="301" t="s">
        <v>266</v>
      </c>
      <c r="G28" s="302"/>
    </row>
    <row r="29" ht="15.75" customHeight="1">
      <c r="A29" s="300" t="s">
        <v>267</v>
      </c>
      <c r="B29" s="126" t="s">
        <v>268</v>
      </c>
      <c r="D29" s="300" t="s">
        <v>269</v>
      </c>
      <c r="E29" s="126"/>
      <c r="F29" s="301" t="s">
        <v>266</v>
      </c>
      <c r="G29" s="303"/>
    </row>
    <row r="30" ht="15.75" customHeight="1">
      <c r="A30" s="388"/>
      <c r="B30" s="389"/>
      <c r="C30" s="390"/>
      <c r="D30" s="388"/>
      <c r="E30" s="389"/>
      <c r="F30" s="389"/>
      <c r="G30" s="390"/>
    </row>
    <row r="31" ht="15.75" customHeight="1">
      <c r="A31" s="307" t="s">
        <v>6</v>
      </c>
      <c r="B31" s="308" t="s">
        <v>240</v>
      </c>
      <c r="C31" s="308" t="s">
        <v>270</v>
      </c>
      <c r="D31" s="308" t="s">
        <v>271</v>
      </c>
      <c r="E31" s="308" t="s">
        <v>272</v>
      </c>
      <c r="F31" s="309" t="s">
        <v>273</v>
      </c>
      <c r="G31" s="26"/>
    </row>
    <row r="32" ht="15.75" customHeight="1">
      <c r="A32" s="391"/>
      <c r="B32" s="322" t="str">
        <f>B9</f>
        <v>kg</v>
      </c>
      <c r="C32" s="383" t="s">
        <v>292</v>
      </c>
      <c r="D32" s="392">
        <f t="shared" ref="D32:F32" si="1">D9</f>
        <v>1500</v>
      </c>
      <c r="E32" s="393">
        <f t="shared" si="1"/>
        <v>140</v>
      </c>
      <c r="F32" s="394">
        <f t="shared" si="1"/>
        <v>210000</v>
      </c>
      <c r="G32" s="255"/>
    </row>
    <row r="33" ht="15.75" customHeight="1">
      <c r="A33" s="391"/>
      <c r="B33" s="395"/>
      <c r="C33" s="396"/>
      <c r="D33" s="395"/>
      <c r="E33" s="397"/>
      <c r="F33" s="398"/>
      <c r="G33" s="397"/>
    </row>
    <row r="34" ht="15.75" customHeight="1">
      <c r="A34" s="391"/>
      <c r="B34" s="395"/>
      <c r="C34" s="396"/>
      <c r="D34" s="395"/>
      <c r="E34" s="397"/>
      <c r="F34" s="398"/>
      <c r="G34" s="397"/>
    </row>
    <row r="35" ht="15.75" customHeight="1">
      <c r="A35" s="391"/>
      <c r="B35" s="395"/>
      <c r="C35" s="403" t="s">
        <v>274</v>
      </c>
      <c r="D35" s="404"/>
      <c r="E35" s="404"/>
      <c r="F35" s="336"/>
      <c r="G35" s="395"/>
    </row>
    <row r="36" ht="15.75" customHeight="1">
      <c r="A36" s="391"/>
      <c r="B36" s="395"/>
      <c r="C36" s="405"/>
      <c r="D36" s="404"/>
      <c r="E36" s="404"/>
      <c r="F36" s="336"/>
      <c r="G36" s="395"/>
    </row>
    <row r="37" ht="15.75" customHeight="1">
      <c r="A37" s="406"/>
      <c r="B37" s="390"/>
      <c r="C37" s="412" t="s">
        <v>275</v>
      </c>
      <c r="D37" s="390"/>
      <c r="E37" s="390"/>
      <c r="F37" s="410">
        <f>F14</f>
        <v>210000</v>
      </c>
      <c r="G37" s="26"/>
    </row>
    <row r="38" ht="15.75" customHeight="1">
      <c r="A38" s="327" t="s">
        <v>276</v>
      </c>
      <c r="B38" s="299"/>
      <c r="C38" s="299"/>
      <c r="D38" s="299"/>
      <c r="E38" s="299"/>
      <c r="F38" s="299"/>
      <c r="G38" s="26"/>
    </row>
    <row r="39" ht="15.75" customHeight="1">
      <c r="A39" s="407"/>
      <c r="B39" s="404"/>
      <c r="C39" s="404" t="s">
        <v>277</v>
      </c>
      <c r="D39" s="413" t="s">
        <v>278</v>
      </c>
      <c r="E39" s="336"/>
      <c r="F39" s="336"/>
      <c r="G39" s="404"/>
    </row>
    <row r="40" ht="15.75" customHeight="1">
      <c r="A40" s="407"/>
      <c r="B40" s="404"/>
      <c r="C40" s="404" t="s">
        <v>279</v>
      </c>
      <c r="D40" s="336"/>
      <c r="E40" s="336"/>
      <c r="F40" s="336"/>
      <c r="G40" s="404"/>
    </row>
    <row r="41" ht="15.75" customHeight="1">
      <c r="A41" s="407" t="s">
        <v>280</v>
      </c>
      <c r="B41" s="404"/>
      <c r="C41" s="404"/>
      <c r="D41" s="336"/>
      <c r="E41" s="336"/>
      <c r="F41" s="336"/>
      <c r="G41" s="404"/>
    </row>
    <row r="42" ht="15.75" customHeight="1">
      <c r="A42" s="408" t="s">
        <v>281</v>
      </c>
      <c r="B42" s="404"/>
      <c r="C42" s="331" t="s">
        <v>144</v>
      </c>
      <c r="D42" s="332" t="s">
        <v>282</v>
      </c>
      <c r="G42" s="255"/>
    </row>
    <row r="43" ht="15.75" customHeight="1">
      <c r="A43" s="408" t="s">
        <v>283</v>
      </c>
      <c r="B43" s="404"/>
      <c r="C43" s="333" t="s">
        <v>284</v>
      </c>
      <c r="D43" s="334" t="s">
        <v>151</v>
      </c>
      <c r="G43" s="255"/>
    </row>
    <row r="44" ht="15.75" customHeight="1">
      <c r="A44" s="388" t="s">
        <v>285</v>
      </c>
      <c r="B44" s="390"/>
      <c r="C44" s="335">
        <f>C21</f>
        <v>45299</v>
      </c>
      <c r="D44" s="389"/>
      <c r="E44" s="389"/>
      <c r="F44" s="389"/>
      <c r="G44" s="390"/>
    </row>
    <row r="45" ht="15.75" customHeight="1">
      <c r="A45" s="336"/>
      <c r="B45" s="336"/>
      <c r="C45" s="336"/>
      <c r="D45" s="336"/>
      <c r="E45" s="336"/>
      <c r="F45" s="336"/>
      <c r="G45" s="336"/>
    </row>
    <row r="46" ht="15.75" customHeight="1">
      <c r="A46" s="336"/>
      <c r="B46" s="336"/>
      <c r="C46" s="336"/>
      <c r="D46" s="336"/>
      <c r="E46" s="336"/>
      <c r="F46" s="336"/>
      <c r="G46" s="336"/>
    </row>
    <row r="47" ht="15.75" customHeight="1">
      <c r="A47" s="336"/>
      <c r="B47" s="336"/>
      <c r="C47" s="336"/>
      <c r="D47" s="336"/>
      <c r="E47" s="336"/>
      <c r="F47" s="336"/>
      <c r="G47" s="336"/>
    </row>
    <row r="48" ht="15.75" customHeight="1">
      <c r="A48" s="336"/>
      <c r="B48" s="336"/>
      <c r="C48" s="336"/>
      <c r="D48" s="336"/>
      <c r="E48" s="336"/>
      <c r="F48" s="336"/>
      <c r="G48" s="336"/>
    </row>
    <row r="49" ht="15.75" customHeight="1">
      <c r="A49" s="336"/>
      <c r="B49" s="336"/>
      <c r="C49" s="336"/>
      <c r="D49" s="336"/>
      <c r="E49" s="336"/>
      <c r="F49" s="336"/>
      <c r="G49" s="336"/>
    </row>
    <row r="50" ht="15.75" customHeight="1">
      <c r="A50" s="336"/>
      <c r="B50" s="336"/>
      <c r="C50" s="336"/>
      <c r="D50" s="336"/>
      <c r="E50" s="336"/>
      <c r="F50" s="336"/>
      <c r="G50" s="336"/>
    </row>
    <row r="51" ht="15.75" customHeight="1">
      <c r="A51" s="336"/>
      <c r="B51" s="336"/>
      <c r="C51" s="336"/>
      <c r="D51" s="336"/>
      <c r="E51" s="336"/>
      <c r="F51" s="336"/>
      <c r="G51" s="336"/>
    </row>
    <row r="52" ht="15.75" customHeight="1">
      <c r="A52" s="336"/>
      <c r="B52" s="336"/>
      <c r="C52" s="336"/>
      <c r="D52" s="336"/>
      <c r="E52" s="336"/>
      <c r="F52" s="336"/>
      <c r="G52" s="336"/>
    </row>
    <row r="53" ht="15.75" customHeight="1">
      <c r="A53" s="336"/>
      <c r="B53" s="336"/>
      <c r="C53" s="336"/>
      <c r="D53" s="336"/>
      <c r="E53" s="336"/>
      <c r="F53" s="336"/>
      <c r="G53" s="336"/>
    </row>
    <row r="54" ht="15.75" customHeight="1">
      <c r="A54" s="336"/>
      <c r="B54" s="336"/>
      <c r="C54" s="336"/>
      <c r="D54" s="336"/>
      <c r="E54" s="336"/>
      <c r="F54" s="336"/>
      <c r="G54" s="336"/>
    </row>
    <row r="55" ht="15.75" customHeight="1">
      <c r="A55" s="336"/>
      <c r="B55" s="336"/>
      <c r="C55" s="336"/>
      <c r="D55" s="336"/>
      <c r="E55" s="336"/>
      <c r="F55" s="336"/>
      <c r="G55" s="336"/>
    </row>
    <row r="56" ht="15.75" customHeight="1">
      <c r="A56" s="336"/>
      <c r="B56" s="336"/>
      <c r="C56" s="336"/>
      <c r="D56" s="336"/>
      <c r="E56" s="336"/>
      <c r="F56" s="336"/>
      <c r="G56" s="336"/>
    </row>
    <row r="57" ht="15.75" customHeight="1">
      <c r="A57" s="336"/>
      <c r="B57" s="336"/>
      <c r="C57" s="336"/>
      <c r="D57" s="336"/>
      <c r="E57" s="336"/>
      <c r="F57" s="336"/>
      <c r="G57" s="336"/>
    </row>
    <row r="58" ht="15.75" customHeight="1">
      <c r="A58" s="336"/>
      <c r="B58" s="336"/>
      <c r="C58" s="336"/>
      <c r="D58" s="336"/>
      <c r="E58" s="336"/>
      <c r="F58" s="336"/>
      <c r="G58" s="336"/>
    </row>
    <row r="59" ht="15.75" customHeight="1">
      <c r="A59" s="336"/>
      <c r="B59" s="336"/>
      <c r="C59" s="336"/>
      <c r="D59" s="336"/>
      <c r="E59" s="336"/>
      <c r="F59" s="336"/>
      <c r="G59" s="336"/>
    </row>
    <row r="60" ht="15.75" customHeight="1">
      <c r="A60" s="336"/>
      <c r="B60" s="336"/>
      <c r="C60" s="336"/>
      <c r="D60" s="336"/>
      <c r="E60" s="336"/>
      <c r="F60" s="336"/>
      <c r="G60" s="336"/>
    </row>
    <row r="61" ht="15.75" customHeight="1">
      <c r="A61" s="336"/>
      <c r="B61" s="336"/>
      <c r="C61" s="336"/>
      <c r="D61" s="336"/>
      <c r="E61" s="336"/>
      <c r="F61" s="336"/>
      <c r="G61" s="336"/>
    </row>
    <row r="62" ht="15.75" customHeight="1">
      <c r="A62" s="336"/>
      <c r="B62" s="336"/>
      <c r="C62" s="336"/>
      <c r="D62" s="336"/>
      <c r="E62" s="336"/>
      <c r="F62" s="336"/>
      <c r="G62" s="336"/>
    </row>
    <row r="63" ht="15.75" customHeight="1">
      <c r="A63" s="336"/>
      <c r="B63" s="336"/>
      <c r="C63" s="336"/>
      <c r="D63" s="336"/>
      <c r="E63" s="336"/>
      <c r="F63" s="336"/>
      <c r="G63" s="336"/>
    </row>
    <row r="64" ht="15.75" customHeight="1">
      <c r="A64" s="336"/>
      <c r="B64" s="336"/>
      <c r="C64" s="336"/>
      <c r="D64" s="336"/>
      <c r="E64" s="336"/>
      <c r="F64" s="336"/>
      <c r="G64" s="336"/>
    </row>
    <row r="65" ht="15.75" customHeight="1">
      <c r="A65" s="336"/>
      <c r="B65" s="336"/>
      <c r="C65" s="336"/>
      <c r="D65" s="336"/>
      <c r="E65" s="336"/>
      <c r="F65" s="336"/>
      <c r="G65" s="336"/>
    </row>
    <row r="66" ht="15.75" customHeight="1">
      <c r="A66" s="336"/>
      <c r="B66" s="336"/>
      <c r="C66" s="336"/>
      <c r="D66" s="336"/>
      <c r="E66" s="336"/>
      <c r="F66" s="336"/>
      <c r="G66" s="336"/>
    </row>
    <row r="67" ht="15.75" customHeight="1">
      <c r="A67" s="336"/>
      <c r="B67" s="336"/>
      <c r="C67" s="336"/>
      <c r="D67" s="336"/>
      <c r="E67" s="336"/>
      <c r="F67" s="336"/>
      <c r="G67" s="336"/>
    </row>
    <row r="68" ht="15.75" customHeight="1">
      <c r="A68" s="336"/>
      <c r="B68" s="336"/>
      <c r="C68" s="336"/>
      <c r="D68" s="336"/>
      <c r="E68" s="336"/>
      <c r="F68" s="336"/>
      <c r="G68" s="336"/>
    </row>
    <row r="69" ht="15.75" customHeight="1">
      <c r="A69" s="336"/>
      <c r="B69" s="336"/>
      <c r="C69" s="336"/>
      <c r="D69" s="336"/>
      <c r="E69" s="336"/>
      <c r="F69" s="336"/>
      <c r="G69" s="336"/>
    </row>
    <row r="70" ht="15.75" customHeight="1">
      <c r="A70" s="336"/>
      <c r="B70" s="336"/>
      <c r="C70" s="336"/>
      <c r="D70" s="336"/>
      <c r="E70" s="336"/>
      <c r="F70" s="336"/>
      <c r="G70" s="336"/>
    </row>
    <row r="71" ht="15.75" customHeight="1">
      <c r="A71" s="336"/>
      <c r="B71" s="336"/>
      <c r="C71" s="336"/>
      <c r="D71" s="336"/>
      <c r="E71" s="336"/>
      <c r="F71" s="336"/>
      <c r="G71" s="336"/>
    </row>
    <row r="72" ht="15.75" customHeight="1">
      <c r="A72" s="336"/>
      <c r="B72" s="336"/>
      <c r="C72" s="336"/>
      <c r="D72" s="336"/>
      <c r="E72" s="336"/>
      <c r="F72" s="336"/>
      <c r="G72" s="336"/>
    </row>
    <row r="73" ht="15.75" customHeight="1">
      <c r="A73" s="336"/>
      <c r="B73" s="336"/>
      <c r="C73" s="336"/>
      <c r="D73" s="336"/>
      <c r="E73" s="336"/>
      <c r="F73" s="336"/>
      <c r="G73" s="336"/>
    </row>
    <row r="74" ht="15.75" customHeight="1">
      <c r="A74" s="336"/>
      <c r="B74" s="336"/>
      <c r="C74" s="336"/>
      <c r="D74" s="336"/>
      <c r="E74" s="336"/>
      <c r="F74" s="336"/>
      <c r="G74" s="336"/>
    </row>
    <row r="75" ht="15.75" customHeight="1">
      <c r="A75" s="336"/>
      <c r="B75" s="336"/>
      <c r="C75" s="336"/>
      <c r="D75" s="336"/>
      <c r="E75" s="336"/>
      <c r="F75" s="336"/>
      <c r="G75" s="336"/>
    </row>
    <row r="76" ht="15.75" customHeight="1">
      <c r="A76" s="336"/>
      <c r="B76" s="336"/>
      <c r="C76" s="336"/>
      <c r="D76" s="336"/>
      <c r="E76" s="336"/>
      <c r="F76" s="336"/>
      <c r="G76" s="336"/>
    </row>
    <row r="77" ht="15.75" customHeight="1">
      <c r="A77" s="336"/>
      <c r="B77" s="336"/>
      <c r="C77" s="336"/>
      <c r="D77" s="336"/>
      <c r="E77" s="336"/>
      <c r="F77" s="336"/>
      <c r="G77" s="336"/>
    </row>
    <row r="78" ht="15.75" customHeight="1">
      <c r="A78" s="336"/>
      <c r="B78" s="336"/>
      <c r="C78" s="336"/>
      <c r="D78" s="336"/>
      <c r="E78" s="336"/>
      <c r="F78" s="336"/>
      <c r="G78" s="336"/>
    </row>
    <row r="79" ht="15.75" customHeight="1">
      <c r="A79" s="336"/>
      <c r="B79" s="336"/>
      <c r="C79" s="336"/>
      <c r="D79" s="336"/>
      <c r="E79" s="336"/>
      <c r="F79" s="336"/>
      <c r="G79" s="336"/>
    </row>
    <row r="80" ht="15.75" customHeight="1">
      <c r="A80" s="336"/>
      <c r="B80" s="336"/>
      <c r="C80" s="336"/>
      <c r="D80" s="336"/>
      <c r="E80" s="336"/>
      <c r="F80" s="336"/>
      <c r="G80" s="336"/>
    </row>
    <row r="81" ht="15.75" customHeight="1">
      <c r="A81" s="336"/>
      <c r="B81" s="336"/>
      <c r="C81" s="336"/>
      <c r="D81" s="336"/>
      <c r="E81" s="336"/>
      <c r="F81" s="336"/>
      <c r="G81" s="336"/>
    </row>
    <row r="82" ht="15.75" customHeight="1">
      <c r="A82" s="336"/>
      <c r="B82" s="336"/>
      <c r="C82" s="336"/>
      <c r="D82" s="336"/>
      <c r="E82" s="336"/>
      <c r="F82" s="336"/>
      <c r="G82" s="336"/>
    </row>
    <row r="83" ht="15.75" customHeight="1">
      <c r="A83" s="336"/>
      <c r="B83" s="336"/>
      <c r="C83" s="336"/>
      <c r="D83" s="336"/>
      <c r="E83" s="336"/>
      <c r="F83" s="336"/>
      <c r="G83" s="336"/>
    </row>
    <row r="84" ht="15.75" customHeight="1">
      <c r="A84" s="336"/>
      <c r="B84" s="336"/>
      <c r="C84" s="336"/>
      <c r="D84" s="336"/>
      <c r="E84" s="336"/>
      <c r="F84" s="336"/>
      <c r="G84" s="336"/>
    </row>
    <row r="85" ht="15.75" customHeight="1">
      <c r="A85" s="336"/>
      <c r="B85" s="336"/>
      <c r="C85" s="336"/>
      <c r="D85" s="336"/>
      <c r="E85" s="336"/>
      <c r="F85" s="336"/>
      <c r="G85" s="336"/>
    </row>
    <row r="86" ht="15.75" customHeight="1">
      <c r="A86" s="336"/>
      <c r="B86" s="336"/>
      <c r="C86" s="336"/>
      <c r="D86" s="336"/>
      <c r="E86" s="336"/>
      <c r="F86" s="336"/>
      <c r="G86" s="336"/>
    </row>
    <row r="87" ht="15.75" customHeight="1">
      <c r="A87" s="336"/>
      <c r="B87" s="336"/>
      <c r="C87" s="336"/>
      <c r="D87" s="336"/>
      <c r="E87" s="336"/>
      <c r="F87" s="336"/>
      <c r="G87" s="336"/>
    </row>
    <row r="88" ht="15.75" customHeight="1">
      <c r="A88" s="336"/>
      <c r="B88" s="336"/>
      <c r="C88" s="336"/>
      <c r="D88" s="336"/>
      <c r="E88" s="336"/>
      <c r="F88" s="336"/>
      <c r="G88" s="336"/>
    </row>
    <row r="89" ht="15.75" customHeight="1">
      <c r="A89" s="336"/>
      <c r="B89" s="336"/>
      <c r="C89" s="336"/>
      <c r="D89" s="336"/>
      <c r="E89" s="336"/>
      <c r="F89" s="336"/>
      <c r="G89" s="336"/>
    </row>
    <row r="90" ht="15.75" customHeight="1">
      <c r="A90" s="336"/>
      <c r="B90" s="336"/>
      <c r="C90" s="336"/>
      <c r="D90" s="336"/>
      <c r="E90" s="336"/>
      <c r="F90" s="336"/>
      <c r="G90" s="336"/>
    </row>
    <row r="91" ht="15.75" customHeight="1">
      <c r="A91" s="336"/>
      <c r="B91" s="336"/>
      <c r="C91" s="336"/>
      <c r="D91" s="336"/>
      <c r="E91" s="336"/>
      <c r="F91" s="336"/>
      <c r="G91" s="336"/>
    </row>
    <row r="92" ht="15.75" customHeight="1">
      <c r="A92" s="336"/>
      <c r="B92" s="336"/>
      <c r="C92" s="336"/>
      <c r="D92" s="336"/>
      <c r="E92" s="336"/>
      <c r="F92" s="336"/>
      <c r="G92" s="336"/>
    </row>
    <row r="93" ht="15.75" customHeight="1">
      <c r="A93" s="336"/>
      <c r="B93" s="336"/>
      <c r="C93" s="336"/>
      <c r="D93" s="336"/>
      <c r="E93" s="336"/>
      <c r="F93" s="336"/>
      <c r="G93" s="336"/>
    </row>
    <row r="94" ht="15.75" customHeight="1">
      <c r="A94" s="336"/>
      <c r="B94" s="336"/>
      <c r="C94" s="336"/>
      <c r="D94" s="336"/>
      <c r="E94" s="336"/>
      <c r="F94" s="336"/>
      <c r="G94" s="336"/>
    </row>
    <row r="95" ht="15.75" customHeight="1">
      <c r="A95" s="336"/>
      <c r="B95" s="336"/>
      <c r="C95" s="336"/>
      <c r="D95" s="336"/>
      <c r="E95" s="336"/>
      <c r="F95" s="336"/>
      <c r="G95" s="336"/>
    </row>
    <row r="96" ht="15.75" customHeight="1">
      <c r="A96" s="336"/>
      <c r="B96" s="336"/>
      <c r="C96" s="336"/>
      <c r="D96" s="336"/>
      <c r="E96" s="336"/>
      <c r="F96" s="336"/>
      <c r="G96" s="336"/>
    </row>
    <row r="97" ht="15.75" customHeight="1">
      <c r="A97" s="336"/>
      <c r="B97" s="336"/>
      <c r="C97" s="336"/>
      <c r="D97" s="336"/>
      <c r="E97" s="336"/>
      <c r="F97" s="336"/>
      <c r="G97" s="336"/>
    </row>
    <row r="98" ht="15.75" customHeight="1">
      <c r="A98" s="336"/>
      <c r="B98" s="336"/>
      <c r="C98" s="336"/>
      <c r="D98" s="336"/>
      <c r="E98" s="336"/>
      <c r="F98" s="336"/>
      <c r="G98" s="336"/>
    </row>
    <row r="99" ht="15.75" customHeight="1">
      <c r="A99" s="336"/>
      <c r="B99" s="336"/>
      <c r="C99" s="336"/>
      <c r="D99" s="336"/>
      <c r="E99" s="336"/>
      <c r="F99" s="336"/>
      <c r="G99" s="336"/>
    </row>
    <row r="100" ht="15.75" customHeight="1">
      <c r="A100" s="336"/>
      <c r="B100" s="336"/>
      <c r="C100" s="336"/>
      <c r="D100" s="336"/>
      <c r="E100" s="336"/>
      <c r="F100" s="336"/>
      <c r="G100" s="336"/>
    </row>
    <row r="101" ht="15.75" customHeight="1">
      <c r="A101" s="336"/>
      <c r="B101" s="336"/>
      <c r="C101" s="336"/>
      <c r="D101" s="336"/>
      <c r="E101" s="336"/>
      <c r="F101" s="336"/>
      <c r="G101" s="336"/>
    </row>
    <row r="102" ht="15.75" customHeight="1">
      <c r="A102" s="336"/>
      <c r="B102" s="336"/>
      <c r="C102" s="336"/>
      <c r="D102" s="336"/>
      <c r="E102" s="336"/>
      <c r="F102" s="336"/>
      <c r="G102" s="336"/>
    </row>
    <row r="103" ht="15.75" customHeight="1">
      <c r="A103" s="336"/>
      <c r="B103" s="336"/>
      <c r="C103" s="336"/>
      <c r="D103" s="336"/>
      <c r="E103" s="336"/>
      <c r="F103" s="336"/>
      <c r="G103" s="336"/>
    </row>
    <row r="104" ht="15.75" customHeight="1">
      <c r="A104" s="336"/>
      <c r="B104" s="336"/>
      <c r="C104" s="336"/>
      <c r="D104" s="336"/>
      <c r="E104" s="336"/>
      <c r="F104" s="336"/>
      <c r="G104" s="336"/>
    </row>
    <row r="105" ht="15.75" customHeight="1">
      <c r="A105" s="336"/>
      <c r="B105" s="336"/>
      <c r="C105" s="336"/>
      <c r="D105" s="336"/>
      <c r="E105" s="336"/>
      <c r="F105" s="336"/>
      <c r="G105" s="336"/>
    </row>
    <row r="106" ht="15.75" customHeight="1">
      <c r="A106" s="336"/>
      <c r="B106" s="336"/>
      <c r="C106" s="336"/>
      <c r="D106" s="336"/>
      <c r="E106" s="336"/>
      <c r="F106" s="336"/>
      <c r="G106" s="336"/>
    </row>
    <row r="107" ht="15.75" customHeight="1">
      <c r="A107" s="336"/>
      <c r="B107" s="336"/>
      <c r="C107" s="336"/>
      <c r="D107" s="336"/>
      <c r="E107" s="336"/>
      <c r="F107" s="336"/>
      <c r="G107" s="336"/>
    </row>
    <row r="108" ht="15.75" customHeight="1">
      <c r="A108" s="336"/>
      <c r="B108" s="336"/>
      <c r="C108" s="336"/>
      <c r="D108" s="336"/>
      <c r="E108" s="336"/>
      <c r="F108" s="336"/>
      <c r="G108" s="336"/>
    </row>
    <row r="109" ht="15.75" customHeight="1">
      <c r="A109" s="336"/>
      <c r="B109" s="336"/>
      <c r="C109" s="336"/>
      <c r="D109" s="336"/>
      <c r="E109" s="336"/>
      <c r="F109" s="336"/>
      <c r="G109" s="336"/>
    </row>
    <row r="110" ht="15.75" customHeight="1">
      <c r="A110" s="336"/>
      <c r="B110" s="336"/>
      <c r="C110" s="336"/>
      <c r="D110" s="336"/>
      <c r="E110" s="336"/>
      <c r="F110" s="336"/>
      <c r="G110" s="336"/>
    </row>
    <row r="111" ht="15.75" customHeight="1">
      <c r="A111" s="336"/>
      <c r="B111" s="336"/>
      <c r="C111" s="336"/>
      <c r="D111" s="336"/>
      <c r="E111" s="336"/>
      <c r="F111" s="336"/>
      <c r="G111" s="336"/>
    </row>
    <row r="112" ht="15.75" customHeight="1">
      <c r="A112" s="336"/>
      <c r="B112" s="336"/>
      <c r="C112" s="336"/>
      <c r="D112" s="336"/>
      <c r="E112" s="336"/>
      <c r="F112" s="336"/>
      <c r="G112" s="336"/>
    </row>
    <row r="113" ht="15.75" customHeight="1">
      <c r="A113" s="336"/>
      <c r="B113" s="336"/>
      <c r="C113" s="336"/>
      <c r="D113" s="336"/>
      <c r="E113" s="336"/>
      <c r="F113" s="336"/>
      <c r="G113" s="336"/>
    </row>
    <row r="114" ht="15.75" customHeight="1">
      <c r="A114" s="336"/>
      <c r="B114" s="336"/>
      <c r="C114" s="336"/>
      <c r="D114" s="336"/>
      <c r="E114" s="336"/>
      <c r="F114" s="336"/>
      <c r="G114" s="336"/>
    </row>
    <row r="115" ht="15.75" customHeight="1">
      <c r="A115" s="336"/>
      <c r="B115" s="336"/>
      <c r="C115" s="336"/>
      <c r="D115" s="336"/>
      <c r="E115" s="336"/>
      <c r="F115" s="336"/>
      <c r="G115" s="336"/>
    </row>
    <row r="116" ht="15.75" customHeight="1">
      <c r="A116" s="336"/>
      <c r="B116" s="336"/>
      <c r="C116" s="336"/>
      <c r="D116" s="336"/>
      <c r="E116" s="336"/>
      <c r="F116" s="336"/>
      <c r="G116" s="336"/>
    </row>
    <row r="117" ht="15.75" customHeight="1">
      <c r="A117" s="336"/>
      <c r="B117" s="336"/>
      <c r="C117" s="336"/>
      <c r="D117" s="336"/>
      <c r="E117" s="336"/>
      <c r="F117" s="336"/>
      <c r="G117" s="336"/>
    </row>
    <row r="118" ht="15.75" customHeight="1">
      <c r="A118" s="336"/>
      <c r="B118" s="336"/>
      <c r="C118" s="336"/>
      <c r="D118" s="336"/>
      <c r="E118" s="336"/>
      <c r="F118" s="336"/>
      <c r="G118" s="336"/>
    </row>
    <row r="119" ht="15.75" customHeight="1">
      <c r="A119" s="336"/>
      <c r="B119" s="336"/>
      <c r="C119" s="336"/>
      <c r="D119" s="336"/>
      <c r="E119" s="336"/>
      <c r="F119" s="336"/>
      <c r="G119" s="336"/>
    </row>
    <row r="120" ht="15.75" customHeight="1">
      <c r="A120" s="336"/>
      <c r="B120" s="336"/>
      <c r="C120" s="336"/>
      <c r="D120" s="336"/>
      <c r="E120" s="336"/>
      <c r="F120" s="336"/>
      <c r="G120" s="336"/>
    </row>
    <row r="121" ht="15.75" customHeight="1">
      <c r="A121" s="336"/>
      <c r="B121" s="336"/>
      <c r="C121" s="336"/>
      <c r="D121" s="336"/>
      <c r="E121" s="336"/>
      <c r="F121" s="336"/>
      <c r="G121" s="336"/>
    </row>
    <row r="122" ht="15.75" customHeight="1">
      <c r="A122" s="336"/>
      <c r="B122" s="336"/>
      <c r="C122" s="336"/>
      <c r="D122" s="336"/>
      <c r="E122" s="336"/>
      <c r="F122" s="336"/>
      <c r="G122" s="336"/>
    </row>
    <row r="123" ht="15.75" customHeight="1">
      <c r="A123" s="336"/>
      <c r="B123" s="336"/>
      <c r="C123" s="336"/>
      <c r="D123" s="336"/>
      <c r="E123" s="336"/>
      <c r="F123" s="336"/>
      <c r="G123" s="336"/>
    </row>
    <row r="124" ht="15.75" customHeight="1">
      <c r="A124" s="336"/>
      <c r="B124" s="336"/>
      <c r="C124" s="336"/>
      <c r="D124" s="336"/>
      <c r="E124" s="336"/>
      <c r="F124" s="336"/>
      <c r="G124" s="336"/>
    </row>
    <row r="125" ht="15.75" customHeight="1">
      <c r="A125" s="336"/>
      <c r="B125" s="336"/>
      <c r="C125" s="336"/>
      <c r="D125" s="336"/>
      <c r="E125" s="336"/>
      <c r="F125" s="336"/>
      <c r="G125" s="336"/>
    </row>
    <row r="126" ht="15.75" customHeight="1">
      <c r="A126" s="336"/>
      <c r="B126" s="336"/>
      <c r="C126" s="336"/>
      <c r="D126" s="336"/>
      <c r="E126" s="336"/>
      <c r="F126" s="336"/>
      <c r="G126" s="336"/>
    </row>
    <row r="127" ht="15.75" customHeight="1">
      <c r="A127" s="336"/>
      <c r="B127" s="336"/>
      <c r="C127" s="336"/>
      <c r="D127" s="336"/>
      <c r="E127" s="336"/>
      <c r="F127" s="336"/>
      <c r="G127" s="336"/>
    </row>
    <row r="128" ht="15.75" customHeight="1">
      <c r="A128" s="336"/>
      <c r="B128" s="336"/>
      <c r="C128" s="336"/>
      <c r="D128" s="336"/>
      <c r="E128" s="336"/>
      <c r="F128" s="336"/>
      <c r="G128" s="336"/>
    </row>
    <row r="129" ht="15.75" customHeight="1">
      <c r="A129" s="336"/>
      <c r="B129" s="336"/>
      <c r="C129" s="336"/>
      <c r="D129" s="336"/>
      <c r="E129" s="336"/>
      <c r="F129" s="336"/>
      <c r="G129" s="336"/>
    </row>
    <row r="130" ht="15.75" customHeight="1">
      <c r="A130" s="336"/>
      <c r="B130" s="336"/>
      <c r="C130" s="336"/>
      <c r="D130" s="336"/>
      <c r="E130" s="336"/>
      <c r="F130" s="336"/>
      <c r="G130" s="336"/>
    </row>
    <row r="131" ht="15.75" customHeight="1">
      <c r="A131" s="336"/>
      <c r="B131" s="336"/>
      <c r="C131" s="336"/>
      <c r="D131" s="336"/>
      <c r="E131" s="336"/>
      <c r="F131" s="336"/>
      <c r="G131" s="336"/>
    </row>
    <row r="132" ht="15.75" customHeight="1">
      <c r="A132" s="336"/>
      <c r="B132" s="336"/>
      <c r="C132" s="336"/>
      <c r="D132" s="336"/>
      <c r="E132" s="336"/>
      <c r="F132" s="336"/>
      <c r="G132" s="336"/>
    </row>
    <row r="133" ht="15.75" customHeight="1">
      <c r="A133" s="336"/>
      <c r="B133" s="336"/>
      <c r="C133" s="336"/>
      <c r="D133" s="336"/>
      <c r="E133" s="336"/>
      <c r="F133" s="336"/>
      <c r="G133" s="336"/>
    </row>
    <row r="134" ht="15.75" customHeight="1">
      <c r="A134" s="336"/>
      <c r="B134" s="336"/>
      <c r="C134" s="336"/>
      <c r="D134" s="336"/>
      <c r="E134" s="336"/>
      <c r="F134" s="336"/>
      <c r="G134" s="336"/>
    </row>
    <row r="135" ht="15.75" customHeight="1">
      <c r="A135" s="336"/>
      <c r="B135" s="336"/>
      <c r="C135" s="336"/>
      <c r="D135" s="336"/>
      <c r="E135" s="336"/>
      <c r="F135" s="336"/>
      <c r="G135" s="336"/>
    </row>
    <row r="136" ht="15.75" customHeight="1">
      <c r="A136" s="336"/>
      <c r="B136" s="336"/>
      <c r="C136" s="336"/>
      <c r="D136" s="336"/>
      <c r="E136" s="336"/>
      <c r="F136" s="336"/>
      <c r="G136" s="336"/>
    </row>
    <row r="137" ht="15.75" customHeight="1">
      <c r="A137" s="336"/>
      <c r="B137" s="336"/>
      <c r="C137" s="336"/>
      <c r="D137" s="336"/>
      <c r="E137" s="336"/>
      <c r="F137" s="336"/>
      <c r="G137" s="336"/>
    </row>
    <row r="138" ht="15.75" customHeight="1">
      <c r="A138" s="336"/>
      <c r="B138" s="336"/>
      <c r="C138" s="336"/>
      <c r="D138" s="336"/>
      <c r="E138" s="336"/>
      <c r="F138" s="336"/>
      <c r="G138" s="336"/>
    </row>
    <row r="139" ht="15.75" customHeight="1">
      <c r="A139" s="336"/>
      <c r="B139" s="336"/>
      <c r="C139" s="336"/>
      <c r="D139" s="336"/>
      <c r="E139" s="336"/>
      <c r="F139" s="336"/>
      <c r="G139" s="336"/>
    </row>
    <row r="140" ht="15.75" customHeight="1">
      <c r="A140" s="336"/>
      <c r="B140" s="336"/>
      <c r="C140" s="336"/>
      <c r="D140" s="336"/>
      <c r="E140" s="336"/>
      <c r="F140" s="336"/>
      <c r="G140" s="336"/>
    </row>
    <row r="141" ht="15.75" customHeight="1">
      <c r="A141" s="336"/>
      <c r="B141" s="336"/>
      <c r="C141" s="336"/>
      <c r="D141" s="336"/>
      <c r="E141" s="336"/>
      <c r="F141" s="336"/>
      <c r="G141" s="336"/>
    </row>
    <row r="142" ht="15.75" customHeight="1">
      <c r="A142" s="336"/>
      <c r="B142" s="336"/>
      <c r="C142" s="336"/>
      <c r="D142" s="336"/>
      <c r="E142" s="336"/>
      <c r="F142" s="336"/>
      <c r="G142" s="336"/>
    </row>
    <row r="143" ht="15.75" customHeight="1">
      <c r="A143" s="336"/>
      <c r="B143" s="336"/>
      <c r="C143" s="336"/>
      <c r="D143" s="336"/>
      <c r="E143" s="336"/>
      <c r="F143" s="336"/>
      <c r="G143" s="336"/>
    </row>
    <row r="144" ht="15.75" customHeight="1">
      <c r="A144" s="336"/>
      <c r="B144" s="336"/>
      <c r="C144" s="336"/>
      <c r="D144" s="336"/>
      <c r="E144" s="336"/>
      <c r="F144" s="336"/>
      <c r="G144" s="336"/>
    </row>
    <row r="145" ht="15.75" customHeight="1">
      <c r="A145" s="336"/>
      <c r="B145" s="336"/>
      <c r="C145" s="336"/>
      <c r="D145" s="336"/>
      <c r="E145" s="336"/>
      <c r="F145" s="336"/>
      <c r="G145" s="336"/>
    </row>
    <row r="146" ht="15.75" customHeight="1">
      <c r="A146" s="336"/>
      <c r="B146" s="336"/>
      <c r="C146" s="336"/>
      <c r="D146" s="336"/>
      <c r="E146" s="336"/>
      <c r="F146" s="336"/>
      <c r="G146" s="336"/>
    </row>
    <row r="147" ht="15.75" customHeight="1">
      <c r="A147" s="336"/>
      <c r="B147" s="336"/>
      <c r="C147" s="336"/>
      <c r="D147" s="336"/>
      <c r="E147" s="336"/>
      <c r="F147" s="336"/>
      <c r="G147" s="336"/>
    </row>
    <row r="148" ht="15.75" customHeight="1">
      <c r="A148" s="336"/>
      <c r="B148" s="336"/>
      <c r="C148" s="336"/>
      <c r="D148" s="336"/>
      <c r="E148" s="336"/>
      <c r="F148" s="336"/>
      <c r="G148" s="336"/>
    </row>
    <row r="149" ht="15.75" customHeight="1">
      <c r="A149" s="336"/>
      <c r="B149" s="336"/>
      <c r="C149" s="336"/>
      <c r="D149" s="336"/>
      <c r="E149" s="336"/>
      <c r="F149" s="336"/>
      <c r="G149" s="336"/>
    </row>
    <row r="150" ht="15.75" customHeight="1">
      <c r="A150" s="336"/>
      <c r="B150" s="336"/>
      <c r="C150" s="336"/>
      <c r="D150" s="336"/>
      <c r="E150" s="336"/>
      <c r="F150" s="336"/>
      <c r="G150" s="336"/>
    </row>
    <row r="151" ht="15.75" customHeight="1">
      <c r="A151" s="336"/>
      <c r="B151" s="336"/>
      <c r="C151" s="336"/>
      <c r="D151" s="336"/>
      <c r="E151" s="336"/>
      <c r="F151" s="336"/>
      <c r="G151" s="336"/>
    </row>
    <row r="152" ht="15.75" customHeight="1">
      <c r="A152" s="336"/>
      <c r="B152" s="336"/>
      <c r="C152" s="336"/>
      <c r="D152" s="336"/>
      <c r="E152" s="336"/>
      <c r="F152" s="336"/>
      <c r="G152" s="336"/>
    </row>
    <row r="153" ht="15.75" customHeight="1">
      <c r="A153" s="336"/>
      <c r="B153" s="336"/>
      <c r="C153" s="336"/>
      <c r="D153" s="336"/>
      <c r="E153" s="336"/>
      <c r="F153" s="336"/>
      <c r="G153" s="336"/>
    </row>
    <row r="154" ht="15.75" customHeight="1">
      <c r="A154" s="336"/>
      <c r="B154" s="336"/>
      <c r="C154" s="336"/>
      <c r="D154" s="336"/>
      <c r="E154" s="336"/>
      <c r="F154" s="336"/>
      <c r="G154" s="336"/>
    </row>
    <row r="155" ht="15.75" customHeight="1">
      <c r="A155" s="336"/>
      <c r="B155" s="336"/>
      <c r="C155" s="336"/>
      <c r="D155" s="336"/>
      <c r="E155" s="336"/>
      <c r="F155" s="336"/>
      <c r="G155" s="336"/>
    </row>
    <row r="156" ht="15.75" customHeight="1">
      <c r="A156" s="336"/>
      <c r="B156" s="336"/>
      <c r="C156" s="336"/>
      <c r="D156" s="336"/>
      <c r="E156" s="336"/>
      <c r="F156" s="336"/>
      <c r="G156" s="336"/>
    </row>
    <row r="157" ht="15.75" customHeight="1">
      <c r="A157" s="336"/>
      <c r="B157" s="336"/>
      <c r="C157" s="336"/>
      <c r="D157" s="336"/>
      <c r="E157" s="336"/>
      <c r="F157" s="336"/>
      <c r="G157" s="336"/>
    </row>
    <row r="158" ht="15.75" customHeight="1">
      <c r="A158" s="336"/>
      <c r="B158" s="336"/>
      <c r="C158" s="336"/>
      <c r="D158" s="336"/>
      <c r="E158" s="336"/>
      <c r="F158" s="336"/>
      <c r="G158" s="336"/>
    </row>
    <row r="159" ht="15.75" customHeight="1">
      <c r="A159" s="336"/>
      <c r="B159" s="336"/>
      <c r="C159" s="336"/>
      <c r="D159" s="336"/>
      <c r="E159" s="336"/>
      <c r="F159" s="336"/>
      <c r="G159" s="336"/>
    </row>
    <row r="160" ht="15.75" customHeight="1">
      <c r="A160" s="336"/>
      <c r="B160" s="336"/>
      <c r="C160" s="336"/>
      <c r="D160" s="336"/>
      <c r="E160" s="336"/>
      <c r="F160" s="336"/>
      <c r="G160" s="336"/>
    </row>
    <row r="161" ht="15.75" customHeight="1">
      <c r="A161" s="336"/>
      <c r="B161" s="336"/>
      <c r="C161" s="336"/>
      <c r="D161" s="336"/>
      <c r="E161" s="336"/>
      <c r="F161" s="336"/>
      <c r="G161" s="336"/>
    </row>
    <row r="162" ht="15.75" customHeight="1">
      <c r="A162" s="336"/>
      <c r="B162" s="336"/>
      <c r="C162" s="336"/>
      <c r="D162" s="336"/>
      <c r="E162" s="336"/>
      <c r="F162" s="336"/>
      <c r="G162" s="336"/>
    </row>
    <row r="163" ht="15.75" customHeight="1">
      <c r="A163" s="336"/>
      <c r="B163" s="336"/>
      <c r="C163" s="336"/>
      <c r="D163" s="336"/>
      <c r="E163" s="336"/>
      <c r="F163" s="336"/>
      <c r="G163" s="336"/>
    </row>
    <row r="164" ht="15.75" customHeight="1">
      <c r="A164" s="336"/>
      <c r="B164" s="336"/>
      <c r="C164" s="336"/>
      <c r="D164" s="336"/>
      <c r="E164" s="336"/>
      <c r="F164" s="336"/>
      <c r="G164" s="336"/>
    </row>
    <row r="165" ht="15.75" customHeight="1">
      <c r="A165" s="336"/>
      <c r="B165" s="336"/>
      <c r="C165" s="336"/>
      <c r="D165" s="336"/>
      <c r="E165" s="336"/>
      <c r="F165" s="336"/>
      <c r="G165" s="336"/>
    </row>
    <row r="166" ht="15.75" customHeight="1">
      <c r="A166" s="336"/>
      <c r="B166" s="336"/>
      <c r="C166" s="336"/>
      <c r="D166" s="336"/>
      <c r="E166" s="336"/>
      <c r="F166" s="336"/>
      <c r="G166" s="336"/>
    </row>
    <row r="167" ht="15.75" customHeight="1">
      <c r="A167" s="336"/>
      <c r="B167" s="336"/>
      <c r="C167" s="336"/>
      <c r="D167" s="336"/>
      <c r="E167" s="336"/>
      <c r="F167" s="336"/>
      <c r="G167" s="336"/>
    </row>
    <row r="168" ht="15.75" customHeight="1">
      <c r="A168" s="336"/>
      <c r="B168" s="336"/>
      <c r="C168" s="336"/>
      <c r="D168" s="336"/>
      <c r="E168" s="336"/>
      <c r="F168" s="336"/>
      <c r="G168" s="336"/>
    </row>
    <row r="169" ht="15.75" customHeight="1">
      <c r="A169" s="336"/>
      <c r="B169" s="336"/>
      <c r="C169" s="336"/>
      <c r="D169" s="336"/>
      <c r="E169" s="336"/>
      <c r="F169" s="336"/>
      <c r="G169" s="336"/>
    </row>
    <row r="170" ht="15.75" customHeight="1">
      <c r="A170" s="336"/>
      <c r="B170" s="336"/>
      <c r="C170" s="336"/>
      <c r="D170" s="336"/>
      <c r="E170" s="336"/>
      <c r="F170" s="336"/>
      <c r="G170" s="336"/>
    </row>
    <row r="171" ht="15.75" customHeight="1">
      <c r="A171" s="336"/>
      <c r="B171" s="336"/>
      <c r="C171" s="336"/>
      <c r="D171" s="336"/>
      <c r="E171" s="336"/>
      <c r="F171" s="336"/>
      <c r="G171" s="336"/>
    </row>
    <row r="172" ht="15.75" customHeight="1">
      <c r="A172" s="336"/>
      <c r="B172" s="336"/>
      <c r="C172" s="336"/>
      <c r="D172" s="336"/>
      <c r="E172" s="336"/>
      <c r="F172" s="336"/>
      <c r="G172" s="336"/>
    </row>
    <row r="173" ht="15.75" customHeight="1">
      <c r="A173" s="336"/>
      <c r="B173" s="336"/>
      <c r="C173" s="336"/>
      <c r="D173" s="336"/>
      <c r="E173" s="336"/>
      <c r="F173" s="336"/>
      <c r="G173" s="336"/>
    </row>
    <row r="174" ht="15.75" customHeight="1">
      <c r="A174" s="336"/>
      <c r="B174" s="336"/>
      <c r="C174" s="336"/>
      <c r="D174" s="336"/>
      <c r="E174" s="336"/>
      <c r="F174" s="336"/>
      <c r="G174" s="336"/>
    </row>
    <row r="175" ht="15.75" customHeight="1">
      <c r="A175" s="336"/>
      <c r="B175" s="336"/>
      <c r="C175" s="336"/>
      <c r="D175" s="336"/>
      <c r="E175" s="336"/>
      <c r="F175" s="336"/>
      <c r="G175" s="336"/>
    </row>
    <row r="176" ht="15.75" customHeight="1">
      <c r="A176" s="336"/>
      <c r="B176" s="336"/>
      <c r="C176" s="336"/>
      <c r="D176" s="336"/>
      <c r="E176" s="336"/>
      <c r="F176" s="336"/>
      <c r="G176" s="336"/>
    </row>
    <row r="177" ht="15.75" customHeight="1">
      <c r="A177" s="336"/>
      <c r="B177" s="336"/>
      <c r="C177" s="336"/>
      <c r="D177" s="336"/>
      <c r="E177" s="336"/>
      <c r="F177" s="336"/>
      <c r="G177" s="336"/>
    </row>
    <row r="178" ht="15.75" customHeight="1">
      <c r="A178" s="336"/>
      <c r="B178" s="336"/>
      <c r="C178" s="336"/>
      <c r="D178" s="336"/>
      <c r="E178" s="336"/>
      <c r="F178" s="336"/>
      <c r="G178" s="336"/>
    </row>
    <row r="179" ht="15.75" customHeight="1">
      <c r="A179" s="336"/>
      <c r="B179" s="336"/>
      <c r="C179" s="336"/>
      <c r="D179" s="336"/>
      <c r="E179" s="336"/>
      <c r="F179" s="336"/>
      <c r="G179" s="336"/>
    </row>
    <row r="180" ht="15.75" customHeight="1">
      <c r="A180" s="336"/>
      <c r="B180" s="336"/>
      <c r="C180" s="336"/>
      <c r="D180" s="336"/>
      <c r="E180" s="336"/>
      <c r="F180" s="336"/>
      <c r="G180" s="336"/>
    </row>
    <row r="181" ht="15.75" customHeight="1">
      <c r="A181" s="336"/>
      <c r="B181" s="336"/>
      <c r="C181" s="336"/>
      <c r="D181" s="336"/>
      <c r="E181" s="336"/>
      <c r="F181" s="336"/>
      <c r="G181" s="336"/>
    </row>
    <row r="182" ht="15.75" customHeight="1">
      <c r="A182" s="336"/>
      <c r="B182" s="336"/>
      <c r="C182" s="336"/>
      <c r="D182" s="336"/>
      <c r="E182" s="336"/>
      <c r="F182" s="336"/>
      <c r="G182" s="336"/>
    </row>
    <row r="183" ht="15.75" customHeight="1">
      <c r="A183" s="336"/>
      <c r="B183" s="336"/>
      <c r="C183" s="336"/>
      <c r="D183" s="336"/>
      <c r="E183" s="336"/>
      <c r="F183" s="336"/>
      <c r="G183" s="336"/>
    </row>
    <row r="184" ht="15.75" customHeight="1">
      <c r="A184" s="336"/>
      <c r="B184" s="336"/>
      <c r="C184" s="336"/>
      <c r="D184" s="336"/>
      <c r="E184" s="336"/>
      <c r="F184" s="336"/>
      <c r="G184" s="336"/>
    </row>
    <row r="185" ht="15.75" customHeight="1">
      <c r="A185" s="336"/>
      <c r="B185" s="336"/>
      <c r="C185" s="336"/>
      <c r="D185" s="336"/>
      <c r="E185" s="336"/>
      <c r="F185" s="336"/>
      <c r="G185" s="336"/>
    </row>
    <row r="186" ht="15.75" customHeight="1">
      <c r="A186" s="336"/>
      <c r="B186" s="336"/>
      <c r="C186" s="336"/>
      <c r="D186" s="336"/>
      <c r="E186" s="336"/>
      <c r="F186" s="336"/>
      <c r="G186" s="336"/>
    </row>
    <row r="187" ht="15.75" customHeight="1">
      <c r="A187" s="336"/>
      <c r="B187" s="336"/>
      <c r="C187" s="336"/>
      <c r="D187" s="336"/>
      <c r="E187" s="336"/>
      <c r="F187" s="336"/>
      <c r="G187" s="336"/>
    </row>
    <row r="188" ht="15.75" customHeight="1">
      <c r="A188" s="336"/>
      <c r="B188" s="336"/>
      <c r="C188" s="336"/>
      <c r="D188" s="336"/>
      <c r="E188" s="336"/>
      <c r="F188" s="336"/>
      <c r="G188" s="336"/>
    </row>
    <row r="189" ht="15.75" customHeight="1">
      <c r="A189" s="336"/>
      <c r="B189" s="336"/>
      <c r="C189" s="336"/>
      <c r="D189" s="336"/>
      <c r="E189" s="336"/>
      <c r="F189" s="336"/>
      <c r="G189" s="336"/>
    </row>
    <row r="190" ht="15.75" customHeight="1">
      <c r="A190" s="336"/>
      <c r="B190" s="336"/>
      <c r="C190" s="336"/>
      <c r="D190" s="336"/>
      <c r="E190" s="336"/>
      <c r="F190" s="336"/>
      <c r="G190" s="336"/>
    </row>
    <row r="191" ht="15.75" customHeight="1">
      <c r="A191" s="336"/>
      <c r="B191" s="336"/>
      <c r="C191" s="336"/>
      <c r="D191" s="336"/>
      <c r="E191" s="336"/>
      <c r="F191" s="336"/>
      <c r="G191" s="336"/>
    </row>
    <row r="192" ht="15.75" customHeight="1">
      <c r="A192" s="336"/>
      <c r="B192" s="336"/>
      <c r="C192" s="336"/>
      <c r="D192" s="336"/>
      <c r="E192" s="336"/>
      <c r="F192" s="336"/>
      <c r="G192" s="336"/>
    </row>
    <row r="193" ht="15.75" customHeight="1">
      <c r="A193" s="336"/>
      <c r="B193" s="336"/>
      <c r="C193" s="336"/>
      <c r="D193" s="336"/>
      <c r="E193" s="336"/>
      <c r="F193" s="336"/>
      <c r="G193" s="336"/>
    </row>
    <row r="194" ht="15.75" customHeight="1">
      <c r="A194" s="336"/>
      <c r="B194" s="336"/>
      <c r="C194" s="336"/>
      <c r="D194" s="336"/>
      <c r="E194" s="336"/>
      <c r="F194" s="336"/>
      <c r="G194" s="336"/>
    </row>
    <row r="195" ht="15.75" customHeight="1">
      <c r="A195" s="336"/>
      <c r="B195" s="336"/>
      <c r="C195" s="336"/>
      <c r="D195" s="336"/>
      <c r="E195" s="336"/>
      <c r="F195" s="336"/>
      <c r="G195" s="336"/>
    </row>
    <row r="196" ht="15.75" customHeight="1">
      <c r="A196" s="336"/>
      <c r="B196" s="336"/>
      <c r="C196" s="336"/>
      <c r="D196" s="336"/>
      <c r="E196" s="336"/>
      <c r="F196" s="336"/>
      <c r="G196" s="336"/>
    </row>
    <row r="197" ht="15.75" customHeight="1">
      <c r="A197" s="336"/>
      <c r="B197" s="336"/>
      <c r="C197" s="336"/>
      <c r="D197" s="336"/>
      <c r="E197" s="336"/>
      <c r="F197" s="336"/>
      <c r="G197" s="336"/>
    </row>
    <row r="198" ht="15.75" customHeight="1">
      <c r="A198" s="336"/>
      <c r="B198" s="336"/>
      <c r="C198" s="336"/>
      <c r="D198" s="336"/>
      <c r="E198" s="336"/>
      <c r="F198" s="336"/>
      <c r="G198" s="336"/>
    </row>
    <row r="199" ht="15.75" customHeight="1">
      <c r="A199" s="336"/>
      <c r="B199" s="336"/>
      <c r="C199" s="336"/>
      <c r="D199" s="336"/>
      <c r="E199" s="336"/>
      <c r="F199" s="336"/>
      <c r="G199" s="336"/>
    </row>
    <row r="200" ht="15.75" customHeight="1">
      <c r="A200" s="336"/>
      <c r="B200" s="336"/>
      <c r="C200" s="336"/>
      <c r="D200" s="336"/>
      <c r="E200" s="336"/>
      <c r="F200" s="336"/>
      <c r="G200" s="336"/>
    </row>
    <row r="201" ht="15.75" customHeight="1">
      <c r="A201" s="336"/>
      <c r="B201" s="336"/>
      <c r="C201" s="336"/>
      <c r="D201" s="336"/>
      <c r="E201" s="336"/>
      <c r="F201" s="336"/>
      <c r="G201" s="336"/>
    </row>
    <row r="202" ht="15.75" customHeight="1">
      <c r="A202" s="336"/>
      <c r="B202" s="336"/>
      <c r="C202" s="336"/>
      <c r="D202" s="336"/>
      <c r="E202" s="336"/>
      <c r="F202" s="336"/>
      <c r="G202" s="336"/>
    </row>
    <row r="203" ht="15.75" customHeight="1">
      <c r="A203" s="336"/>
      <c r="B203" s="336"/>
      <c r="C203" s="336"/>
      <c r="D203" s="336"/>
      <c r="E203" s="336"/>
      <c r="F203" s="336"/>
      <c r="G203" s="336"/>
    </row>
    <row r="204" ht="15.75" customHeight="1">
      <c r="A204" s="336"/>
      <c r="B204" s="336"/>
      <c r="C204" s="336"/>
      <c r="D204" s="336"/>
      <c r="E204" s="336"/>
      <c r="F204" s="336"/>
      <c r="G204" s="336"/>
    </row>
    <row r="205" ht="15.75" customHeight="1">
      <c r="A205" s="336"/>
      <c r="B205" s="336"/>
      <c r="C205" s="336"/>
      <c r="D205" s="336"/>
      <c r="E205" s="336"/>
      <c r="F205" s="336"/>
      <c r="G205" s="336"/>
    </row>
    <row r="206" ht="15.75" customHeight="1">
      <c r="A206" s="336"/>
      <c r="B206" s="336"/>
      <c r="C206" s="336"/>
      <c r="D206" s="336"/>
      <c r="E206" s="336"/>
      <c r="F206" s="336"/>
      <c r="G206" s="336"/>
    </row>
    <row r="207" ht="15.75" customHeight="1">
      <c r="A207" s="336"/>
      <c r="B207" s="336"/>
      <c r="C207" s="336"/>
      <c r="D207" s="336"/>
      <c r="E207" s="336"/>
      <c r="F207" s="336"/>
      <c r="G207" s="336"/>
    </row>
    <row r="208" ht="15.75" customHeight="1">
      <c r="A208" s="336"/>
      <c r="B208" s="336"/>
      <c r="C208" s="336"/>
      <c r="D208" s="336"/>
      <c r="E208" s="336"/>
      <c r="F208" s="336"/>
      <c r="G208" s="336"/>
    </row>
    <row r="209" ht="15.75" customHeight="1">
      <c r="A209" s="336"/>
      <c r="B209" s="336"/>
      <c r="C209" s="336"/>
      <c r="D209" s="336"/>
      <c r="E209" s="336"/>
      <c r="F209" s="336"/>
      <c r="G209" s="336"/>
    </row>
    <row r="210" ht="15.75" customHeight="1">
      <c r="A210" s="336"/>
      <c r="B210" s="336"/>
      <c r="C210" s="336"/>
      <c r="D210" s="336"/>
      <c r="E210" s="336"/>
      <c r="F210" s="336"/>
      <c r="G210" s="336"/>
    </row>
    <row r="211" ht="15.75" customHeight="1">
      <c r="A211" s="336"/>
      <c r="B211" s="336"/>
      <c r="C211" s="336"/>
      <c r="D211" s="336"/>
      <c r="E211" s="336"/>
      <c r="F211" s="336"/>
      <c r="G211" s="336"/>
    </row>
    <row r="212" ht="15.75" customHeight="1">
      <c r="A212" s="336"/>
      <c r="B212" s="336"/>
      <c r="C212" s="336"/>
      <c r="D212" s="336"/>
      <c r="E212" s="336"/>
      <c r="F212" s="336"/>
      <c r="G212" s="336"/>
    </row>
    <row r="213" ht="15.75" customHeight="1">
      <c r="A213" s="336"/>
      <c r="B213" s="336"/>
      <c r="C213" s="336"/>
      <c r="D213" s="336"/>
      <c r="E213" s="336"/>
      <c r="F213" s="336"/>
      <c r="G213" s="336"/>
    </row>
    <row r="214" ht="15.75" customHeight="1">
      <c r="A214" s="336"/>
      <c r="B214" s="336"/>
      <c r="C214" s="336"/>
      <c r="D214" s="336"/>
      <c r="E214" s="336"/>
      <c r="F214" s="336"/>
      <c r="G214" s="336"/>
    </row>
    <row r="215" ht="15.75" customHeight="1">
      <c r="A215" s="336"/>
      <c r="B215" s="336"/>
      <c r="C215" s="336"/>
      <c r="D215" s="336"/>
      <c r="E215" s="336"/>
      <c r="F215" s="336"/>
      <c r="G215" s="336"/>
    </row>
    <row r="216" ht="15.75" customHeight="1">
      <c r="A216" s="336"/>
      <c r="B216" s="336"/>
      <c r="C216" s="336"/>
      <c r="D216" s="336"/>
      <c r="E216" s="336"/>
      <c r="F216" s="336"/>
      <c r="G216" s="336"/>
    </row>
    <row r="217" ht="15.75" customHeight="1">
      <c r="A217" s="336"/>
      <c r="B217" s="336"/>
      <c r="C217" s="336"/>
      <c r="D217" s="336"/>
      <c r="E217" s="336"/>
      <c r="F217" s="336"/>
      <c r="G217" s="336"/>
    </row>
    <row r="218" ht="15.75" customHeight="1">
      <c r="A218" s="336"/>
      <c r="B218" s="336"/>
      <c r="C218" s="336"/>
      <c r="D218" s="336"/>
      <c r="E218" s="336"/>
      <c r="F218" s="336"/>
      <c r="G218" s="336"/>
    </row>
    <row r="219" ht="15.75" customHeight="1">
      <c r="A219" s="336"/>
      <c r="B219" s="336"/>
      <c r="C219" s="336"/>
      <c r="D219" s="336"/>
      <c r="E219" s="336"/>
      <c r="F219" s="336"/>
      <c r="G219" s="336"/>
    </row>
    <row r="220" ht="15.75" customHeight="1">
      <c r="A220" s="336"/>
      <c r="B220" s="336"/>
      <c r="C220" s="336"/>
      <c r="D220" s="336"/>
      <c r="E220" s="336"/>
      <c r="F220" s="336"/>
      <c r="G220" s="336"/>
    </row>
    <row r="221" ht="15.75" customHeight="1">
      <c r="A221" s="336"/>
      <c r="B221" s="336"/>
      <c r="C221" s="336"/>
      <c r="D221" s="336"/>
      <c r="E221" s="336"/>
      <c r="F221" s="336"/>
      <c r="G221" s="336"/>
    </row>
    <row r="222" ht="15.75" customHeight="1">
      <c r="A222" s="336"/>
      <c r="B222" s="336"/>
      <c r="C222" s="336"/>
      <c r="D222" s="336"/>
      <c r="E222" s="336"/>
      <c r="F222" s="336"/>
      <c r="G222" s="336"/>
    </row>
    <row r="223" ht="15.75" customHeight="1">
      <c r="A223" s="336"/>
      <c r="B223" s="336"/>
      <c r="C223" s="336"/>
      <c r="D223" s="336"/>
      <c r="E223" s="336"/>
      <c r="F223" s="336"/>
      <c r="G223" s="336"/>
    </row>
    <row r="224" ht="15.75" customHeight="1">
      <c r="A224" s="336"/>
      <c r="B224" s="336"/>
      <c r="C224" s="336"/>
      <c r="D224" s="336"/>
      <c r="E224" s="336"/>
      <c r="F224" s="336"/>
      <c r="G224" s="336"/>
    </row>
    <row r="225" ht="15.75" customHeight="1">
      <c r="A225" s="336"/>
      <c r="B225" s="336"/>
      <c r="C225" s="336"/>
      <c r="D225" s="336"/>
      <c r="E225" s="336"/>
      <c r="F225" s="336"/>
      <c r="G225" s="336"/>
    </row>
    <row r="226" ht="15.75" customHeight="1">
      <c r="A226" s="336"/>
      <c r="B226" s="336"/>
      <c r="C226" s="336"/>
      <c r="D226" s="336"/>
      <c r="E226" s="336"/>
      <c r="F226" s="336"/>
      <c r="G226" s="336"/>
    </row>
    <row r="227" ht="15.75" customHeight="1">
      <c r="A227" s="336"/>
      <c r="B227" s="336"/>
      <c r="C227" s="336"/>
      <c r="D227" s="336"/>
      <c r="E227" s="336"/>
      <c r="F227" s="336"/>
      <c r="G227" s="336"/>
    </row>
    <row r="228" ht="15.75" customHeight="1">
      <c r="A228" s="336"/>
      <c r="B228" s="336"/>
      <c r="C228" s="336"/>
      <c r="D228" s="336"/>
      <c r="E228" s="336"/>
      <c r="F228" s="336"/>
      <c r="G228" s="336"/>
    </row>
    <row r="229" ht="15.75" customHeight="1">
      <c r="A229" s="336"/>
      <c r="B229" s="336"/>
      <c r="C229" s="336"/>
      <c r="D229" s="336"/>
      <c r="E229" s="336"/>
      <c r="F229" s="336"/>
      <c r="G229" s="336"/>
    </row>
    <row r="230" ht="15.75" customHeight="1">
      <c r="A230" s="336"/>
      <c r="B230" s="336"/>
      <c r="C230" s="336"/>
      <c r="D230" s="336"/>
      <c r="E230" s="336"/>
      <c r="F230" s="336"/>
      <c r="G230" s="336"/>
    </row>
    <row r="231" ht="15.75" customHeight="1">
      <c r="A231" s="336"/>
      <c r="B231" s="336"/>
      <c r="C231" s="336"/>
      <c r="D231" s="336"/>
      <c r="E231" s="336"/>
      <c r="F231" s="336"/>
      <c r="G231" s="336"/>
    </row>
    <row r="232" ht="15.75" customHeight="1">
      <c r="A232" s="336"/>
      <c r="B232" s="336"/>
      <c r="C232" s="336"/>
      <c r="D232" s="336"/>
      <c r="E232" s="336"/>
      <c r="F232" s="336"/>
      <c r="G232" s="336"/>
    </row>
    <row r="233" ht="15.75" customHeight="1">
      <c r="A233" s="336"/>
      <c r="B233" s="336"/>
      <c r="C233" s="336"/>
      <c r="D233" s="336"/>
      <c r="E233" s="336"/>
      <c r="F233" s="336"/>
      <c r="G233" s="336"/>
    </row>
    <row r="234" ht="15.75" customHeight="1">
      <c r="A234" s="336"/>
      <c r="B234" s="336"/>
      <c r="C234" s="336"/>
      <c r="D234" s="336"/>
      <c r="E234" s="336"/>
      <c r="F234" s="336"/>
      <c r="G234" s="336"/>
    </row>
    <row r="235" ht="15.75" customHeight="1">
      <c r="A235" s="336"/>
      <c r="B235" s="336"/>
      <c r="C235" s="336"/>
      <c r="D235" s="336"/>
      <c r="E235" s="336"/>
      <c r="F235" s="336"/>
      <c r="G235" s="336"/>
    </row>
    <row r="236" ht="15.75" customHeight="1">
      <c r="A236" s="336"/>
      <c r="B236" s="336"/>
      <c r="C236" s="336"/>
      <c r="D236" s="336"/>
      <c r="E236" s="336"/>
      <c r="F236" s="336"/>
      <c r="G236" s="336"/>
    </row>
    <row r="237" ht="15.75" customHeight="1">
      <c r="A237" s="336"/>
      <c r="B237" s="336"/>
      <c r="C237" s="336"/>
      <c r="D237" s="336"/>
      <c r="E237" s="336"/>
      <c r="F237" s="336"/>
      <c r="G237" s="336"/>
    </row>
    <row r="238" ht="15.75" customHeight="1">
      <c r="A238" s="336"/>
      <c r="B238" s="336"/>
      <c r="C238" s="336"/>
      <c r="D238" s="336"/>
      <c r="E238" s="336"/>
      <c r="F238" s="336"/>
      <c r="G238" s="336"/>
    </row>
    <row r="239" ht="15.75" customHeight="1">
      <c r="A239" s="336"/>
      <c r="B239" s="336"/>
      <c r="C239" s="336"/>
      <c r="D239" s="336"/>
      <c r="E239" s="336"/>
      <c r="F239" s="336"/>
      <c r="G239" s="336"/>
    </row>
    <row r="240" ht="15.75" customHeight="1">
      <c r="A240" s="336"/>
      <c r="B240" s="336"/>
      <c r="C240" s="336"/>
      <c r="D240" s="336"/>
      <c r="E240" s="336"/>
      <c r="F240" s="336"/>
      <c r="G240" s="336"/>
    </row>
    <row r="241" ht="15.75" customHeight="1">
      <c r="A241" s="336"/>
      <c r="B241" s="336"/>
      <c r="C241" s="336"/>
      <c r="D241" s="336"/>
      <c r="E241" s="336"/>
      <c r="F241" s="336"/>
      <c r="G241" s="336"/>
    </row>
    <row r="242" ht="15.75" customHeight="1">
      <c r="A242" s="336"/>
      <c r="B242" s="336"/>
      <c r="C242" s="336"/>
      <c r="D242" s="336"/>
      <c r="E242" s="336"/>
      <c r="F242" s="336"/>
      <c r="G242" s="336"/>
    </row>
    <row r="243" ht="15.75" customHeight="1">
      <c r="A243" s="336"/>
      <c r="B243" s="336"/>
      <c r="C243" s="336"/>
      <c r="D243" s="336"/>
      <c r="E243" s="336"/>
      <c r="F243" s="336"/>
      <c r="G243" s="336"/>
    </row>
    <row r="244" ht="15.75" customHeight="1">
      <c r="A244" s="336"/>
      <c r="B244" s="336"/>
      <c r="C244" s="336"/>
      <c r="D244" s="336"/>
      <c r="E244" s="336"/>
      <c r="F244" s="336"/>
      <c r="G244" s="336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G1"/>
    <mergeCell ref="A2:G2"/>
    <mergeCell ref="A3:G3"/>
    <mergeCell ref="A4:G4"/>
    <mergeCell ref="B5:C5"/>
    <mergeCell ref="B6:C6"/>
    <mergeCell ref="F8:G8"/>
    <mergeCell ref="F9:G9"/>
    <mergeCell ref="F14:G14"/>
    <mergeCell ref="A15:G15"/>
    <mergeCell ref="D19:G19"/>
    <mergeCell ref="D20:G20"/>
    <mergeCell ref="A24:G24"/>
    <mergeCell ref="A25:G25"/>
    <mergeCell ref="F37:G37"/>
    <mergeCell ref="D42:G42"/>
    <mergeCell ref="D43:G43"/>
    <mergeCell ref="A26:G26"/>
    <mergeCell ref="A27:G27"/>
    <mergeCell ref="B28:C28"/>
    <mergeCell ref="B29:C29"/>
    <mergeCell ref="F31:G31"/>
    <mergeCell ref="F32:G32"/>
    <mergeCell ref="A38:G3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7.75"/>
    <col customWidth="1" min="3" max="3" width="38.38"/>
    <col customWidth="1" min="4" max="6" width="12.63"/>
    <col customWidth="1" min="7" max="7" width="1.88"/>
  </cols>
  <sheetData>
    <row r="1" ht="15.75" customHeight="1">
      <c r="A1" s="295" t="s">
        <v>259</v>
      </c>
    </row>
    <row r="2" ht="15.75" customHeight="1">
      <c r="A2" s="295" t="s">
        <v>260</v>
      </c>
    </row>
    <row r="3" ht="15.75" customHeight="1">
      <c r="A3" s="296" t="s">
        <v>261</v>
      </c>
    </row>
    <row r="4" ht="15.75" customHeight="1">
      <c r="A4" s="298" t="s">
        <v>262</v>
      </c>
      <c r="B4" s="299"/>
      <c r="C4" s="299"/>
      <c r="D4" s="299"/>
      <c r="E4" s="299"/>
      <c r="F4" s="299"/>
      <c r="G4" s="299"/>
    </row>
    <row r="5" ht="15.75" customHeight="1">
      <c r="A5" s="300" t="s">
        <v>263</v>
      </c>
      <c r="B5" s="126" t="s">
        <v>264</v>
      </c>
      <c r="D5" s="300" t="s">
        <v>265</v>
      </c>
      <c r="E5" s="126"/>
      <c r="F5" s="301" t="s">
        <v>266</v>
      </c>
      <c r="G5" s="302"/>
    </row>
    <row r="6" ht="15.75" customHeight="1">
      <c r="A6" s="300" t="s">
        <v>267</v>
      </c>
      <c r="B6" s="126" t="s">
        <v>268</v>
      </c>
      <c r="D6" s="300" t="s">
        <v>269</v>
      </c>
      <c r="E6" s="126"/>
      <c r="F6" s="301" t="s">
        <v>266</v>
      </c>
      <c r="G6" s="303"/>
    </row>
    <row r="7" ht="15.75" customHeight="1">
      <c r="A7" s="304"/>
      <c r="B7" s="305"/>
      <c r="C7" s="306"/>
      <c r="D7" s="304"/>
      <c r="E7" s="305"/>
      <c r="F7" s="305"/>
      <c r="G7" s="306"/>
    </row>
    <row r="8" ht="15.75" customHeight="1">
      <c r="A8" s="307" t="s">
        <v>6</v>
      </c>
      <c r="B8" s="308" t="s">
        <v>240</v>
      </c>
      <c r="C8" s="308" t="s">
        <v>270</v>
      </c>
      <c r="D8" s="308" t="s">
        <v>271</v>
      </c>
      <c r="E8" s="308" t="s">
        <v>272</v>
      </c>
      <c r="F8" s="309" t="s">
        <v>273</v>
      </c>
      <c r="G8" s="26"/>
    </row>
    <row r="9" ht="18.75" customHeight="1">
      <c r="A9" s="310"/>
      <c r="B9" s="311"/>
      <c r="C9" s="414" t="s">
        <v>293</v>
      </c>
      <c r="D9" s="313"/>
      <c r="E9" s="314"/>
      <c r="F9" s="320"/>
      <c r="G9" s="255"/>
    </row>
    <row r="10" ht="15.75" customHeight="1">
      <c r="A10" s="316"/>
      <c r="B10" s="415" t="s">
        <v>251</v>
      </c>
      <c r="C10" s="416" t="s">
        <v>97</v>
      </c>
      <c r="D10" s="415">
        <f>Summary!F9</f>
        <v>9</v>
      </c>
      <c r="E10" s="314">
        <f>Summary!H9</f>
        <v>8000</v>
      </c>
      <c r="F10" s="315">
        <f t="shared" ref="F10:F14" si="1">D10*E10</f>
        <v>72000</v>
      </c>
      <c r="G10" s="255"/>
    </row>
    <row r="11" ht="15.75" customHeight="1">
      <c r="A11" s="417"/>
      <c r="B11" s="415" t="s">
        <v>251</v>
      </c>
      <c r="C11" s="418" t="str">
        <f>Summary!E10</f>
        <v>Sodium Hydroxide, Liquid 48% 30 kg/cby</v>
      </c>
      <c r="D11" s="415">
        <f>Summary!F10</f>
        <v>130</v>
      </c>
      <c r="E11" s="314">
        <f>Summary!H10</f>
        <v>3000</v>
      </c>
      <c r="F11" s="315">
        <f t="shared" si="1"/>
        <v>390000</v>
      </c>
      <c r="G11" s="255"/>
    </row>
    <row r="12" ht="15.75" customHeight="1">
      <c r="A12" s="316"/>
      <c r="B12" s="415" t="s">
        <v>248</v>
      </c>
      <c r="C12" s="419" t="str">
        <f>Summary!E11</f>
        <v>Sodium Metabisulfite, Technical Grade </v>
      </c>
      <c r="D12" s="415">
        <f>Summary!F11</f>
        <v>180</v>
      </c>
      <c r="E12" s="314">
        <f>Summary!H11</f>
        <v>350</v>
      </c>
      <c r="F12" s="315">
        <f t="shared" si="1"/>
        <v>63000</v>
      </c>
      <c r="G12" s="255"/>
    </row>
    <row r="13" ht="15.75" customHeight="1">
      <c r="A13" s="316"/>
      <c r="B13" s="415" t="s">
        <v>254</v>
      </c>
      <c r="C13" s="419" t="str">
        <f>Summary!E12</f>
        <v>Anionic Detergent </v>
      </c>
      <c r="D13" s="415">
        <f>Summary!F12</f>
        <v>50</v>
      </c>
      <c r="E13" s="314">
        <f>Summary!H12</f>
        <v>700</v>
      </c>
      <c r="F13" s="315">
        <f t="shared" si="1"/>
        <v>35000</v>
      </c>
      <c r="G13" s="255"/>
    </row>
    <row r="14" ht="15.75" customHeight="1">
      <c r="A14" s="316"/>
      <c r="B14" s="415" t="s">
        <v>251</v>
      </c>
      <c r="C14" s="418" t="str">
        <f>Summary!E13</f>
        <v>Acetic Acid, Technical Grade 20 kg/cby</v>
      </c>
      <c r="D14" s="415">
        <f>Summary!F13</f>
        <v>38</v>
      </c>
      <c r="E14" s="314">
        <f>Summary!H13</f>
        <v>9500</v>
      </c>
      <c r="F14" s="315">
        <f t="shared" si="1"/>
        <v>361000</v>
      </c>
      <c r="G14" s="255"/>
    </row>
    <row r="15" ht="15.75" customHeight="1">
      <c r="A15" s="310"/>
      <c r="B15" s="322"/>
      <c r="C15" s="323" t="s">
        <v>274</v>
      </c>
      <c r="D15" s="303"/>
      <c r="E15" s="303"/>
      <c r="F15" s="126"/>
      <c r="G15" s="322"/>
    </row>
    <row r="16" ht="15.75" customHeight="1">
      <c r="A16" s="310"/>
      <c r="B16" s="322"/>
      <c r="C16" s="385"/>
      <c r="D16" s="303"/>
      <c r="E16" s="303"/>
      <c r="F16" s="126"/>
      <c r="G16" s="322"/>
    </row>
    <row r="17" ht="15.75" customHeight="1">
      <c r="A17" s="324"/>
      <c r="B17" s="306"/>
      <c r="C17" s="325" t="s">
        <v>275</v>
      </c>
      <c r="D17" s="306"/>
      <c r="E17" s="306"/>
      <c r="F17" s="326">
        <f>sum(F10:G14)</f>
        <v>921000</v>
      </c>
      <c r="G17" s="26"/>
    </row>
    <row r="18" ht="15.75" customHeight="1">
      <c r="A18" s="327" t="s">
        <v>276</v>
      </c>
      <c r="B18" s="299"/>
      <c r="C18" s="299"/>
      <c r="D18" s="299"/>
      <c r="E18" s="299"/>
      <c r="F18" s="299"/>
      <c r="G18" s="26"/>
    </row>
    <row r="19" ht="15.75" customHeight="1">
      <c r="A19" s="328"/>
      <c r="B19" s="303"/>
      <c r="C19" s="303" t="s">
        <v>277</v>
      </c>
      <c r="D19" s="329" t="s">
        <v>278</v>
      </c>
      <c r="E19" s="126"/>
      <c r="F19" s="126"/>
      <c r="G19" s="303"/>
    </row>
    <row r="20" ht="15.75" customHeight="1">
      <c r="A20" s="328"/>
      <c r="B20" s="303"/>
      <c r="C20" s="303" t="s">
        <v>279</v>
      </c>
      <c r="D20" s="126"/>
      <c r="E20" s="126"/>
      <c r="F20" s="126"/>
      <c r="G20" s="303"/>
    </row>
    <row r="21" ht="15.75" customHeight="1">
      <c r="A21" s="328" t="s">
        <v>280</v>
      </c>
      <c r="B21" s="303"/>
      <c r="C21" s="303"/>
      <c r="D21" s="126"/>
      <c r="E21" s="126"/>
      <c r="F21" s="126"/>
      <c r="G21" s="303"/>
    </row>
    <row r="22" ht="15.75" customHeight="1">
      <c r="A22" s="330" t="s">
        <v>281</v>
      </c>
      <c r="B22" s="303"/>
      <c r="C22" s="331" t="s">
        <v>144</v>
      </c>
      <c r="D22" s="332" t="s">
        <v>282</v>
      </c>
      <c r="G22" s="255"/>
    </row>
    <row r="23" ht="15.75" customHeight="1">
      <c r="A23" s="330" t="s">
        <v>283</v>
      </c>
      <c r="B23" s="303"/>
      <c r="C23" s="333" t="s">
        <v>284</v>
      </c>
      <c r="D23" s="334" t="s">
        <v>151</v>
      </c>
      <c r="G23" s="255"/>
    </row>
    <row r="24" ht="15.75" customHeight="1">
      <c r="A24" s="304" t="s">
        <v>285</v>
      </c>
      <c r="B24" s="306"/>
      <c r="C24" s="335">
        <v>45299.0</v>
      </c>
      <c r="D24" s="305"/>
      <c r="E24" s="305"/>
      <c r="F24" s="305"/>
      <c r="G24" s="306"/>
    </row>
    <row r="25" ht="15.75" customHeight="1">
      <c r="A25" s="336"/>
      <c r="B25" s="336"/>
      <c r="C25" s="336"/>
      <c r="D25" s="336"/>
      <c r="E25" s="336"/>
      <c r="F25" s="336"/>
      <c r="G25" s="336"/>
    </row>
    <row r="26" ht="15.75" customHeight="1">
      <c r="A26" s="336"/>
      <c r="B26" s="336"/>
      <c r="C26" s="336"/>
      <c r="D26" s="336"/>
      <c r="E26" s="336"/>
      <c r="F26" s="336"/>
      <c r="G26" s="336"/>
    </row>
    <row r="27" ht="15.75" customHeight="1">
      <c r="A27" s="295" t="s">
        <v>259</v>
      </c>
    </row>
    <row r="28" ht="15.75" customHeight="1">
      <c r="A28" s="295" t="s">
        <v>260</v>
      </c>
    </row>
    <row r="29" ht="15.75" customHeight="1">
      <c r="A29" s="296" t="s">
        <v>261</v>
      </c>
    </row>
    <row r="30" ht="15.75" customHeight="1">
      <c r="A30" s="298" t="s">
        <v>262</v>
      </c>
      <c r="B30" s="299"/>
      <c r="C30" s="299"/>
      <c r="D30" s="299"/>
      <c r="E30" s="299"/>
      <c r="F30" s="299"/>
      <c r="G30" s="299"/>
    </row>
    <row r="31" ht="15.75" customHeight="1">
      <c r="A31" s="300" t="s">
        <v>263</v>
      </c>
      <c r="B31" s="126" t="s">
        <v>264</v>
      </c>
      <c r="D31" s="300" t="s">
        <v>265</v>
      </c>
      <c r="E31" s="126"/>
      <c r="F31" s="301" t="s">
        <v>266</v>
      </c>
      <c r="G31" s="302"/>
    </row>
    <row r="32" ht="15.75" customHeight="1">
      <c r="A32" s="300" t="s">
        <v>267</v>
      </c>
      <c r="B32" s="126" t="s">
        <v>268</v>
      </c>
      <c r="D32" s="300" t="s">
        <v>269</v>
      </c>
      <c r="E32" s="126"/>
      <c r="F32" s="301" t="s">
        <v>266</v>
      </c>
      <c r="G32" s="303"/>
    </row>
    <row r="33" ht="15.75" customHeight="1">
      <c r="A33" s="304"/>
      <c r="B33" s="305"/>
      <c r="C33" s="306"/>
      <c r="D33" s="304"/>
      <c r="E33" s="305"/>
      <c r="F33" s="305"/>
      <c r="G33" s="306"/>
    </row>
    <row r="34" ht="15.75" customHeight="1">
      <c r="A34" s="307" t="s">
        <v>6</v>
      </c>
      <c r="B34" s="308" t="s">
        <v>240</v>
      </c>
      <c r="C34" s="308" t="s">
        <v>270</v>
      </c>
      <c r="D34" s="308" t="s">
        <v>271</v>
      </c>
      <c r="E34" s="308" t="s">
        <v>272</v>
      </c>
      <c r="F34" s="309" t="s">
        <v>273</v>
      </c>
      <c r="G34" s="26"/>
    </row>
    <row r="35" ht="21.0" customHeight="1">
      <c r="A35" s="310"/>
      <c r="B35" s="322"/>
      <c r="C35" s="383" t="s">
        <v>294</v>
      </c>
      <c r="D35" s="392"/>
      <c r="E35" s="378"/>
      <c r="F35" s="379"/>
      <c r="G35" s="255"/>
    </row>
    <row r="36" ht="15.75" customHeight="1">
      <c r="A36" s="316"/>
      <c r="B36" s="415" t="s">
        <v>251</v>
      </c>
      <c r="C36" s="416" t="s">
        <v>97</v>
      </c>
      <c r="D36" s="415">
        <f t="shared" ref="D36:E36" si="2">D10</f>
        <v>9</v>
      </c>
      <c r="E36" s="314">
        <f t="shared" si="2"/>
        <v>8000</v>
      </c>
      <c r="F36" s="315">
        <f t="shared" ref="F36:F40" si="4">D36*E36</f>
        <v>72000</v>
      </c>
      <c r="G36" s="255"/>
    </row>
    <row r="37" ht="15.75" customHeight="1">
      <c r="A37" s="417"/>
      <c r="B37" s="415" t="s">
        <v>251</v>
      </c>
      <c r="C37" s="418" t="str">
        <f t="shared" ref="C37:E37" si="3">C11</f>
        <v>Sodium Hydroxide, Liquid 48% 30 kg/cby</v>
      </c>
      <c r="D37" s="415">
        <f t="shared" si="3"/>
        <v>130</v>
      </c>
      <c r="E37" s="314">
        <f t="shared" si="3"/>
        <v>3000</v>
      </c>
      <c r="F37" s="315">
        <f t="shared" si="4"/>
        <v>390000</v>
      </c>
      <c r="G37" s="255"/>
    </row>
    <row r="38" ht="15.75" customHeight="1">
      <c r="A38" s="316"/>
      <c r="B38" s="415" t="s">
        <v>248</v>
      </c>
      <c r="C38" s="419" t="str">
        <f t="shared" ref="C38:E38" si="5">C12</f>
        <v>Sodium Metabisulfite, Technical Grade </v>
      </c>
      <c r="D38" s="415">
        <f t="shared" si="5"/>
        <v>180</v>
      </c>
      <c r="E38" s="314">
        <f t="shared" si="5"/>
        <v>350</v>
      </c>
      <c r="F38" s="315">
        <f t="shared" si="4"/>
        <v>63000</v>
      </c>
      <c r="G38" s="255"/>
    </row>
    <row r="39" ht="15.75" customHeight="1">
      <c r="A39" s="316"/>
      <c r="B39" s="415" t="s">
        <v>254</v>
      </c>
      <c r="C39" s="419" t="str">
        <f t="shared" ref="C39:E39" si="6">C13</f>
        <v>Anionic Detergent </v>
      </c>
      <c r="D39" s="415">
        <f t="shared" si="6"/>
        <v>50</v>
      </c>
      <c r="E39" s="314">
        <f t="shared" si="6"/>
        <v>700</v>
      </c>
      <c r="F39" s="315">
        <f t="shared" si="4"/>
        <v>35000</v>
      </c>
      <c r="G39" s="255"/>
    </row>
    <row r="40" ht="15.75" customHeight="1">
      <c r="A40" s="316"/>
      <c r="B40" s="415" t="s">
        <v>251</v>
      </c>
      <c r="C40" s="418" t="str">
        <f t="shared" ref="C40:E40" si="7">C14</f>
        <v>Acetic Acid, Technical Grade 20 kg/cby</v>
      </c>
      <c r="D40" s="415">
        <f t="shared" si="7"/>
        <v>38</v>
      </c>
      <c r="E40" s="314">
        <f t="shared" si="7"/>
        <v>9500</v>
      </c>
      <c r="F40" s="315">
        <f t="shared" si="4"/>
        <v>361000</v>
      </c>
      <c r="G40" s="255"/>
    </row>
    <row r="41" ht="15.75" customHeight="1">
      <c r="A41" s="310"/>
      <c r="B41" s="322"/>
      <c r="C41" s="323" t="s">
        <v>274</v>
      </c>
      <c r="D41" s="303"/>
      <c r="E41" s="303"/>
      <c r="F41" s="126"/>
      <c r="G41" s="322"/>
    </row>
    <row r="42" ht="15.75" customHeight="1">
      <c r="A42" s="310"/>
      <c r="B42" s="322"/>
      <c r="C42" s="385"/>
      <c r="D42" s="303"/>
      <c r="E42" s="303"/>
      <c r="F42" s="126"/>
      <c r="G42" s="322"/>
    </row>
    <row r="43" ht="15.75" customHeight="1">
      <c r="A43" s="324"/>
      <c r="B43" s="306"/>
      <c r="C43" s="325" t="s">
        <v>275</v>
      </c>
      <c r="D43" s="306"/>
      <c r="E43" s="306"/>
      <c r="F43" s="326">
        <f>sum(F36:G40)</f>
        <v>921000</v>
      </c>
      <c r="G43" s="26"/>
    </row>
    <row r="44" ht="15.75" customHeight="1">
      <c r="A44" s="327" t="s">
        <v>276</v>
      </c>
      <c r="B44" s="299"/>
      <c r="C44" s="299"/>
      <c r="D44" s="299"/>
      <c r="E44" s="299"/>
      <c r="F44" s="299"/>
      <c r="G44" s="26"/>
    </row>
    <row r="45" ht="15.75" customHeight="1">
      <c r="A45" s="328"/>
      <c r="B45" s="303"/>
      <c r="C45" s="303" t="s">
        <v>277</v>
      </c>
      <c r="D45" s="329" t="s">
        <v>278</v>
      </c>
      <c r="E45" s="126"/>
      <c r="F45" s="126"/>
      <c r="G45" s="303"/>
    </row>
    <row r="46" ht="15.75" customHeight="1">
      <c r="A46" s="328"/>
      <c r="B46" s="303"/>
      <c r="C46" s="303" t="s">
        <v>279</v>
      </c>
      <c r="D46" s="126"/>
      <c r="E46" s="126"/>
      <c r="F46" s="126"/>
      <c r="G46" s="303"/>
    </row>
    <row r="47" ht="15.75" customHeight="1">
      <c r="A47" s="328" t="s">
        <v>280</v>
      </c>
      <c r="B47" s="303"/>
      <c r="C47" s="303"/>
      <c r="D47" s="126"/>
      <c r="E47" s="126"/>
      <c r="F47" s="126"/>
      <c r="G47" s="303"/>
    </row>
    <row r="48" ht="15.75" customHeight="1">
      <c r="A48" s="330" t="s">
        <v>281</v>
      </c>
      <c r="B48" s="303"/>
      <c r="C48" s="331" t="s">
        <v>144</v>
      </c>
      <c r="D48" s="332" t="s">
        <v>282</v>
      </c>
      <c r="G48" s="255"/>
    </row>
    <row r="49" ht="15.75" customHeight="1">
      <c r="A49" s="330" t="s">
        <v>283</v>
      </c>
      <c r="B49" s="303"/>
      <c r="C49" s="333" t="s">
        <v>284</v>
      </c>
      <c r="D49" s="334" t="s">
        <v>151</v>
      </c>
      <c r="G49" s="255"/>
    </row>
    <row r="50" ht="15.75" customHeight="1">
      <c r="A50" s="304" t="s">
        <v>285</v>
      </c>
      <c r="B50" s="306"/>
      <c r="C50" s="335">
        <v>45299.0</v>
      </c>
      <c r="D50" s="305"/>
      <c r="E50" s="305"/>
      <c r="F50" s="305"/>
      <c r="G50" s="306"/>
    </row>
    <row r="51" ht="15.75" customHeight="1">
      <c r="A51" s="336"/>
      <c r="B51" s="336"/>
      <c r="C51" s="336"/>
      <c r="D51" s="336"/>
      <c r="E51" s="336"/>
      <c r="F51" s="336"/>
      <c r="G51" s="336"/>
    </row>
    <row r="52" ht="15.75" customHeight="1">
      <c r="A52" s="336"/>
      <c r="B52" s="336"/>
      <c r="C52" s="336"/>
      <c r="D52" s="336"/>
      <c r="E52" s="336"/>
      <c r="F52" s="336"/>
      <c r="G52" s="336"/>
    </row>
    <row r="53" ht="15.75" customHeight="1">
      <c r="A53" s="336"/>
      <c r="B53" s="336"/>
      <c r="C53" s="336"/>
      <c r="D53" s="336"/>
      <c r="E53" s="336"/>
      <c r="F53" s="336"/>
      <c r="G53" s="336"/>
    </row>
    <row r="54" ht="15.75" customHeight="1">
      <c r="A54" s="336"/>
      <c r="B54" s="336"/>
      <c r="C54" s="336"/>
      <c r="D54" s="336"/>
      <c r="E54" s="336"/>
      <c r="F54" s="336"/>
      <c r="G54" s="336"/>
    </row>
    <row r="55" ht="15.75" customHeight="1">
      <c r="A55" s="336"/>
      <c r="B55" s="336"/>
      <c r="C55" s="336"/>
      <c r="D55" s="336"/>
      <c r="E55" s="336"/>
      <c r="F55" s="336"/>
      <c r="G55" s="336"/>
    </row>
    <row r="56" ht="15.75" customHeight="1">
      <c r="A56" s="336"/>
      <c r="B56" s="336"/>
      <c r="C56" s="336"/>
      <c r="D56" s="336"/>
      <c r="E56" s="336"/>
      <c r="F56" s="336"/>
      <c r="G56" s="336"/>
    </row>
    <row r="57" ht="15.75" customHeight="1">
      <c r="A57" s="336"/>
      <c r="B57" s="336"/>
      <c r="C57" s="336"/>
      <c r="D57" s="336"/>
      <c r="E57" s="336"/>
      <c r="F57" s="336"/>
      <c r="G57" s="336"/>
    </row>
    <row r="58" ht="15.75" customHeight="1">
      <c r="A58" s="336"/>
      <c r="B58" s="336"/>
      <c r="C58" s="336"/>
      <c r="D58" s="336"/>
      <c r="E58" s="336"/>
      <c r="F58" s="336"/>
      <c r="G58" s="336"/>
    </row>
    <row r="59" ht="15.75" customHeight="1">
      <c r="A59" s="336"/>
      <c r="B59" s="336"/>
      <c r="C59" s="336"/>
      <c r="D59" s="336"/>
      <c r="E59" s="336"/>
      <c r="F59" s="336"/>
      <c r="G59" s="336"/>
    </row>
    <row r="60" ht="15.75" customHeight="1">
      <c r="A60" s="336"/>
      <c r="B60" s="336"/>
      <c r="C60" s="336"/>
      <c r="D60" s="336"/>
      <c r="E60" s="336"/>
      <c r="F60" s="336"/>
      <c r="G60" s="336"/>
    </row>
    <row r="61" ht="15.75" customHeight="1">
      <c r="A61" s="336"/>
      <c r="B61" s="336"/>
      <c r="C61" s="336"/>
      <c r="D61" s="336"/>
      <c r="E61" s="336"/>
      <c r="F61" s="336"/>
      <c r="G61" s="336"/>
    </row>
    <row r="62" ht="15.75" customHeight="1">
      <c r="A62" s="336"/>
      <c r="B62" s="336"/>
      <c r="C62" s="336"/>
      <c r="D62" s="336"/>
      <c r="E62" s="336"/>
      <c r="F62" s="336"/>
      <c r="G62" s="336"/>
    </row>
    <row r="63" ht="15.75" customHeight="1">
      <c r="A63" s="336"/>
      <c r="B63" s="336"/>
      <c r="C63" s="336"/>
      <c r="D63" s="336"/>
      <c r="E63" s="336"/>
      <c r="F63" s="336"/>
      <c r="G63" s="336"/>
    </row>
    <row r="64" ht="15.75" customHeight="1">
      <c r="A64" s="336"/>
      <c r="B64" s="336"/>
      <c r="C64" s="336"/>
      <c r="D64" s="336"/>
      <c r="E64" s="336"/>
      <c r="F64" s="336"/>
      <c r="G64" s="336"/>
    </row>
    <row r="65" ht="15.75" customHeight="1">
      <c r="A65" s="336"/>
      <c r="B65" s="336"/>
      <c r="C65" s="336"/>
      <c r="D65" s="336"/>
      <c r="E65" s="336"/>
      <c r="F65" s="336"/>
      <c r="G65" s="336"/>
    </row>
    <row r="66" ht="15.75" customHeight="1">
      <c r="A66" s="336"/>
      <c r="B66" s="336"/>
      <c r="C66" s="336"/>
      <c r="D66" s="336"/>
      <c r="E66" s="336"/>
      <c r="F66" s="336"/>
      <c r="G66" s="336"/>
    </row>
    <row r="67" ht="15.75" customHeight="1">
      <c r="A67" s="336"/>
      <c r="B67" s="336"/>
      <c r="C67" s="336"/>
      <c r="D67" s="336"/>
      <c r="E67" s="336"/>
      <c r="F67" s="336"/>
      <c r="G67" s="336"/>
    </row>
    <row r="68" ht="15.75" customHeight="1">
      <c r="A68" s="336"/>
      <c r="B68" s="336"/>
      <c r="C68" s="336"/>
      <c r="D68" s="336"/>
      <c r="E68" s="336"/>
      <c r="F68" s="336"/>
      <c r="G68" s="336"/>
    </row>
    <row r="69" ht="15.75" customHeight="1">
      <c r="A69" s="336"/>
      <c r="B69" s="336"/>
      <c r="C69" s="336"/>
      <c r="D69" s="336"/>
      <c r="E69" s="336"/>
      <c r="F69" s="336"/>
      <c r="G69" s="336"/>
    </row>
    <row r="70" ht="15.75" customHeight="1">
      <c r="A70" s="336"/>
      <c r="B70" s="336"/>
      <c r="C70" s="336"/>
      <c r="D70" s="336"/>
      <c r="E70" s="336"/>
      <c r="F70" s="336"/>
      <c r="G70" s="336"/>
    </row>
    <row r="71" ht="15.75" customHeight="1">
      <c r="A71" s="336"/>
      <c r="B71" s="336"/>
      <c r="C71" s="336"/>
      <c r="D71" s="336"/>
      <c r="E71" s="336"/>
      <c r="F71" s="336"/>
      <c r="G71" s="336"/>
    </row>
    <row r="72" ht="15.75" customHeight="1">
      <c r="A72" s="336"/>
      <c r="B72" s="336"/>
      <c r="C72" s="336"/>
      <c r="D72" s="336"/>
      <c r="E72" s="336"/>
      <c r="F72" s="336"/>
      <c r="G72" s="336"/>
    </row>
    <row r="73" ht="15.75" customHeight="1">
      <c r="A73" s="336"/>
      <c r="B73" s="336"/>
      <c r="C73" s="336"/>
      <c r="D73" s="336"/>
      <c r="E73" s="336"/>
      <c r="F73" s="336"/>
      <c r="G73" s="336"/>
    </row>
    <row r="74" ht="15.75" customHeight="1">
      <c r="A74" s="336"/>
      <c r="B74" s="336"/>
      <c r="C74" s="336"/>
      <c r="D74" s="336"/>
      <c r="E74" s="336"/>
      <c r="F74" s="336"/>
      <c r="G74" s="336"/>
    </row>
    <row r="75" ht="15.75" customHeight="1">
      <c r="A75" s="336"/>
      <c r="B75" s="336"/>
      <c r="C75" s="336"/>
      <c r="D75" s="336"/>
      <c r="E75" s="336"/>
      <c r="F75" s="336"/>
      <c r="G75" s="336"/>
    </row>
    <row r="76" ht="15.75" customHeight="1">
      <c r="A76" s="336"/>
      <c r="B76" s="336"/>
      <c r="C76" s="336"/>
      <c r="D76" s="336"/>
      <c r="E76" s="336"/>
      <c r="F76" s="336"/>
      <c r="G76" s="336"/>
    </row>
    <row r="77" ht="15.75" customHeight="1">
      <c r="A77" s="336"/>
      <c r="B77" s="336"/>
      <c r="C77" s="336"/>
      <c r="D77" s="336"/>
      <c r="E77" s="336"/>
      <c r="F77" s="336"/>
      <c r="G77" s="336"/>
    </row>
    <row r="78" ht="15.75" customHeight="1">
      <c r="A78" s="336"/>
      <c r="B78" s="336"/>
      <c r="C78" s="336"/>
      <c r="D78" s="336"/>
      <c r="E78" s="336"/>
      <c r="F78" s="336"/>
      <c r="G78" s="336"/>
    </row>
    <row r="79" ht="15.75" customHeight="1">
      <c r="A79" s="336"/>
      <c r="B79" s="336"/>
      <c r="C79" s="336"/>
      <c r="D79" s="336"/>
      <c r="E79" s="336"/>
      <c r="F79" s="336"/>
      <c r="G79" s="336"/>
    </row>
    <row r="80" ht="15.75" customHeight="1">
      <c r="A80" s="336"/>
      <c r="B80" s="336"/>
      <c r="C80" s="336"/>
      <c r="D80" s="336"/>
      <c r="E80" s="336"/>
      <c r="F80" s="336"/>
      <c r="G80" s="336"/>
    </row>
    <row r="81" ht="15.75" customHeight="1">
      <c r="A81" s="336"/>
      <c r="B81" s="336"/>
      <c r="C81" s="336"/>
      <c r="D81" s="336"/>
      <c r="E81" s="336"/>
      <c r="F81" s="336"/>
      <c r="G81" s="336"/>
    </row>
    <row r="82" ht="15.75" customHeight="1">
      <c r="A82" s="336"/>
      <c r="B82" s="336"/>
      <c r="C82" s="336"/>
      <c r="D82" s="336"/>
      <c r="E82" s="336"/>
      <c r="F82" s="336"/>
      <c r="G82" s="336"/>
    </row>
    <row r="83" ht="15.75" customHeight="1">
      <c r="A83" s="336"/>
      <c r="B83" s="336"/>
      <c r="C83" s="336"/>
      <c r="D83" s="336"/>
      <c r="E83" s="336"/>
      <c r="F83" s="336"/>
      <c r="G83" s="336"/>
    </row>
    <row r="84" ht="15.75" customHeight="1">
      <c r="A84" s="336"/>
      <c r="B84" s="336"/>
      <c r="C84" s="336"/>
      <c r="D84" s="336"/>
      <c r="E84" s="336"/>
      <c r="F84" s="336"/>
      <c r="G84" s="336"/>
    </row>
    <row r="85" ht="15.75" customHeight="1">
      <c r="A85" s="336"/>
      <c r="B85" s="336"/>
      <c r="C85" s="336"/>
      <c r="D85" s="336"/>
      <c r="E85" s="336"/>
      <c r="F85" s="336"/>
      <c r="G85" s="336"/>
    </row>
    <row r="86" ht="15.75" customHeight="1">
      <c r="A86" s="336"/>
      <c r="B86" s="336"/>
      <c r="C86" s="336"/>
      <c r="D86" s="336"/>
      <c r="E86" s="336"/>
      <c r="F86" s="336"/>
      <c r="G86" s="336"/>
    </row>
    <row r="87" ht="15.75" customHeight="1">
      <c r="A87" s="336"/>
      <c r="B87" s="336"/>
      <c r="C87" s="336"/>
      <c r="D87" s="336"/>
      <c r="E87" s="336"/>
      <c r="F87" s="336"/>
      <c r="G87" s="336"/>
    </row>
    <row r="88" ht="15.75" customHeight="1">
      <c r="A88" s="336"/>
      <c r="B88" s="336"/>
      <c r="C88" s="336"/>
      <c r="D88" s="336"/>
      <c r="E88" s="336"/>
      <c r="F88" s="336"/>
      <c r="G88" s="336"/>
    </row>
    <row r="89" ht="15.75" customHeight="1">
      <c r="A89" s="336"/>
      <c r="B89" s="336"/>
      <c r="C89" s="336"/>
      <c r="D89" s="336"/>
      <c r="E89" s="336"/>
      <c r="F89" s="336"/>
      <c r="G89" s="336"/>
    </row>
    <row r="90" ht="15.75" customHeight="1">
      <c r="A90" s="336"/>
      <c r="B90" s="336"/>
      <c r="C90" s="336"/>
      <c r="D90" s="336"/>
      <c r="E90" s="336"/>
      <c r="F90" s="336"/>
      <c r="G90" s="336"/>
    </row>
    <row r="91" ht="15.75" customHeight="1">
      <c r="A91" s="336"/>
      <c r="B91" s="336"/>
      <c r="C91" s="336"/>
      <c r="D91" s="336"/>
      <c r="E91" s="336"/>
      <c r="F91" s="336"/>
      <c r="G91" s="336"/>
    </row>
    <row r="92" ht="15.75" customHeight="1">
      <c r="A92" s="336"/>
      <c r="B92" s="336"/>
      <c r="C92" s="336"/>
      <c r="D92" s="336"/>
      <c r="E92" s="336"/>
      <c r="F92" s="336"/>
      <c r="G92" s="336"/>
    </row>
    <row r="93" ht="15.75" customHeight="1">
      <c r="A93" s="336"/>
      <c r="B93" s="336"/>
      <c r="C93" s="336"/>
      <c r="D93" s="336"/>
      <c r="E93" s="336"/>
      <c r="F93" s="336"/>
      <c r="G93" s="336"/>
    </row>
    <row r="94" ht="15.75" customHeight="1">
      <c r="A94" s="336"/>
      <c r="B94" s="336"/>
      <c r="C94" s="336"/>
      <c r="D94" s="336"/>
      <c r="E94" s="336"/>
      <c r="F94" s="336"/>
      <c r="G94" s="336"/>
    </row>
    <row r="95" ht="15.75" customHeight="1">
      <c r="A95" s="336"/>
      <c r="B95" s="336"/>
      <c r="C95" s="336"/>
      <c r="D95" s="336"/>
      <c r="E95" s="336"/>
      <c r="F95" s="336"/>
      <c r="G95" s="336"/>
    </row>
    <row r="96" ht="15.75" customHeight="1">
      <c r="A96" s="336"/>
      <c r="B96" s="336"/>
      <c r="C96" s="336"/>
      <c r="D96" s="336"/>
      <c r="E96" s="336"/>
      <c r="F96" s="336"/>
      <c r="G96" s="336"/>
    </row>
    <row r="97" ht="15.75" customHeight="1">
      <c r="A97" s="336"/>
      <c r="B97" s="336"/>
      <c r="C97" s="336"/>
      <c r="D97" s="336"/>
      <c r="E97" s="336"/>
      <c r="F97" s="336"/>
      <c r="G97" s="336"/>
    </row>
    <row r="98" ht="15.75" customHeight="1">
      <c r="A98" s="336"/>
      <c r="B98" s="336"/>
      <c r="C98" s="336"/>
      <c r="D98" s="336"/>
      <c r="E98" s="336"/>
      <c r="F98" s="336"/>
      <c r="G98" s="336"/>
    </row>
    <row r="99" ht="15.75" customHeight="1">
      <c r="A99" s="336"/>
      <c r="B99" s="336"/>
      <c r="C99" s="336"/>
      <c r="D99" s="336"/>
      <c r="E99" s="336"/>
      <c r="F99" s="336"/>
      <c r="G99" s="336"/>
    </row>
    <row r="100" ht="15.75" customHeight="1">
      <c r="A100" s="336"/>
      <c r="B100" s="336"/>
      <c r="C100" s="336"/>
      <c r="D100" s="336"/>
      <c r="E100" s="336"/>
      <c r="F100" s="336"/>
      <c r="G100" s="336"/>
    </row>
    <row r="101" ht="15.75" customHeight="1">
      <c r="A101" s="336"/>
      <c r="B101" s="336"/>
      <c r="C101" s="336"/>
      <c r="D101" s="336"/>
      <c r="E101" s="336"/>
      <c r="F101" s="336"/>
      <c r="G101" s="336"/>
    </row>
    <row r="102" ht="15.75" customHeight="1">
      <c r="A102" s="336"/>
      <c r="B102" s="336"/>
      <c r="C102" s="336"/>
      <c r="D102" s="336"/>
      <c r="E102" s="336"/>
      <c r="F102" s="336"/>
      <c r="G102" s="336"/>
    </row>
    <row r="103" ht="15.75" customHeight="1">
      <c r="A103" s="336"/>
      <c r="B103" s="336"/>
      <c r="C103" s="336"/>
      <c r="D103" s="336"/>
      <c r="E103" s="336"/>
      <c r="F103" s="336"/>
      <c r="G103" s="336"/>
    </row>
    <row r="104" ht="15.75" customHeight="1">
      <c r="A104" s="336"/>
      <c r="B104" s="336"/>
      <c r="C104" s="336"/>
      <c r="D104" s="336"/>
      <c r="E104" s="336"/>
      <c r="F104" s="336"/>
      <c r="G104" s="336"/>
    </row>
    <row r="105" ht="15.75" customHeight="1">
      <c r="A105" s="336"/>
      <c r="B105" s="336"/>
      <c r="C105" s="336"/>
      <c r="D105" s="336"/>
      <c r="E105" s="336"/>
      <c r="F105" s="336"/>
      <c r="G105" s="336"/>
    </row>
    <row r="106" ht="15.75" customHeight="1">
      <c r="A106" s="336"/>
      <c r="B106" s="336"/>
      <c r="C106" s="336"/>
      <c r="D106" s="336"/>
      <c r="E106" s="336"/>
      <c r="F106" s="336"/>
      <c r="G106" s="336"/>
    </row>
    <row r="107" ht="15.75" customHeight="1">
      <c r="A107" s="336"/>
      <c r="B107" s="336"/>
      <c r="C107" s="336"/>
      <c r="D107" s="336"/>
      <c r="E107" s="336"/>
      <c r="F107" s="336"/>
      <c r="G107" s="336"/>
    </row>
    <row r="108" ht="15.75" customHeight="1">
      <c r="A108" s="336"/>
      <c r="B108" s="336"/>
      <c r="C108" s="336"/>
      <c r="D108" s="336"/>
      <c r="E108" s="336"/>
      <c r="F108" s="336"/>
      <c r="G108" s="336"/>
    </row>
    <row r="109" ht="15.75" customHeight="1">
      <c r="A109" s="336"/>
      <c r="B109" s="336"/>
      <c r="C109" s="336"/>
      <c r="D109" s="336"/>
      <c r="E109" s="336"/>
      <c r="F109" s="336"/>
      <c r="G109" s="336"/>
    </row>
    <row r="110" ht="15.75" customHeight="1">
      <c r="A110" s="336"/>
      <c r="B110" s="336"/>
      <c r="C110" s="336"/>
      <c r="D110" s="336"/>
      <c r="E110" s="336"/>
      <c r="F110" s="336"/>
      <c r="G110" s="336"/>
    </row>
    <row r="111" ht="15.75" customHeight="1">
      <c r="A111" s="336"/>
      <c r="B111" s="336"/>
      <c r="C111" s="336"/>
      <c r="D111" s="336"/>
      <c r="E111" s="336"/>
      <c r="F111" s="336"/>
      <c r="G111" s="336"/>
    </row>
    <row r="112" ht="15.75" customHeight="1">
      <c r="A112" s="336"/>
      <c r="B112" s="336"/>
      <c r="C112" s="336"/>
      <c r="D112" s="336"/>
      <c r="E112" s="336"/>
      <c r="F112" s="336"/>
      <c r="G112" s="336"/>
    </row>
    <row r="113" ht="15.75" customHeight="1">
      <c r="A113" s="336"/>
      <c r="B113" s="336"/>
      <c r="C113" s="336"/>
      <c r="D113" s="336"/>
      <c r="E113" s="336"/>
      <c r="F113" s="336"/>
      <c r="G113" s="336"/>
    </row>
    <row r="114" ht="15.75" customHeight="1">
      <c r="A114" s="336"/>
      <c r="B114" s="336"/>
      <c r="C114" s="336"/>
      <c r="D114" s="336"/>
      <c r="E114" s="336"/>
      <c r="F114" s="336"/>
      <c r="G114" s="336"/>
    </row>
    <row r="115" ht="15.75" customHeight="1">
      <c r="A115" s="336"/>
      <c r="B115" s="336"/>
      <c r="C115" s="336"/>
      <c r="D115" s="336"/>
      <c r="E115" s="336"/>
      <c r="F115" s="336"/>
      <c r="G115" s="336"/>
    </row>
    <row r="116" ht="15.75" customHeight="1">
      <c r="A116" s="336"/>
      <c r="B116" s="336"/>
      <c r="C116" s="336"/>
      <c r="D116" s="336"/>
      <c r="E116" s="336"/>
      <c r="F116" s="336"/>
      <c r="G116" s="336"/>
    </row>
    <row r="117" ht="15.75" customHeight="1">
      <c r="A117" s="336"/>
      <c r="B117" s="336"/>
      <c r="C117" s="336"/>
      <c r="D117" s="336"/>
      <c r="E117" s="336"/>
      <c r="F117" s="336"/>
      <c r="G117" s="336"/>
    </row>
    <row r="118" ht="15.75" customHeight="1">
      <c r="A118" s="336"/>
      <c r="B118" s="336"/>
      <c r="C118" s="336"/>
      <c r="D118" s="336"/>
      <c r="E118" s="336"/>
      <c r="F118" s="336"/>
      <c r="G118" s="336"/>
    </row>
    <row r="119" ht="15.75" customHeight="1">
      <c r="A119" s="336"/>
      <c r="B119" s="336"/>
      <c r="C119" s="336"/>
      <c r="D119" s="336"/>
      <c r="E119" s="336"/>
      <c r="F119" s="336"/>
      <c r="G119" s="336"/>
    </row>
    <row r="120" ht="15.75" customHeight="1">
      <c r="A120" s="336"/>
      <c r="B120" s="336"/>
      <c r="C120" s="336"/>
      <c r="D120" s="336"/>
      <c r="E120" s="336"/>
      <c r="F120" s="336"/>
      <c r="G120" s="336"/>
    </row>
    <row r="121" ht="15.75" customHeight="1">
      <c r="A121" s="336"/>
      <c r="B121" s="336"/>
      <c r="C121" s="336"/>
      <c r="D121" s="336"/>
      <c r="E121" s="336"/>
      <c r="F121" s="336"/>
      <c r="G121" s="336"/>
    </row>
    <row r="122" ht="15.75" customHeight="1">
      <c r="A122" s="336"/>
      <c r="B122" s="336"/>
      <c r="C122" s="336"/>
      <c r="D122" s="336"/>
      <c r="E122" s="336"/>
      <c r="F122" s="336"/>
      <c r="G122" s="336"/>
    </row>
    <row r="123" ht="15.75" customHeight="1">
      <c r="A123" s="336"/>
      <c r="B123" s="336"/>
      <c r="C123" s="336"/>
      <c r="D123" s="336"/>
      <c r="E123" s="336"/>
      <c r="F123" s="336"/>
      <c r="G123" s="336"/>
    </row>
    <row r="124" ht="15.75" customHeight="1">
      <c r="A124" s="336"/>
      <c r="B124" s="336"/>
      <c r="C124" s="336"/>
      <c r="D124" s="336"/>
      <c r="E124" s="336"/>
      <c r="F124" s="336"/>
      <c r="G124" s="336"/>
    </row>
    <row r="125" ht="15.75" customHeight="1">
      <c r="A125" s="336"/>
      <c r="B125" s="336"/>
      <c r="C125" s="336"/>
      <c r="D125" s="336"/>
      <c r="E125" s="336"/>
      <c r="F125" s="336"/>
      <c r="G125" s="336"/>
    </row>
    <row r="126" ht="15.75" customHeight="1">
      <c r="A126" s="336"/>
      <c r="B126" s="336"/>
      <c r="C126" s="336"/>
      <c r="D126" s="336"/>
      <c r="E126" s="336"/>
      <c r="F126" s="336"/>
      <c r="G126" s="336"/>
    </row>
    <row r="127" ht="15.75" customHeight="1">
      <c r="A127" s="336"/>
      <c r="B127" s="336"/>
      <c r="C127" s="336"/>
      <c r="D127" s="336"/>
      <c r="E127" s="336"/>
      <c r="F127" s="336"/>
      <c r="G127" s="336"/>
    </row>
    <row r="128" ht="15.75" customHeight="1">
      <c r="A128" s="336"/>
      <c r="B128" s="336"/>
      <c r="C128" s="336"/>
      <c r="D128" s="336"/>
      <c r="E128" s="336"/>
      <c r="F128" s="336"/>
      <c r="G128" s="336"/>
    </row>
    <row r="129" ht="15.75" customHeight="1">
      <c r="A129" s="336"/>
      <c r="B129" s="336"/>
      <c r="C129" s="336"/>
      <c r="D129" s="336"/>
      <c r="E129" s="336"/>
      <c r="F129" s="336"/>
      <c r="G129" s="336"/>
    </row>
    <row r="130" ht="15.75" customHeight="1">
      <c r="A130" s="336"/>
      <c r="B130" s="336"/>
      <c r="C130" s="336"/>
      <c r="D130" s="336"/>
      <c r="E130" s="336"/>
      <c r="F130" s="336"/>
      <c r="G130" s="336"/>
    </row>
    <row r="131" ht="15.75" customHeight="1">
      <c r="A131" s="336"/>
      <c r="B131" s="336"/>
      <c r="C131" s="336"/>
      <c r="D131" s="336"/>
      <c r="E131" s="336"/>
      <c r="F131" s="336"/>
      <c r="G131" s="336"/>
    </row>
    <row r="132" ht="15.75" customHeight="1">
      <c r="A132" s="336"/>
      <c r="B132" s="336"/>
      <c r="C132" s="336"/>
      <c r="D132" s="336"/>
      <c r="E132" s="336"/>
      <c r="F132" s="336"/>
      <c r="G132" s="336"/>
    </row>
    <row r="133" ht="15.75" customHeight="1">
      <c r="A133" s="336"/>
      <c r="B133" s="336"/>
      <c r="C133" s="336"/>
      <c r="D133" s="336"/>
      <c r="E133" s="336"/>
      <c r="F133" s="336"/>
      <c r="G133" s="336"/>
    </row>
    <row r="134" ht="15.75" customHeight="1">
      <c r="A134" s="336"/>
      <c r="B134" s="336"/>
      <c r="C134" s="336"/>
      <c r="D134" s="336"/>
      <c r="E134" s="336"/>
      <c r="F134" s="336"/>
      <c r="G134" s="336"/>
    </row>
    <row r="135" ht="15.75" customHeight="1">
      <c r="A135" s="336"/>
      <c r="B135" s="336"/>
      <c r="C135" s="336"/>
      <c r="D135" s="336"/>
      <c r="E135" s="336"/>
      <c r="F135" s="336"/>
      <c r="G135" s="336"/>
    </row>
    <row r="136" ht="15.75" customHeight="1">
      <c r="A136" s="336"/>
      <c r="B136" s="336"/>
      <c r="C136" s="336"/>
      <c r="D136" s="336"/>
      <c r="E136" s="336"/>
      <c r="F136" s="336"/>
      <c r="G136" s="336"/>
    </row>
    <row r="137" ht="15.75" customHeight="1">
      <c r="A137" s="336"/>
      <c r="B137" s="336"/>
      <c r="C137" s="336"/>
      <c r="D137" s="336"/>
      <c r="E137" s="336"/>
      <c r="F137" s="336"/>
      <c r="G137" s="336"/>
    </row>
    <row r="138" ht="15.75" customHeight="1">
      <c r="A138" s="336"/>
      <c r="B138" s="336"/>
      <c r="C138" s="336"/>
      <c r="D138" s="336"/>
      <c r="E138" s="336"/>
      <c r="F138" s="336"/>
      <c r="G138" s="336"/>
    </row>
    <row r="139" ht="15.75" customHeight="1">
      <c r="A139" s="336"/>
      <c r="B139" s="336"/>
      <c r="C139" s="336"/>
      <c r="D139" s="336"/>
      <c r="E139" s="336"/>
      <c r="F139" s="336"/>
      <c r="G139" s="336"/>
    </row>
    <row r="140" ht="15.75" customHeight="1">
      <c r="A140" s="336"/>
      <c r="B140" s="336"/>
      <c r="C140" s="336"/>
      <c r="D140" s="336"/>
      <c r="E140" s="336"/>
      <c r="F140" s="336"/>
      <c r="G140" s="336"/>
    </row>
    <row r="141" ht="15.75" customHeight="1">
      <c r="A141" s="336"/>
      <c r="B141" s="336"/>
      <c r="C141" s="336"/>
      <c r="D141" s="336"/>
      <c r="E141" s="336"/>
      <c r="F141" s="336"/>
      <c r="G141" s="336"/>
    </row>
    <row r="142" ht="15.75" customHeight="1">
      <c r="A142" s="336"/>
      <c r="B142" s="336"/>
      <c r="C142" s="336"/>
      <c r="D142" s="336"/>
      <c r="E142" s="336"/>
      <c r="F142" s="336"/>
      <c r="G142" s="336"/>
    </row>
    <row r="143" ht="15.75" customHeight="1">
      <c r="A143" s="336"/>
      <c r="B143" s="336"/>
      <c r="C143" s="336"/>
      <c r="D143" s="336"/>
      <c r="E143" s="336"/>
      <c r="F143" s="336"/>
      <c r="G143" s="336"/>
    </row>
    <row r="144" ht="15.75" customHeight="1">
      <c r="A144" s="336"/>
      <c r="B144" s="336"/>
      <c r="C144" s="336"/>
      <c r="D144" s="336"/>
      <c r="E144" s="336"/>
      <c r="F144" s="336"/>
      <c r="G144" s="336"/>
    </row>
    <row r="145" ht="15.75" customHeight="1">
      <c r="A145" s="336"/>
      <c r="B145" s="336"/>
      <c r="C145" s="336"/>
      <c r="D145" s="336"/>
      <c r="E145" s="336"/>
      <c r="F145" s="336"/>
      <c r="G145" s="336"/>
    </row>
    <row r="146" ht="15.75" customHeight="1">
      <c r="A146" s="336"/>
      <c r="B146" s="336"/>
      <c r="C146" s="336"/>
      <c r="D146" s="336"/>
      <c r="E146" s="336"/>
      <c r="F146" s="336"/>
      <c r="G146" s="336"/>
    </row>
    <row r="147" ht="15.75" customHeight="1">
      <c r="A147" s="336"/>
      <c r="B147" s="336"/>
      <c r="C147" s="336"/>
      <c r="D147" s="336"/>
      <c r="E147" s="336"/>
      <c r="F147" s="336"/>
      <c r="G147" s="336"/>
    </row>
    <row r="148" ht="15.75" customHeight="1">
      <c r="A148" s="336"/>
      <c r="B148" s="336"/>
      <c r="C148" s="336"/>
      <c r="D148" s="336"/>
      <c r="E148" s="336"/>
      <c r="F148" s="336"/>
      <c r="G148" s="336"/>
    </row>
    <row r="149" ht="15.75" customHeight="1">
      <c r="A149" s="336"/>
      <c r="B149" s="336"/>
      <c r="C149" s="336"/>
      <c r="D149" s="336"/>
      <c r="E149" s="336"/>
      <c r="F149" s="336"/>
      <c r="G149" s="336"/>
    </row>
    <row r="150" ht="15.75" customHeight="1">
      <c r="A150" s="336"/>
      <c r="B150" s="336"/>
      <c r="C150" s="336"/>
      <c r="D150" s="336"/>
      <c r="E150" s="336"/>
      <c r="F150" s="336"/>
      <c r="G150" s="336"/>
    </row>
    <row r="151" ht="15.75" customHeight="1">
      <c r="A151" s="336"/>
      <c r="B151" s="336"/>
      <c r="C151" s="336"/>
      <c r="D151" s="336"/>
      <c r="E151" s="336"/>
      <c r="F151" s="336"/>
      <c r="G151" s="336"/>
    </row>
    <row r="152" ht="15.75" customHeight="1">
      <c r="A152" s="336"/>
      <c r="B152" s="336"/>
      <c r="C152" s="336"/>
      <c r="D152" s="336"/>
      <c r="E152" s="336"/>
      <c r="F152" s="336"/>
      <c r="G152" s="336"/>
    </row>
    <row r="153" ht="15.75" customHeight="1">
      <c r="A153" s="336"/>
      <c r="B153" s="336"/>
      <c r="C153" s="336"/>
      <c r="D153" s="336"/>
      <c r="E153" s="336"/>
      <c r="F153" s="336"/>
      <c r="G153" s="336"/>
    </row>
    <row r="154" ht="15.75" customHeight="1">
      <c r="A154" s="336"/>
      <c r="B154" s="336"/>
      <c r="C154" s="336"/>
      <c r="D154" s="336"/>
      <c r="E154" s="336"/>
      <c r="F154" s="336"/>
      <c r="G154" s="336"/>
    </row>
    <row r="155" ht="15.75" customHeight="1">
      <c r="A155" s="336"/>
      <c r="B155" s="336"/>
      <c r="C155" s="336"/>
      <c r="D155" s="336"/>
      <c r="E155" s="336"/>
      <c r="F155" s="336"/>
      <c r="G155" s="336"/>
    </row>
    <row r="156" ht="15.75" customHeight="1">
      <c r="A156" s="336"/>
      <c r="B156" s="336"/>
      <c r="C156" s="336"/>
      <c r="D156" s="336"/>
      <c r="E156" s="336"/>
      <c r="F156" s="336"/>
      <c r="G156" s="336"/>
    </row>
    <row r="157" ht="15.75" customHeight="1">
      <c r="A157" s="336"/>
      <c r="B157" s="336"/>
      <c r="C157" s="336"/>
      <c r="D157" s="336"/>
      <c r="E157" s="336"/>
      <c r="F157" s="336"/>
      <c r="G157" s="336"/>
    </row>
    <row r="158" ht="15.75" customHeight="1">
      <c r="A158" s="336"/>
      <c r="B158" s="336"/>
      <c r="C158" s="336"/>
      <c r="D158" s="336"/>
      <c r="E158" s="336"/>
      <c r="F158" s="336"/>
      <c r="G158" s="336"/>
    </row>
    <row r="159" ht="15.75" customHeight="1">
      <c r="A159" s="336"/>
      <c r="B159" s="336"/>
      <c r="C159" s="336"/>
      <c r="D159" s="336"/>
      <c r="E159" s="336"/>
      <c r="F159" s="336"/>
      <c r="G159" s="336"/>
    </row>
    <row r="160" ht="15.75" customHeight="1">
      <c r="A160" s="336"/>
      <c r="B160" s="336"/>
      <c r="C160" s="336"/>
      <c r="D160" s="336"/>
      <c r="E160" s="336"/>
      <c r="F160" s="336"/>
      <c r="G160" s="336"/>
    </row>
    <row r="161" ht="15.75" customHeight="1">
      <c r="A161" s="336"/>
      <c r="B161" s="336"/>
      <c r="C161" s="336"/>
      <c r="D161" s="336"/>
      <c r="E161" s="336"/>
      <c r="F161" s="336"/>
      <c r="G161" s="336"/>
    </row>
    <row r="162" ht="15.75" customHeight="1">
      <c r="A162" s="336"/>
      <c r="B162" s="336"/>
      <c r="C162" s="336"/>
      <c r="D162" s="336"/>
      <c r="E162" s="336"/>
      <c r="F162" s="336"/>
      <c r="G162" s="336"/>
    </row>
    <row r="163" ht="15.75" customHeight="1">
      <c r="A163" s="336"/>
      <c r="B163" s="336"/>
      <c r="C163" s="336"/>
      <c r="D163" s="336"/>
      <c r="E163" s="336"/>
      <c r="F163" s="336"/>
      <c r="G163" s="336"/>
    </row>
    <row r="164" ht="15.75" customHeight="1">
      <c r="A164" s="336"/>
      <c r="B164" s="336"/>
      <c r="C164" s="336"/>
      <c r="D164" s="336"/>
      <c r="E164" s="336"/>
      <c r="F164" s="336"/>
      <c r="G164" s="336"/>
    </row>
    <row r="165" ht="15.75" customHeight="1">
      <c r="A165" s="336"/>
      <c r="B165" s="336"/>
      <c r="C165" s="336"/>
      <c r="D165" s="336"/>
      <c r="E165" s="336"/>
      <c r="F165" s="336"/>
      <c r="G165" s="336"/>
    </row>
    <row r="166" ht="15.75" customHeight="1">
      <c r="A166" s="336"/>
      <c r="B166" s="336"/>
      <c r="C166" s="336"/>
      <c r="D166" s="336"/>
      <c r="E166" s="336"/>
      <c r="F166" s="336"/>
      <c r="G166" s="336"/>
    </row>
    <row r="167" ht="15.75" customHeight="1">
      <c r="A167" s="336"/>
      <c r="B167" s="336"/>
      <c r="C167" s="336"/>
      <c r="D167" s="336"/>
      <c r="E167" s="336"/>
      <c r="F167" s="336"/>
      <c r="G167" s="336"/>
    </row>
    <row r="168" ht="15.75" customHeight="1">
      <c r="A168" s="336"/>
      <c r="B168" s="336"/>
      <c r="C168" s="336"/>
      <c r="D168" s="336"/>
      <c r="E168" s="336"/>
      <c r="F168" s="336"/>
      <c r="G168" s="336"/>
    </row>
    <row r="169" ht="15.75" customHeight="1">
      <c r="A169" s="336"/>
      <c r="B169" s="336"/>
      <c r="C169" s="336"/>
      <c r="D169" s="336"/>
      <c r="E169" s="336"/>
      <c r="F169" s="336"/>
      <c r="G169" s="336"/>
    </row>
    <row r="170" ht="15.75" customHeight="1">
      <c r="A170" s="336"/>
      <c r="B170" s="336"/>
      <c r="C170" s="336"/>
      <c r="D170" s="336"/>
      <c r="E170" s="336"/>
      <c r="F170" s="336"/>
      <c r="G170" s="336"/>
    </row>
    <row r="171" ht="15.75" customHeight="1">
      <c r="A171" s="336"/>
      <c r="B171" s="336"/>
      <c r="C171" s="336"/>
      <c r="D171" s="336"/>
      <c r="E171" s="336"/>
      <c r="F171" s="336"/>
      <c r="G171" s="336"/>
    </row>
    <row r="172" ht="15.75" customHeight="1">
      <c r="A172" s="336"/>
      <c r="B172" s="336"/>
      <c r="C172" s="336"/>
      <c r="D172" s="336"/>
      <c r="E172" s="336"/>
      <c r="F172" s="336"/>
      <c r="G172" s="336"/>
    </row>
    <row r="173" ht="15.75" customHeight="1">
      <c r="A173" s="336"/>
      <c r="B173" s="336"/>
      <c r="C173" s="336"/>
      <c r="D173" s="336"/>
      <c r="E173" s="336"/>
      <c r="F173" s="336"/>
      <c r="G173" s="336"/>
    </row>
    <row r="174" ht="15.75" customHeight="1">
      <c r="A174" s="336"/>
      <c r="B174" s="336"/>
      <c r="C174" s="336"/>
      <c r="D174" s="336"/>
      <c r="E174" s="336"/>
      <c r="F174" s="336"/>
      <c r="G174" s="336"/>
    </row>
    <row r="175" ht="15.75" customHeight="1">
      <c r="A175" s="336"/>
      <c r="B175" s="336"/>
      <c r="C175" s="336"/>
      <c r="D175" s="336"/>
      <c r="E175" s="336"/>
      <c r="F175" s="336"/>
      <c r="G175" s="336"/>
    </row>
    <row r="176" ht="15.75" customHeight="1">
      <c r="A176" s="336"/>
      <c r="B176" s="336"/>
      <c r="C176" s="336"/>
      <c r="D176" s="336"/>
      <c r="E176" s="336"/>
      <c r="F176" s="336"/>
      <c r="G176" s="336"/>
    </row>
    <row r="177" ht="15.75" customHeight="1">
      <c r="A177" s="336"/>
      <c r="B177" s="336"/>
      <c r="C177" s="336"/>
      <c r="D177" s="336"/>
      <c r="E177" s="336"/>
      <c r="F177" s="336"/>
      <c r="G177" s="336"/>
    </row>
    <row r="178" ht="15.75" customHeight="1">
      <c r="A178" s="336"/>
      <c r="B178" s="336"/>
      <c r="C178" s="336"/>
      <c r="D178" s="336"/>
      <c r="E178" s="336"/>
      <c r="F178" s="336"/>
      <c r="G178" s="336"/>
    </row>
    <row r="179" ht="15.75" customHeight="1">
      <c r="A179" s="336"/>
      <c r="B179" s="336"/>
      <c r="C179" s="336"/>
      <c r="D179" s="336"/>
      <c r="E179" s="336"/>
      <c r="F179" s="336"/>
      <c r="G179" s="336"/>
    </row>
    <row r="180" ht="15.75" customHeight="1">
      <c r="A180" s="336"/>
      <c r="B180" s="336"/>
      <c r="C180" s="336"/>
      <c r="D180" s="336"/>
      <c r="E180" s="336"/>
      <c r="F180" s="336"/>
      <c r="G180" s="336"/>
    </row>
    <row r="181" ht="15.75" customHeight="1">
      <c r="A181" s="336"/>
      <c r="B181" s="336"/>
      <c r="C181" s="336"/>
      <c r="D181" s="336"/>
      <c r="E181" s="336"/>
      <c r="F181" s="336"/>
      <c r="G181" s="336"/>
    </row>
    <row r="182" ht="15.75" customHeight="1">
      <c r="A182" s="336"/>
      <c r="B182" s="336"/>
      <c r="C182" s="336"/>
      <c r="D182" s="336"/>
      <c r="E182" s="336"/>
      <c r="F182" s="336"/>
      <c r="G182" s="336"/>
    </row>
    <row r="183" ht="15.75" customHeight="1">
      <c r="A183" s="336"/>
      <c r="B183" s="336"/>
      <c r="C183" s="336"/>
      <c r="D183" s="336"/>
      <c r="E183" s="336"/>
      <c r="F183" s="336"/>
      <c r="G183" s="336"/>
    </row>
    <row r="184" ht="15.75" customHeight="1">
      <c r="A184" s="336"/>
      <c r="B184" s="336"/>
      <c r="C184" s="336"/>
      <c r="D184" s="336"/>
      <c r="E184" s="336"/>
      <c r="F184" s="336"/>
      <c r="G184" s="336"/>
    </row>
    <row r="185" ht="15.75" customHeight="1">
      <c r="A185" s="336"/>
      <c r="B185" s="336"/>
      <c r="C185" s="336"/>
      <c r="D185" s="336"/>
      <c r="E185" s="336"/>
      <c r="F185" s="336"/>
      <c r="G185" s="336"/>
    </row>
    <row r="186" ht="15.75" customHeight="1">
      <c r="A186" s="336"/>
      <c r="B186" s="336"/>
      <c r="C186" s="336"/>
      <c r="D186" s="336"/>
      <c r="E186" s="336"/>
      <c r="F186" s="336"/>
      <c r="G186" s="336"/>
    </row>
    <row r="187" ht="15.75" customHeight="1">
      <c r="A187" s="336"/>
      <c r="B187" s="336"/>
      <c r="C187" s="336"/>
      <c r="D187" s="336"/>
      <c r="E187" s="336"/>
      <c r="F187" s="336"/>
      <c r="G187" s="336"/>
    </row>
    <row r="188" ht="15.75" customHeight="1">
      <c r="A188" s="336"/>
      <c r="B188" s="336"/>
      <c r="C188" s="336"/>
      <c r="D188" s="336"/>
      <c r="E188" s="336"/>
      <c r="F188" s="336"/>
      <c r="G188" s="336"/>
    </row>
    <row r="189" ht="15.75" customHeight="1">
      <c r="A189" s="336"/>
      <c r="B189" s="336"/>
      <c r="C189" s="336"/>
      <c r="D189" s="336"/>
      <c r="E189" s="336"/>
      <c r="F189" s="336"/>
      <c r="G189" s="336"/>
    </row>
    <row r="190" ht="15.75" customHeight="1">
      <c r="A190" s="336"/>
      <c r="B190" s="336"/>
      <c r="C190" s="336"/>
      <c r="D190" s="336"/>
      <c r="E190" s="336"/>
      <c r="F190" s="336"/>
      <c r="G190" s="336"/>
    </row>
    <row r="191" ht="15.75" customHeight="1">
      <c r="A191" s="336"/>
      <c r="B191" s="336"/>
      <c r="C191" s="336"/>
      <c r="D191" s="336"/>
      <c r="E191" s="336"/>
      <c r="F191" s="336"/>
      <c r="G191" s="336"/>
    </row>
    <row r="192" ht="15.75" customHeight="1">
      <c r="A192" s="336"/>
      <c r="B192" s="336"/>
      <c r="C192" s="336"/>
      <c r="D192" s="336"/>
      <c r="E192" s="336"/>
      <c r="F192" s="336"/>
      <c r="G192" s="336"/>
    </row>
    <row r="193" ht="15.75" customHeight="1">
      <c r="A193" s="336"/>
      <c r="B193" s="336"/>
      <c r="C193" s="336"/>
      <c r="D193" s="336"/>
      <c r="E193" s="336"/>
      <c r="F193" s="336"/>
      <c r="G193" s="336"/>
    </row>
    <row r="194" ht="15.75" customHeight="1">
      <c r="A194" s="336"/>
      <c r="B194" s="336"/>
      <c r="C194" s="336"/>
      <c r="D194" s="336"/>
      <c r="E194" s="336"/>
      <c r="F194" s="336"/>
      <c r="G194" s="336"/>
    </row>
    <row r="195" ht="15.75" customHeight="1">
      <c r="A195" s="336"/>
      <c r="B195" s="336"/>
      <c r="C195" s="336"/>
      <c r="D195" s="336"/>
      <c r="E195" s="336"/>
      <c r="F195" s="336"/>
      <c r="G195" s="336"/>
    </row>
    <row r="196" ht="15.75" customHeight="1">
      <c r="A196" s="336"/>
      <c r="B196" s="336"/>
      <c r="C196" s="336"/>
      <c r="D196" s="336"/>
      <c r="E196" s="336"/>
      <c r="F196" s="336"/>
      <c r="G196" s="336"/>
    </row>
    <row r="197" ht="15.75" customHeight="1">
      <c r="A197" s="336"/>
      <c r="B197" s="336"/>
      <c r="C197" s="336"/>
      <c r="D197" s="336"/>
      <c r="E197" s="336"/>
      <c r="F197" s="336"/>
      <c r="G197" s="336"/>
    </row>
    <row r="198" ht="15.75" customHeight="1">
      <c r="A198" s="336"/>
      <c r="B198" s="336"/>
      <c r="C198" s="336"/>
      <c r="D198" s="336"/>
      <c r="E198" s="336"/>
      <c r="F198" s="336"/>
      <c r="G198" s="336"/>
    </row>
    <row r="199" ht="15.75" customHeight="1">
      <c r="A199" s="336"/>
      <c r="B199" s="336"/>
      <c r="C199" s="336"/>
      <c r="D199" s="336"/>
      <c r="E199" s="336"/>
      <c r="F199" s="336"/>
      <c r="G199" s="336"/>
    </row>
    <row r="200" ht="15.75" customHeight="1">
      <c r="A200" s="336"/>
      <c r="B200" s="336"/>
      <c r="C200" s="336"/>
      <c r="D200" s="336"/>
      <c r="E200" s="336"/>
      <c r="F200" s="336"/>
      <c r="G200" s="336"/>
    </row>
    <row r="201" ht="15.75" customHeight="1">
      <c r="A201" s="336"/>
      <c r="B201" s="336"/>
      <c r="C201" s="336"/>
      <c r="D201" s="336"/>
      <c r="E201" s="336"/>
      <c r="F201" s="336"/>
      <c r="G201" s="336"/>
    </row>
    <row r="202" ht="15.75" customHeight="1">
      <c r="A202" s="336"/>
      <c r="B202" s="336"/>
      <c r="C202" s="336"/>
      <c r="D202" s="336"/>
      <c r="E202" s="336"/>
      <c r="F202" s="336"/>
      <c r="G202" s="336"/>
    </row>
    <row r="203" ht="15.75" customHeight="1">
      <c r="A203" s="336"/>
      <c r="B203" s="336"/>
      <c r="C203" s="336"/>
      <c r="D203" s="336"/>
      <c r="E203" s="336"/>
      <c r="F203" s="336"/>
      <c r="G203" s="336"/>
    </row>
    <row r="204" ht="15.75" customHeight="1">
      <c r="A204" s="336"/>
      <c r="B204" s="336"/>
      <c r="C204" s="336"/>
      <c r="D204" s="336"/>
      <c r="E204" s="336"/>
      <c r="F204" s="336"/>
      <c r="G204" s="336"/>
    </row>
    <row r="205" ht="15.75" customHeight="1">
      <c r="A205" s="336"/>
      <c r="B205" s="336"/>
      <c r="C205" s="336"/>
      <c r="D205" s="336"/>
      <c r="E205" s="336"/>
      <c r="F205" s="336"/>
      <c r="G205" s="336"/>
    </row>
    <row r="206" ht="15.75" customHeight="1">
      <c r="A206" s="336"/>
      <c r="B206" s="336"/>
      <c r="C206" s="336"/>
      <c r="D206" s="336"/>
      <c r="E206" s="336"/>
      <c r="F206" s="336"/>
      <c r="G206" s="336"/>
    </row>
    <row r="207" ht="15.75" customHeight="1">
      <c r="A207" s="336"/>
      <c r="B207" s="336"/>
      <c r="C207" s="336"/>
      <c r="D207" s="336"/>
      <c r="E207" s="336"/>
      <c r="F207" s="336"/>
      <c r="G207" s="336"/>
    </row>
    <row r="208" ht="15.75" customHeight="1">
      <c r="A208" s="336"/>
      <c r="B208" s="336"/>
      <c r="C208" s="336"/>
      <c r="D208" s="336"/>
      <c r="E208" s="336"/>
      <c r="F208" s="336"/>
      <c r="G208" s="336"/>
    </row>
    <row r="209" ht="15.75" customHeight="1">
      <c r="A209" s="336"/>
      <c r="B209" s="336"/>
      <c r="C209" s="336"/>
      <c r="D209" s="336"/>
      <c r="E209" s="336"/>
      <c r="F209" s="336"/>
      <c r="G209" s="336"/>
    </row>
    <row r="210" ht="15.75" customHeight="1">
      <c r="A210" s="336"/>
      <c r="B210" s="336"/>
      <c r="C210" s="336"/>
      <c r="D210" s="336"/>
      <c r="E210" s="336"/>
      <c r="F210" s="336"/>
      <c r="G210" s="336"/>
    </row>
    <row r="211" ht="15.75" customHeight="1">
      <c r="A211" s="336"/>
      <c r="B211" s="336"/>
      <c r="C211" s="336"/>
      <c r="D211" s="336"/>
      <c r="E211" s="336"/>
      <c r="F211" s="336"/>
      <c r="G211" s="336"/>
    </row>
    <row r="212" ht="15.75" customHeight="1">
      <c r="A212" s="336"/>
      <c r="B212" s="336"/>
      <c r="C212" s="336"/>
      <c r="D212" s="336"/>
      <c r="E212" s="336"/>
      <c r="F212" s="336"/>
      <c r="G212" s="336"/>
    </row>
    <row r="213" ht="15.75" customHeight="1">
      <c r="A213" s="336"/>
      <c r="B213" s="336"/>
      <c r="C213" s="336"/>
      <c r="D213" s="336"/>
      <c r="E213" s="336"/>
      <c r="F213" s="336"/>
      <c r="G213" s="336"/>
    </row>
    <row r="214" ht="15.75" customHeight="1">
      <c r="A214" s="336"/>
      <c r="B214" s="336"/>
      <c r="C214" s="336"/>
      <c r="D214" s="336"/>
      <c r="E214" s="336"/>
      <c r="F214" s="336"/>
      <c r="G214" s="336"/>
    </row>
    <row r="215" ht="15.75" customHeight="1">
      <c r="A215" s="336"/>
      <c r="B215" s="336"/>
      <c r="C215" s="336"/>
      <c r="D215" s="336"/>
      <c r="E215" s="336"/>
      <c r="F215" s="336"/>
      <c r="G215" s="336"/>
    </row>
    <row r="216" ht="15.75" customHeight="1">
      <c r="A216" s="336"/>
      <c r="B216" s="336"/>
      <c r="C216" s="336"/>
      <c r="D216" s="336"/>
      <c r="E216" s="336"/>
      <c r="F216" s="336"/>
      <c r="G216" s="336"/>
    </row>
    <row r="217" ht="15.75" customHeight="1">
      <c r="A217" s="336"/>
      <c r="B217" s="336"/>
      <c r="C217" s="336"/>
      <c r="D217" s="336"/>
      <c r="E217" s="336"/>
      <c r="F217" s="336"/>
      <c r="G217" s="336"/>
    </row>
    <row r="218" ht="15.75" customHeight="1">
      <c r="A218" s="336"/>
      <c r="B218" s="336"/>
      <c r="C218" s="336"/>
      <c r="D218" s="336"/>
      <c r="E218" s="336"/>
      <c r="F218" s="336"/>
      <c r="G218" s="336"/>
    </row>
    <row r="219" ht="15.75" customHeight="1">
      <c r="A219" s="336"/>
      <c r="B219" s="336"/>
      <c r="C219" s="336"/>
      <c r="D219" s="336"/>
      <c r="E219" s="336"/>
      <c r="F219" s="336"/>
      <c r="G219" s="336"/>
    </row>
    <row r="220" ht="15.75" customHeight="1">
      <c r="A220" s="336"/>
      <c r="B220" s="336"/>
      <c r="C220" s="336"/>
      <c r="D220" s="336"/>
      <c r="E220" s="336"/>
      <c r="F220" s="336"/>
      <c r="G220" s="336"/>
    </row>
    <row r="221" ht="15.75" customHeight="1">
      <c r="A221" s="336"/>
      <c r="B221" s="336"/>
      <c r="C221" s="336"/>
      <c r="D221" s="336"/>
      <c r="E221" s="336"/>
      <c r="F221" s="336"/>
      <c r="G221" s="336"/>
    </row>
    <row r="222" ht="15.75" customHeight="1">
      <c r="A222" s="336"/>
      <c r="B222" s="336"/>
      <c r="C222" s="336"/>
      <c r="D222" s="336"/>
      <c r="E222" s="336"/>
      <c r="F222" s="336"/>
      <c r="G222" s="336"/>
    </row>
    <row r="223" ht="15.75" customHeight="1">
      <c r="A223" s="336"/>
      <c r="B223" s="336"/>
      <c r="C223" s="336"/>
      <c r="D223" s="336"/>
      <c r="E223" s="336"/>
      <c r="F223" s="336"/>
      <c r="G223" s="336"/>
    </row>
    <row r="224" ht="15.75" customHeight="1">
      <c r="A224" s="336"/>
      <c r="B224" s="336"/>
      <c r="C224" s="336"/>
      <c r="D224" s="336"/>
      <c r="E224" s="336"/>
      <c r="F224" s="336"/>
      <c r="G224" s="336"/>
    </row>
    <row r="225" ht="15.75" customHeight="1">
      <c r="A225" s="336"/>
      <c r="B225" s="336"/>
      <c r="C225" s="336"/>
      <c r="D225" s="336"/>
      <c r="E225" s="336"/>
      <c r="F225" s="336"/>
      <c r="G225" s="336"/>
    </row>
    <row r="226" ht="15.75" customHeight="1">
      <c r="A226" s="336"/>
      <c r="B226" s="336"/>
      <c r="C226" s="336"/>
      <c r="D226" s="336"/>
      <c r="E226" s="336"/>
      <c r="F226" s="336"/>
      <c r="G226" s="336"/>
    </row>
    <row r="227" ht="15.75" customHeight="1">
      <c r="A227" s="336"/>
      <c r="B227" s="336"/>
      <c r="C227" s="336"/>
      <c r="D227" s="336"/>
      <c r="E227" s="336"/>
      <c r="F227" s="336"/>
      <c r="G227" s="336"/>
    </row>
    <row r="228" ht="15.75" customHeight="1">
      <c r="A228" s="336"/>
      <c r="B228" s="336"/>
      <c r="C228" s="336"/>
      <c r="D228" s="336"/>
      <c r="E228" s="336"/>
      <c r="F228" s="336"/>
      <c r="G228" s="336"/>
    </row>
    <row r="229" ht="15.75" customHeight="1">
      <c r="A229" s="336"/>
      <c r="B229" s="336"/>
      <c r="C229" s="336"/>
      <c r="D229" s="336"/>
      <c r="E229" s="336"/>
      <c r="F229" s="336"/>
      <c r="G229" s="336"/>
    </row>
    <row r="230" ht="15.75" customHeight="1">
      <c r="A230" s="336"/>
      <c r="B230" s="336"/>
      <c r="C230" s="336"/>
      <c r="D230" s="336"/>
      <c r="E230" s="336"/>
      <c r="F230" s="336"/>
      <c r="G230" s="336"/>
    </row>
    <row r="231" ht="15.75" customHeight="1">
      <c r="A231" s="336"/>
      <c r="B231" s="336"/>
      <c r="C231" s="336"/>
      <c r="D231" s="336"/>
      <c r="E231" s="336"/>
      <c r="F231" s="336"/>
      <c r="G231" s="336"/>
    </row>
    <row r="232" ht="15.75" customHeight="1">
      <c r="A232" s="336"/>
      <c r="B232" s="336"/>
      <c r="C232" s="336"/>
      <c r="D232" s="336"/>
      <c r="E232" s="336"/>
      <c r="F232" s="336"/>
      <c r="G232" s="336"/>
    </row>
    <row r="233" ht="15.75" customHeight="1">
      <c r="A233" s="336"/>
      <c r="B233" s="336"/>
      <c r="C233" s="336"/>
      <c r="D233" s="336"/>
      <c r="E233" s="336"/>
      <c r="F233" s="336"/>
      <c r="G233" s="336"/>
    </row>
    <row r="234" ht="15.75" customHeight="1">
      <c r="A234" s="336"/>
      <c r="B234" s="336"/>
      <c r="C234" s="336"/>
      <c r="D234" s="336"/>
      <c r="E234" s="336"/>
      <c r="F234" s="336"/>
      <c r="G234" s="336"/>
    </row>
    <row r="235" ht="15.75" customHeight="1">
      <c r="A235" s="336"/>
      <c r="B235" s="336"/>
      <c r="C235" s="336"/>
      <c r="D235" s="336"/>
      <c r="E235" s="336"/>
      <c r="F235" s="336"/>
      <c r="G235" s="336"/>
    </row>
    <row r="236" ht="15.75" customHeight="1">
      <c r="A236" s="336"/>
      <c r="B236" s="336"/>
      <c r="C236" s="336"/>
      <c r="D236" s="336"/>
      <c r="E236" s="336"/>
      <c r="F236" s="336"/>
      <c r="G236" s="336"/>
    </row>
    <row r="237" ht="15.75" customHeight="1">
      <c r="A237" s="336"/>
      <c r="B237" s="336"/>
      <c r="C237" s="336"/>
      <c r="D237" s="336"/>
      <c r="E237" s="336"/>
      <c r="F237" s="336"/>
      <c r="G237" s="336"/>
    </row>
    <row r="238" ht="15.75" customHeight="1">
      <c r="A238" s="336"/>
      <c r="B238" s="336"/>
      <c r="C238" s="336"/>
      <c r="D238" s="336"/>
      <c r="E238" s="336"/>
      <c r="F238" s="336"/>
      <c r="G238" s="336"/>
    </row>
    <row r="239" ht="15.75" customHeight="1">
      <c r="A239" s="336"/>
      <c r="B239" s="336"/>
      <c r="C239" s="336"/>
      <c r="D239" s="336"/>
      <c r="E239" s="336"/>
      <c r="F239" s="336"/>
      <c r="G239" s="336"/>
    </row>
    <row r="240" ht="15.75" customHeight="1">
      <c r="A240" s="336"/>
      <c r="B240" s="336"/>
      <c r="C240" s="336"/>
      <c r="D240" s="336"/>
      <c r="E240" s="336"/>
      <c r="F240" s="336"/>
      <c r="G240" s="336"/>
    </row>
    <row r="241" ht="15.75" customHeight="1">
      <c r="A241" s="336"/>
      <c r="B241" s="336"/>
      <c r="C241" s="336"/>
      <c r="D241" s="336"/>
      <c r="E241" s="336"/>
      <c r="F241" s="336"/>
      <c r="G241" s="336"/>
    </row>
    <row r="242" ht="15.75" customHeight="1">
      <c r="A242" s="336"/>
      <c r="B242" s="336"/>
      <c r="C242" s="336"/>
      <c r="D242" s="336"/>
      <c r="E242" s="336"/>
      <c r="F242" s="336"/>
      <c r="G242" s="336"/>
    </row>
    <row r="243" ht="15.75" customHeight="1">
      <c r="A243" s="336"/>
      <c r="B243" s="336"/>
      <c r="C243" s="336"/>
      <c r="D243" s="336"/>
      <c r="E243" s="336"/>
      <c r="F243" s="336"/>
      <c r="G243" s="336"/>
    </row>
    <row r="244" ht="15.75" customHeight="1">
      <c r="A244" s="336"/>
      <c r="B244" s="336"/>
      <c r="C244" s="336"/>
      <c r="D244" s="336"/>
      <c r="E244" s="336"/>
      <c r="F244" s="336"/>
      <c r="G244" s="336"/>
    </row>
    <row r="245" ht="15.75" customHeight="1">
      <c r="A245" s="336"/>
      <c r="B245" s="336"/>
      <c r="C245" s="336"/>
      <c r="D245" s="336"/>
      <c r="E245" s="336"/>
      <c r="F245" s="336"/>
      <c r="G245" s="336"/>
    </row>
    <row r="246" ht="15.75" customHeight="1">
      <c r="A246" s="336"/>
      <c r="B246" s="336"/>
      <c r="C246" s="336"/>
      <c r="D246" s="336"/>
      <c r="E246" s="336"/>
      <c r="F246" s="336"/>
      <c r="G246" s="336"/>
    </row>
    <row r="247" ht="15.75" customHeight="1">
      <c r="A247" s="336"/>
      <c r="B247" s="336"/>
      <c r="C247" s="336"/>
      <c r="D247" s="336"/>
      <c r="E247" s="336"/>
      <c r="F247" s="336"/>
      <c r="G247" s="336"/>
    </row>
    <row r="248" ht="15.75" customHeight="1">
      <c r="A248" s="336"/>
      <c r="B248" s="336"/>
      <c r="C248" s="336"/>
      <c r="D248" s="336"/>
      <c r="E248" s="336"/>
      <c r="F248" s="336"/>
      <c r="G248" s="336"/>
    </row>
    <row r="249" ht="15.75" customHeight="1">
      <c r="A249" s="336"/>
      <c r="B249" s="336"/>
      <c r="C249" s="336"/>
      <c r="D249" s="336"/>
      <c r="E249" s="336"/>
      <c r="F249" s="336"/>
      <c r="G249" s="336"/>
    </row>
    <row r="250" ht="15.75" customHeight="1">
      <c r="A250" s="336"/>
      <c r="B250" s="336"/>
      <c r="C250" s="336"/>
      <c r="D250" s="336"/>
      <c r="E250" s="336"/>
      <c r="F250" s="336"/>
      <c r="G250" s="336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G1"/>
    <mergeCell ref="A2:G2"/>
    <mergeCell ref="A3:G3"/>
    <mergeCell ref="A4:G4"/>
    <mergeCell ref="B5:C5"/>
    <mergeCell ref="B6:C6"/>
    <mergeCell ref="F8:G8"/>
    <mergeCell ref="F9:G9"/>
    <mergeCell ref="F10:G10"/>
    <mergeCell ref="F11:G11"/>
    <mergeCell ref="F12:G12"/>
    <mergeCell ref="F13:G13"/>
    <mergeCell ref="F14:G14"/>
    <mergeCell ref="A18:G18"/>
    <mergeCell ref="F17:G17"/>
    <mergeCell ref="D22:G22"/>
    <mergeCell ref="D23:G23"/>
    <mergeCell ref="A27:G27"/>
    <mergeCell ref="A28:G28"/>
    <mergeCell ref="A29:G29"/>
    <mergeCell ref="A30:G30"/>
    <mergeCell ref="F39:G39"/>
    <mergeCell ref="F40:G40"/>
    <mergeCell ref="F43:G43"/>
    <mergeCell ref="A44:G44"/>
    <mergeCell ref="D48:G48"/>
    <mergeCell ref="D49:G49"/>
    <mergeCell ref="B31:C31"/>
    <mergeCell ref="B32:C32"/>
    <mergeCell ref="F34:G34"/>
    <mergeCell ref="F35:G35"/>
    <mergeCell ref="F36:G36"/>
    <mergeCell ref="F37:G37"/>
    <mergeCell ref="F38:G3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7.75"/>
    <col customWidth="1" min="3" max="3" width="38.38"/>
    <col customWidth="1" min="4" max="6" width="12.63"/>
    <col customWidth="1" min="7" max="7" width="1.88"/>
  </cols>
  <sheetData>
    <row r="1" ht="15.75" customHeight="1">
      <c r="A1" s="295" t="s">
        <v>259</v>
      </c>
    </row>
    <row r="2" ht="15.75" customHeight="1">
      <c r="A2" s="295" t="s">
        <v>260</v>
      </c>
    </row>
    <row r="3" ht="15.75" customHeight="1">
      <c r="A3" s="296" t="s">
        <v>261</v>
      </c>
      <c r="I3" s="297"/>
    </row>
    <row r="4" ht="15.75" customHeight="1">
      <c r="A4" s="298" t="s">
        <v>262</v>
      </c>
      <c r="B4" s="299"/>
      <c r="C4" s="299"/>
      <c r="D4" s="299"/>
      <c r="E4" s="299"/>
      <c r="F4" s="299"/>
      <c r="G4" s="299"/>
    </row>
    <row r="5" ht="15.75" customHeight="1">
      <c r="A5" s="300" t="s">
        <v>263</v>
      </c>
      <c r="B5" s="126" t="s">
        <v>264</v>
      </c>
      <c r="D5" s="300" t="s">
        <v>265</v>
      </c>
      <c r="E5" s="126"/>
      <c r="F5" s="301" t="s">
        <v>266</v>
      </c>
      <c r="G5" s="302"/>
    </row>
    <row r="6" ht="15.75" customHeight="1">
      <c r="A6" s="300" t="s">
        <v>267</v>
      </c>
      <c r="B6" s="126" t="s">
        <v>268</v>
      </c>
      <c r="D6" s="300" t="s">
        <v>269</v>
      </c>
      <c r="E6" s="126"/>
      <c r="F6" s="301" t="s">
        <v>266</v>
      </c>
      <c r="G6" s="303"/>
    </row>
    <row r="7" ht="15.75" customHeight="1">
      <c r="A7" s="304"/>
      <c r="B7" s="305"/>
      <c r="C7" s="306"/>
      <c r="D7" s="304"/>
      <c r="E7" s="305"/>
      <c r="F7" s="305"/>
      <c r="G7" s="306"/>
    </row>
    <row r="8" ht="15.75" customHeight="1">
      <c r="A8" s="307" t="s">
        <v>6</v>
      </c>
      <c r="B8" s="308" t="s">
        <v>240</v>
      </c>
      <c r="C8" s="308" t="s">
        <v>270</v>
      </c>
      <c r="D8" s="308" t="s">
        <v>271</v>
      </c>
      <c r="E8" s="308" t="s">
        <v>272</v>
      </c>
      <c r="F8" s="309" t="s">
        <v>273</v>
      </c>
      <c r="G8" s="26"/>
    </row>
    <row r="9" ht="38.25" customHeight="1">
      <c r="A9" s="310">
        <v>1.0</v>
      </c>
      <c r="B9" s="311" t="s">
        <v>255</v>
      </c>
      <c r="C9" s="420" t="s">
        <v>182</v>
      </c>
      <c r="D9" s="313">
        <v>1.0</v>
      </c>
      <c r="E9" s="314">
        <v>30000.0</v>
      </c>
      <c r="F9" s="315">
        <f>E9*D9</f>
        <v>30000</v>
      </c>
      <c r="G9" s="255"/>
    </row>
    <row r="10" ht="15.75" customHeight="1">
      <c r="A10" s="316"/>
      <c r="B10" s="317"/>
      <c r="C10" s="318" t="s">
        <v>183</v>
      </c>
      <c r="D10" s="319"/>
      <c r="E10" s="314"/>
      <c r="F10" s="320"/>
      <c r="G10" s="255"/>
    </row>
    <row r="11" ht="15.75" customHeight="1">
      <c r="A11" s="417"/>
      <c r="B11" s="317"/>
      <c r="C11" s="421" t="s">
        <v>184</v>
      </c>
      <c r="D11" s="319"/>
      <c r="E11" s="314"/>
      <c r="F11" s="320"/>
      <c r="G11" s="255"/>
    </row>
    <row r="12" ht="15.75" customHeight="1">
      <c r="A12" s="316"/>
      <c r="B12" s="317"/>
      <c r="C12" s="421" t="s">
        <v>185</v>
      </c>
      <c r="D12" s="319"/>
      <c r="E12" s="314"/>
      <c r="F12" s="320"/>
      <c r="G12" s="255"/>
    </row>
    <row r="13" ht="15.75" customHeight="1">
      <c r="A13" s="316"/>
      <c r="B13" s="317"/>
      <c r="C13" s="421" t="s">
        <v>186</v>
      </c>
      <c r="D13" s="319"/>
      <c r="E13" s="314"/>
      <c r="F13" s="320"/>
      <c r="G13" s="255"/>
    </row>
    <row r="14" ht="15.75" customHeight="1">
      <c r="A14" s="310"/>
      <c r="B14" s="322"/>
      <c r="C14" s="323" t="s">
        <v>274</v>
      </c>
      <c r="D14" s="303"/>
      <c r="E14" s="303"/>
      <c r="F14" s="126"/>
      <c r="G14" s="322"/>
    </row>
    <row r="15" ht="15.75" customHeight="1">
      <c r="A15" s="324"/>
      <c r="B15" s="306"/>
      <c r="C15" s="325" t="s">
        <v>275</v>
      </c>
      <c r="D15" s="306"/>
      <c r="E15" s="306"/>
      <c r="F15" s="326">
        <f>sum(F9)</f>
        <v>30000</v>
      </c>
      <c r="G15" s="26"/>
    </row>
    <row r="16" ht="15.75" customHeight="1">
      <c r="A16" s="327" t="s">
        <v>276</v>
      </c>
      <c r="B16" s="299"/>
      <c r="C16" s="299"/>
      <c r="D16" s="299"/>
      <c r="E16" s="299"/>
      <c r="F16" s="299"/>
      <c r="G16" s="26"/>
    </row>
    <row r="17" ht="15.75" customHeight="1">
      <c r="A17" s="328"/>
      <c r="B17" s="303"/>
      <c r="C17" s="303" t="s">
        <v>277</v>
      </c>
      <c r="D17" s="329" t="s">
        <v>278</v>
      </c>
      <c r="E17" s="126"/>
      <c r="F17" s="126"/>
      <c r="G17" s="303"/>
    </row>
    <row r="18" ht="15.75" customHeight="1">
      <c r="A18" s="328"/>
      <c r="B18" s="303"/>
      <c r="C18" s="303" t="s">
        <v>279</v>
      </c>
      <c r="D18" s="126"/>
      <c r="E18" s="126"/>
      <c r="F18" s="126"/>
      <c r="G18" s="303"/>
    </row>
    <row r="19" ht="15.75" customHeight="1">
      <c r="A19" s="328" t="s">
        <v>280</v>
      </c>
      <c r="B19" s="303"/>
      <c r="C19" s="303"/>
      <c r="D19" s="126"/>
      <c r="E19" s="126"/>
      <c r="F19" s="126"/>
      <c r="G19" s="303"/>
    </row>
    <row r="20" ht="15.75" customHeight="1">
      <c r="A20" s="330" t="s">
        <v>281</v>
      </c>
      <c r="B20" s="303"/>
      <c r="C20" s="331" t="s">
        <v>144</v>
      </c>
      <c r="D20" s="332" t="s">
        <v>282</v>
      </c>
      <c r="G20" s="255"/>
    </row>
    <row r="21" ht="15.75" customHeight="1">
      <c r="A21" s="330" t="s">
        <v>283</v>
      </c>
      <c r="B21" s="303"/>
      <c r="C21" s="333" t="s">
        <v>284</v>
      </c>
      <c r="D21" s="334" t="s">
        <v>151</v>
      </c>
      <c r="G21" s="255"/>
    </row>
    <row r="22" ht="15.75" customHeight="1">
      <c r="A22" s="304" t="s">
        <v>285</v>
      </c>
      <c r="B22" s="306"/>
      <c r="C22" s="335">
        <v>45299.0</v>
      </c>
      <c r="D22" s="305"/>
      <c r="E22" s="305"/>
      <c r="F22" s="305"/>
      <c r="G22" s="306"/>
    </row>
    <row r="23" ht="15.75" customHeight="1">
      <c r="A23" s="336"/>
      <c r="B23" s="336"/>
      <c r="C23" s="336"/>
      <c r="D23" s="336"/>
      <c r="E23" s="336"/>
      <c r="F23" s="336"/>
      <c r="G23" s="336"/>
    </row>
    <row r="24" ht="15.75" customHeight="1">
      <c r="A24" s="336"/>
      <c r="B24" s="336"/>
      <c r="C24" s="336"/>
      <c r="D24" s="336"/>
      <c r="E24" s="336"/>
      <c r="F24" s="336"/>
      <c r="G24" s="336"/>
    </row>
    <row r="25" ht="15.75" customHeight="1">
      <c r="A25" s="295" t="s">
        <v>259</v>
      </c>
    </row>
    <row r="26" ht="15.75" customHeight="1">
      <c r="A26" s="295" t="s">
        <v>260</v>
      </c>
    </row>
    <row r="27" ht="15.75" customHeight="1">
      <c r="A27" s="296" t="s">
        <v>261</v>
      </c>
    </row>
    <row r="28" ht="15.75" customHeight="1">
      <c r="A28" s="298" t="s">
        <v>262</v>
      </c>
      <c r="B28" s="299"/>
      <c r="C28" s="299"/>
      <c r="D28" s="299"/>
      <c r="E28" s="299"/>
      <c r="F28" s="299"/>
      <c r="G28" s="299"/>
    </row>
    <row r="29" ht="15.75" customHeight="1">
      <c r="A29" s="300" t="s">
        <v>263</v>
      </c>
      <c r="B29" s="126" t="s">
        <v>264</v>
      </c>
      <c r="D29" s="300" t="s">
        <v>265</v>
      </c>
      <c r="E29" s="126"/>
      <c r="F29" s="301" t="s">
        <v>266</v>
      </c>
      <c r="G29" s="302"/>
    </row>
    <row r="30" ht="15.75" customHeight="1">
      <c r="A30" s="300" t="s">
        <v>267</v>
      </c>
      <c r="B30" s="126" t="s">
        <v>268</v>
      </c>
      <c r="D30" s="300" t="s">
        <v>269</v>
      </c>
      <c r="E30" s="126"/>
      <c r="F30" s="301" t="s">
        <v>266</v>
      </c>
      <c r="G30" s="303"/>
    </row>
    <row r="31" ht="15.75" customHeight="1">
      <c r="A31" s="304"/>
      <c r="B31" s="305"/>
      <c r="C31" s="306"/>
      <c r="D31" s="304"/>
      <c r="E31" s="305"/>
      <c r="F31" s="305"/>
      <c r="G31" s="306"/>
    </row>
    <row r="32" ht="15.75" customHeight="1">
      <c r="A32" s="307" t="s">
        <v>6</v>
      </c>
      <c r="B32" s="308" t="s">
        <v>240</v>
      </c>
      <c r="C32" s="308" t="s">
        <v>270</v>
      </c>
      <c r="D32" s="308" t="s">
        <v>271</v>
      </c>
      <c r="E32" s="308" t="s">
        <v>272</v>
      </c>
      <c r="F32" s="309" t="s">
        <v>273</v>
      </c>
      <c r="G32" s="26"/>
    </row>
    <row r="33" ht="36.0" customHeight="1">
      <c r="A33" s="310">
        <v>1.0</v>
      </c>
      <c r="B33" s="311" t="s">
        <v>255</v>
      </c>
      <c r="C33" s="420" t="s">
        <v>182</v>
      </c>
      <c r="D33" s="313">
        <v>1.0</v>
      </c>
      <c r="E33" s="314">
        <v>30000.0</v>
      </c>
      <c r="F33" s="315">
        <f>F9</f>
        <v>30000</v>
      </c>
      <c r="G33" s="255"/>
    </row>
    <row r="34" ht="15.75" customHeight="1">
      <c r="A34" s="316"/>
      <c r="B34" s="317"/>
      <c r="C34" s="318" t="s">
        <v>183</v>
      </c>
      <c r="D34" s="319"/>
      <c r="E34" s="314"/>
      <c r="F34" s="320"/>
      <c r="G34" s="255"/>
    </row>
    <row r="35" ht="15.75" customHeight="1">
      <c r="A35" s="417"/>
      <c r="B35" s="317"/>
      <c r="C35" s="421" t="s">
        <v>184</v>
      </c>
      <c r="D35" s="319"/>
      <c r="E35" s="314"/>
      <c r="F35" s="320"/>
      <c r="G35" s="255"/>
    </row>
    <row r="36" ht="15.75" customHeight="1">
      <c r="A36" s="316"/>
      <c r="B36" s="317"/>
      <c r="C36" s="421" t="s">
        <v>185</v>
      </c>
      <c r="D36" s="319"/>
      <c r="E36" s="314"/>
      <c r="F36" s="320"/>
      <c r="G36" s="255"/>
    </row>
    <row r="37" ht="15.75" customHeight="1">
      <c r="A37" s="316"/>
      <c r="B37" s="317"/>
      <c r="C37" s="421" t="s">
        <v>186</v>
      </c>
      <c r="D37" s="319"/>
      <c r="E37" s="314"/>
      <c r="F37" s="320"/>
      <c r="G37" s="255"/>
    </row>
    <row r="38" ht="15.75" customHeight="1">
      <c r="A38" s="310"/>
      <c r="B38" s="322"/>
      <c r="C38" s="323" t="s">
        <v>274</v>
      </c>
      <c r="D38" s="303"/>
      <c r="E38" s="303"/>
      <c r="F38" s="126"/>
      <c r="G38" s="322"/>
    </row>
    <row r="39" ht="15.75" customHeight="1">
      <c r="A39" s="324"/>
      <c r="B39" s="306"/>
      <c r="C39" s="325" t="s">
        <v>275</v>
      </c>
      <c r="D39" s="306"/>
      <c r="E39" s="306"/>
      <c r="F39" s="326">
        <f>sum(F33)</f>
        <v>30000</v>
      </c>
      <c r="G39" s="26"/>
    </row>
    <row r="40" ht="15.75" customHeight="1">
      <c r="A40" s="327" t="s">
        <v>276</v>
      </c>
      <c r="B40" s="299"/>
      <c r="C40" s="299"/>
      <c r="D40" s="299"/>
      <c r="E40" s="299"/>
      <c r="F40" s="299"/>
      <c r="G40" s="26"/>
    </row>
    <row r="41" ht="15.75" customHeight="1">
      <c r="A41" s="328"/>
      <c r="B41" s="303"/>
      <c r="C41" s="303" t="s">
        <v>277</v>
      </c>
      <c r="D41" s="329" t="s">
        <v>278</v>
      </c>
      <c r="E41" s="126"/>
      <c r="F41" s="126"/>
      <c r="G41" s="303"/>
    </row>
    <row r="42" ht="15.75" customHeight="1">
      <c r="A42" s="328"/>
      <c r="B42" s="303"/>
      <c r="C42" s="303" t="s">
        <v>279</v>
      </c>
      <c r="D42" s="126"/>
      <c r="E42" s="126"/>
      <c r="F42" s="126"/>
      <c r="G42" s="303"/>
    </row>
    <row r="43" ht="15.75" customHeight="1">
      <c r="A43" s="328" t="s">
        <v>280</v>
      </c>
      <c r="B43" s="303"/>
      <c r="C43" s="303"/>
      <c r="D43" s="126"/>
      <c r="E43" s="126"/>
      <c r="F43" s="126"/>
      <c r="G43" s="303"/>
    </row>
    <row r="44" ht="15.75" customHeight="1">
      <c r="A44" s="330" t="s">
        <v>281</v>
      </c>
      <c r="B44" s="303"/>
      <c r="C44" s="331" t="s">
        <v>144</v>
      </c>
      <c r="D44" s="332" t="s">
        <v>282</v>
      </c>
      <c r="G44" s="255"/>
    </row>
    <row r="45" ht="15.75" customHeight="1">
      <c r="A45" s="330" t="s">
        <v>283</v>
      </c>
      <c r="B45" s="303"/>
      <c r="C45" s="333" t="s">
        <v>284</v>
      </c>
      <c r="D45" s="334" t="s">
        <v>151</v>
      </c>
      <c r="G45" s="255"/>
    </row>
    <row r="46" ht="15.75" customHeight="1">
      <c r="A46" s="304" t="s">
        <v>285</v>
      </c>
      <c r="B46" s="306"/>
      <c r="C46" s="335">
        <v>45299.0</v>
      </c>
      <c r="D46" s="305"/>
      <c r="E46" s="305"/>
      <c r="F46" s="305"/>
      <c r="G46" s="306"/>
    </row>
    <row r="47" ht="15.75" customHeight="1">
      <c r="A47" s="336"/>
      <c r="B47" s="336"/>
      <c r="C47" s="336"/>
      <c r="D47" s="336"/>
      <c r="E47" s="336"/>
      <c r="F47" s="336"/>
      <c r="G47" s="336"/>
    </row>
    <row r="48" ht="15.75" customHeight="1">
      <c r="A48" s="336"/>
      <c r="B48" s="336"/>
      <c r="C48" s="336"/>
      <c r="D48" s="336"/>
      <c r="E48" s="336"/>
      <c r="F48" s="336"/>
      <c r="G48" s="336"/>
    </row>
    <row r="49" ht="15.75" customHeight="1">
      <c r="A49" s="336"/>
      <c r="B49" s="336"/>
      <c r="C49" s="336"/>
      <c r="D49" s="336"/>
      <c r="E49" s="336"/>
      <c r="F49" s="336"/>
      <c r="G49" s="336"/>
    </row>
    <row r="50" ht="15.75" customHeight="1">
      <c r="A50" s="336"/>
      <c r="B50" s="336"/>
      <c r="C50" s="336"/>
      <c r="D50" s="336"/>
      <c r="E50" s="336"/>
      <c r="F50" s="336"/>
      <c r="G50" s="336"/>
    </row>
    <row r="51" ht="15.75" customHeight="1">
      <c r="A51" s="336"/>
      <c r="B51" s="336"/>
      <c r="C51" s="336"/>
      <c r="D51" s="336"/>
      <c r="E51" s="336"/>
      <c r="F51" s="336"/>
      <c r="G51" s="336"/>
    </row>
    <row r="52" ht="15.75" customHeight="1">
      <c r="A52" s="336"/>
      <c r="B52" s="336"/>
      <c r="C52" s="336"/>
      <c r="D52" s="336"/>
      <c r="E52" s="336"/>
      <c r="F52" s="336"/>
      <c r="G52" s="336"/>
    </row>
    <row r="53" ht="15.75" customHeight="1">
      <c r="A53" s="336"/>
      <c r="B53" s="336"/>
      <c r="C53" s="336"/>
      <c r="D53" s="336"/>
      <c r="E53" s="336"/>
      <c r="F53" s="336"/>
      <c r="G53" s="336"/>
    </row>
    <row r="54" ht="15.75" customHeight="1">
      <c r="A54" s="336"/>
      <c r="B54" s="336"/>
      <c r="C54" s="336"/>
      <c r="D54" s="336"/>
      <c r="E54" s="336"/>
      <c r="F54" s="336"/>
      <c r="G54" s="336"/>
    </row>
    <row r="55" ht="15.75" customHeight="1">
      <c r="A55" s="336"/>
      <c r="B55" s="336"/>
      <c r="C55" s="336"/>
      <c r="D55" s="336"/>
      <c r="E55" s="336"/>
      <c r="F55" s="336"/>
      <c r="G55" s="336"/>
    </row>
    <row r="56" ht="15.75" customHeight="1">
      <c r="A56" s="336"/>
      <c r="B56" s="336"/>
      <c r="C56" s="336"/>
      <c r="D56" s="336"/>
      <c r="E56" s="336"/>
      <c r="F56" s="336"/>
      <c r="G56" s="336"/>
    </row>
    <row r="57" ht="15.75" customHeight="1">
      <c r="A57" s="336"/>
      <c r="B57" s="336"/>
      <c r="C57" s="336"/>
      <c r="D57" s="336"/>
      <c r="E57" s="336"/>
      <c r="F57" s="336"/>
      <c r="G57" s="336"/>
    </row>
    <row r="58" ht="15.75" customHeight="1">
      <c r="A58" s="336"/>
      <c r="B58" s="336"/>
      <c r="C58" s="336"/>
      <c r="D58" s="336"/>
      <c r="E58" s="336"/>
      <c r="F58" s="336"/>
      <c r="G58" s="336"/>
    </row>
    <row r="59" ht="15.75" customHeight="1">
      <c r="A59" s="336"/>
      <c r="B59" s="336"/>
      <c r="C59" s="336"/>
      <c r="D59" s="336"/>
      <c r="E59" s="336"/>
      <c r="F59" s="336"/>
      <c r="G59" s="336"/>
    </row>
    <row r="60" ht="15.75" customHeight="1">
      <c r="A60" s="336"/>
      <c r="B60" s="336"/>
      <c r="C60" s="336"/>
      <c r="D60" s="336"/>
      <c r="E60" s="336"/>
      <c r="F60" s="336"/>
      <c r="G60" s="336"/>
    </row>
    <row r="61" ht="15.75" customHeight="1">
      <c r="A61" s="336"/>
      <c r="B61" s="336"/>
      <c r="C61" s="336"/>
      <c r="D61" s="336"/>
      <c r="E61" s="336"/>
      <c r="F61" s="336"/>
      <c r="G61" s="336"/>
    </row>
    <row r="62" ht="15.75" customHeight="1">
      <c r="A62" s="336"/>
      <c r="B62" s="336"/>
      <c r="C62" s="336"/>
      <c r="D62" s="336"/>
      <c r="E62" s="336"/>
      <c r="F62" s="336"/>
      <c r="G62" s="336"/>
    </row>
    <row r="63" ht="15.75" customHeight="1">
      <c r="A63" s="336"/>
      <c r="B63" s="336"/>
      <c r="C63" s="336"/>
      <c r="D63" s="336"/>
      <c r="E63" s="336"/>
      <c r="F63" s="336"/>
      <c r="G63" s="336"/>
    </row>
    <row r="64" ht="15.75" customHeight="1">
      <c r="A64" s="336"/>
      <c r="B64" s="336"/>
      <c r="C64" s="336"/>
      <c r="D64" s="336"/>
      <c r="E64" s="336"/>
      <c r="F64" s="336"/>
      <c r="G64" s="336"/>
    </row>
    <row r="65" ht="15.75" customHeight="1">
      <c r="A65" s="336"/>
      <c r="B65" s="336"/>
      <c r="C65" s="336"/>
      <c r="D65" s="336"/>
      <c r="E65" s="336"/>
      <c r="F65" s="336"/>
      <c r="G65" s="336"/>
    </row>
    <row r="66" ht="15.75" customHeight="1">
      <c r="A66" s="336"/>
      <c r="B66" s="336"/>
      <c r="C66" s="336"/>
      <c r="D66" s="336"/>
      <c r="E66" s="336"/>
      <c r="F66" s="336"/>
      <c r="G66" s="336"/>
    </row>
    <row r="67" ht="15.75" customHeight="1">
      <c r="A67" s="336"/>
      <c r="B67" s="336"/>
      <c r="C67" s="336"/>
      <c r="D67" s="336"/>
      <c r="E67" s="336"/>
      <c r="F67" s="336"/>
      <c r="G67" s="336"/>
    </row>
    <row r="68" ht="15.75" customHeight="1">
      <c r="A68" s="336"/>
      <c r="B68" s="336"/>
      <c r="C68" s="336"/>
      <c r="D68" s="336"/>
      <c r="E68" s="336"/>
      <c r="F68" s="336"/>
      <c r="G68" s="336"/>
    </row>
    <row r="69" ht="15.75" customHeight="1">
      <c r="A69" s="336"/>
      <c r="B69" s="336"/>
      <c r="C69" s="336"/>
      <c r="D69" s="336"/>
      <c r="E69" s="336"/>
      <c r="F69" s="336"/>
      <c r="G69" s="336"/>
    </row>
    <row r="70" ht="15.75" customHeight="1">
      <c r="A70" s="336"/>
      <c r="B70" s="336"/>
      <c r="C70" s="336"/>
      <c r="D70" s="336"/>
      <c r="E70" s="336"/>
      <c r="F70" s="336"/>
      <c r="G70" s="336"/>
    </row>
    <row r="71" ht="15.75" customHeight="1">
      <c r="A71" s="336"/>
      <c r="B71" s="336"/>
      <c r="C71" s="336"/>
      <c r="D71" s="336"/>
      <c r="E71" s="336"/>
      <c r="F71" s="336"/>
      <c r="G71" s="336"/>
    </row>
    <row r="72" ht="15.75" customHeight="1">
      <c r="A72" s="336"/>
      <c r="B72" s="336"/>
      <c r="C72" s="336"/>
      <c r="D72" s="336"/>
      <c r="E72" s="336"/>
      <c r="F72" s="336"/>
      <c r="G72" s="336"/>
    </row>
    <row r="73" ht="15.75" customHeight="1">
      <c r="A73" s="336"/>
      <c r="B73" s="336"/>
      <c r="C73" s="336"/>
      <c r="D73" s="336"/>
      <c r="E73" s="336"/>
      <c r="F73" s="336"/>
      <c r="G73" s="336"/>
    </row>
    <row r="74" ht="15.75" customHeight="1">
      <c r="A74" s="336"/>
      <c r="B74" s="336"/>
      <c r="C74" s="336"/>
      <c r="D74" s="336"/>
      <c r="E74" s="336"/>
      <c r="F74" s="336"/>
      <c r="G74" s="336"/>
    </row>
    <row r="75" ht="15.75" customHeight="1">
      <c r="A75" s="336"/>
      <c r="B75" s="336"/>
      <c r="C75" s="336"/>
      <c r="D75" s="336"/>
      <c r="E75" s="336"/>
      <c r="F75" s="336"/>
      <c r="G75" s="336"/>
    </row>
    <row r="76" ht="15.75" customHeight="1">
      <c r="A76" s="336"/>
      <c r="B76" s="336"/>
      <c r="C76" s="336"/>
      <c r="D76" s="336"/>
      <c r="E76" s="336"/>
      <c r="F76" s="336"/>
      <c r="G76" s="336"/>
    </row>
    <row r="77" ht="15.75" customHeight="1">
      <c r="A77" s="336"/>
      <c r="B77" s="336"/>
      <c r="C77" s="336"/>
      <c r="D77" s="336"/>
      <c r="E77" s="336"/>
      <c r="F77" s="336"/>
      <c r="G77" s="336"/>
    </row>
    <row r="78" ht="15.75" customHeight="1">
      <c r="A78" s="336"/>
      <c r="B78" s="336"/>
      <c r="C78" s="336"/>
      <c r="D78" s="336"/>
      <c r="E78" s="336"/>
      <c r="F78" s="336"/>
      <c r="G78" s="336"/>
    </row>
    <row r="79" ht="15.75" customHeight="1">
      <c r="A79" s="336"/>
      <c r="B79" s="336"/>
      <c r="C79" s="336"/>
      <c r="D79" s="336"/>
      <c r="E79" s="336"/>
      <c r="F79" s="336"/>
      <c r="G79" s="336"/>
    </row>
    <row r="80" ht="15.75" customHeight="1">
      <c r="A80" s="336"/>
      <c r="B80" s="336"/>
      <c r="C80" s="336"/>
      <c r="D80" s="336"/>
      <c r="E80" s="336"/>
      <c r="F80" s="336"/>
      <c r="G80" s="336"/>
    </row>
    <row r="81" ht="15.75" customHeight="1">
      <c r="A81" s="336"/>
      <c r="B81" s="336"/>
      <c r="C81" s="336"/>
      <c r="D81" s="336"/>
      <c r="E81" s="336"/>
      <c r="F81" s="336"/>
      <c r="G81" s="336"/>
    </row>
    <row r="82" ht="15.75" customHeight="1">
      <c r="A82" s="336"/>
      <c r="B82" s="336"/>
      <c r="C82" s="336"/>
      <c r="D82" s="336"/>
      <c r="E82" s="336"/>
      <c r="F82" s="336"/>
      <c r="G82" s="336"/>
    </row>
    <row r="83" ht="15.75" customHeight="1">
      <c r="A83" s="336"/>
      <c r="B83" s="336"/>
      <c r="C83" s="336"/>
      <c r="D83" s="336"/>
      <c r="E83" s="336"/>
      <c r="F83" s="336"/>
      <c r="G83" s="336"/>
    </row>
    <row r="84" ht="15.75" customHeight="1">
      <c r="A84" s="336"/>
      <c r="B84" s="336"/>
      <c r="C84" s="336"/>
      <c r="D84" s="336"/>
      <c r="E84" s="336"/>
      <c r="F84" s="336"/>
      <c r="G84" s="336"/>
    </row>
    <row r="85" ht="15.75" customHeight="1">
      <c r="A85" s="336"/>
      <c r="B85" s="336"/>
      <c r="C85" s="336"/>
      <c r="D85" s="336"/>
      <c r="E85" s="336"/>
      <c r="F85" s="336"/>
      <c r="G85" s="336"/>
    </row>
    <row r="86" ht="15.75" customHeight="1">
      <c r="A86" s="336"/>
      <c r="B86" s="336"/>
      <c r="C86" s="336"/>
      <c r="D86" s="336"/>
      <c r="E86" s="336"/>
      <c r="F86" s="336"/>
      <c r="G86" s="336"/>
    </row>
    <row r="87" ht="15.75" customHeight="1">
      <c r="A87" s="336"/>
      <c r="B87" s="336"/>
      <c r="C87" s="336"/>
      <c r="D87" s="336"/>
      <c r="E87" s="336"/>
      <c r="F87" s="336"/>
      <c r="G87" s="336"/>
    </row>
    <row r="88" ht="15.75" customHeight="1">
      <c r="A88" s="336"/>
      <c r="B88" s="336"/>
      <c r="C88" s="336"/>
      <c r="D88" s="336"/>
      <c r="E88" s="336"/>
      <c r="F88" s="336"/>
      <c r="G88" s="336"/>
    </row>
    <row r="89" ht="15.75" customHeight="1">
      <c r="A89" s="336"/>
      <c r="B89" s="336"/>
      <c r="C89" s="336"/>
      <c r="D89" s="336"/>
      <c r="E89" s="336"/>
      <c r="F89" s="336"/>
      <c r="G89" s="336"/>
    </row>
    <row r="90" ht="15.75" customHeight="1">
      <c r="A90" s="336"/>
      <c r="B90" s="336"/>
      <c r="C90" s="336"/>
      <c r="D90" s="336"/>
      <c r="E90" s="336"/>
      <c r="F90" s="336"/>
      <c r="G90" s="336"/>
    </row>
    <row r="91" ht="15.75" customHeight="1">
      <c r="A91" s="336"/>
      <c r="B91" s="336"/>
      <c r="C91" s="336"/>
      <c r="D91" s="336"/>
      <c r="E91" s="336"/>
      <c r="F91" s="336"/>
      <c r="G91" s="336"/>
    </row>
    <row r="92" ht="15.75" customHeight="1">
      <c r="A92" s="336"/>
      <c r="B92" s="336"/>
      <c r="C92" s="336"/>
      <c r="D92" s="336"/>
      <c r="E92" s="336"/>
      <c r="F92" s="336"/>
      <c r="G92" s="336"/>
    </row>
    <row r="93" ht="15.75" customHeight="1">
      <c r="A93" s="336"/>
      <c r="B93" s="336"/>
      <c r="C93" s="336"/>
      <c r="D93" s="336"/>
      <c r="E93" s="336"/>
      <c r="F93" s="336"/>
      <c r="G93" s="336"/>
    </row>
    <row r="94" ht="15.75" customHeight="1">
      <c r="A94" s="336"/>
      <c r="B94" s="336"/>
      <c r="C94" s="336"/>
      <c r="D94" s="336"/>
      <c r="E94" s="336"/>
      <c r="F94" s="336"/>
      <c r="G94" s="336"/>
    </row>
    <row r="95" ht="15.75" customHeight="1">
      <c r="A95" s="336"/>
      <c r="B95" s="336"/>
      <c r="C95" s="336"/>
      <c r="D95" s="336"/>
      <c r="E95" s="336"/>
      <c r="F95" s="336"/>
      <c r="G95" s="336"/>
    </row>
    <row r="96" ht="15.75" customHeight="1">
      <c r="A96" s="336"/>
      <c r="B96" s="336"/>
      <c r="C96" s="336"/>
      <c r="D96" s="336"/>
      <c r="E96" s="336"/>
      <c r="F96" s="336"/>
      <c r="G96" s="336"/>
    </row>
    <row r="97" ht="15.75" customHeight="1">
      <c r="A97" s="336"/>
      <c r="B97" s="336"/>
      <c r="C97" s="336"/>
      <c r="D97" s="336"/>
      <c r="E97" s="336"/>
      <c r="F97" s="336"/>
      <c r="G97" s="336"/>
    </row>
    <row r="98" ht="15.75" customHeight="1">
      <c r="A98" s="336"/>
      <c r="B98" s="336"/>
      <c r="C98" s="336"/>
      <c r="D98" s="336"/>
      <c r="E98" s="336"/>
      <c r="F98" s="336"/>
      <c r="G98" s="336"/>
    </row>
    <row r="99" ht="15.75" customHeight="1">
      <c r="A99" s="336"/>
      <c r="B99" s="336"/>
      <c r="C99" s="336"/>
      <c r="D99" s="336"/>
      <c r="E99" s="336"/>
      <c r="F99" s="336"/>
      <c r="G99" s="336"/>
    </row>
    <row r="100" ht="15.75" customHeight="1">
      <c r="A100" s="336"/>
      <c r="B100" s="336"/>
      <c r="C100" s="336"/>
      <c r="D100" s="336"/>
      <c r="E100" s="336"/>
      <c r="F100" s="336"/>
      <c r="G100" s="336"/>
    </row>
    <row r="101" ht="15.75" customHeight="1">
      <c r="A101" s="336"/>
      <c r="B101" s="336"/>
      <c r="C101" s="336"/>
      <c r="D101" s="336"/>
      <c r="E101" s="336"/>
      <c r="F101" s="336"/>
      <c r="G101" s="336"/>
    </row>
    <row r="102" ht="15.75" customHeight="1">
      <c r="A102" s="336"/>
      <c r="B102" s="336"/>
      <c r="C102" s="336"/>
      <c r="D102" s="336"/>
      <c r="E102" s="336"/>
      <c r="F102" s="336"/>
      <c r="G102" s="336"/>
    </row>
    <row r="103" ht="15.75" customHeight="1">
      <c r="A103" s="336"/>
      <c r="B103" s="336"/>
      <c r="C103" s="336"/>
      <c r="D103" s="336"/>
      <c r="E103" s="336"/>
      <c r="F103" s="336"/>
      <c r="G103" s="336"/>
    </row>
    <row r="104" ht="15.75" customHeight="1">
      <c r="A104" s="336"/>
      <c r="B104" s="336"/>
      <c r="C104" s="336"/>
      <c r="D104" s="336"/>
      <c r="E104" s="336"/>
      <c r="F104" s="336"/>
      <c r="G104" s="336"/>
    </row>
    <row r="105" ht="15.75" customHeight="1">
      <c r="A105" s="336"/>
      <c r="B105" s="336"/>
      <c r="C105" s="336"/>
      <c r="D105" s="336"/>
      <c r="E105" s="336"/>
      <c r="F105" s="336"/>
      <c r="G105" s="336"/>
    </row>
    <row r="106" ht="15.75" customHeight="1">
      <c r="A106" s="336"/>
      <c r="B106" s="336"/>
      <c r="C106" s="336"/>
      <c r="D106" s="336"/>
      <c r="E106" s="336"/>
      <c r="F106" s="336"/>
      <c r="G106" s="336"/>
    </row>
    <row r="107" ht="15.75" customHeight="1">
      <c r="A107" s="336"/>
      <c r="B107" s="336"/>
      <c r="C107" s="336"/>
      <c r="D107" s="336"/>
      <c r="E107" s="336"/>
      <c r="F107" s="336"/>
      <c r="G107" s="336"/>
    </row>
    <row r="108" ht="15.75" customHeight="1">
      <c r="A108" s="336"/>
      <c r="B108" s="336"/>
      <c r="C108" s="336"/>
      <c r="D108" s="336"/>
      <c r="E108" s="336"/>
      <c r="F108" s="336"/>
      <c r="G108" s="336"/>
    </row>
    <row r="109" ht="15.75" customHeight="1">
      <c r="A109" s="336"/>
      <c r="B109" s="336"/>
      <c r="C109" s="336"/>
      <c r="D109" s="336"/>
      <c r="E109" s="336"/>
      <c r="F109" s="336"/>
      <c r="G109" s="336"/>
    </row>
    <row r="110" ht="15.75" customHeight="1">
      <c r="A110" s="336"/>
      <c r="B110" s="336"/>
      <c r="C110" s="336"/>
      <c r="D110" s="336"/>
      <c r="E110" s="336"/>
      <c r="F110" s="336"/>
      <c r="G110" s="336"/>
    </row>
    <row r="111" ht="15.75" customHeight="1">
      <c r="A111" s="336"/>
      <c r="B111" s="336"/>
      <c r="C111" s="336"/>
      <c r="D111" s="336"/>
      <c r="E111" s="336"/>
      <c r="F111" s="336"/>
      <c r="G111" s="336"/>
    </row>
    <row r="112" ht="15.75" customHeight="1">
      <c r="A112" s="336"/>
      <c r="B112" s="336"/>
      <c r="C112" s="336"/>
      <c r="D112" s="336"/>
      <c r="E112" s="336"/>
      <c r="F112" s="336"/>
      <c r="G112" s="336"/>
    </row>
    <row r="113" ht="15.75" customHeight="1">
      <c r="A113" s="336"/>
      <c r="B113" s="336"/>
      <c r="C113" s="336"/>
      <c r="D113" s="336"/>
      <c r="E113" s="336"/>
      <c r="F113" s="336"/>
      <c r="G113" s="336"/>
    </row>
    <row r="114" ht="15.75" customHeight="1">
      <c r="A114" s="336"/>
      <c r="B114" s="336"/>
      <c r="C114" s="336"/>
      <c r="D114" s="336"/>
      <c r="E114" s="336"/>
      <c r="F114" s="336"/>
      <c r="G114" s="336"/>
    </row>
    <row r="115" ht="15.75" customHeight="1">
      <c r="A115" s="336"/>
      <c r="B115" s="336"/>
      <c r="C115" s="336"/>
      <c r="D115" s="336"/>
      <c r="E115" s="336"/>
      <c r="F115" s="336"/>
      <c r="G115" s="336"/>
    </row>
    <row r="116" ht="15.75" customHeight="1">
      <c r="A116" s="336"/>
      <c r="B116" s="336"/>
      <c r="C116" s="336"/>
      <c r="D116" s="336"/>
      <c r="E116" s="336"/>
      <c r="F116" s="336"/>
      <c r="G116" s="336"/>
    </row>
    <row r="117" ht="15.75" customHeight="1">
      <c r="A117" s="336"/>
      <c r="B117" s="336"/>
      <c r="C117" s="336"/>
      <c r="D117" s="336"/>
      <c r="E117" s="336"/>
      <c r="F117" s="336"/>
      <c r="G117" s="336"/>
    </row>
    <row r="118" ht="15.75" customHeight="1">
      <c r="A118" s="336"/>
      <c r="B118" s="336"/>
      <c r="C118" s="336"/>
      <c r="D118" s="336"/>
      <c r="E118" s="336"/>
      <c r="F118" s="336"/>
      <c r="G118" s="336"/>
    </row>
    <row r="119" ht="15.75" customHeight="1">
      <c r="A119" s="336"/>
      <c r="B119" s="336"/>
      <c r="C119" s="336"/>
      <c r="D119" s="336"/>
      <c r="E119" s="336"/>
      <c r="F119" s="336"/>
      <c r="G119" s="336"/>
    </row>
    <row r="120" ht="15.75" customHeight="1">
      <c r="A120" s="336"/>
      <c r="B120" s="336"/>
      <c r="C120" s="336"/>
      <c r="D120" s="336"/>
      <c r="E120" s="336"/>
      <c r="F120" s="336"/>
      <c r="G120" s="336"/>
    </row>
    <row r="121" ht="15.75" customHeight="1">
      <c r="A121" s="336"/>
      <c r="B121" s="336"/>
      <c r="C121" s="336"/>
      <c r="D121" s="336"/>
      <c r="E121" s="336"/>
      <c r="F121" s="336"/>
      <c r="G121" s="336"/>
    </row>
    <row r="122" ht="15.75" customHeight="1">
      <c r="A122" s="336"/>
      <c r="B122" s="336"/>
      <c r="C122" s="336"/>
      <c r="D122" s="336"/>
      <c r="E122" s="336"/>
      <c r="F122" s="336"/>
      <c r="G122" s="336"/>
    </row>
    <row r="123" ht="15.75" customHeight="1">
      <c r="A123" s="336"/>
      <c r="B123" s="336"/>
      <c r="C123" s="336"/>
      <c r="D123" s="336"/>
      <c r="E123" s="336"/>
      <c r="F123" s="336"/>
      <c r="G123" s="336"/>
    </row>
    <row r="124" ht="15.75" customHeight="1">
      <c r="A124" s="336"/>
      <c r="B124" s="336"/>
      <c r="C124" s="336"/>
      <c r="D124" s="336"/>
      <c r="E124" s="336"/>
      <c r="F124" s="336"/>
      <c r="G124" s="336"/>
    </row>
    <row r="125" ht="15.75" customHeight="1">
      <c r="A125" s="336"/>
      <c r="B125" s="336"/>
      <c r="C125" s="336"/>
      <c r="D125" s="336"/>
      <c r="E125" s="336"/>
      <c r="F125" s="336"/>
      <c r="G125" s="336"/>
    </row>
    <row r="126" ht="15.75" customHeight="1">
      <c r="A126" s="336"/>
      <c r="B126" s="336"/>
      <c r="C126" s="336"/>
      <c r="D126" s="336"/>
      <c r="E126" s="336"/>
      <c r="F126" s="336"/>
      <c r="G126" s="336"/>
    </row>
    <row r="127" ht="15.75" customHeight="1">
      <c r="A127" s="336"/>
      <c r="B127" s="336"/>
      <c r="C127" s="336"/>
      <c r="D127" s="336"/>
      <c r="E127" s="336"/>
      <c r="F127" s="336"/>
      <c r="G127" s="336"/>
    </row>
    <row r="128" ht="15.75" customHeight="1">
      <c r="A128" s="336"/>
      <c r="B128" s="336"/>
      <c r="C128" s="336"/>
      <c r="D128" s="336"/>
      <c r="E128" s="336"/>
      <c r="F128" s="336"/>
      <c r="G128" s="336"/>
    </row>
    <row r="129" ht="15.75" customHeight="1">
      <c r="A129" s="336"/>
      <c r="B129" s="336"/>
      <c r="C129" s="336"/>
      <c r="D129" s="336"/>
      <c r="E129" s="336"/>
      <c r="F129" s="336"/>
      <c r="G129" s="336"/>
    </row>
    <row r="130" ht="15.75" customHeight="1">
      <c r="A130" s="336"/>
      <c r="B130" s="336"/>
      <c r="C130" s="336"/>
      <c r="D130" s="336"/>
      <c r="E130" s="336"/>
      <c r="F130" s="336"/>
      <c r="G130" s="336"/>
    </row>
    <row r="131" ht="15.75" customHeight="1">
      <c r="A131" s="336"/>
      <c r="B131" s="336"/>
      <c r="C131" s="336"/>
      <c r="D131" s="336"/>
      <c r="E131" s="336"/>
      <c r="F131" s="336"/>
      <c r="G131" s="336"/>
    </row>
    <row r="132" ht="15.75" customHeight="1">
      <c r="A132" s="336"/>
      <c r="B132" s="336"/>
      <c r="C132" s="336"/>
      <c r="D132" s="336"/>
      <c r="E132" s="336"/>
      <c r="F132" s="336"/>
      <c r="G132" s="336"/>
    </row>
    <row r="133" ht="15.75" customHeight="1">
      <c r="A133" s="336"/>
      <c r="B133" s="336"/>
      <c r="C133" s="336"/>
      <c r="D133" s="336"/>
      <c r="E133" s="336"/>
      <c r="F133" s="336"/>
      <c r="G133" s="336"/>
    </row>
    <row r="134" ht="15.75" customHeight="1">
      <c r="A134" s="336"/>
      <c r="B134" s="336"/>
      <c r="C134" s="336"/>
      <c r="D134" s="336"/>
      <c r="E134" s="336"/>
      <c r="F134" s="336"/>
      <c r="G134" s="336"/>
    </row>
    <row r="135" ht="15.75" customHeight="1">
      <c r="A135" s="336"/>
      <c r="B135" s="336"/>
      <c r="C135" s="336"/>
      <c r="D135" s="336"/>
      <c r="E135" s="336"/>
      <c r="F135" s="336"/>
      <c r="G135" s="336"/>
    </row>
    <row r="136" ht="15.75" customHeight="1">
      <c r="A136" s="336"/>
      <c r="B136" s="336"/>
      <c r="C136" s="336"/>
      <c r="D136" s="336"/>
      <c r="E136" s="336"/>
      <c r="F136" s="336"/>
      <c r="G136" s="336"/>
    </row>
    <row r="137" ht="15.75" customHeight="1">
      <c r="A137" s="336"/>
      <c r="B137" s="336"/>
      <c r="C137" s="336"/>
      <c r="D137" s="336"/>
      <c r="E137" s="336"/>
      <c r="F137" s="336"/>
      <c r="G137" s="336"/>
    </row>
    <row r="138" ht="15.75" customHeight="1">
      <c r="A138" s="336"/>
      <c r="B138" s="336"/>
      <c r="C138" s="336"/>
      <c r="D138" s="336"/>
      <c r="E138" s="336"/>
      <c r="F138" s="336"/>
      <c r="G138" s="336"/>
    </row>
    <row r="139" ht="15.75" customHeight="1">
      <c r="A139" s="336"/>
      <c r="B139" s="336"/>
      <c r="C139" s="336"/>
      <c r="D139" s="336"/>
      <c r="E139" s="336"/>
      <c r="F139" s="336"/>
      <c r="G139" s="336"/>
    </row>
    <row r="140" ht="15.75" customHeight="1">
      <c r="A140" s="336"/>
      <c r="B140" s="336"/>
      <c r="C140" s="336"/>
      <c r="D140" s="336"/>
      <c r="E140" s="336"/>
      <c r="F140" s="336"/>
      <c r="G140" s="336"/>
    </row>
    <row r="141" ht="15.75" customHeight="1">
      <c r="A141" s="336"/>
      <c r="B141" s="336"/>
      <c r="C141" s="336"/>
      <c r="D141" s="336"/>
      <c r="E141" s="336"/>
      <c r="F141" s="336"/>
      <c r="G141" s="336"/>
    </row>
    <row r="142" ht="15.75" customHeight="1">
      <c r="A142" s="336"/>
      <c r="B142" s="336"/>
      <c r="C142" s="336"/>
      <c r="D142" s="336"/>
      <c r="E142" s="336"/>
      <c r="F142" s="336"/>
      <c r="G142" s="336"/>
    </row>
    <row r="143" ht="15.75" customHeight="1">
      <c r="A143" s="336"/>
      <c r="B143" s="336"/>
      <c r="C143" s="336"/>
      <c r="D143" s="336"/>
      <c r="E143" s="336"/>
      <c r="F143" s="336"/>
      <c r="G143" s="336"/>
    </row>
    <row r="144" ht="15.75" customHeight="1">
      <c r="A144" s="336"/>
      <c r="B144" s="336"/>
      <c r="C144" s="336"/>
      <c r="D144" s="336"/>
      <c r="E144" s="336"/>
      <c r="F144" s="336"/>
      <c r="G144" s="336"/>
    </row>
    <row r="145" ht="15.75" customHeight="1">
      <c r="A145" s="336"/>
      <c r="B145" s="336"/>
      <c r="C145" s="336"/>
      <c r="D145" s="336"/>
      <c r="E145" s="336"/>
      <c r="F145" s="336"/>
      <c r="G145" s="336"/>
    </row>
    <row r="146" ht="15.75" customHeight="1">
      <c r="A146" s="336"/>
      <c r="B146" s="336"/>
      <c r="C146" s="336"/>
      <c r="D146" s="336"/>
      <c r="E146" s="336"/>
      <c r="F146" s="336"/>
      <c r="G146" s="336"/>
    </row>
    <row r="147" ht="15.75" customHeight="1">
      <c r="A147" s="336"/>
      <c r="B147" s="336"/>
      <c r="C147" s="336"/>
      <c r="D147" s="336"/>
      <c r="E147" s="336"/>
      <c r="F147" s="336"/>
      <c r="G147" s="336"/>
    </row>
    <row r="148" ht="15.75" customHeight="1">
      <c r="A148" s="336"/>
      <c r="B148" s="336"/>
      <c r="C148" s="336"/>
      <c r="D148" s="336"/>
      <c r="E148" s="336"/>
      <c r="F148" s="336"/>
      <c r="G148" s="336"/>
    </row>
    <row r="149" ht="15.75" customHeight="1">
      <c r="A149" s="336"/>
      <c r="B149" s="336"/>
      <c r="C149" s="336"/>
      <c r="D149" s="336"/>
      <c r="E149" s="336"/>
      <c r="F149" s="336"/>
      <c r="G149" s="336"/>
    </row>
    <row r="150" ht="15.75" customHeight="1">
      <c r="A150" s="336"/>
      <c r="B150" s="336"/>
      <c r="C150" s="336"/>
      <c r="D150" s="336"/>
      <c r="E150" s="336"/>
      <c r="F150" s="336"/>
      <c r="G150" s="336"/>
    </row>
    <row r="151" ht="15.75" customHeight="1">
      <c r="A151" s="336"/>
      <c r="B151" s="336"/>
      <c r="C151" s="336"/>
      <c r="D151" s="336"/>
      <c r="E151" s="336"/>
      <c r="F151" s="336"/>
      <c r="G151" s="336"/>
    </row>
    <row r="152" ht="15.75" customHeight="1">
      <c r="A152" s="336"/>
      <c r="B152" s="336"/>
      <c r="C152" s="336"/>
      <c r="D152" s="336"/>
      <c r="E152" s="336"/>
      <c r="F152" s="336"/>
      <c r="G152" s="336"/>
    </row>
    <row r="153" ht="15.75" customHeight="1">
      <c r="A153" s="336"/>
      <c r="B153" s="336"/>
      <c r="C153" s="336"/>
      <c r="D153" s="336"/>
      <c r="E153" s="336"/>
      <c r="F153" s="336"/>
      <c r="G153" s="336"/>
    </row>
    <row r="154" ht="15.75" customHeight="1">
      <c r="A154" s="336"/>
      <c r="B154" s="336"/>
      <c r="C154" s="336"/>
      <c r="D154" s="336"/>
      <c r="E154" s="336"/>
      <c r="F154" s="336"/>
      <c r="G154" s="336"/>
    </row>
    <row r="155" ht="15.75" customHeight="1">
      <c r="A155" s="336"/>
      <c r="B155" s="336"/>
      <c r="C155" s="336"/>
      <c r="D155" s="336"/>
      <c r="E155" s="336"/>
      <c r="F155" s="336"/>
      <c r="G155" s="336"/>
    </row>
    <row r="156" ht="15.75" customHeight="1">
      <c r="A156" s="336"/>
      <c r="B156" s="336"/>
      <c r="C156" s="336"/>
      <c r="D156" s="336"/>
      <c r="E156" s="336"/>
      <c r="F156" s="336"/>
      <c r="G156" s="336"/>
    </row>
    <row r="157" ht="15.75" customHeight="1">
      <c r="A157" s="336"/>
      <c r="B157" s="336"/>
      <c r="C157" s="336"/>
      <c r="D157" s="336"/>
      <c r="E157" s="336"/>
      <c r="F157" s="336"/>
      <c r="G157" s="336"/>
    </row>
    <row r="158" ht="15.75" customHeight="1">
      <c r="A158" s="336"/>
      <c r="B158" s="336"/>
      <c r="C158" s="336"/>
      <c r="D158" s="336"/>
      <c r="E158" s="336"/>
      <c r="F158" s="336"/>
      <c r="G158" s="336"/>
    </row>
    <row r="159" ht="15.75" customHeight="1">
      <c r="A159" s="336"/>
      <c r="B159" s="336"/>
      <c r="C159" s="336"/>
      <c r="D159" s="336"/>
      <c r="E159" s="336"/>
      <c r="F159" s="336"/>
      <c r="G159" s="336"/>
    </row>
    <row r="160" ht="15.75" customHeight="1">
      <c r="A160" s="336"/>
      <c r="B160" s="336"/>
      <c r="C160" s="336"/>
      <c r="D160" s="336"/>
      <c r="E160" s="336"/>
      <c r="F160" s="336"/>
      <c r="G160" s="336"/>
    </row>
    <row r="161" ht="15.75" customHeight="1">
      <c r="A161" s="336"/>
      <c r="B161" s="336"/>
      <c r="C161" s="336"/>
      <c r="D161" s="336"/>
      <c r="E161" s="336"/>
      <c r="F161" s="336"/>
      <c r="G161" s="336"/>
    </row>
    <row r="162" ht="15.75" customHeight="1">
      <c r="A162" s="336"/>
      <c r="B162" s="336"/>
      <c r="C162" s="336"/>
      <c r="D162" s="336"/>
      <c r="E162" s="336"/>
      <c r="F162" s="336"/>
      <c r="G162" s="336"/>
    </row>
    <row r="163" ht="15.75" customHeight="1">
      <c r="A163" s="336"/>
      <c r="B163" s="336"/>
      <c r="C163" s="336"/>
      <c r="D163" s="336"/>
      <c r="E163" s="336"/>
      <c r="F163" s="336"/>
      <c r="G163" s="336"/>
    </row>
    <row r="164" ht="15.75" customHeight="1">
      <c r="A164" s="336"/>
      <c r="B164" s="336"/>
      <c r="C164" s="336"/>
      <c r="D164" s="336"/>
      <c r="E164" s="336"/>
      <c r="F164" s="336"/>
      <c r="G164" s="336"/>
    </row>
    <row r="165" ht="15.75" customHeight="1">
      <c r="A165" s="336"/>
      <c r="B165" s="336"/>
      <c r="C165" s="336"/>
      <c r="D165" s="336"/>
      <c r="E165" s="336"/>
      <c r="F165" s="336"/>
      <c r="G165" s="336"/>
    </row>
    <row r="166" ht="15.75" customHeight="1">
      <c r="A166" s="336"/>
      <c r="B166" s="336"/>
      <c r="C166" s="336"/>
      <c r="D166" s="336"/>
      <c r="E166" s="336"/>
      <c r="F166" s="336"/>
      <c r="G166" s="336"/>
    </row>
    <row r="167" ht="15.75" customHeight="1">
      <c r="A167" s="336"/>
      <c r="B167" s="336"/>
      <c r="C167" s="336"/>
      <c r="D167" s="336"/>
      <c r="E167" s="336"/>
      <c r="F167" s="336"/>
      <c r="G167" s="336"/>
    </row>
    <row r="168" ht="15.75" customHeight="1">
      <c r="A168" s="336"/>
      <c r="B168" s="336"/>
      <c r="C168" s="336"/>
      <c r="D168" s="336"/>
      <c r="E168" s="336"/>
      <c r="F168" s="336"/>
      <c r="G168" s="336"/>
    </row>
    <row r="169" ht="15.75" customHeight="1">
      <c r="A169" s="336"/>
      <c r="B169" s="336"/>
      <c r="C169" s="336"/>
      <c r="D169" s="336"/>
      <c r="E169" s="336"/>
      <c r="F169" s="336"/>
      <c r="G169" s="336"/>
    </row>
    <row r="170" ht="15.75" customHeight="1">
      <c r="A170" s="336"/>
      <c r="B170" s="336"/>
      <c r="C170" s="336"/>
      <c r="D170" s="336"/>
      <c r="E170" s="336"/>
      <c r="F170" s="336"/>
      <c r="G170" s="336"/>
    </row>
    <row r="171" ht="15.75" customHeight="1">
      <c r="A171" s="336"/>
      <c r="B171" s="336"/>
      <c r="C171" s="336"/>
      <c r="D171" s="336"/>
      <c r="E171" s="336"/>
      <c r="F171" s="336"/>
      <c r="G171" s="336"/>
    </row>
    <row r="172" ht="15.75" customHeight="1">
      <c r="A172" s="336"/>
      <c r="B172" s="336"/>
      <c r="C172" s="336"/>
      <c r="D172" s="336"/>
      <c r="E172" s="336"/>
      <c r="F172" s="336"/>
      <c r="G172" s="336"/>
    </row>
    <row r="173" ht="15.75" customHeight="1">
      <c r="A173" s="336"/>
      <c r="B173" s="336"/>
      <c r="C173" s="336"/>
      <c r="D173" s="336"/>
      <c r="E173" s="336"/>
      <c r="F173" s="336"/>
      <c r="G173" s="336"/>
    </row>
    <row r="174" ht="15.75" customHeight="1">
      <c r="A174" s="336"/>
      <c r="B174" s="336"/>
      <c r="C174" s="336"/>
      <c r="D174" s="336"/>
      <c r="E174" s="336"/>
      <c r="F174" s="336"/>
      <c r="G174" s="336"/>
    </row>
    <row r="175" ht="15.75" customHeight="1">
      <c r="A175" s="336"/>
      <c r="B175" s="336"/>
      <c r="C175" s="336"/>
      <c r="D175" s="336"/>
      <c r="E175" s="336"/>
      <c r="F175" s="336"/>
      <c r="G175" s="336"/>
    </row>
    <row r="176" ht="15.75" customHeight="1">
      <c r="A176" s="336"/>
      <c r="B176" s="336"/>
      <c r="C176" s="336"/>
      <c r="D176" s="336"/>
      <c r="E176" s="336"/>
      <c r="F176" s="336"/>
      <c r="G176" s="336"/>
    </row>
    <row r="177" ht="15.75" customHeight="1">
      <c r="A177" s="336"/>
      <c r="B177" s="336"/>
      <c r="C177" s="336"/>
      <c r="D177" s="336"/>
      <c r="E177" s="336"/>
      <c r="F177" s="336"/>
      <c r="G177" s="336"/>
    </row>
    <row r="178" ht="15.75" customHeight="1">
      <c r="A178" s="336"/>
      <c r="B178" s="336"/>
      <c r="C178" s="336"/>
      <c r="D178" s="336"/>
      <c r="E178" s="336"/>
      <c r="F178" s="336"/>
      <c r="G178" s="336"/>
    </row>
    <row r="179" ht="15.75" customHeight="1">
      <c r="A179" s="336"/>
      <c r="B179" s="336"/>
      <c r="C179" s="336"/>
      <c r="D179" s="336"/>
      <c r="E179" s="336"/>
      <c r="F179" s="336"/>
      <c r="G179" s="336"/>
    </row>
    <row r="180" ht="15.75" customHeight="1">
      <c r="A180" s="336"/>
      <c r="B180" s="336"/>
      <c r="C180" s="336"/>
      <c r="D180" s="336"/>
      <c r="E180" s="336"/>
      <c r="F180" s="336"/>
      <c r="G180" s="336"/>
    </row>
    <row r="181" ht="15.75" customHeight="1">
      <c r="A181" s="336"/>
      <c r="B181" s="336"/>
      <c r="C181" s="336"/>
      <c r="D181" s="336"/>
      <c r="E181" s="336"/>
      <c r="F181" s="336"/>
      <c r="G181" s="336"/>
    </row>
    <row r="182" ht="15.75" customHeight="1">
      <c r="A182" s="336"/>
      <c r="B182" s="336"/>
      <c r="C182" s="336"/>
      <c r="D182" s="336"/>
      <c r="E182" s="336"/>
      <c r="F182" s="336"/>
      <c r="G182" s="336"/>
    </row>
    <row r="183" ht="15.75" customHeight="1">
      <c r="A183" s="336"/>
      <c r="B183" s="336"/>
      <c r="C183" s="336"/>
      <c r="D183" s="336"/>
      <c r="E183" s="336"/>
      <c r="F183" s="336"/>
      <c r="G183" s="336"/>
    </row>
    <row r="184" ht="15.75" customHeight="1">
      <c r="A184" s="336"/>
      <c r="B184" s="336"/>
      <c r="C184" s="336"/>
      <c r="D184" s="336"/>
      <c r="E184" s="336"/>
      <c r="F184" s="336"/>
      <c r="G184" s="336"/>
    </row>
    <row r="185" ht="15.75" customHeight="1">
      <c r="A185" s="336"/>
      <c r="B185" s="336"/>
      <c r="C185" s="336"/>
      <c r="D185" s="336"/>
      <c r="E185" s="336"/>
      <c r="F185" s="336"/>
      <c r="G185" s="336"/>
    </row>
    <row r="186" ht="15.75" customHeight="1">
      <c r="A186" s="336"/>
      <c r="B186" s="336"/>
      <c r="C186" s="336"/>
      <c r="D186" s="336"/>
      <c r="E186" s="336"/>
      <c r="F186" s="336"/>
      <c r="G186" s="336"/>
    </row>
    <row r="187" ht="15.75" customHeight="1">
      <c r="A187" s="336"/>
      <c r="B187" s="336"/>
      <c r="C187" s="336"/>
      <c r="D187" s="336"/>
      <c r="E187" s="336"/>
      <c r="F187" s="336"/>
      <c r="G187" s="336"/>
    </row>
    <row r="188" ht="15.75" customHeight="1">
      <c r="A188" s="336"/>
      <c r="B188" s="336"/>
      <c r="C188" s="336"/>
      <c r="D188" s="336"/>
      <c r="E188" s="336"/>
      <c r="F188" s="336"/>
      <c r="G188" s="336"/>
    </row>
    <row r="189" ht="15.75" customHeight="1">
      <c r="A189" s="336"/>
      <c r="B189" s="336"/>
      <c r="C189" s="336"/>
      <c r="D189" s="336"/>
      <c r="E189" s="336"/>
      <c r="F189" s="336"/>
      <c r="G189" s="336"/>
    </row>
    <row r="190" ht="15.75" customHeight="1">
      <c r="A190" s="336"/>
      <c r="B190" s="336"/>
      <c r="C190" s="336"/>
      <c r="D190" s="336"/>
      <c r="E190" s="336"/>
      <c r="F190" s="336"/>
      <c r="G190" s="336"/>
    </row>
    <row r="191" ht="15.75" customHeight="1">
      <c r="A191" s="336"/>
      <c r="B191" s="336"/>
      <c r="C191" s="336"/>
      <c r="D191" s="336"/>
      <c r="E191" s="336"/>
      <c r="F191" s="336"/>
      <c r="G191" s="336"/>
    </row>
    <row r="192" ht="15.75" customHeight="1">
      <c r="A192" s="336"/>
      <c r="B192" s="336"/>
      <c r="C192" s="336"/>
      <c r="D192" s="336"/>
      <c r="E192" s="336"/>
      <c r="F192" s="336"/>
      <c r="G192" s="336"/>
    </row>
    <row r="193" ht="15.75" customHeight="1">
      <c r="A193" s="336"/>
      <c r="B193" s="336"/>
      <c r="C193" s="336"/>
      <c r="D193" s="336"/>
      <c r="E193" s="336"/>
      <c r="F193" s="336"/>
      <c r="G193" s="336"/>
    </row>
    <row r="194" ht="15.75" customHeight="1">
      <c r="A194" s="336"/>
      <c r="B194" s="336"/>
      <c r="C194" s="336"/>
      <c r="D194" s="336"/>
      <c r="E194" s="336"/>
      <c r="F194" s="336"/>
      <c r="G194" s="336"/>
    </row>
    <row r="195" ht="15.75" customHeight="1">
      <c r="A195" s="336"/>
      <c r="B195" s="336"/>
      <c r="C195" s="336"/>
      <c r="D195" s="336"/>
      <c r="E195" s="336"/>
      <c r="F195" s="336"/>
      <c r="G195" s="336"/>
    </row>
    <row r="196" ht="15.75" customHeight="1">
      <c r="A196" s="336"/>
      <c r="B196" s="336"/>
      <c r="C196" s="336"/>
      <c r="D196" s="336"/>
      <c r="E196" s="336"/>
      <c r="F196" s="336"/>
      <c r="G196" s="336"/>
    </row>
    <row r="197" ht="15.75" customHeight="1">
      <c r="A197" s="336"/>
      <c r="B197" s="336"/>
      <c r="C197" s="336"/>
      <c r="D197" s="336"/>
      <c r="E197" s="336"/>
      <c r="F197" s="336"/>
      <c r="G197" s="336"/>
    </row>
    <row r="198" ht="15.75" customHeight="1">
      <c r="A198" s="336"/>
      <c r="B198" s="336"/>
      <c r="C198" s="336"/>
      <c r="D198" s="336"/>
      <c r="E198" s="336"/>
      <c r="F198" s="336"/>
      <c r="G198" s="336"/>
    </row>
    <row r="199" ht="15.75" customHeight="1">
      <c r="A199" s="336"/>
      <c r="B199" s="336"/>
      <c r="C199" s="336"/>
      <c r="D199" s="336"/>
      <c r="E199" s="336"/>
      <c r="F199" s="336"/>
      <c r="G199" s="336"/>
    </row>
    <row r="200" ht="15.75" customHeight="1">
      <c r="A200" s="336"/>
      <c r="B200" s="336"/>
      <c r="C200" s="336"/>
      <c r="D200" s="336"/>
      <c r="E200" s="336"/>
      <c r="F200" s="336"/>
      <c r="G200" s="336"/>
    </row>
    <row r="201" ht="15.75" customHeight="1">
      <c r="A201" s="336"/>
      <c r="B201" s="336"/>
      <c r="C201" s="336"/>
      <c r="D201" s="336"/>
      <c r="E201" s="336"/>
      <c r="F201" s="336"/>
      <c r="G201" s="336"/>
    </row>
    <row r="202" ht="15.75" customHeight="1">
      <c r="A202" s="336"/>
      <c r="B202" s="336"/>
      <c r="C202" s="336"/>
      <c r="D202" s="336"/>
      <c r="E202" s="336"/>
      <c r="F202" s="336"/>
      <c r="G202" s="336"/>
    </row>
    <row r="203" ht="15.75" customHeight="1">
      <c r="A203" s="336"/>
      <c r="B203" s="336"/>
      <c r="C203" s="336"/>
      <c r="D203" s="336"/>
      <c r="E203" s="336"/>
      <c r="F203" s="336"/>
      <c r="G203" s="336"/>
    </row>
    <row r="204" ht="15.75" customHeight="1">
      <c r="A204" s="336"/>
      <c r="B204" s="336"/>
      <c r="C204" s="336"/>
      <c r="D204" s="336"/>
      <c r="E204" s="336"/>
      <c r="F204" s="336"/>
      <c r="G204" s="336"/>
    </row>
    <row r="205" ht="15.75" customHeight="1">
      <c r="A205" s="336"/>
      <c r="B205" s="336"/>
      <c r="C205" s="336"/>
      <c r="D205" s="336"/>
      <c r="E205" s="336"/>
      <c r="F205" s="336"/>
      <c r="G205" s="336"/>
    </row>
    <row r="206" ht="15.75" customHeight="1">
      <c r="A206" s="336"/>
      <c r="B206" s="336"/>
      <c r="C206" s="336"/>
      <c r="D206" s="336"/>
      <c r="E206" s="336"/>
      <c r="F206" s="336"/>
      <c r="G206" s="336"/>
    </row>
    <row r="207" ht="15.75" customHeight="1">
      <c r="A207" s="336"/>
      <c r="B207" s="336"/>
      <c r="C207" s="336"/>
      <c r="D207" s="336"/>
      <c r="E207" s="336"/>
      <c r="F207" s="336"/>
      <c r="G207" s="336"/>
    </row>
    <row r="208" ht="15.75" customHeight="1">
      <c r="A208" s="336"/>
      <c r="B208" s="336"/>
      <c r="C208" s="336"/>
      <c r="D208" s="336"/>
      <c r="E208" s="336"/>
      <c r="F208" s="336"/>
      <c r="G208" s="336"/>
    </row>
    <row r="209" ht="15.75" customHeight="1">
      <c r="A209" s="336"/>
      <c r="B209" s="336"/>
      <c r="C209" s="336"/>
      <c r="D209" s="336"/>
      <c r="E209" s="336"/>
      <c r="F209" s="336"/>
      <c r="G209" s="336"/>
    </row>
    <row r="210" ht="15.75" customHeight="1">
      <c r="A210" s="336"/>
      <c r="B210" s="336"/>
      <c r="C210" s="336"/>
      <c r="D210" s="336"/>
      <c r="E210" s="336"/>
      <c r="F210" s="336"/>
      <c r="G210" s="336"/>
    </row>
    <row r="211" ht="15.75" customHeight="1">
      <c r="A211" s="336"/>
      <c r="B211" s="336"/>
      <c r="C211" s="336"/>
      <c r="D211" s="336"/>
      <c r="E211" s="336"/>
      <c r="F211" s="336"/>
      <c r="G211" s="336"/>
    </row>
    <row r="212" ht="15.75" customHeight="1">
      <c r="A212" s="336"/>
      <c r="B212" s="336"/>
      <c r="C212" s="336"/>
      <c r="D212" s="336"/>
      <c r="E212" s="336"/>
      <c r="F212" s="336"/>
      <c r="G212" s="336"/>
    </row>
    <row r="213" ht="15.75" customHeight="1">
      <c r="A213" s="336"/>
      <c r="B213" s="336"/>
      <c r="C213" s="336"/>
      <c r="D213" s="336"/>
      <c r="E213" s="336"/>
      <c r="F213" s="336"/>
      <c r="G213" s="336"/>
    </row>
    <row r="214" ht="15.75" customHeight="1">
      <c r="A214" s="336"/>
      <c r="B214" s="336"/>
      <c r="C214" s="336"/>
      <c r="D214" s="336"/>
      <c r="E214" s="336"/>
      <c r="F214" s="336"/>
      <c r="G214" s="336"/>
    </row>
    <row r="215" ht="15.75" customHeight="1">
      <c r="A215" s="336"/>
      <c r="B215" s="336"/>
      <c r="C215" s="336"/>
      <c r="D215" s="336"/>
      <c r="E215" s="336"/>
      <c r="F215" s="336"/>
      <c r="G215" s="336"/>
    </row>
    <row r="216" ht="15.75" customHeight="1">
      <c r="A216" s="336"/>
      <c r="B216" s="336"/>
      <c r="C216" s="336"/>
      <c r="D216" s="336"/>
      <c r="E216" s="336"/>
      <c r="F216" s="336"/>
      <c r="G216" s="336"/>
    </row>
    <row r="217" ht="15.75" customHeight="1">
      <c r="A217" s="336"/>
      <c r="B217" s="336"/>
      <c r="C217" s="336"/>
      <c r="D217" s="336"/>
      <c r="E217" s="336"/>
      <c r="F217" s="336"/>
      <c r="G217" s="336"/>
    </row>
    <row r="218" ht="15.75" customHeight="1">
      <c r="A218" s="336"/>
      <c r="B218" s="336"/>
      <c r="C218" s="336"/>
      <c r="D218" s="336"/>
      <c r="E218" s="336"/>
      <c r="F218" s="336"/>
      <c r="G218" s="336"/>
    </row>
    <row r="219" ht="15.75" customHeight="1">
      <c r="A219" s="336"/>
      <c r="B219" s="336"/>
      <c r="C219" s="336"/>
      <c r="D219" s="336"/>
      <c r="E219" s="336"/>
      <c r="F219" s="336"/>
      <c r="G219" s="336"/>
    </row>
    <row r="220" ht="15.75" customHeight="1">
      <c r="A220" s="336"/>
      <c r="B220" s="336"/>
      <c r="C220" s="336"/>
      <c r="D220" s="336"/>
      <c r="E220" s="336"/>
      <c r="F220" s="336"/>
      <c r="G220" s="336"/>
    </row>
    <row r="221" ht="15.75" customHeight="1">
      <c r="A221" s="336"/>
      <c r="B221" s="336"/>
      <c r="C221" s="336"/>
      <c r="D221" s="336"/>
      <c r="E221" s="336"/>
      <c r="F221" s="336"/>
      <c r="G221" s="336"/>
    </row>
    <row r="222" ht="15.75" customHeight="1">
      <c r="A222" s="336"/>
      <c r="B222" s="336"/>
      <c r="C222" s="336"/>
      <c r="D222" s="336"/>
      <c r="E222" s="336"/>
      <c r="F222" s="336"/>
      <c r="G222" s="336"/>
    </row>
    <row r="223" ht="15.75" customHeight="1">
      <c r="A223" s="336"/>
      <c r="B223" s="336"/>
      <c r="C223" s="336"/>
      <c r="D223" s="336"/>
      <c r="E223" s="336"/>
      <c r="F223" s="336"/>
      <c r="G223" s="336"/>
    </row>
    <row r="224" ht="15.75" customHeight="1">
      <c r="A224" s="336"/>
      <c r="B224" s="336"/>
      <c r="C224" s="336"/>
      <c r="D224" s="336"/>
      <c r="E224" s="336"/>
      <c r="F224" s="336"/>
      <c r="G224" s="336"/>
    </row>
    <row r="225" ht="15.75" customHeight="1">
      <c r="A225" s="336"/>
      <c r="B225" s="336"/>
      <c r="C225" s="336"/>
      <c r="D225" s="336"/>
      <c r="E225" s="336"/>
      <c r="F225" s="336"/>
      <c r="G225" s="336"/>
    </row>
    <row r="226" ht="15.75" customHeight="1">
      <c r="A226" s="336"/>
      <c r="B226" s="336"/>
      <c r="C226" s="336"/>
      <c r="D226" s="336"/>
      <c r="E226" s="336"/>
      <c r="F226" s="336"/>
      <c r="G226" s="336"/>
    </row>
    <row r="227" ht="15.75" customHeight="1">
      <c r="A227" s="336"/>
      <c r="B227" s="336"/>
      <c r="C227" s="336"/>
      <c r="D227" s="336"/>
      <c r="E227" s="336"/>
      <c r="F227" s="336"/>
      <c r="G227" s="336"/>
    </row>
    <row r="228" ht="15.75" customHeight="1">
      <c r="A228" s="336"/>
      <c r="B228" s="336"/>
      <c r="C228" s="336"/>
      <c r="D228" s="336"/>
      <c r="E228" s="336"/>
      <c r="F228" s="336"/>
      <c r="G228" s="336"/>
    </row>
    <row r="229" ht="15.75" customHeight="1">
      <c r="A229" s="336"/>
      <c r="B229" s="336"/>
      <c r="C229" s="336"/>
      <c r="D229" s="336"/>
      <c r="E229" s="336"/>
      <c r="F229" s="336"/>
      <c r="G229" s="336"/>
    </row>
    <row r="230" ht="15.75" customHeight="1">
      <c r="A230" s="336"/>
      <c r="B230" s="336"/>
      <c r="C230" s="336"/>
      <c r="D230" s="336"/>
      <c r="E230" s="336"/>
      <c r="F230" s="336"/>
      <c r="G230" s="336"/>
    </row>
    <row r="231" ht="15.75" customHeight="1">
      <c r="A231" s="336"/>
      <c r="B231" s="336"/>
      <c r="C231" s="336"/>
      <c r="D231" s="336"/>
      <c r="E231" s="336"/>
      <c r="F231" s="336"/>
      <c r="G231" s="336"/>
    </row>
    <row r="232" ht="15.75" customHeight="1">
      <c r="A232" s="336"/>
      <c r="B232" s="336"/>
      <c r="C232" s="336"/>
      <c r="D232" s="336"/>
      <c r="E232" s="336"/>
      <c r="F232" s="336"/>
      <c r="G232" s="336"/>
    </row>
    <row r="233" ht="15.75" customHeight="1">
      <c r="A233" s="336"/>
      <c r="B233" s="336"/>
      <c r="C233" s="336"/>
      <c r="D233" s="336"/>
      <c r="E233" s="336"/>
      <c r="F233" s="336"/>
      <c r="G233" s="336"/>
    </row>
    <row r="234" ht="15.75" customHeight="1">
      <c r="A234" s="336"/>
      <c r="B234" s="336"/>
      <c r="C234" s="336"/>
      <c r="D234" s="336"/>
      <c r="E234" s="336"/>
      <c r="F234" s="336"/>
      <c r="G234" s="336"/>
    </row>
    <row r="235" ht="15.75" customHeight="1">
      <c r="A235" s="336"/>
      <c r="B235" s="336"/>
      <c r="C235" s="336"/>
      <c r="D235" s="336"/>
      <c r="E235" s="336"/>
      <c r="F235" s="336"/>
      <c r="G235" s="336"/>
    </row>
    <row r="236" ht="15.75" customHeight="1">
      <c r="A236" s="336"/>
      <c r="B236" s="336"/>
      <c r="C236" s="336"/>
      <c r="D236" s="336"/>
      <c r="E236" s="336"/>
      <c r="F236" s="336"/>
      <c r="G236" s="336"/>
    </row>
    <row r="237" ht="15.75" customHeight="1">
      <c r="A237" s="336"/>
      <c r="B237" s="336"/>
      <c r="C237" s="336"/>
      <c r="D237" s="336"/>
      <c r="E237" s="336"/>
      <c r="F237" s="336"/>
      <c r="G237" s="336"/>
    </row>
    <row r="238" ht="15.75" customHeight="1">
      <c r="A238" s="336"/>
      <c r="B238" s="336"/>
      <c r="C238" s="336"/>
      <c r="D238" s="336"/>
      <c r="E238" s="336"/>
      <c r="F238" s="336"/>
      <c r="G238" s="336"/>
    </row>
    <row r="239" ht="15.75" customHeight="1">
      <c r="A239" s="336"/>
      <c r="B239" s="336"/>
      <c r="C239" s="336"/>
      <c r="D239" s="336"/>
      <c r="E239" s="336"/>
      <c r="F239" s="336"/>
      <c r="G239" s="336"/>
    </row>
    <row r="240" ht="15.75" customHeight="1">
      <c r="A240" s="336"/>
      <c r="B240" s="336"/>
      <c r="C240" s="336"/>
      <c r="D240" s="336"/>
      <c r="E240" s="336"/>
      <c r="F240" s="336"/>
      <c r="G240" s="336"/>
    </row>
    <row r="241" ht="15.75" customHeight="1">
      <c r="A241" s="336"/>
      <c r="B241" s="336"/>
      <c r="C241" s="336"/>
      <c r="D241" s="336"/>
      <c r="E241" s="336"/>
      <c r="F241" s="336"/>
      <c r="G241" s="336"/>
    </row>
    <row r="242" ht="15.75" customHeight="1">
      <c r="A242" s="336"/>
      <c r="B242" s="336"/>
      <c r="C242" s="336"/>
      <c r="D242" s="336"/>
      <c r="E242" s="336"/>
      <c r="F242" s="336"/>
      <c r="G242" s="336"/>
    </row>
    <row r="243" ht="15.75" customHeight="1">
      <c r="A243" s="336"/>
      <c r="B243" s="336"/>
      <c r="C243" s="336"/>
      <c r="D243" s="336"/>
      <c r="E243" s="336"/>
      <c r="F243" s="336"/>
      <c r="G243" s="336"/>
    </row>
    <row r="244" ht="15.75" customHeight="1">
      <c r="A244" s="336"/>
      <c r="B244" s="336"/>
      <c r="C244" s="336"/>
      <c r="D244" s="336"/>
      <c r="E244" s="336"/>
      <c r="F244" s="336"/>
      <c r="G244" s="336"/>
    </row>
    <row r="245" ht="15.75" customHeight="1">
      <c r="A245" s="336"/>
      <c r="B245" s="336"/>
      <c r="C245" s="336"/>
      <c r="D245" s="336"/>
      <c r="E245" s="336"/>
      <c r="F245" s="336"/>
      <c r="G245" s="336"/>
    </row>
    <row r="246" ht="15.75" customHeight="1">
      <c r="A246" s="336"/>
      <c r="B246" s="336"/>
      <c r="C246" s="336"/>
      <c r="D246" s="336"/>
      <c r="E246" s="336"/>
      <c r="F246" s="336"/>
      <c r="G246" s="336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G1"/>
    <mergeCell ref="A2:G2"/>
    <mergeCell ref="A3:G3"/>
    <mergeCell ref="A4:G4"/>
    <mergeCell ref="B5:C5"/>
    <mergeCell ref="B6:C6"/>
    <mergeCell ref="F8:G8"/>
    <mergeCell ref="F9:G9"/>
    <mergeCell ref="F10:G10"/>
    <mergeCell ref="F11:G11"/>
    <mergeCell ref="F12:G12"/>
    <mergeCell ref="F13:G13"/>
    <mergeCell ref="F15:G15"/>
    <mergeCell ref="A16:G16"/>
    <mergeCell ref="D20:G20"/>
    <mergeCell ref="D21:G21"/>
    <mergeCell ref="A25:G25"/>
    <mergeCell ref="A26:G26"/>
    <mergeCell ref="A27:G27"/>
    <mergeCell ref="A28:G28"/>
    <mergeCell ref="B29:C29"/>
    <mergeCell ref="F39:G39"/>
    <mergeCell ref="A40:G40"/>
    <mergeCell ref="D44:G44"/>
    <mergeCell ref="D45:G45"/>
    <mergeCell ref="B30:C30"/>
    <mergeCell ref="F32:G32"/>
    <mergeCell ref="F33:G33"/>
    <mergeCell ref="F34:G34"/>
    <mergeCell ref="F35:G35"/>
    <mergeCell ref="F36:G36"/>
    <mergeCell ref="F37:G3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7.75"/>
    <col customWidth="1" min="3" max="3" width="38.38"/>
    <col customWidth="1" min="4" max="6" width="12.63"/>
    <col customWidth="1" min="7" max="7" width="1.88"/>
  </cols>
  <sheetData>
    <row r="1" ht="15.75" customHeight="1">
      <c r="A1" s="295" t="s">
        <v>259</v>
      </c>
    </row>
    <row r="2" ht="15.75" customHeight="1">
      <c r="A2" s="295" t="s">
        <v>260</v>
      </c>
    </row>
    <row r="3" ht="15.75" customHeight="1">
      <c r="A3" s="296" t="s">
        <v>261</v>
      </c>
      <c r="I3" s="297"/>
    </row>
    <row r="4" ht="15.75" customHeight="1">
      <c r="A4" s="298" t="s">
        <v>262</v>
      </c>
      <c r="B4" s="299"/>
      <c r="C4" s="299"/>
      <c r="D4" s="299"/>
      <c r="E4" s="299"/>
      <c r="F4" s="299"/>
      <c r="G4" s="299"/>
    </row>
    <row r="5" ht="15.75" customHeight="1">
      <c r="A5" s="300" t="s">
        <v>263</v>
      </c>
      <c r="B5" s="126" t="s">
        <v>264</v>
      </c>
      <c r="D5" s="300" t="s">
        <v>265</v>
      </c>
      <c r="E5" s="126"/>
      <c r="F5" s="301" t="s">
        <v>266</v>
      </c>
      <c r="G5" s="302"/>
    </row>
    <row r="6" ht="15.75" customHeight="1">
      <c r="A6" s="300" t="s">
        <v>267</v>
      </c>
      <c r="B6" s="126" t="s">
        <v>268</v>
      </c>
      <c r="D6" s="300" t="s">
        <v>269</v>
      </c>
      <c r="E6" s="126"/>
      <c r="F6" s="301" t="s">
        <v>266</v>
      </c>
      <c r="G6" s="303"/>
    </row>
    <row r="7" ht="15.75" customHeight="1">
      <c r="A7" s="304"/>
      <c r="B7" s="305"/>
      <c r="C7" s="306"/>
      <c r="D7" s="304"/>
      <c r="E7" s="305"/>
      <c r="F7" s="305"/>
      <c r="G7" s="306"/>
    </row>
    <row r="8" ht="15.75" customHeight="1">
      <c r="A8" s="307" t="s">
        <v>6</v>
      </c>
      <c r="B8" s="308" t="s">
        <v>240</v>
      </c>
      <c r="C8" s="308" t="s">
        <v>270</v>
      </c>
      <c r="D8" s="308" t="s">
        <v>271</v>
      </c>
      <c r="E8" s="308" t="s">
        <v>272</v>
      </c>
      <c r="F8" s="309" t="s">
        <v>273</v>
      </c>
      <c r="G8" s="26"/>
    </row>
    <row r="9" ht="77.25" customHeight="1">
      <c r="A9" s="310">
        <v>1.0</v>
      </c>
      <c r="B9" s="311" t="s">
        <v>255</v>
      </c>
      <c r="C9" s="312" t="s">
        <v>295</v>
      </c>
      <c r="D9" s="313">
        <v>1.0</v>
      </c>
      <c r="E9" s="314">
        <v>215.0</v>
      </c>
      <c r="F9" s="315">
        <f>E9*D9</f>
        <v>215</v>
      </c>
      <c r="G9" s="255"/>
    </row>
    <row r="10" ht="15.75" customHeight="1">
      <c r="A10" s="316"/>
      <c r="B10" s="317"/>
      <c r="C10" s="318"/>
      <c r="D10" s="319"/>
      <c r="E10" s="314"/>
      <c r="F10" s="320"/>
      <c r="G10" s="255"/>
    </row>
    <row r="11" ht="15.75" customHeight="1">
      <c r="A11" s="316"/>
      <c r="B11" s="317"/>
      <c r="C11" s="321" t="s">
        <v>296</v>
      </c>
      <c r="D11" s="319"/>
      <c r="E11" s="314"/>
      <c r="F11" s="320"/>
      <c r="G11" s="255"/>
    </row>
    <row r="12" ht="15.75" customHeight="1">
      <c r="A12" s="310"/>
      <c r="B12" s="322"/>
      <c r="C12" s="323" t="s">
        <v>274</v>
      </c>
      <c r="D12" s="303"/>
      <c r="E12" s="303"/>
      <c r="F12" s="126"/>
      <c r="G12" s="322"/>
    </row>
    <row r="13" ht="15.75" customHeight="1">
      <c r="A13" s="324"/>
      <c r="B13" s="306"/>
      <c r="C13" s="325" t="s">
        <v>275</v>
      </c>
      <c r="D13" s="306"/>
      <c r="E13" s="306"/>
      <c r="F13" s="326">
        <f>sum(F9)</f>
        <v>215</v>
      </c>
      <c r="G13" s="26"/>
    </row>
    <row r="14" ht="15.75" customHeight="1">
      <c r="A14" s="327" t="s">
        <v>276</v>
      </c>
      <c r="B14" s="299"/>
      <c r="C14" s="299"/>
      <c r="D14" s="299"/>
      <c r="E14" s="299"/>
      <c r="F14" s="299"/>
      <c r="G14" s="26"/>
    </row>
    <row r="15" ht="15.75" customHeight="1">
      <c r="A15" s="328"/>
      <c r="B15" s="303"/>
      <c r="C15" s="303" t="s">
        <v>277</v>
      </c>
      <c r="D15" s="329" t="s">
        <v>278</v>
      </c>
      <c r="E15" s="126"/>
      <c r="F15" s="126"/>
      <c r="G15" s="303"/>
    </row>
    <row r="16" ht="15.75" customHeight="1">
      <c r="A16" s="328"/>
      <c r="B16" s="303"/>
      <c r="C16" s="303" t="s">
        <v>279</v>
      </c>
      <c r="D16" s="126"/>
      <c r="E16" s="126"/>
      <c r="F16" s="126"/>
      <c r="G16" s="303"/>
    </row>
    <row r="17" ht="15.75" customHeight="1">
      <c r="A17" s="328" t="s">
        <v>280</v>
      </c>
      <c r="B17" s="303"/>
      <c r="C17" s="303"/>
      <c r="D17" s="126"/>
      <c r="E17" s="126"/>
      <c r="F17" s="126"/>
      <c r="G17" s="303"/>
    </row>
    <row r="18" ht="15.75" customHeight="1">
      <c r="A18" s="330" t="s">
        <v>281</v>
      </c>
      <c r="B18" s="303"/>
      <c r="C18" s="331" t="s">
        <v>144</v>
      </c>
      <c r="D18" s="332" t="s">
        <v>282</v>
      </c>
      <c r="G18" s="255"/>
    </row>
    <row r="19" ht="15.75" customHeight="1">
      <c r="A19" s="330" t="s">
        <v>283</v>
      </c>
      <c r="B19" s="303"/>
      <c r="C19" s="333" t="s">
        <v>284</v>
      </c>
      <c r="D19" s="334" t="s">
        <v>151</v>
      </c>
      <c r="G19" s="255"/>
    </row>
    <row r="20" ht="15.75" customHeight="1">
      <c r="A20" s="304" t="s">
        <v>285</v>
      </c>
      <c r="B20" s="306"/>
      <c r="C20" s="335">
        <v>45300.0</v>
      </c>
      <c r="D20" s="305"/>
      <c r="E20" s="305"/>
      <c r="F20" s="305"/>
      <c r="G20" s="306"/>
    </row>
    <row r="21" ht="15.75" customHeight="1">
      <c r="A21" s="336"/>
      <c r="B21" s="336"/>
      <c r="C21" s="336"/>
      <c r="D21" s="336"/>
      <c r="E21" s="336"/>
      <c r="F21" s="336"/>
      <c r="G21" s="336"/>
    </row>
    <row r="22" ht="15.75" customHeight="1">
      <c r="A22" s="336"/>
      <c r="B22" s="336"/>
      <c r="C22" s="336"/>
      <c r="D22" s="336"/>
      <c r="E22" s="336"/>
      <c r="F22" s="336"/>
      <c r="G22" s="336"/>
    </row>
    <row r="23" ht="15.75" customHeight="1">
      <c r="A23" s="295" t="s">
        <v>259</v>
      </c>
    </row>
    <row r="24" ht="15.75" customHeight="1">
      <c r="A24" s="295" t="s">
        <v>260</v>
      </c>
    </row>
    <row r="25" ht="15.75" customHeight="1">
      <c r="A25" s="296" t="s">
        <v>261</v>
      </c>
    </row>
    <row r="26" ht="15.75" customHeight="1">
      <c r="A26" s="298" t="s">
        <v>262</v>
      </c>
      <c r="B26" s="299"/>
      <c r="C26" s="299"/>
      <c r="D26" s="299"/>
      <c r="E26" s="299"/>
      <c r="F26" s="299"/>
      <c r="G26" s="299"/>
    </row>
    <row r="27" ht="15.75" customHeight="1">
      <c r="A27" s="300" t="s">
        <v>263</v>
      </c>
      <c r="B27" s="126" t="s">
        <v>264</v>
      </c>
      <c r="D27" s="300" t="s">
        <v>265</v>
      </c>
      <c r="E27" s="126"/>
      <c r="F27" s="301" t="s">
        <v>266</v>
      </c>
      <c r="G27" s="302"/>
    </row>
    <row r="28" ht="15.75" customHeight="1">
      <c r="A28" s="300" t="s">
        <v>267</v>
      </c>
      <c r="B28" s="126" t="s">
        <v>268</v>
      </c>
      <c r="D28" s="300" t="s">
        <v>269</v>
      </c>
      <c r="E28" s="126"/>
      <c r="F28" s="301" t="s">
        <v>266</v>
      </c>
      <c r="G28" s="303"/>
    </row>
    <row r="29" ht="15.75" customHeight="1">
      <c r="A29" s="304"/>
      <c r="B29" s="305"/>
      <c r="C29" s="306"/>
      <c r="D29" s="304"/>
      <c r="E29" s="305"/>
      <c r="F29" s="305"/>
      <c r="G29" s="306"/>
    </row>
    <row r="30" ht="15.75" customHeight="1">
      <c r="A30" s="307" t="s">
        <v>6</v>
      </c>
      <c r="B30" s="308" t="s">
        <v>240</v>
      </c>
      <c r="C30" s="308" t="s">
        <v>270</v>
      </c>
      <c r="D30" s="308" t="s">
        <v>271</v>
      </c>
      <c r="E30" s="308" t="s">
        <v>272</v>
      </c>
      <c r="F30" s="309" t="s">
        <v>273</v>
      </c>
      <c r="G30" s="26"/>
    </row>
    <row r="31" ht="77.25" customHeight="1">
      <c r="A31" s="310">
        <v>1.0</v>
      </c>
      <c r="B31" s="311" t="s">
        <v>255</v>
      </c>
      <c r="C31" s="312" t="s">
        <v>297</v>
      </c>
      <c r="D31" s="313">
        <v>1.0</v>
      </c>
      <c r="E31" s="314">
        <v>215.0</v>
      </c>
      <c r="F31" s="315">
        <f>E31*D31</f>
        <v>215</v>
      </c>
      <c r="G31" s="255"/>
    </row>
    <row r="32" ht="15.75" customHeight="1">
      <c r="A32" s="316"/>
      <c r="B32" s="317"/>
      <c r="C32" s="318"/>
      <c r="D32" s="319"/>
      <c r="E32" s="314"/>
      <c r="F32" s="320"/>
      <c r="G32" s="255"/>
    </row>
    <row r="33" ht="15.75" customHeight="1">
      <c r="A33" s="316"/>
      <c r="B33" s="317"/>
      <c r="C33" s="321" t="s">
        <v>296</v>
      </c>
      <c r="D33" s="319"/>
      <c r="E33" s="314"/>
      <c r="F33" s="320"/>
      <c r="G33" s="255"/>
    </row>
    <row r="34" ht="15.75" customHeight="1">
      <c r="A34" s="310"/>
      <c r="B34" s="322"/>
      <c r="C34" s="323" t="s">
        <v>274</v>
      </c>
      <c r="D34" s="303"/>
      <c r="E34" s="303"/>
      <c r="F34" s="126"/>
      <c r="G34" s="322"/>
    </row>
    <row r="35" ht="15.75" customHeight="1">
      <c r="A35" s="324"/>
      <c r="B35" s="306"/>
      <c r="C35" s="325" t="s">
        <v>275</v>
      </c>
      <c r="D35" s="306"/>
      <c r="E35" s="306"/>
      <c r="F35" s="326">
        <f>sum(F31)</f>
        <v>215</v>
      </c>
      <c r="G35" s="26"/>
    </row>
    <row r="36" ht="15.75" customHeight="1">
      <c r="A36" s="327" t="s">
        <v>276</v>
      </c>
      <c r="B36" s="299"/>
      <c r="C36" s="299"/>
      <c r="D36" s="299"/>
      <c r="E36" s="299"/>
      <c r="F36" s="299"/>
      <c r="G36" s="26"/>
    </row>
    <row r="37" ht="15.75" customHeight="1">
      <c r="A37" s="328"/>
      <c r="B37" s="303"/>
      <c r="C37" s="303" t="s">
        <v>277</v>
      </c>
      <c r="D37" s="329" t="s">
        <v>278</v>
      </c>
      <c r="E37" s="126"/>
      <c r="F37" s="126"/>
      <c r="G37" s="303"/>
    </row>
    <row r="38" ht="15.75" customHeight="1">
      <c r="A38" s="328"/>
      <c r="B38" s="303"/>
      <c r="C38" s="303" t="s">
        <v>279</v>
      </c>
      <c r="D38" s="126"/>
      <c r="E38" s="126"/>
      <c r="F38" s="126"/>
      <c r="G38" s="303"/>
    </row>
    <row r="39" ht="15.75" customHeight="1">
      <c r="A39" s="328" t="s">
        <v>280</v>
      </c>
      <c r="B39" s="303"/>
      <c r="C39" s="303"/>
      <c r="D39" s="126"/>
      <c r="E39" s="126"/>
      <c r="F39" s="126"/>
      <c r="G39" s="303"/>
    </row>
    <row r="40" ht="15.75" customHeight="1">
      <c r="A40" s="330" t="s">
        <v>281</v>
      </c>
      <c r="B40" s="303"/>
      <c r="C40" s="331" t="s">
        <v>144</v>
      </c>
      <c r="D40" s="332" t="s">
        <v>282</v>
      </c>
      <c r="G40" s="255"/>
    </row>
    <row r="41" ht="15.75" customHeight="1">
      <c r="A41" s="330" t="s">
        <v>283</v>
      </c>
      <c r="B41" s="303"/>
      <c r="C41" s="333" t="s">
        <v>284</v>
      </c>
      <c r="D41" s="334" t="s">
        <v>151</v>
      </c>
      <c r="G41" s="255"/>
    </row>
    <row r="42" ht="15.75" customHeight="1">
      <c r="A42" s="304" t="s">
        <v>285</v>
      </c>
      <c r="B42" s="306"/>
      <c r="C42" s="335">
        <f>C20</f>
        <v>45300</v>
      </c>
      <c r="D42" s="305"/>
      <c r="E42" s="305"/>
      <c r="F42" s="305"/>
      <c r="G42" s="306"/>
    </row>
    <row r="43" ht="15.75" customHeight="1">
      <c r="A43" s="336"/>
      <c r="B43" s="336"/>
      <c r="C43" s="336"/>
      <c r="D43" s="336"/>
      <c r="E43" s="336"/>
      <c r="F43" s="336"/>
      <c r="G43" s="336"/>
    </row>
    <row r="44" ht="15.75" customHeight="1">
      <c r="A44" s="336"/>
      <c r="B44" s="336"/>
      <c r="C44" s="336"/>
      <c r="D44" s="336"/>
      <c r="E44" s="336"/>
      <c r="F44" s="336"/>
      <c r="G44" s="336"/>
    </row>
    <row r="45" ht="15.75" customHeight="1">
      <c r="A45" s="336"/>
      <c r="B45" s="336"/>
      <c r="C45" s="336"/>
      <c r="D45" s="336"/>
      <c r="E45" s="336"/>
      <c r="F45" s="336"/>
      <c r="G45" s="336"/>
    </row>
    <row r="46" ht="15.75" customHeight="1">
      <c r="A46" s="336"/>
      <c r="B46" s="336"/>
      <c r="C46" s="336"/>
      <c r="D46" s="336"/>
      <c r="E46" s="336"/>
      <c r="F46" s="336"/>
      <c r="G46" s="336"/>
    </row>
    <row r="47" ht="15.75" customHeight="1">
      <c r="A47" s="336"/>
      <c r="B47" s="336"/>
      <c r="C47" s="336"/>
      <c r="D47" s="336"/>
      <c r="E47" s="336"/>
      <c r="F47" s="336"/>
      <c r="G47" s="336"/>
    </row>
    <row r="48" ht="15.75" customHeight="1">
      <c r="A48" s="336"/>
      <c r="B48" s="336"/>
      <c r="C48" s="336"/>
      <c r="D48" s="336"/>
      <c r="E48" s="336"/>
      <c r="F48" s="336"/>
      <c r="G48" s="336"/>
    </row>
    <row r="49" ht="15.75" customHeight="1">
      <c r="A49" s="336"/>
      <c r="B49" s="336"/>
      <c r="C49" s="336"/>
      <c r="D49" s="336"/>
      <c r="E49" s="336"/>
      <c r="F49" s="336"/>
      <c r="G49" s="336"/>
    </row>
    <row r="50" ht="15.75" customHeight="1">
      <c r="A50" s="336"/>
      <c r="B50" s="336"/>
      <c r="C50" s="336"/>
      <c r="D50" s="336"/>
      <c r="E50" s="336"/>
      <c r="F50" s="336"/>
      <c r="G50" s="336"/>
    </row>
    <row r="51" ht="15.75" customHeight="1">
      <c r="A51" s="336"/>
      <c r="B51" s="336"/>
      <c r="C51" s="336"/>
      <c r="D51" s="336"/>
      <c r="E51" s="336"/>
      <c r="F51" s="336"/>
      <c r="G51" s="336"/>
    </row>
    <row r="52" ht="15.75" customHeight="1">
      <c r="A52" s="336"/>
      <c r="B52" s="336"/>
      <c r="C52" s="336"/>
      <c r="D52" s="336"/>
      <c r="E52" s="336"/>
      <c r="F52" s="336"/>
      <c r="G52" s="336"/>
    </row>
    <row r="53" ht="15.75" customHeight="1">
      <c r="A53" s="336"/>
      <c r="B53" s="336"/>
      <c r="C53" s="336"/>
      <c r="D53" s="336"/>
      <c r="E53" s="336"/>
      <c r="F53" s="336"/>
      <c r="G53" s="336"/>
    </row>
    <row r="54" ht="15.75" customHeight="1">
      <c r="A54" s="336"/>
      <c r="B54" s="336"/>
      <c r="C54" s="336"/>
      <c r="D54" s="336"/>
      <c r="E54" s="336"/>
      <c r="F54" s="336"/>
      <c r="G54" s="336"/>
    </row>
    <row r="55" ht="15.75" customHeight="1">
      <c r="A55" s="336"/>
      <c r="B55" s="336"/>
      <c r="C55" s="336"/>
      <c r="D55" s="336"/>
      <c r="E55" s="336"/>
      <c r="F55" s="336"/>
      <c r="G55" s="336"/>
    </row>
    <row r="56" ht="15.75" customHeight="1">
      <c r="A56" s="336"/>
      <c r="B56" s="336"/>
      <c r="C56" s="336"/>
      <c r="D56" s="336"/>
      <c r="E56" s="336"/>
      <c r="F56" s="336"/>
      <c r="G56" s="336"/>
    </row>
    <row r="57" ht="15.75" customHeight="1">
      <c r="A57" s="336"/>
      <c r="B57" s="336"/>
      <c r="C57" s="336"/>
      <c r="D57" s="336"/>
      <c r="E57" s="336"/>
      <c r="F57" s="336"/>
      <c r="G57" s="336"/>
    </row>
    <row r="58" ht="15.75" customHeight="1">
      <c r="A58" s="336"/>
      <c r="B58" s="336"/>
      <c r="C58" s="336"/>
      <c r="D58" s="336"/>
      <c r="E58" s="336"/>
      <c r="F58" s="336"/>
      <c r="G58" s="336"/>
    </row>
    <row r="59" ht="15.75" customHeight="1">
      <c r="A59" s="336"/>
      <c r="B59" s="336"/>
      <c r="C59" s="336"/>
      <c r="D59" s="336"/>
      <c r="E59" s="336"/>
      <c r="F59" s="336"/>
      <c r="G59" s="336"/>
    </row>
    <row r="60" ht="15.75" customHeight="1">
      <c r="A60" s="336"/>
      <c r="B60" s="336"/>
      <c r="C60" s="336"/>
      <c r="D60" s="336"/>
      <c r="E60" s="336"/>
      <c r="F60" s="336"/>
      <c r="G60" s="336"/>
    </row>
    <row r="61" ht="15.75" customHeight="1">
      <c r="A61" s="336"/>
      <c r="B61" s="336"/>
      <c r="C61" s="336"/>
      <c r="D61" s="336"/>
      <c r="E61" s="336"/>
      <c r="F61" s="336"/>
      <c r="G61" s="336"/>
    </row>
    <row r="62" ht="15.75" customHeight="1">
      <c r="A62" s="336"/>
      <c r="B62" s="336"/>
      <c r="C62" s="336"/>
      <c r="D62" s="336"/>
      <c r="E62" s="336"/>
      <c r="F62" s="336"/>
      <c r="G62" s="336"/>
    </row>
    <row r="63" ht="15.75" customHeight="1">
      <c r="A63" s="336"/>
      <c r="B63" s="336"/>
      <c r="C63" s="336"/>
      <c r="D63" s="336"/>
      <c r="E63" s="336"/>
      <c r="F63" s="336"/>
      <c r="G63" s="336"/>
    </row>
    <row r="64" ht="15.75" customHeight="1">
      <c r="A64" s="336"/>
      <c r="B64" s="336"/>
      <c r="C64" s="336"/>
      <c r="D64" s="336"/>
      <c r="E64" s="336"/>
      <c r="F64" s="336"/>
      <c r="G64" s="336"/>
    </row>
    <row r="65" ht="15.75" customHeight="1">
      <c r="A65" s="336"/>
      <c r="B65" s="336"/>
      <c r="C65" s="336"/>
      <c r="D65" s="336"/>
      <c r="E65" s="336"/>
      <c r="F65" s="336"/>
      <c r="G65" s="336"/>
    </row>
    <row r="66" ht="15.75" customHeight="1">
      <c r="A66" s="336"/>
      <c r="B66" s="336"/>
      <c r="C66" s="336"/>
      <c r="D66" s="336"/>
      <c r="E66" s="336"/>
      <c r="F66" s="336"/>
      <c r="G66" s="336"/>
    </row>
    <row r="67" ht="15.75" customHeight="1">
      <c r="A67" s="336"/>
      <c r="B67" s="336"/>
      <c r="C67" s="336"/>
      <c r="D67" s="336"/>
      <c r="E67" s="336"/>
      <c r="F67" s="336"/>
      <c r="G67" s="336"/>
    </row>
    <row r="68" ht="15.75" customHeight="1">
      <c r="A68" s="336"/>
      <c r="B68" s="336"/>
      <c r="C68" s="336"/>
      <c r="D68" s="336"/>
      <c r="E68" s="336"/>
      <c r="F68" s="336"/>
      <c r="G68" s="336"/>
    </row>
    <row r="69" ht="15.75" customHeight="1">
      <c r="A69" s="336"/>
      <c r="B69" s="336"/>
      <c r="C69" s="336"/>
      <c r="D69" s="336"/>
      <c r="E69" s="336"/>
      <c r="F69" s="336"/>
      <c r="G69" s="336"/>
    </row>
    <row r="70" ht="15.75" customHeight="1">
      <c r="A70" s="336"/>
      <c r="B70" s="336"/>
      <c r="C70" s="336"/>
      <c r="D70" s="336"/>
      <c r="E70" s="336"/>
      <c r="F70" s="336"/>
      <c r="G70" s="336"/>
    </row>
    <row r="71" ht="15.75" customHeight="1">
      <c r="A71" s="336"/>
      <c r="B71" s="336"/>
      <c r="C71" s="336"/>
      <c r="D71" s="336"/>
      <c r="E71" s="336"/>
      <c r="F71" s="336"/>
      <c r="G71" s="336"/>
    </row>
    <row r="72" ht="15.75" customHeight="1">
      <c r="A72" s="336"/>
      <c r="B72" s="336"/>
      <c r="C72" s="336"/>
      <c r="D72" s="336"/>
      <c r="E72" s="336"/>
      <c r="F72" s="336"/>
      <c r="G72" s="336"/>
    </row>
    <row r="73" ht="15.75" customHeight="1">
      <c r="A73" s="336"/>
      <c r="B73" s="336"/>
      <c r="C73" s="336"/>
      <c r="D73" s="336"/>
      <c r="E73" s="336"/>
      <c r="F73" s="336"/>
      <c r="G73" s="336"/>
    </row>
    <row r="74" ht="15.75" customHeight="1">
      <c r="A74" s="336"/>
      <c r="B74" s="336"/>
      <c r="C74" s="336"/>
      <c r="D74" s="336"/>
      <c r="E74" s="336"/>
      <c r="F74" s="336"/>
      <c r="G74" s="336"/>
    </row>
    <row r="75" ht="15.75" customHeight="1">
      <c r="A75" s="336"/>
      <c r="B75" s="336"/>
      <c r="C75" s="336"/>
      <c r="D75" s="336"/>
      <c r="E75" s="336"/>
      <c r="F75" s="336"/>
      <c r="G75" s="336"/>
    </row>
    <row r="76" ht="15.75" customHeight="1">
      <c r="A76" s="336"/>
      <c r="B76" s="336"/>
      <c r="C76" s="336"/>
      <c r="D76" s="336"/>
      <c r="E76" s="336"/>
      <c r="F76" s="336"/>
      <c r="G76" s="336"/>
    </row>
    <row r="77" ht="15.75" customHeight="1">
      <c r="A77" s="336"/>
      <c r="B77" s="336"/>
      <c r="C77" s="336"/>
      <c r="D77" s="336"/>
      <c r="E77" s="336"/>
      <c r="F77" s="336"/>
      <c r="G77" s="336"/>
    </row>
    <row r="78" ht="15.75" customHeight="1">
      <c r="A78" s="336"/>
      <c r="B78" s="336"/>
      <c r="C78" s="336"/>
      <c r="D78" s="336"/>
      <c r="E78" s="336"/>
      <c r="F78" s="336"/>
      <c r="G78" s="336"/>
    </row>
    <row r="79" ht="15.75" customHeight="1">
      <c r="A79" s="336"/>
      <c r="B79" s="336"/>
      <c r="C79" s="336"/>
      <c r="D79" s="336"/>
      <c r="E79" s="336"/>
      <c r="F79" s="336"/>
      <c r="G79" s="336"/>
    </row>
    <row r="80" ht="15.75" customHeight="1">
      <c r="A80" s="336"/>
      <c r="B80" s="336"/>
      <c r="C80" s="336"/>
      <c r="D80" s="336"/>
      <c r="E80" s="336"/>
      <c r="F80" s="336"/>
      <c r="G80" s="336"/>
    </row>
    <row r="81" ht="15.75" customHeight="1">
      <c r="A81" s="336"/>
      <c r="B81" s="336"/>
      <c r="C81" s="336"/>
      <c r="D81" s="336"/>
      <c r="E81" s="336"/>
      <c r="F81" s="336"/>
      <c r="G81" s="336"/>
    </row>
    <row r="82" ht="15.75" customHeight="1">
      <c r="A82" s="336"/>
      <c r="B82" s="336"/>
      <c r="C82" s="336"/>
      <c r="D82" s="336"/>
      <c r="E82" s="336"/>
      <c r="F82" s="336"/>
      <c r="G82" s="336"/>
    </row>
    <row r="83" ht="15.75" customHeight="1">
      <c r="A83" s="336"/>
      <c r="B83" s="336"/>
      <c r="C83" s="336"/>
      <c r="D83" s="336"/>
      <c r="E83" s="336"/>
      <c r="F83" s="336"/>
      <c r="G83" s="336"/>
    </row>
    <row r="84" ht="15.75" customHeight="1">
      <c r="A84" s="336"/>
      <c r="B84" s="336"/>
      <c r="C84" s="336"/>
      <c r="D84" s="336"/>
      <c r="E84" s="336"/>
      <c r="F84" s="336"/>
      <c r="G84" s="336"/>
    </row>
    <row r="85" ht="15.75" customHeight="1">
      <c r="A85" s="336"/>
      <c r="B85" s="336"/>
      <c r="C85" s="336"/>
      <c r="D85" s="336"/>
      <c r="E85" s="336"/>
      <c r="F85" s="336"/>
      <c r="G85" s="336"/>
    </row>
    <row r="86" ht="15.75" customHeight="1">
      <c r="A86" s="336"/>
      <c r="B86" s="336"/>
      <c r="C86" s="336"/>
      <c r="D86" s="336"/>
      <c r="E86" s="336"/>
      <c r="F86" s="336"/>
      <c r="G86" s="336"/>
    </row>
    <row r="87" ht="15.75" customHeight="1">
      <c r="A87" s="336"/>
      <c r="B87" s="336"/>
      <c r="C87" s="336"/>
      <c r="D87" s="336"/>
      <c r="E87" s="336"/>
      <c r="F87" s="336"/>
      <c r="G87" s="336"/>
    </row>
    <row r="88" ht="15.75" customHeight="1">
      <c r="A88" s="336"/>
      <c r="B88" s="336"/>
      <c r="C88" s="336"/>
      <c r="D88" s="336"/>
      <c r="E88" s="336"/>
      <c r="F88" s="336"/>
      <c r="G88" s="336"/>
    </row>
    <row r="89" ht="15.75" customHeight="1">
      <c r="A89" s="336"/>
      <c r="B89" s="336"/>
      <c r="C89" s="336"/>
      <c r="D89" s="336"/>
      <c r="E89" s="336"/>
      <c r="F89" s="336"/>
      <c r="G89" s="336"/>
    </row>
    <row r="90" ht="15.75" customHeight="1">
      <c r="A90" s="336"/>
      <c r="B90" s="336"/>
      <c r="C90" s="336"/>
      <c r="D90" s="336"/>
      <c r="E90" s="336"/>
      <c r="F90" s="336"/>
      <c r="G90" s="336"/>
    </row>
    <row r="91" ht="15.75" customHeight="1">
      <c r="A91" s="336"/>
      <c r="B91" s="336"/>
      <c r="C91" s="336"/>
      <c r="D91" s="336"/>
      <c r="E91" s="336"/>
      <c r="F91" s="336"/>
      <c r="G91" s="336"/>
    </row>
    <row r="92" ht="15.75" customHeight="1">
      <c r="A92" s="336"/>
      <c r="B92" s="336"/>
      <c r="C92" s="336"/>
      <c r="D92" s="336"/>
      <c r="E92" s="336"/>
      <c r="F92" s="336"/>
      <c r="G92" s="336"/>
    </row>
    <row r="93" ht="15.75" customHeight="1">
      <c r="A93" s="336"/>
      <c r="B93" s="336"/>
      <c r="C93" s="336"/>
      <c r="D93" s="336"/>
      <c r="E93" s="336"/>
      <c r="F93" s="336"/>
      <c r="G93" s="336"/>
    </row>
    <row r="94" ht="15.75" customHeight="1">
      <c r="A94" s="336"/>
      <c r="B94" s="336"/>
      <c r="C94" s="336"/>
      <c r="D94" s="336"/>
      <c r="E94" s="336"/>
      <c r="F94" s="336"/>
      <c r="G94" s="336"/>
    </row>
    <row r="95" ht="15.75" customHeight="1">
      <c r="A95" s="336"/>
      <c r="B95" s="336"/>
      <c r="C95" s="336"/>
      <c r="D95" s="336"/>
      <c r="E95" s="336"/>
      <c r="F95" s="336"/>
      <c r="G95" s="336"/>
    </row>
    <row r="96" ht="15.75" customHeight="1">
      <c r="A96" s="336"/>
      <c r="B96" s="336"/>
      <c r="C96" s="336"/>
      <c r="D96" s="336"/>
      <c r="E96" s="336"/>
      <c r="F96" s="336"/>
      <c r="G96" s="336"/>
    </row>
    <row r="97" ht="15.75" customHeight="1">
      <c r="A97" s="336"/>
      <c r="B97" s="336"/>
      <c r="C97" s="336"/>
      <c r="D97" s="336"/>
      <c r="E97" s="336"/>
      <c r="F97" s="336"/>
      <c r="G97" s="336"/>
    </row>
    <row r="98" ht="15.75" customHeight="1">
      <c r="A98" s="336"/>
      <c r="B98" s="336"/>
      <c r="C98" s="336"/>
      <c r="D98" s="336"/>
      <c r="E98" s="336"/>
      <c r="F98" s="336"/>
      <c r="G98" s="336"/>
    </row>
    <row r="99" ht="15.75" customHeight="1">
      <c r="A99" s="336"/>
      <c r="B99" s="336"/>
      <c r="C99" s="336"/>
      <c r="D99" s="336"/>
      <c r="E99" s="336"/>
      <c r="F99" s="336"/>
      <c r="G99" s="336"/>
    </row>
    <row r="100" ht="15.75" customHeight="1">
      <c r="A100" s="336"/>
      <c r="B100" s="336"/>
      <c r="C100" s="336"/>
      <c r="D100" s="336"/>
      <c r="E100" s="336"/>
      <c r="F100" s="336"/>
      <c r="G100" s="336"/>
    </row>
    <row r="101" ht="15.75" customHeight="1">
      <c r="A101" s="336"/>
      <c r="B101" s="336"/>
      <c r="C101" s="336"/>
      <c r="D101" s="336"/>
      <c r="E101" s="336"/>
      <c r="F101" s="336"/>
      <c r="G101" s="336"/>
    </row>
    <row r="102" ht="15.75" customHeight="1">
      <c r="A102" s="336"/>
      <c r="B102" s="336"/>
      <c r="C102" s="336"/>
      <c r="D102" s="336"/>
      <c r="E102" s="336"/>
      <c r="F102" s="336"/>
      <c r="G102" s="336"/>
    </row>
    <row r="103" ht="15.75" customHeight="1">
      <c r="A103" s="336"/>
      <c r="B103" s="336"/>
      <c r="C103" s="336"/>
      <c r="D103" s="336"/>
      <c r="E103" s="336"/>
      <c r="F103" s="336"/>
      <c r="G103" s="336"/>
    </row>
    <row r="104" ht="15.75" customHeight="1">
      <c r="A104" s="336"/>
      <c r="B104" s="336"/>
      <c r="C104" s="336"/>
      <c r="D104" s="336"/>
      <c r="E104" s="336"/>
      <c r="F104" s="336"/>
      <c r="G104" s="336"/>
    </row>
    <row r="105" ht="15.75" customHeight="1">
      <c r="A105" s="336"/>
      <c r="B105" s="336"/>
      <c r="C105" s="336"/>
      <c r="D105" s="336"/>
      <c r="E105" s="336"/>
      <c r="F105" s="336"/>
      <c r="G105" s="336"/>
    </row>
    <row r="106" ht="15.75" customHeight="1">
      <c r="A106" s="336"/>
      <c r="B106" s="336"/>
      <c r="C106" s="336"/>
      <c r="D106" s="336"/>
      <c r="E106" s="336"/>
      <c r="F106" s="336"/>
      <c r="G106" s="336"/>
    </row>
    <row r="107" ht="15.75" customHeight="1">
      <c r="A107" s="336"/>
      <c r="B107" s="336"/>
      <c r="C107" s="336"/>
      <c r="D107" s="336"/>
      <c r="E107" s="336"/>
      <c r="F107" s="336"/>
      <c r="G107" s="336"/>
    </row>
    <row r="108" ht="15.75" customHeight="1">
      <c r="A108" s="336"/>
      <c r="B108" s="336"/>
      <c r="C108" s="336"/>
      <c r="D108" s="336"/>
      <c r="E108" s="336"/>
      <c r="F108" s="336"/>
      <c r="G108" s="336"/>
    </row>
    <row r="109" ht="15.75" customHeight="1">
      <c r="A109" s="336"/>
      <c r="B109" s="336"/>
      <c r="C109" s="336"/>
      <c r="D109" s="336"/>
      <c r="E109" s="336"/>
      <c r="F109" s="336"/>
      <c r="G109" s="336"/>
    </row>
    <row r="110" ht="15.75" customHeight="1">
      <c r="A110" s="336"/>
      <c r="B110" s="336"/>
      <c r="C110" s="336"/>
      <c r="D110" s="336"/>
      <c r="E110" s="336"/>
      <c r="F110" s="336"/>
      <c r="G110" s="336"/>
    </row>
    <row r="111" ht="15.75" customHeight="1">
      <c r="A111" s="336"/>
      <c r="B111" s="336"/>
      <c r="C111" s="336"/>
      <c r="D111" s="336"/>
      <c r="E111" s="336"/>
      <c r="F111" s="336"/>
      <c r="G111" s="336"/>
    </row>
    <row r="112" ht="15.75" customHeight="1">
      <c r="A112" s="336"/>
      <c r="B112" s="336"/>
      <c r="C112" s="336"/>
      <c r="D112" s="336"/>
      <c r="E112" s="336"/>
      <c r="F112" s="336"/>
      <c r="G112" s="336"/>
    </row>
    <row r="113" ht="15.75" customHeight="1">
      <c r="A113" s="336"/>
      <c r="B113" s="336"/>
      <c r="C113" s="336"/>
      <c r="D113" s="336"/>
      <c r="E113" s="336"/>
      <c r="F113" s="336"/>
      <c r="G113" s="336"/>
    </row>
    <row r="114" ht="15.75" customHeight="1">
      <c r="A114" s="336"/>
      <c r="B114" s="336"/>
      <c r="C114" s="336"/>
      <c r="D114" s="336"/>
      <c r="E114" s="336"/>
      <c r="F114" s="336"/>
      <c r="G114" s="336"/>
    </row>
    <row r="115" ht="15.75" customHeight="1">
      <c r="A115" s="336"/>
      <c r="B115" s="336"/>
      <c r="C115" s="336"/>
      <c r="D115" s="336"/>
      <c r="E115" s="336"/>
      <c r="F115" s="336"/>
      <c r="G115" s="336"/>
    </row>
    <row r="116" ht="15.75" customHeight="1">
      <c r="A116" s="336"/>
      <c r="B116" s="336"/>
      <c r="C116" s="336"/>
      <c r="D116" s="336"/>
      <c r="E116" s="336"/>
      <c r="F116" s="336"/>
      <c r="G116" s="336"/>
    </row>
    <row r="117" ht="15.75" customHeight="1">
      <c r="A117" s="336"/>
      <c r="B117" s="336"/>
      <c r="C117" s="336"/>
      <c r="D117" s="336"/>
      <c r="E117" s="336"/>
      <c r="F117" s="336"/>
      <c r="G117" s="336"/>
    </row>
    <row r="118" ht="15.75" customHeight="1">
      <c r="A118" s="336"/>
      <c r="B118" s="336"/>
      <c r="C118" s="336"/>
      <c r="D118" s="336"/>
      <c r="E118" s="336"/>
      <c r="F118" s="336"/>
      <c r="G118" s="336"/>
    </row>
    <row r="119" ht="15.75" customHeight="1">
      <c r="A119" s="336"/>
      <c r="B119" s="336"/>
      <c r="C119" s="336"/>
      <c r="D119" s="336"/>
      <c r="E119" s="336"/>
      <c r="F119" s="336"/>
      <c r="G119" s="336"/>
    </row>
    <row r="120" ht="15.75" customHeight="1">
      <c r="A120" s="336"/>
      <c r="B120" s="336"/>
      <c r="C120" s="336"/>
      <c r="D120" s="336"/>
      <c r="E120" s="336"/>
      <c r="F120" s="336"/>
      <c r="G120" s="336"/>
    </row>
    <row r="121" ht="15.75" customHeight="1">
      <c r="A121" s="336"/>
      <c r="B121" s="336"/>
      <c r="C121" s="336"/>
      <c r="D121" s="336"/>
      <c r="E121" s="336"/>
      <c r="F121" s="336"/>
      <c r="G121" s="336"/>
    </row>
    <row r="122" ht="15.75" customHeight="1">
      <c r="A122" s="336"/>
      <c r="B122" s="336"/>
      <c r="C122" s="336"/>
      <c r="D122" s="336"/>
      <c r="E122" s="336"/>
      <c r="F122" s="336"/>
      <c r="G122" s="336"/>
    </row>
    <row r="123" ht="15.75" customHeight="1">
      <c r="A123" s="336"/>
      <c r="B123" s="336"/>
      <c r="C123" s="336"/>
      <c r="D123" s="336"/>
      <c r="E123" s="336"/>
      <c r="F123" s="336"/>
      <c r="G123" s="336"/>
    </row>
    <row r="124" ht="15.75" customHeight="1">
      <c r="A124" s="336"/>
      <c r="B124" s="336"/>
      <c r="C124" s="336"/>
      <c r="D124" s="336"/>
      <c r="E124" s="336"/>
      <c r="F124" s="336"/>
      <c r="G124" s="336"/>
    </row>
    <row r="125" ht="15.75" customHeight="1">
      <c r="A125" s="336"/>
      <c r="B125" s="336"/>
      <c r="C125" s="336"/>
      <c r="D125" s="336"/>
      <c r="E125" s="336"/>
      <c r="F125" s="336"/>
      <c r="G125" s="336"/>
    </row>
    <row r="126" ht="15.75" customHeight="1">
      <c r="A126" s="336"/>
      <c r="B126" s="336"/>
      <c r="C126" s="336"/>
      <c r="D126" s="336"/>
      <c r="E126" s="336"/>
      <c r="F126" s="336"/>
      <c r="G126" s="336"/>
    </row>
    <row r="127" ht="15.75" customHeight="1">
      <c r="A127" s="336"/>
      <c r="B127" s="336"/>
      <c r="C127" s="336"/>
      <c r="D127" s="336"/>
      <c r="E127" s="336"/>
      <c r="F127" s="336"/>
      <c r="G127" s="336"/>
    </row>
    <row r="128" ht="15.75" customHeight="1">
      <c r="A128" s="336"/>
      <c r="B128" s="336"/>
      <c r="C128" s="336"/>
      <c r="D128" s="336"/>
      <c r="E128" s="336"/>
      <c r="F128" s="336"/>
      <c r="G128" s="336"/>
    </row>
    <row r="129" ht="15.75" customHeight="1">
      <c r="A129" s="336"/>
      <c r="B129" s="336"/>
      <c r="C129" s="336"/>
      <c r="D129" s="336"/>
      <c r="E129" s="336"/>
      <c r="F129" s="336"/>
      <c r="G129" s="336"/>
    </row>
    <row r="130" ht="15.75" customHeight="1">
      <c r="A130" s="336"/>
      <c r="B130" s="336"/>
      <c r="C130" s="336"/>
      <c r="D130" s="336"/>
      <c r="E130" s="336"/>
      <c r="F130" s="336"/>
      <c r="G130" s="336"/>
    </row>
    <row r="131" ht="15.75" customHeight="1">
      <c r="A131" s="336"/>
      <c r="B131" s="336"/>
      <c r="C131" s="336"/>
      <c r="D131" s="336"/>
      <c r="E131" s="336"/>
      <c r="F131" s="336"/>
      <c r="G131" s="336"/>
    </row>
    <row r="132" ht="15.75" customHeight="1">
      <c r="A132" s="336"/>
      <c r="B132" s="336"/>
      <c r="C132" s="336"/>
      <c r="D132" s="336"/>
      <c r="E132" s="336"/>
      <c r="F132" s="336"/>
      <c r="G132" s="336"/>
    </row>
    <row r="133" ht="15.75" customHeight="1">
      <c r="A133" s="336"/>
      <c r="B133" s="336"/>
      <c r="C133" s="336"/>
      <c r="D133" s="336"/>
      <c r="E133" s="336"/>
      <c r="F133" s="336"/>
      <c r="G133" s="336"/>
    </row>
    <row r="134" ht="15.75" customHeight="1">
      <c r="A134" s="336"/>
      <c r="B134" s="336"/>
      <c r="C134" s="336"/>
      <c r="D134" s="336"/>
      <c r="E134" s="336"/>
      <c r="F134" s="336"/>
      <c r="G134" s="336"/>
    </row>
    <row r="135" ht="15.75" customHeight="1">
      <c r="A135" s="336"/>
      <c r="B135" s="336"/>
      <c r="C135" s="336"/>
      <c r="D135" s="336"/>
      <c r="E135" s="336"/>
      <c r="F135" s="336"/>
      <c r="G135" s="336"/>
    </row>
    <row r="136" ht="15.75" customHeight="1">
      <c r="A136" s="336"/>
      <c r="B136" s="336"/>
      <c r="C136" s="336"/>
      <c r="D136" s="336"/>
      <c r="E136" s="336"/>
      <c r="F136" s="336"/>
      <c r="G136" s="336"/>
    </row>
    <row r="137" ht="15.75" customHeight="1">
      <c r="A137" s="336"/>
      <c r="B137" s="336"/>
      <c r="C137" s="336"/>
      <c r="D137" s="336"/>
      <c r="E137" s="336"/>
      <c r="F137" s="336"/>
      <c r="G137" s="336"/>
    </row>
    <row r="138" ht="15.75" customHeight="1">
      <c r="A138" s="336"/>
      <c r="B138" s="336"/>
      <c r="C138" s="336"/>
      <c r="D138" s="336"/>
      <c r="E138" s="336"/>
      <c r="F138" s="336"/>
      <c r="G138" s="336"/>
    </row>
    <row r="139" ht="15.75" customHeight="1">
      <c r="A139" s="336"/>
      <c r="B139" s="336"/>
      <c r="C139" s="336"/>
      <c r="D139" s="336"/>
      <c r="E139" s="336"/>
      <c r="F139" s="336"/>
      <c r="G139" s="336"/>
    </row>
    <row r="140" ht="15.75" customHeight="1">
      <c r="A140" s="336"/>
      <c r="B140" s="336"/>
      <c r="C140" s="336"/>
      <c r="D140" s="336"/>
      <c r="E140" s="336"/>
      <c r="F140" s="336"/>
      <c r="G140" s="336"/>
    </row>
    <row r="141" ht="15.75" customHeight="1">
      <c r="A141" s="336"/>
      <c r="B141" s="336"/>
      <c r="C141" s="336"/>
      <c r="D141" s="336"/>
      <c r="E141" s="336"/>
      <c r="F141" s="336"/>
      <c r="G141" s="336"/>
    </row>
    <row r="142" ht="15.75" customHeight="1">
      <c r="A142" s="336"/>
      <c r="B142" s="336"/>
      <c r="C142" s="336"/>
      <c r="D142" s="336"/>
      <c r="E142" s="336"/>
      <c r="F142" s="336"/>
      <c r="G142" s="336"/>
    </row>
    <row r="143" ht="15.75" customHeight="1">
      <c r="A143" s="336"/>
      <c r="B143" s="336"/>
      <c r="C143" s="336"/>
      <c r="D143" s="336"/>
      <c r="E143" s="336"/>
      <c r="F143" s="336"/>
      <c r="G143" s="336"/>
    </row>
    <row r="144" ht="15.75" customHeight="1">
      <c r="A144" s="336"/>
      <c r="B144" s="336"/>
      <c r="C144" s="336"/>
      <c r="D144" s="336"/>
      <c r="E144" s="336"/>
      <c r="F144" s="336"/>
      <c r="G144" s="336"/>
    </row>
    <row r="145" ht="15.75" customHeight="1">
      <c r="A145" s="336"/>
      <c r="B145" s="336"/>
      <c r="C145" s="336"/>
      <c r="D145" s="336"/>
      <c r="E145" s="336"/>
      <c r="F145" s="336"/>
      <c r="G145" s="336"/>
    </row>
    <row r="146" ht="15.75" customHeight="1">
      <c r="A146" s="336"/>
      <c r="B146" s="336"/>
      <c r="C146" s="336"/>
      <c r="D146" s="336"/>
      <c r="E146" s="336"/>
      <c r="F146" s="336"/>
      <c r="G146" s="336"/>
    </row>
    <row r="147" ht="15.75" customHeight="1">
      <c r="A147" s="336"/>
      <c r="B147" s="336"/>
      <c r="C147" s="336"/>
      <c r="D147" s="336"/>
      <c r="E147" s="336"/>
      <c r="F147" s="336"/>
      <c r="G147" s="336"/>
    </row>
    <row r="148" ht="15.75" customHeight="1">
      <c r="A148" s="336"/>
      <c r="B148" s="336"/>
      <c r="C148" s="336"/>
      <c r="D148" s="336"/>
      <c r="E148" s="336"/>
      <c r="F148" s="336"/>
      <c r="G148" s="336"/>
    </row>
    <row r="149" ht="15.75" customHeight="1">
      <c r="A149" s="336"/>
      <c r="B149" s="336"/>
      <c r="C149" s="336"/>
      <c r="D149" s="336"/>
      <c r="E149" s="336"/>
      <c r="F149" s="336"/>
      <c r="G149" s="336"/>
    </row>
    <row r="150" ht="15.75" customHeight="1">
      <c r="A150" s="336"/>
      <c r="B150" s="336"/>
      <c r="C150" s="336"/>
      <c r="D150" s="336"/>
      <c r="E150" s="336"/>
      <c r="F150" s="336"/>
      <c r="G150" s="336"/>
    </row>
    <row r="151" ht="15.75" customHeight="1">
      <c r="A151" s="336"/>
      <c r="B151" s="336"/>
      <c r="C151" s="336"/>
      <c r="D151" s="336"/>
      <c r="E151" s="336"/>
      <c r="F151" s="336"/>
      <c r="G151" s="336"/>
    </row>
    <row r="152" ht="15.75" customHeight="1">
      <c r="A152" s="336"/>
      <c r="B152" s="336"/>
      <c r="C152" s="336"/>
      <c r="D152" s="336"/>
      <c r="E152" s="336"/>
      <c r="F152" s="336"/>
      <c r="G152" s="336"/>
    </row>
    <row r="153" ht="15.75" customHeight="1">
      <c r="A153" s="336"/>
      <c r="B153" s="336"/>
      <c r="C153" s="336"/>
      <c r="D153" s="336"/>
      <c r="E153" s="336"/>
      <c r="F153" s="336"/>
      <c r="G153" s="336"/>
    </row>
    <row r="154" ht="15.75" customHeight="1">
      <c r="A154" s="336"/>
      <c r="B154" s="336"/>
      <c r="C154" s="336"/>
      <c r="D154" s="336"/>
      <c r="E154" s="336"/>
      <c r="F154" s="336"/>
      <c r="G154" s="336"/>
    </row>
    <row r="155" ht="15.75" customHeight="1">
      <c r="A155" s="336"/>
      <c r="B155" s="336"/>
      <c r="C155" s="336"/>
      <c r="D155" s="336"/>
      <c r="E155" s="336"/>
      <c r="F155" s="336"/>
      <c r="G155" s="336"/>
    </row>
    <row r="156" ht="15.75" customHeight="1">
      <c r="A156" s="336"/>
      <c r="B156" s="336"/>
      <c r="C156" s="336"/>
      <c r="D156" s="336"/>
      <c r="E156" s="336"/>
      <c r="F156" s="336"/>
      <c r="G156" s="336"/>
    </row>
    <row r="157" ht="15.75" customHeight="1">
      <c r="A157" s="336"/>
      <c r="B157" s="336"/>
      <c r="C157" s="336"/>
      <c r="D157" s="336"/>
      <c r="E157" s="336"/>
      <c r="F157" s="336"/>
      <c r="G157" s="336"/>
    </row>
    <row r="158" ht="15.75" customHeight="1">
      <c r="A158" s="336"/>
      <c r="B158" s="336"/>
      <c r="C158" s="336"/>
      <c r="D158" s="336"/>
      <c r="E158" s="336"/>
      <c r="F158" s="336"/>
      <c r="G158" s="336"/>
    </row>
    <row r="159" ht="15.75" customHeight="1">
      <c r="A159" s="336"/>
      <c r="B159" s="336"/>
      <c r="C159" s="336"/>
      <c r="D159" s="336"/>
      <c r="E159" s="336"/>
      <c r="F159" s="336"/>
      <c r="G159" s="336"/>
    </row>
    <row r="160" ht="15.75" customHeight="1">
      <c r="A160" s="336"/>
      <c r="B160" s="336"/>
      <c r="C160" s="336"/>
      <c r="D160" s="336"/>
      <c r="E160" s="336"/>
      <c r="F160" s="336"/>
      <c r="G160" s="336"/>
    </row>
    <row r="161" ht="15.75" customHeight="1">
      <c r="A161" s="336"/>
      <c r="B161" s="336"/>
      <c r="C161" s="336"/>
      <c r="D161" s="336"/>
      <c r="E161" s="336"/>
      <c r="F161" s="336"/>
      <c r="G161" s="336"/>
    </row>
    <row r="162" ht="15.75" customHeight="1">
      <c r="A162" s="336"/>
      <c r="B162" s="336"/>
      <c r="C162" s="336"/>
      <c r="D162" s="336"/>
      <c r="E162" s="336"/>
      <c r="F162" s="336"/>
      <c r="G162" s="336"/>
    </row>
    <row r="163" ht="15.75" customHeight="1">
      <c r="A163" s="336"/>
      <c r="B163" s="336"/>
      <c r="C163" s="336"/>
      <c r="D163" s="336"/>
      <c r="E163" s="336"/>
      <c r="F163" s="336"/>
      <c r="G163" s="336"/>
    </row>
    <row r="164" ht="15.75" customHeight="1">
      <c r="A164" s="336"/>
      <c r="B164" s="336"/>
      <c r="C164" s="336"/>
      <c r="D164" s="336"/>
      <c r="E164" s="336"/>
      <c r="F164" s="336"/>
      <c r="G164" s="336"/>
    </row>
    <row r="165" ht="15.75" customHeight="1">
      <c r="A165" s="336"/>
      <c r="B165" s="336"/>
      <c r="C165" s="336"/>
      <c r="D165" s="336"/>
      <c r="E165" s="336"/>
      <c r="F165" s="336"/>
      <c r="G165" s="336"/>
    </row>
    <row r="166" ht="15.75" customHeight="1">
      <c r="A166" s="336"/>
      <c r="B166" s="336"/>
      <c r="C166" s="336"/>
      <c r="D166" s="336"/>
      <c r="E166" s="336"/>
      <c r="F166" s="336"/>
      <c r="G166" s="336"/>
    </row>
    <row r="167" ht="15.75" customHeight="1">
      <c r="A167" s="336"/>
      <c r="B167" s="336"/>
      <c r="C167" s="336"/>
      <c r="D167" s="336"/>
      <c r="E167" s="336"/>
      <c r="F167" s="336"/>
      <c r="G167" s="336"/>
    </row>
    <row r="168" ht="15.75" customHeight="1">
      <c r="A168" s="336"/>
      <c r="B168" s="336"/>
      <c r="C168" s="336"/>
      <c r="D168" s="336"/>
      <c r="E168" s="336"/>
      <c r="F168" s="336"/>
      <c r="G168" s="336"/>
    </row>
    <row r="169" ht="15.75" customHeight="1">
      <c r="A169" s="336"/>
      <c r="B169" s="336"/>
      <c r="C169" s="336"/>
      <c r="D169" s="336"/>
      <c r="E169" s="336"/>
      <c r="F169" s="336"/>
      <c r="G169" s="336"/>
    </row>
    <row r="170" ht="15.75" customHeight="1">
      <c r="A170" s="336"/>
      <c r="B170" s="336"/>
      <c r="C170" s="336"/>
      <c r="D170" s="336"/>
      <c r="E170" s="336"/>
      <c r="F170" s="336"/>
      <c r="G170" s="336"/>
    </row>
    <row r="171" ht="15.75" customHeight="1">
      <c r="A171" s="336"/>
      <c r="B171" s="336"/>
      <c r="C171" s="336"/>
      <c r="D171" s="336"/>
      <c r="E171" s="336"/>
      <c r="F171" s="336"/>
      <c r="G171" s="336"/>
    </row>
    <row r="172" ht="15.75" customHeight="1">
      <c r="A172" s="336"/>
      <c r="B172" s="336"/>
      <c r="C172" s="336"/>
      <c r="D172" s="336"/>
      <c r="E172" s="336"/>
      <c r="F172" s="336"/>
      <c r="G172" s="336"/>
    </row>
    <row r="173" ht="15.75" customHeight="1">
      <c r="A173" s="336"/>
      <c r="B173" s="336"/>
      <c r="C173" s="336"/>
      <c r="D173" s="336"/>
      <c r="E173" s="336"/>
      <c r="F173" s="336"/>
      <c r="G173" s="336"/>
    </row>
    <row r="174" ht="15.75" customHeight="1">
      <c r="A174" s="336"/>
      <c r="B174" s="336"/>
      <c r="C174" s="336"/>
      <c r="D174" s="336"/>
      <c r="E174" s="336"/>
      <c r="F174" s="336"/>
      <c r="G174" s="336"/>
    </row>
    <row r="175" ht="15.75" customHeight="1">
      <c r="A175" s="336"/>
      <c r="B175" s="336"/>
      <c r="C175" s="336"/>
      <c r="D175" s="336"/>
      <c r="E175" s="336"/>
      <c r="F175" s="336"/>
      <c r="G175" s="336"/>
    </row>
    <row r="176" ht="15.75" customHeight="1">
      <c r="A176" s="336"/>
      <c r="B176" s="336"/>
      <c r="C176" s="336"/>
      <c r="D176" s="336"/>
      <c r="E176" s="336"/>
      <c r="F176" s="336"/>
      <c r="G176" s="336"/>
    </row>
    <row r="177" ht="15.75" customHeight="1">
      <c r="A177" s="336"/>
      <c r="B177" s="336"/>
      <c r="C177" s="336"/>
      <c r="D177" s="336"/>
      <c r="E177" s="336"/>
      <c r="F177" s="336"/>
      <c r="G177" s="336"/>
    </row>
    <row r="178" ht="15.75" customHeight="1">
      <c r="A178" s="336"/>
      <c r="B178" s="336"/>
      <c r="C178" s="336"/>
      <c r="D178" s="336"/>
      <c r="E178" s="336"/>
      <c r="F178" s="336"/>
      <c r="G178" s="336"/>
    </row>
    <row r="179" ht="15.75" customHeight="1">
      <c r="A179" s="336"/>
      <c r="B179" s="336"/>
      <c r="C179" s="336"/>
      <c r="D179" s="336"/>
      <c r="E179" s="336"/>
      <c r="F179" s="336"/>
      <c r="G179" s="336"/>
    </row>
    <row r="180" ht="15.75" customHeight="1">
      <c r="A180" s="336"/>
      <c r="B180" s="336"/>
      <c r="C180" s="336"/>
      <c r="D180" s="336"/>
      <c r="E180" s="336"/>
      <c r="F180" s="336"/>
      <c r="G180" s="336"/>
    </row>
    <row r="181" ht="15.75" customHeight="1">
      <c r="A181" s="336"/>
      <c r="B181" s="336"/>
      <c r="C181" s="336"/>
      <c r="D181" s="336"/>
      <c r="E181" s="336"/>
      <c r="F181" s="336"/>
      <c r="G181" s="336"/>
    </row>
    <row r="182" ht="15.75" customHeight="1">
      <c r="A182" s="336"/>
      <c r="B182" s="336"/>
      <c r="C182" s="336"/>
      <c r="D182" s="336"/>
      <c r="E182" s="336"/>
      <c r="F182" s="336"/>
      <c r="G182" s="336"/>
    </row>
    <row r="183" ht="15.75" customHeight="1">
      <c r="A183" s="336"/>
      <c r="B183" s="336"/>
      <c r="C183" s="336"/>
      <c r="D183" s="336"/>
      <c r="E183" s="336"/>
      <c r="F183" s="336"/>
      <c r="G183" s="336"/>
    </row>
    <row r="184" ht="15.75" customHeight="1">
      <c r="A184" s="336"/>
      <c r="B184" s="336"/>
      <c r="C184" s="336"/>
      <c r="D184" s="336"/>
      <c r="E184" s="336"/>
      <c r="F184" s="336"/>
      <c r="G184" s="336"/>
    </row>
    <row r="185" ht="15.75" customHeight="1">
      <c r="A185" s="336"/>
      <c r="B185" s="336"/>
      <c r="C185" s="336"/>
      <c r="D185" s="336"/>
      <c r="E185" s="336"/>
      <c r="F185" s="336"/>
      <c r="G185" s="336"/>
    </row>
    <row r="186" ht="15.75" customHeight="1">
      <c r="A186" s="336"/>
      <c r="B186" s="336"/>
      <c r="C186" s="336"/>
      <c r="D186" s="336"/>
      <c r="E186" s="336"/>
      <c r="F186" s="336"/>
      <c r="G186" s="336"/>
    </row>
    <row r="187" ht="15.75" customHeight="1">
      <c r="A187" s="336"/>
      <c r="B187" s="336"/>
      <c r="C187" s="336"/>
      <c r="D187" s="336"/>
      <c r="E187" s="336"/>
      <c r="F187" s="336"/>
      <c r="G187" s="336"/>
    </row>
    <row r="188" ht="15.75" customHeight="1">
      <c r="A188" s="336"/>
      <c r="B188" s="336"/>
      <c r="C188" s="336"/>
      <c r="D188" s="336"/>
      <c r="E188" s="336"/>
      <c r="F188" s="336"/>
      <c r="G188" s="336"/>
    </row>
    <row r="189" ht="15.75" customHeight="1">
      <c r="A189" s="336"/>
      <c r="B189" s="336"/>
      <c r="C189" s="336"/>
      <c r="D189" s="336"/>
      <c r="E189" s="336"/>
      <c r="F189" s="336"/>
      <c r="G189" s="336"/>
    </row>
    <row r="190" ht="15.75" customHeight="1">
      <c r="A190" s="336"/>
      <c r="B190" s="336"/>
      <c r="C190" s="336"/>
      <c r="D190" s="336"/>
      <c r="E190" s="336"/>
      <c r="F190" s="336"/>
      <c r="G190" s="336"/>
    </row>
    <row r="191" ht="15.75" customHeight="1">
      <c r="A191" s="336"/>
      <c r="B191" s="336"/>
      <c r="C191" s="336"/>
      <c r="D191" s="336"/>
      <c r="E191" s="336"/>
      <c r="F191" s="336"/>
      <c r="G191" s="336"/>
    </row>
    <row r="192" ht="15.75" customHeight="1">
      <c r="A192" s="336"/>
      <c r="B192" s="336"/>
      <c r="C192" s="336"/>
      <c r="D192" s="336"/>
      <c r="E192" s="336"/>
      <c r="F192" s="336"/>
      <c r="G192" s="336"/>
    </row>
    <row r="193" ht="15.75" customHeight="1">
      <c r="A193" s="336"/>
      <c r="B193" s="336"/>
      <c r="C193" s="336"/>
      <c r="D193" s="336"/>
      <c r="E193" s="336"/>
      <c r="F193" s="336"/>
      <c r="G193" s="336"/>
    </row>
    <row r="194" ht="15.75" customHeight="1">
      <c r="A194" s="336"/>
      <c r="B194" s="336"/>
      <c r="C194" s="336"/>
      <c r="D194" s="336"/>
      <c r="E194" s="336"/>
      <c r="F194" s="336"/>
      <c r="G194" s="336"/>
    </row>
    <row r="195" ht="15.75" customHeight="1">
      <c r="A195" s="336"/>
      <c r="B195" s="336"/>
      <c r="C195" s="336"/>
      <c r="D195" s="336"/>
      <c r="E195" s="336"/>
      <c r="F195" s="336"/>
      <c r="G195" s="336"/>
    </row>
    <row r="196" ht="15.75" customHeight="1">
      <c r="A196" s="336"/>
      <c r="B196" s="336"/>
      <c r="C196" s="336"/>
      <c r="D196" s="336"/>
      <c r="E196" s="336"/>
      <c r="F196" s="336"/>
      <c r="G196" s="336"/>
    </row>
    <row r="197" ht="15.75" customHeight="1">
      <c r="A197" s="336"/>
      <c r="B197" s="336"/>
      <c r="C197" s="336"/>
      <c r="D197" s="336"/>
      <c r="E197" s="336"/>
      <c r="F197" s="336"/>
      <c r="G197" s="336"/>
    </row>
    <row r="198" ht="15.75" customHeight="1">
      <c r="A198" s="336"/>
      <c r="B198" s="336"/>
      <c r="C198" s="336"/>
      <c r="D198" s="336"/>
      <c r="E198" s="336"/>
      <c r="F198" s="336"/>
      <c r="G198" s="336"/>
    </row>
    <row r="199" ht="15.75" customHeight="1">
      <c r="A199" s="336"/>
      <c r="B199" s="336"/>
      <c r="C199" s="336"/>
      <c r="D199" s="336"/>
      <c r="E199" s="336"/>
      <c r="F199" s="336"/>
      <c r="G199" s="336"/>
    </row>
    <row r="200" ht="15.75" customHeight="1">
      <c r="A200" s="336"/>
      <c r="B200" s="336"/>
      <c r="C200" s="336"/>
      <c r="D200" s="336"/>
      <c r="E200" s="336"/>
      <c r="F200" s="336"/>
      <c r="G200" s="336"/>
    </row>
    <row r="201" ht="15.75" customHeight="1">
      <c r="A201" s="336"/>
      <c r="B201" s="336"/>
      <c r="C201" s="336"/>
      <c r="D201" s="336"/>
      <c r="E201" s="336"/>
      <c r="F201" s="336"/>
      <c r="G201" s="336"/>
    </row>
    <row r="202" ht="15.75" customHeight="1">
      <c r="A202" s="336"/>
      <c r="B202" s="336"/>
      <c r="C202" s="336"/>
      <c r="D202" s="336"/>
      <c r="E202" s="336"/>
      <c r="F202" s="336"/>
      <c r="G202" s="336"/>
    </row>
    <row r="203" ht="15.75" customHeight="1">
      <c r="A203" s="336"/>
      <c r="B203" s="336"/>
      <c r="C203" s="336"/>
      <c r="D203" s="336"/>
      <c r="E203" s="336"/>
      <c r="F203" s="336"/>
      <c r="G203" s="336"/>
    </row>
    <row r="204" ht="15.75" customHeight="1">
      <c r="A204" s="336"/>
      <c r="B204" s="336"/>
      <c r="C204" s="336"/>
      <c r="D204" s="336"/>
      <c r="E204" s="336"/>
      <c r="F204" s="336"/>
      <c r="G204" s="336"/>
    </row>
    <row r="205" ht="15.75" customHeight="1">
      <c r="A205" s="336"/>
      <c r="B205" s="336"/>
      <c r="C205" s="336"/>
      <c r="D205" s="336"/>
      <c r="E205" s="336"/>
      <c r="F205" s="336"/>
      <c r="G205" s="336"/>
    </row>
    <row r="206" ht="15.75" customHeight="1">
      <c r="A206" s="336"/>
      <c r="B206" s="336"/>
      <c r="C206" s="336"/>
      <c r="D206" s="336"/>
      <c r="E206" s="336"/>
      <c r="F206" s="336"/>
      <c r="G206" s="336"/>
    </row>
    <row r="207" ht="15.75" customHeight="1">
      <c r="A207" s="336"/>
      <c r="B207" s="336"/>
      <c r="C207" s="336"/>
      <c r="D207" s="336"/>
      <c r="E207" s="336"/>
      <c r="F207" s="336"/>
      <c r="G207" s="336"/>
    </row>
    <row r="208" ht="15.75" customHeight="1">
      <c r="A208" s="336"/>
      <c r="B208" s="336"/>
      <c r="C208" s="336"/>
      <c r="D208" s="336"/>
      <c r="E208" s="336"/>
      <c r="F208" s="336"/>
      <c r="G208" s="336"/>
    </row>
    <row r="209" ht="15.75" customHeight="1">
      <c r="A209" s="336"/>
      <c r="B209" s="336"/>
      <c r="C209" s="336"/>
      <c r="D209" s="336"/>
      <c r="E209" s="336"/>
      <c r="F209" s="336"/>
      <c r="G209" s="336"/>
    </row>
    <row r="210" ht="15.75" customHeight="1">
      <c r="A210" s="336"/>
      <c r="B210" s="336"/>
      <c r="C210" s="336"/>
      <c r="D210" s="336"/>
      <c r="E210" s="336"/>
      <c r="F210" s="336"/>
      <c r="G210" s="336"/>
    </row>
    <row r="211" ht="15.75" customHeight="1">
      <c r="A211" s="336"/>
      <c r="B211" s="336"/>
      <c r="C211" s="336"/>
      <c r="D211" s="336"/>
      <c r="E211" s="336"/>
      <c r="F211" s="336"/>
      <c r="G211" s="336"/>
    </row>
    <row r="212" ht="15.75" customHeight="1">
      <c r="A212" s="336"/>
      <c r="B212" s="336"/>
      <c r="C212" s="336"/>
      <c r="D212" s="336"/>
      <c r="E212" s="336"/>
      <c r="F212" s="336"/>
      <c r="G212" s="336"/>
    </row>
    <row r="213" ht="15.75" customHeight="1">
      <c r="A213" s="336"/>
      <c r="B213" s="336"/>
      <c r="C213" s="336"/>
      <c r="D213" s="336"/>
      <c r="E213" s="336"/>
      <c r="F213" s="336"/>
      <c r="G213" s="336"/>
    </row>
    <row r="214" ht="15.75" customHeight="1">
      <c r="A214" s="336"/>
      <c r="B214" s="336"/>
      <c r="C214" s="336"/>
      <c r="D214" s="336"/>
      <c r="E214" s="336"/>
      <c r="F214" s="336"/>
      <c r="G214" s="336"/>
    </row>
    <row r="215" ht="15.75" customHeight="1">
      <c r="A215" s="336"/>
      <c r="B215" s="336"/>
      <c r="C215" s="336"/>
      <c r="D215" s="336"/>
      <c r="E215" s="336"/>
      <c r="F215" s="336"/>
      <c r="G215" s="336"/>
    </row>
    <row r="216" ht="15.75" customHeight="1">
      <c r="A216" s="336"/>
      <c r="B216" s="336"/>
      <c r="C216" s="336"/>
      <c r="D216" s="336"/>
      <c r="E216" s="336"/>
      <c r="F216" s="336"/>
      <c r="G216" s="336"/>
    </row>
    <row r="217" ht="15.75" customHeight="1">
      <c r="A217" s="336"/>
      <c r="B217" s="336"/>
      <c r="C217" s="336"/>
      <c r="D217" s="336"/>
      <c r="E217" s="336"/>
      <c r="F217" s="336"/>
      <c r="G217" s="336"/>
    </row>
    <row r="218" ht="15.75" customHeight="1">
      <c r="A218" s="336"/>
      <c r="B218" s="336"/>
      <c r="C218" s="336"/>
      <c r="D218" s="336"/>
      <c r="E218" s="336"/>
      <c r="F218" s="336"/>
      <c r="G218" s="336"/>
    </row>
    <row r="219" ht="15.75" customHeight="1">
      <c r="A219" s="336"/>
      <c r="B219" s="336"/>
      <c r="C219" s="336"/>
      <c r="D219" s="336"/>
      <c r="E219" s="336"/>
      <c r="F219" s="336"/>
      <c r="G219" s="336"/>
    </row>
    <row r="220" ht="15.75" customHeight="1">
      <c r="A220" s="336"/>
      <c r="B220" s="336"/>
      <c r="C220" s="336"/>
      <c r="D220" s="336"/>
      <c r="E220" s="336"/>
      <c r="F220" s="336"/>
      <c r="G220" s="336"/>
    </row>
    <row r="221" ht="15.75" customHeight="1">
      <c r="A221" s="336"/>
      <c r="B221" s="336"/>
      <c r="C221" s="336"/>
      <c r="D221" s="336"/>
      <c r="E221" s="336"/>
      <c r="F221" s="336"/>
      <c r="G221" s="336"/>
    </row>
    <row r="222" ht="15.75" customHeight="1">
      <c r="A222" s="336"/>
      <c r="B222" s="336"/>
      <c r="C222" s="336"/>
      <c r="D222" s="336"/>
      <c r="E222" s="336"/>
      <c r="F222" s="336"/>
      <c r="G222" s="336"/>
    </row>
    <row r="223" ht="15.75" customHeight="1">
      <c r="A223" s="336"/>
      <c r="B223" s="336"/>
      <c r="C223" s="336"/>
      <c r="D223" s="336"/>
      <c r="E223" s="336"/>
      <c r="F223" s="336"/>
      <c r="G223" s="336"/>
    </row>
    <row r="224" ht="15.75" customHeight="1">
      <c r="A224" s="336"/>
      <c r="B224" s="336"/>
      <c r="C224" s="336"/>
      <c r="D224" s="336"/>
      <c r="E224" s="336"/>
      <c r="F224" s="336"/>
      <c r="G224" s="336"/>
    </row>
    <row r="225" ht="15.75" customHeight="1">
      <c r="A225" s="336"/>
      <c r="B225" s="336"/>
      <c r="C225" s="336"/>
      <c r="D225" s="336"/>
      <c r="E225" s="336"/>
      <c r="F225" s="336"/>
      <c r="G225" s="336"/>
    </row>
    <row r="226" ht="15.75" customHeight="1">
      <c r="A226" s="336"/>
      <c r="B226" s="336"/>
      <c r="C226" s="336"/>
      <c r="D226" s="336"/>
      <c r="E226" s="336"/>
      <c r="F226" s="336"/>
      <c r="G226" s="336"/>
    </row>
    <row r="227" ht="15.75" customHeight="1">
      <c r="A227" s="336"/>
      <c r="B227" s="336"/>
      <c r="C227" s="336"/>
      <c r="D227" s="336"/>
      <c r="E227" s="336"/>
      <c r="F227" s="336"/>
      <c r="G227" s="336"/>
    </row>
    <row r="228" ht="15.75" customHeight="1">
      <c r="A228" s="336"/>
      <c r="B228" s="336"/>
      <c r="C228" s="336"/>
      <c r="D228" s="336"/>
      <c r="E228" s="336"/>
      <c r="F228" s="336"/>
      <c r="G228" s="336"/>
    </row>
    <row r="229" ht="15.75" customHeight="1">
      <c r="A229" s="336"/>
      <c r="B229" s="336"/>
      <c r="C229" s="336"/>
      <c r="D229" s="336"/>
      <c r="E229" s="336"/>
      <c r="F229" s="336"/>
      <c r="G229" s="336"/>
    </row>
    <row r="230" ht="15.75" customHeight="1">
      <c r="A230" s="336"/>
      <c r="B230" s="336"/>
      <c r="C230" s="336"/>
      <c r="D230" s="336"/>
      <c r="E230" s="336"/>
      <c r="F230" s="336"/>
      <c r="G230" s="336"/>
    </row>
    <row r="231" ht="15.75" customHeight="1">
      <c r="A231" s="336"/>
      <c r="B231" s="336"/>
      <c r="C231" s="336"/>
      <c r="D231" s="336"/>
      <c r="E231" s="336"/>
      <c r="F231" s="336"/>
      <c r="G231" s="336"/>
    </row>
    <row r="232" ht="15.75" customHeight="1">
      <c r="A232" s="336"/>
      <c r="B232" s="336"/>
      <c r="C232" s="336"/>
      <c r="D232" s="336"/>
      <c r="E232" s="336"/>
      <c r="F232" s="336"/>
      <c r="G232" s="336"/>
    </row>
    <row r="233" ht="15.75" customHeight="1">
      <c r="A233" s="336"/>
      <c r="B233" s="336"/>
      <c r="C233" s="336"/>
      <c r="D233" s="336"/>
      <c r="E233" s="336"/>
      <c r="F233" s="336"/>
      <c r="G233" s="336"/>
    </row>
    <row r="234" ht="15.75" customHeight="1">
      <c r="A234" s="336"/>
      <c r="B234" s="336"/>
      <c r="C234" s="336"/>
      <c r="D234" s="336"/>
      <c r="E234" s="336"/>
      <c r="F234" s="336"/>
      <c r="G234" s="336"/>
    </row>
    <row r="235" ht="15.75" customHeight="1">
      <c r="A235" s="336"/>
      <c r="B235" s="336"/>
      <c r="C235" s="336"/>
      <c r="D235" s="336"/>
      <c r="E235" s="336"/>
      <c r="F235" s="336"/>
      <c r="G235" s="336"/>
    </row>
    <row r="236" ht="15.75" customHeight="1">
      <c r="A236" s="336"/>
      <c r="B236" s="336"/>
      <c r="C236" s="336"/>
      <c r="D236" s="336"/>
      <c r="E236" s="336"/>
      <c r="F236" s="336"/>
      <c r="G236" s="336"/>
    </row>
    <row r="237" ht="15.75" customHeight="1">
      <c r="A237" s="336"/>
      <c r="B237" s="336"/>
      <c r="C237" s="336"/>
      <c r="D237" s="336"/>
      <c r="E237" s="336"/>
      <c r="F237" s="336"/>
      <c r="G237" s="336"/>
    </row>
    <row r="238" ht="15.75" customHeight="1">
      <c r="A238" s="336"/>
      <c r="B238" s="336"/>
      <c r="C238" s="336"/>
      <c r="D238" s="336"/>
      <c r="E238" s="336"/>
      <c r="F238" s="336"/>
      <c r="G238" s="336"/>
    </row>
    <row r="239" ht="15.75" customHeight="1">
      <c r="A239" s="336"/>
      <c r="B239" s="336"/>
      <c r="C239" s="336"/>
      <c r="D239" s="336"/>
      <c r="E239" s="336"/>
      <c r="F239" s="336"/>
      <c r="G239" s="336"/>
    </row>
    <row r="240" ht="15.75" customHeight="1">
      <c r="A240" s="336"/>
      <c r="B240" s="336"/>
      <c r="C240" s="336"/>
      <c r="D240" s="336"/>
      <c r="E240" s="336"/>
      <c r="F240" s="336"/>
      <c r="G240" s="336"/>
    </row>
    <row r="241" ht="15.75" customHeight="1">
      <c r="A241" s="336"/>
      <c r="B241" s="336"/>
      <c r="C241" s="336"/>
      <c r="D241" s="336"/>
      <c r="E241" s="336"/>
      <c r="F241" s="336"/>
      <c r="G241" s="336"/>
    </row>
    <row r="242" ht="15.75" customHeight="1">
      <c r="A242" s="336"/>
      <c r="B242" s="336"/>
      <c r="C242" s="336"/>
      <c r="D242" s="336"/>
      <c r="E242" s="336"/>
      <c r="F242" s="336"/>
      <c r="G242" s="33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G1"/>
    <mergeCell ref="A2:G2"/>
    <mergeCell ref="A3:G3"/>
    <mergeCell ref="A4:G4"/>
    <mergeCell ref="B5:C5"/>
    <mergeCell ref="B6:C6"/>
    <mergeCell ref="F8:G8"/>
    <mergeCell ref="F9:G9"/>
    <mergeCell ref="F10:G10"/>
    <mergeCell ref="F11:G11"/>
    <mergeCell ref="F13:G13"/>
    <mergeCell ref="A14:G14"/>
    <mergeCell ref="D18:G18"/>
    <mergeCell ref="D19:G19"/>
    <mergeCell ref="F31:G31"/>
    <mergeCell ref="F32:G32"/>
    <mergeCell ref="F33:G33"/>
    <mergeCell ref="F35:G35"/>
    <mergeCell ref="A36:G36"/>
    <mergeCell ref="D40:G40"/>
    <mergeCell ref="D41:G41"/>
    <mergeCell ref="A23:G23"/>
    <mergeCell ref="A24:G24"/>
    <mergeCell ref="A25:G25"/>
    <mergeCell ref="A26:G26"/>
    <mergeCell ref="B27:C27"/>
    <mergeCell ref="B28:C28"/>
    <mergeCell ref="F30:G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7.75"/>
    <col customWidth="1" min="3" max="3" width="38.38"/>
    <col customWidth="1" min="4" max="6" width="12.63"/>
    <col customWidth="1" min="7" max="7" width="1.88"/>
  </cols>
  <sheetData>
    <row r="1" ht="15.75" customHeight="1">
      <c r="A1" s="295" t="s">
        <v>259</v>
      </c>
    </row>
    <row r="2" ht="15.75" customHeight="1">
      <c r="A2" s="295" t="s">
        <v>260</v>
      </c>
    </row>
    <row r="3" ht="15.75" customHeight="1">
      <c r="A3" s="296" t="s">
        <v>261</v>
      </c>
      <c r="I3" s="297"/>
    </row>
    <row r="4" ht="15.75" customHeight="1">
      <c r="A4" s="298" t="s">
        <v>262</v>
      </c>
      <c r="B4" s="299"/>
      <c r="C4" s="299"/>
      <c r="D4" s="299"/>
      <c r="E4" s="299"/>
      <c r="F4" s="299"/>
      <c r="G4" s="299"/>
    </row>
    <row r="5" ht="15.75" customHeight="1">
      <c r="A5" s="300" t="s">
        <v>263</v>
      </c>
      <c r="B5" s="126" t="s">
        <v>264</v>
      </c>
      <c r="D5" s="300" t="s">
        <v>265</v>
      </c>
      <c r="E5" s="126"/>
      <c r="F5" s="301" t="s">
        <v>266</v>
      </c>
      <c r="G5" s="302"/>
    </row>
    <row r="6" ht="15.75" customHeight="1">
      <c r="A6" s="300" t="s">
        <v>267</v>
      </c>
      <c r="B6" s="126" t="s">
        <v>268</v>
      </c>
      <c r="D6" s="300" t="s">
        <v>269</v>
      </c>
      <c r="E6" s="126"/>
      <c r="F6" s="301" t="s">
        <v>266</v>
      </c>
      <c r="G6" s="303"/>
    </row>
    <row r="7" ht="15.75" customHeight="1">
      <c r="A7" s="304"/>
      <c r="B7" s="305"/>
      <c r="C7" s="306"/>
      <c r="D7" s="304"/>
      <c r="E7" s="305"/>
      <c r="F7" s="305"/>
      <c r="G7" s="306"/>
    </row>
    <row r="8" ht="15.75" customHeight="1">
      <c r="A8" s="307" t="s">
        <v>6</v>
      </c>
      <c r="B8" s="308" t="s">
        <v>240</v>
      </c>
      <c r="C8" s="308" t="s">
        <v>270</v>
      </c>
      <c r="D8" s="308" t="s">
        <v>271</v>
      </c>
      <c r="E8" s="308" t="s">
        <v>272</v>
      </c>
      <c r="F8" s="309" t="s">
        <v>273</v>
      </c>
      <c r="G8" s="26"/>
    </row>
    <row r="9" ht="77.25" customHeight="1">
      <c r="A9" s="310">
        <v>1.0</v>
      </c>
      <c r="B9" s="311" t="s">
        <v>257</v>
      </c>
      <c r="C9" s="312" t="s">
        <v>298</v>
      </c>
      <c r="D9" s="313">
        <v>30.0</v>
      </c>
      <c r="E9" s="314">
        <v>14000.0</v>
      </c>
      <c r="F9" s="315">
        <f>E9*D9</f>
        <v>420000</v>
      </c>
      <c r="G9" s="255"/>
    </row>
    <row r="10" ht="15.75" customHeight="1">
      <c r="A10" s="316"/>
      <c r="B10" s="317"/>
      <c r="C10" s="318"/>
      <c r="D10" s="319"/>
      <c r="E10" s="314"/>
      <c r="F10" s="320"/>
      <c r="G10" s="255"/>
    </row>
    <row r="11" ht="15.75" customHeight="1">
      <c r="A11" s="316"/>
      <c r="B11" s="317"/>
      <c r="C11" s="321"/>
      <c r="D11" s="319"/>
      <c r="E11" s="314"/>
      <c r="F11" s="320"/>
      <c r="G11" s="255"/>
    </row>
    <row r="12" ht="15.75" customHeight="1">
      <c r="A12" s="310"/>
      <c r="B12" s="322"/>
      <c r="C12" s="323" t="s">
        <v>274</v>
      </c>
      <c r="D12" s="303"/>
      <c r="E12" s="303"/>
      <c r="F12" s="126"/>
      <c r="G12" s="322"/>
    </row>
    <row r="13" ht="15.75" customHeight="1">
      <c r="A13" s="324"/>
      <c r="B13" s="306"/>
      <c r="C13" s="325" t="s">
        <v>275</v>
      </c>
      <c r="D13" s="306"/>
      <c r="E13" s="306"/>
      <c r="F13" s="326">
        <f>sum(F9)</f>
        <v>420000</v>
      </c>
      <c r="G13" s="26"/>
    </row>
    <row r="14" ht="15.75" customHeight="1">
      <c r="A14" s="327" t="s">
        <v>276</v>
      </c>
      <c r="B14" s="299"/>
      <c r="C14" s="299"/>
      <c r="D14" s="299"/>
      <c r="E14" s="299"/>
      <c r="F14" s="299"/>
      <c r="G14" s="26"/>
    </row>
    <row r="15" ht="15.75" customHeight="1">
      <c r="A15" s="328"/>
      <c r="B15" s="303"/>
      <c r="C15" s="303" t="s">
        <v>277</v>
      </c>
      <c r="D15" s="329" t="s">
        <v>278</v>
      </c>
      <c r="E15" s="126"/>
      <c r="F15" s="126"/>
      <c r="G15" s="303"/>
    </row>
    <row r="16" ht="15.75" customHeight="1">
      <c r="A16" s="328"/>
      <c r="B16" s="303"/>
      <c r="C16" s="303" t="s">
        <v>279</v>
      </c>
      <c r="D16" s="126"/>
      <c r="E16" s="126"/>
      <c r="F16" s="126"/>
      <c r="G16" s="303"/>
    </row>
    <row r="17" ht="15.75" customHeight="1">
      <c r="A17" s="328" t="s">
        <v>280</v>
      </c>
      <c r="B17" s="303"/>
      <c r="C17" s="303"/>
      <c r="D17" s="126"/>
      <c r="E17" s="126"/>
      <c r="F17" s="126"/>
      <c r="G17" s="303"/>
    </row>
    <row r="18" ht="15.75" customHeight="1">
      <c r="A18" s="330" t="s">
        <v>281</v>
      </c>
      <c r="B18" s="303"/>
      <c r="C18" s="331" t="s">
        <v>144</v>
      </c>
      <c r="D18" s="332" t="s">
        <v>282</v>
      </c>
      <c r="G18" s="255"/>
    </row>
    <row r="19" ht="15.75" customHeight="1">
      <c r="A19" s="330" t="s">
        <v>283</v>
      </c>
      <c r="B19" s="303"/>
      <c r="C19" s="333" t="s">
        <v>284</v>
      </c>
      <c r="D19" s="334" t="s">
        <v>151</v>
      </c>
      <c r="G19" s="255"/>
    </row>
    <row r="20" ht="15.75" customHeight="1">
      <c r="A20" s="304" t="s">
        <v>285</v>
      </c>
      <c r="B20" s="306"/>
      <c r="C20" s="335">
        <v>45306.0</v>
      </c>
      <c r="D20" s="305"/>
      <c r="E20" s="305"/>
      <c r="F20" s="305"/>
      <c r="G20" s="306"/>
    </row>
    <row r="21" ht="15.75" customHeight="1">
      <c r="A21" s="336"/>
      <c r="B21" s="336"/>
      <c r="C21" s="336"/>
      <c r="D21" s="336"/>
      <c r="E21" s="336"/>
      <c r="F21" s="336"/>
      <c r="G21" s="336"/>
    </row>
    <row r="22" ht="15.75" customHeight="1">
      <c r="A22" s="336"/>
      <c r="B22" s="336"/>
      <c r="C22" s="336"/>
      <c r="D22" s="336"/>
      <c r="E22" s="336"/>
      <c r="F22" s="336"/>
      <c r="G22" s="336"/>
    </row>
    <row r="23" ht="15.75" customHeight="1">
      <c r="A23" s="295" t="s">
        <v>259</v>
      </c>
    </row>
    <row r="24" ht="15.75" customHeight="1">
      <c r="A24" s="295" t="s">
        <v>260</v>
      </c>
    </row>
    <row r="25" ht="15.75" customHeight="1">
      <c r="A25" s="296" t="s">
        <v>261</v>
      </c>
    </row>
    <row r="26" ht="15.75" customHeight="1">
      <c r="A26" s="298" t="s">
        <v>262</v>
      </c>
      <c r="B26" s="299"/>
      <c r="C26" s="299"/>
      <c r="D26" s="299"/>
      <c r="E26" s="299"/>
      <c r="F26" s="299"/>
      <c r="G26" s="299"/>
    </row>
    <row r="27" ht="15.75" customHeight="1">
      <c r="A27" s="300" t="s">
        <v>263</v>
      </c>
      <c r="B27" s="126" t="s">
        <v>264</v>
      </c>
      <c r="D27" s="300" t="s">
        <v>265</v>
      </c>
      <c r="E27" s="126"/>
      <c r="F27" s="301" t="s">
        <v>266</v>
      </c>
      <c r="G27" s="302"/>
    </row>
    <row r="28" ht="15.75" customHeight="1">
      <c r="A28" s="300" t="s">
        <v>267</v>
      </c>
      <c r="B28" s="126" t="s">
        <v>268</v>
      </c>
      <c r="D28" s="300" t="s">
        <v>269</v>
      </c>
      <c r="E28" s="126"/>
      <c r="F28" s="301" t="s">
        <v>266</v>
      </c>
      <c r="G28" s="303"/>
    </row>
    <row r="29" ht="15.75" customHeight="1">
      <c r="A29" s="304"/>
      <c r="B29" s="305"/>
      <c r="C29" s="306"/>
      <c r="D29" s="304"/>
      <c r="E29" s="305"/>
      <c r="F29" s="305"/>
      <c r="G29" s="306"/>
    </row>
    <row r="30" ht="15.75" customHeight="1">
      <c r="A30" s="307" t="s">
        <v>6</v>
      </c>
      <c r="B30" s="308" t="s">
        <v>240</v>
      </c>
      <c r="C30" s="308" t="s">
        <v>270</v>
      </c>
      <c r="D30" s="308" t="s">
        <v>271</v>
      </c>
      <c r="E30" s="308" t="s">
        <v>272</v>
      </c>
      <c r="F30" s="309" t="s">
        <v>273</v>
      </c>
      <c r="G30" s="26"/>
    </row>
    <row r="31" ht="77.25" customHeight="1">
      <c r="A31" s="310">
        <v>1.0</v>
      </c>
      <c r="B31" s="311" t="str">
        <f t="shared" ref="B31:E31" si="1">B9</f>
        <v>drums</v>
      </c>
      <c r="C31" s="312" t="str">
        <f t="shared" si="1"/>
        <v>DIESEL FUEL
210 liters / drum </v>
      </c>
      <c r="D31" s="313">
        <f t="shared" si="1"/>
        <v>30</v>
      </c>
      <c r="E31" s="314">
        <f t="shared" si="1"/>
        <v>14000</v>
      </c>
      <c r="F31" s="315">
        <f>E31*D31</f>
        <v>420000</v>
      </c>
      <c r="G31" s="255"/>
    </row>
    <row r="32" ht="15.75" customHeight="1">
      <c r="A32" s="316"/>
      <c r="B32" s="317"/>
      <c r="C32" s="318"/>
      <c r="D32" s="319"/>
      <c r="E32" s="314"/>
      <c r="F32" s="320"/>
      <c r="G32" s="255"/>
    </row>
    <row r="33" ht="15.75" customHeight="1">
      <c r="A33" s="316"/>
      <c r="B33" s="317"/>
      <c r="C33" s="321"/>
      <c r="D33" s="319"/>
      <c r="E33" s="314"/>
      <c r="F33" s="320"/>
      <c r="G33" s="255"/>
    </row>
    <row r="34" ht="15.75" customHeight="1">
      <c r="A34" s="310"/>
      <c r="B34" s="322"/>
      <c r="C34" s="323" t="s">
        <v>274</v>
      </c>
      <c r="D34" s="303"/>
      <c r="E34" s="303"/>
      <c r="F34" s="126"/>
      <c r="G34" s="322"/>
    </row>
    <row r="35" ht="15.75" customHeight="1">
      <c r="A35" s="324"/>
      <c r="B35" s="306"/>
      <c r="C35" s="325" t="s">
        <v>275</v>
      </c>
      <c r="D35" s="306"/>
      <c r="E35" s="306"/>
      <c r="F35" s="326">
        <f>sum(F31)</f>
        <v>420000</v>
      </c>
      <c r="G35" s="26"/>
    </row>
    <row r="36" ht="15.75" customHeight="1">
      <c r="A36" s="327" t="s">
        <v>276</v>
      </c>
      <c r="B36" s="299"/>
      <c r="C36" s="299"/>
      <c r="D36" s="299"/>
      <c r="E36" s="299"/>
      <c r="F36" s="299"/>
      <c r="G36" s="26"/>
    </row>
    <row r="37" ht="15.75" customHeight="1">
      <c r="A37" s="328"/>
      <c r="B37" s="303"/>
      <c r="C37" s="303" t="s">
        <v>277</v>
      </c>
      <c r="D37" s="329" t="s">
        <v>278</v>
      </c>
      <c r="E37" s="126"/>
      <c r="F37" s="126"/>
      <c r="G37" s="303"/>
    </row>
    <row r="38" ht="15.75" customHeight="1">
      <c r="A38" s="328"/>
      <c r="B38" s="303"/>
      <c r="C38" s="303" t="s">
        <v>279</v>
      </c>
      <c r="D38" s="126"/>
      <c r="E38" s="126"/>
      <c r="F38" s="126"/>
      <c r="G38" s="303"/>
    </row>
    <row r="39" ht="15.75" customHeight="1">
      <c r="A39" s="328" t="s">
        <v>280</v>
      </c>
      <c r="B39" s="303"/>
      <c r="C39" s="303"/>
      <c r="D39" s="126"/>
      <c r="E39" s="126"/>
      <c r="F39" s="126"/>
      <c r="G39" s="303"/>
    </row>
    <row r="40" ht="15.75" customHeight="1">
      <c r="A40" s="330" t="s">
        <v>281</v>
      </c>
      <c r="B40" s="303"/>
      <c r="C40" s="331" t="s">
        <v>144</v>
      </c>
      <c r="D40" s="332" t="s">
        <v>282</v>
      </c>
      <c r="G40" s="255"/>
    </row>
    <row r="41" ht="15.75" customHeight="1">
      <c r="A41" s="330" t="s">
        <v>283</v>
      </c>
      <c r="B41" s="303"/>
      <c r="C41" s="333" t="s">
        <v>284</v>
      </c>
      <c r="D41" s="334" t="s">
        <v>151</v>
      </c>
      <c r="G41" s="255"/>
    </row>
    <row r="42" ht="15.75" customHeight="1">
      <c r="A42" s="304" t="s">
        <v>285</v>
      </c>
      <c r="B42" s="306"/>
      <c r="C42" s="335">
        <f>C20</f>
        <v>45306</v>
      </c>
      <c r="D42" s="305"/>
      <c r="E42" s="305"/>
      <c r="F42" s="305"/>
      <c r="G42" s="306"/>
    </row>
    <row r="43" ht="15.75" customHeight="1">
      <c r="A43" s="336"/>
      <c r="B43" s="336"/>
      <c r="C43" s="336"/>
      <c r="D43" s="336"/>
      <c r="E43" s="336"/>
      <c r="F43" s="336"/>
      <c r="G43" s="336"/>
    </row>
    <row r="44" ht="15.75" customHeight="1">
      <c r="A44" s="336"/>
      <c r="B44" s="336"/>
      <c r="C44" s="336"/>
      <c r="D44" s="336"/>
      <c r="E44" s="336"/>
      <c r="F44" s="336"/>
      <c r="G44" s="336"/>
    </row>
    <row r="45" ht="15.75" customHeight="1">
      <c r="A45" s="336"/>
      <c r="B45" s="336"/>
      <c r="C45" s="336"/>
      <c r="D45" s="336"/>
      <c r="E45" s="336"/>
      <c r="F45" s="336"/>
      <c r="G45" s="336"/>
    </row>
    <row r="46" ht="15.75" customHeight="1">
      <c r="A46" s="336"/>
      <c r="B46" s="336"/>
      <c r="C46" s="336"/>
      <c r="D46" s="336"/>
      <c r="E46" s="336"/>
      <c r="F46" s="336"/>
      <c r="G46" s="336"/>
    </row>
    <row r="47" ht="15.75" customHeight="1">
      <c r="A47" s="336"/>
      <c r="B47" s="336"/>
      <c r="C47" s="336"/>
      <c r="D47" s="336"/>
      <c r="E47" s="336"/>
      <c r="F47" s="336"/>
      <c r="G47" s="336"/>
    </row>
    <row r="48" ht="15.75" customHeight="1">
      <c r="A48" s="336"/>
      <c r="B48" s="336"/>
      <c r="C48" s="336"/>
      <c r="D48" s="336"/>
      <c r="E48" s="336"/>
      <c r="F48" s="336"/>
      <c r="G48" s="336"/>
    </row>
    <row r="49" ht="15.75" customHeight="1">
      <c r="A49" s="336"/>
      <c r="B49" s="336"/>
      <c r="C49" s="336"/>
      <c r="D49" s="336"/>
      <c r="E49" s="336"/>
      <c r="F49" s="336"/>
      <c r="G49" s="336"/>
    </row>
    <row r="50" ht="15.75" customHeight="1">
      <c r="A50" s="336"/>
      <c r="B50" s="336"/>
      <c r="C50" s="336"/>
      <c r="D50" s="336"/>
      <c r="E50" s="336"/>
      <c r="F50" s="336"/>
      <c r="G50" s="336"/>
    </row>
    <row r="51" ht="15.75" customHeight="1">
      <c r="A51" s="336"/>
      <c r="B51" s="336"/>
      <c r="C51" s="336"/>
      <c r="D51" s="336"/>
      <c r="E51" s="336"/>
      <c r="F51" s="336"/>
      <c r="G51" s="336"/>
    </row>
    <row r="52" ht="15.75" customHeight="1">
      <c r="A52" s="336"/>
      <c r="B52" s="336"/>
      <c r="C52" s="336"/>
      <c r="D52" s="336"/>
      <c r="E52" s="336"/>
      <c r="F52" s="336"/>
      <c r="G52" s="336"/>
    </row>
    <row r="53" ht="15.75" customHeight="1">
      <c r="A53" s="336"/>
      <c r="B53" s="336"/>
      <c r="C53" s="336"/>
      <c r="D53" s="336"/>
      <c r="E53" s="336"/>
      <c r="F53" s="336"/>
      <c r="G53" s="336"/>
    </row>
    <row r="54" ht="15.75" customHeight="1">
      <c r="A54" s="336"/>
      <c r="B54" s="336"/>
      <c r="C54" s="336"/>
      <c r="D54" s="336"/>
      <c r="E54" s="336"/>
      <c r="F54" s="336"/>
      <c r="G54" s="336"/>
    </row>
    <row r="55" ht="15.75" customHeight="1">
      <c r="A55" s="336"/>
      <c r="B55" s="336"/>
      <c r="C55" s="336"/>
      <c r="D55" s="336"/>
      <c r="E55" s="336"/>
      <c r="F55" s="336"/>
      <c r="G55" s="336"/>
    </row>
    <row r="56" ht="15.75" customHeight="1">
      <c r="A56" s="336"/>
      <c r="B56" s="336"/>
      <c r="C56" s="336"/>
      <c r="D56" s="336"/>
      <c r="E56" s="336"/>
      <c r="F56" s="336"/>
      <c r="G56" s="336"/>
    </row>
    <row r="57" ht="15.75" customHeight="1">
      <c r="A57" s="336"/>
      <c r="B57" s="336"/>
      <c r="C57" s="336"/>
      <c r="D57" s="336"/>
      <c r="E57" s="336"/>
      <c r="F57" s="336"/>
      <c r="G57" s="336"/>
    </row>
    <row r="58" ht="15.75" customHeight="1">
      <c r="A58" s="336"/>
      <c r="B58" s="336"/>
      <c r="C58" s="336"/>
      <c r="D58" s="336"/>
      <c r="E58" s="336"/>
      <c r="F58" s="336"/>
      <c r="G58" s="336"/>
    </row>
    <row r="59" ht="15.75" customHeight="1">
      <c r="A59" s="336"/>
      <c r="B59" s="336"/>
      <c r="C59" s="336"/>
      <c r="D59" s="336"/>
      <c r="E59" s="336"/>
      <c r="F59" s="336"/>
      <c r="G59" s="336"/>
    </row>
    <row r="60" ht="15.75" customHeight="1">
      <c r="A60" s="336"/>
      <c r="B60" s="336"/>
      <c r="C60" s="336"/>
      <c r="D60" s="336"/>
      <c r="E60" s="336"/>
      <c r="F60" s="336"/>
      <c r="G60" s="336"/>
    </row>
    <row r="61" ht="15.75" customHeight="1">
      <c r="A61" s="336"/>
      <c r="B61" s="336"/>
      <c r="C61" s="336"/>
      <c r="D61" s="336"/>
      <c r="E61" s="336"/>
      <c r="F61" s="336"/>
      <c r="G61" s="336"/>
    </row>
    <row r="62" ht="15.75" customHeight="1">
      <c r="A62" s="336"/>
      <c r="B62" s="336"/>
      <c r="C62" s="336"/>
      <c r="D62" s="336"/>
      <c r="E62" s="336"/>
      <c r="F62" s="336"/>
      <c r="G62" s="336"/>
    </row>
    <row r="63" ht="15.75" customHeight="1">
      <c r="A63" s="336"/>
      <c r="B63" s="336"/>
      <c r="C63" s="336"/>
      <c r="D63" s="336"/>
      <c r="E63" s="336"/>
      <c r="F63" s="336"/>
      <c r="G63" s="336"/>
    </row>
    <row r="64" ht="15.75" customHeight="1">
      <c r="A64" s="336"/>
      <c r="B64" s="336"/>
      <c r="C64" s="336"/>
      <c r="D64" s="336"/>
      <c r="E64" s="336"/>
      <c r="F64" s="336"/>
      <c r="G64" s="336"/>
    </row>
    <row r="65" ht="15.75" customHeight="1">
      <c r="A65" s="336"/>
      <c r="B65" s="336"/>
      <c r="C65" s="336"/>
      <c r="D65" s="336"/>
      <c r="E65" s="336"/>
      <c r="F65" s="336"/>
      <c r="G65" s="336"/>
    </row>
    <row r="66" ht="15.75" customHeight="1">
      <c r="A66" s="336"/>
      <c r="B66" s="336"/>
      <c r="C66" s="336"/>
      <c r="D66" s="336"/>
      <c r="E66" s="336"/>
      <c r="F66" s="336"/>
      <c r="G66" s="336"/>
    </row>
    <row r="67" ht="15.75" customHeight="1">
      <c r="A67" s="336"/>
      <c r="B67" s="336"/>
      <c r="C67" s="336"/>
      <c r="D67" s="336"/>
      <c r="E67" s="336"/>
      <c r="F67" s="336"/>
      <c r="G67" s="336"/>
    </row>
    <row r="68" ht="15.75" customHeight="1">
      <c r="A68" s="336"/>
      <c r="B68" s="336"/>
      <c r="C68" s="336"/>
      <c r="D68" s="336"/>
      <c r="E68" s="336"/>
      <c r="F68" s="336"/>
      <c r="G68" s="336"/>
    </row>
    <row r="69" ht="15.75" customHeight="1">
      <c r="A69" s="336"/>
      <c r="B69" s="336"/>
      <c r="C69" s="336"/>
      <c r="D69" s="336"/>
      <c r="E69" s="336"/>
      <c r="F69" s="336"/>
      <c r="G69" s="336"/>
    </row>
    <row r="70" ht="15.75" customHeight="1">
      <c r="A70" s="336"/>
      <c r="B70" s="336"/>
      <c r="C70" s="336"/>
      <c r="D70" s="336"/>
      <c r="E70" s="336"/>
      <c r="F70" s="336"/>
      <c r="G70" s="336"/>
    </row>
    <row r="71" ht="15.75" customHeight="1">
      <c r="A71" s="336"/>
      <c r="B71" s="336"/>
      <c r="C71" s="336"/>
      <c r="D71" s="336"/>
      <c r="E71" s="336"/>
      <c r="F71" s="336"/>
      <c r="G71" s="336"/>
    </row>
    <row r="72" ht="15.75" customHeight="1">
      <c r="A72" s="336"/>
      <c r="B72" s="336"/>
      <c r="C72" s="336"/>
      <c r="D72" s="336"/>
      <c r="E72" s="336"/>
      <c r="F72" s="336"/>
      <c r="G72" s="336"/>
    </row>
    <row r="73" ht="15.75" customHeight="1">
      <c r="A73" s="336"/>
      <c r="B73" s="336"/>
      <c r="C73" s="336"/>
      <c r="D73" s="336"/>
      <c r="E73" s="336"/>
      <c r="F73" s="336"/>
      <c r="G73" s="336"/>
    </row>
    <row r="74" ht="15.75" customHeight="1">
      <c r="A74" s="336"/>
      <c r="B74" s="336"/>
      <c r="C74" s="336"/>
      <c r="D74" s="336"/>
      <c r="E74" s="336"/>
      <c r="F74" s="336"/>
      <c r="G74" s="336"/>
    </row>
    <row r="75" ht="15.75" customHeight="1">
      <c r="A75" s="336"/>
      <c r="B75" s="336"/>
      <c r="C75" s="336"/>
      <c r="D75" s="336"/>
      <c r="E75" s="336"/>
      <c r="F75" s="336"/>
      <c r="G75" s="336"/>
    </row>
    <row r="76" ht="15.75" customHeight="1">
      <c r="A76" s="336"/>
      <c r="B76" s="336"/>
      <c r="C76" s="336"/>
      <c r="D76" s="336"/>
      <c r="E76" s="336"/>
      <c r="F76" s="336"/>
      <c r="G76" s="336"/>
    </row>
    <row r="77" ht="15.75" customHeight="1">
      <c r="A77" s="336"/>
      <c r="B77" s="336"/>
      <c r="C77" s="336"/>
      <c r="D77" s="336"/>
      <c r="E77" s="336"/>
      <c r="F77" s="336"/>
      <c r="G77" s="336"/>
    </row>
    <row r="78" ht="15.75" customHeight="1">
      <c r="A78" s="336"/>
      <c r="B78" s="336"/>
      <c r="C78" s="336"/>
      <c r="D78" s="336"/>
      <c r="E78" s="336"/>
      <c r="F78" s="336"/>
      <c r="G78" s="336"/>
    </row>
    <row r="79" ht="15.75" customHeight="1">
      <c r="A79" s="336"/>
      <c r="B79" s="336"/>
      <c r="C79" s="336"/>
      <c r="D79" s="336"/>
      <c r="E79" s="336"/>
      <c r="F79" s="336"/>
      <c r="G79" s="336"/>
    </row>
    <row r="80" ht="15.75" customHeight="1">
      <c r="A80" s="336"/>
      <c r="B80" s="336"/>
      <c r="C80" s="336"/>
      <c r="D80" s="336"/>
      <c r="E80" s="336"/>
      <c r="F80" s="336"/>
      <c r="G80" s="336"/>
    </row>
    <row r="81" ht="15.75" customHeight="1">
      <c r="A81" s="336"/>
      <c r="B81" s="336"/>
      <c r="C81" s="336"/>
      <c r="D81" s="336"/>
      <c r="E81" s="336"/>
      <c r="F81" s="336"/>
      <c r="G81" s="336"/>
    </row>
    <row r="82" ht="15.75" customHeight="1">
      <c r="A82" s="336"/>
      <c r="B82" s="336"/>
      <c r="C82" s="336"/>
      <c r="D82" s="336"/>
      <c r="E82" s="336"/>
      <c r="F82" s="336"/>
      <c r="G82" s="336"/>
    </row>
    <row r="83" ht="15.75" customHeight="1">
      <c r="A83" s="336"/>
      <c r="B83" s="336"/>
      <c r="C83" s="336"/>
      <c r="D83" s="336"/>
      <c r="E83" s="336"/>
      <c r="F83" s="336"/>
      <c r="G83" s="336"/>
    </row>
    <row r="84" ht="15.75" customHeight="1">
      <c r="A84" s="336"/>
      <c r="B84" s="336"/>
      <c r="C84" s="336"/>
      <c r="D84" s="336"/>
      <c r="E84" s="336"/>
      <c r="F84" s="336"/>
      <c r="G84" s="336"/>
    </row>
    <row r="85" ht="15.75" customHeight="1">
      <c r="A85" s="336"/>
      <c r="B85" s="336"/>
      <c r="C85" s="336"/>
      <c r="D85" s="336"/>
      <c r="E85" s="336"/>
      <c r="F85" s="336"/>
      <c r="G85" s="336"/>
    </row>
    <row r="86" ht="15.75" customHeight="1">
      <c r="A86" s="336"/>
      <c r="B86" s="336"/>
      <c r="C86" s="336"/>
      <c r="D86" s="336"/>
      <c r="E86" s="336"/>
      <c r="F86" s="336"/>
      <c r="G86" s="336"/>
    </row>
    <row r="87" ht="15.75" customHeight="1">
      <c r="A87" s="336"/>
      <c r="B87" s="336"/>
      <c r="C87" s="336"/>
      <c r="D87" s="336"/>
      <c r="E87" s="336"/>
      <c r="F87" s="336"/>
      <c r="G87" s="336"/>
    </row>
    <row r="88" ht="15.75" customHeight="1">
      <c r="A88" s="336"/>
      <c r="B88" s="336"/>
      <c r="C88" s="336"/>
      <c r="D88" s="336"/>
      <c r="E88" s="336"/>
      <c r="F88" s="336"/>
      <c r="G88" s="336"/>
    </row>
    <row r="89" ht="15.75" customHeight="1">
      <c r="A89" s="336"/>
      <c r="B89" s="336"/>
      <c r="C89" s="336"/>
      <c r="D89" s="336"/>
      <c r="E89" s="336"/>
      <c r="F89" s="336"/>
      <c r="G89" s="336"/>
    </row>
    <row r="90" ht="15.75" customHeight="1">
      <c r="A90" s="336"/>
      <c r="B90" s="336"/>
      <c r="C90" s="336"/>
      <c r="D90" s="336"/>
      <c r="E90" s="336"/>
      <c r="F90" s="336"/>
      <c r="G90" s="336"/>
    </row>
    <row r="91" ht="15.75" customHeight="1">
      <c r="A91" s="336"/>
      <c r="B91" s="336"/>
      <c r="C91" s="336"/>
      <c r="D91" s="336"/>
      <c r="E91" s="336"/>
      <c r="F91" s="336"/>
      <c r="G91" s="336"/>
    </row>
    <row r="92" ht="15.75" customHeight="1">
      <c r="A92" s="336"/>
      <c r="B92" s="336"/>
      <c r="C92" s="336"/>
      <c r="D92" s="336"/>
      <c r="E92" s="336"/>
      <c r="F92" s="336"/>
      <c r="G92" s="336"/>
    </row>
    <row r="93" ht="15.75" customHeight="1">
      <c r="A93" s="336"/>
      <c r="B93" s="336"/>
      <c r="C93" s="336"/>
      <c r="D93" s="336"/>
      <c r="E93" s="336"/>
      <c r="F93" s="336"/>
      <c r="G93" s="336"/>
    </row>
    <row r="94" ht="15.75" customHeight="1">
      <c r="A94" s="336"/>
      <c r="B94" s="336"/>
      <c r="C94" s="336"/>
      <c r="D94" s="336"/>
      <c r="E94" s="336"/>
      <c r="F94" s="336"/>
      <c r="G94" s="336"/>
    </row>
    <row r="95" ht="15.75" customHeight="1">
      <c r="A95" s="336"/>
      <c r="B95" s="336"/>
      <c r="C95" s="336"/>
      <c r="D95" s="336"/>
      <c r="E95" s="336"/>
      <c r="F95" s="336"/>
      <c r="G95" s="336"/>
    </row>
    <row r="96" ht="15.75" customHeight="1">
      <c r="A96" s="336"/>
      <c r="B96" s="336"/>
      <c r="C96" s="336"/>
      <c r="D96" s="336"/>
      <c r="E96" s="336"/>
      <c r="F96" s="336"/>
      <c r="G96" s="336"/>
    </row>
    <row r="97" ht="15.75" customHeight="1">
      <c r="A97" s="336"/>
      <c r="B97" s="336"/>
      <c r="C97" s="336"/>
      <c r="D97" s="336"/>
      <c r="E97" s="336"/>
      <c r="F97" s="336"/>
      <c r="G97" s="336"/>
    </row>
    <row r="98" ht="15.75" customHeight="1">
      <c r="A98" s="336"/>
      <c r="B98" s="336"/>
      <c r="C98" s="336"/>
      <c r="D98" s="336"/>
      <c r="E98" s="336"/>
      <c r="F98" s="336"/>
      <c r="G98" s="336"/>
    </row>
    <row r="99" ht="15.75" customHeight="1">
      <c r="A99" s="336"/>
      <c r="B99" s="336"/>
      <c r="C99" s="336"/>
      <c r="D99" s="336"/>
      <c r="E99" s="336"/>
      <c r="F99" s="336"/>
      <c r="G99" s="336"/>
    </row>
    <row r="100" ht="15.75" customHeight="1">
      <c r="A100" s="336"/>
      <c r="B100" s="336"/>
      <c r="C100" s="336"/>
      <c r="D100" s="336"/>
      <c r="E100" s="336"/>
      <c r="F100" s="336"/>
      <c r="G100" s="336"/>
    </row>
    <row r="101" ht="15.75" customHeight="1">
      <c r="A101" s="336"/>
      <c r="B101" s="336"/>
      <c r="C101" s="336"/>
      <c r="D101" s="336"/>
      <c r="E101" s="336"/>
      <c r="F101" s="336"/>
      <c r="G101" s="336"/>
    </row>
    <row r="102" ht="15.75" customHeight="1">
      <c r="A102" s="336"/>
      <c r="B102" s="336"/>
      <c r="C102" s="336"/>
      <c r="D102" s="336"/>
      <c r="E102" s="336"/>
      <c r="F102" s="336"/>
      <c r="G102" s="336"/>
    </row>
    <row r="103" ht="15.75" customHeight="1">
      <c r="A103" s="336"/>
      <c r="B103" s="336"/>
      <c r="C103" s="336"/>
      <c r="D103" s="336"/>
      <c r="E103" s="336"/>
      <c r="F103" s="336"/>
      <c r="G103" s="336"/>
    </row>
    <row r="104" ht="15.75" customHeight="1">
      <c r="A104" s="336"/>
      <c r="B104" s="336"/>
      <c r="C104" s="336"/>
      <c r="D104" s="336"/>
      <c r="E104" s="336"/>
      <c r="F104" s="336"/>
      <c r="G104" s="336"/>
    </row>
    <row r="105" ht="15.75" customHeight="1">
      <c r="A105" s="336"/>
      <c r="B105" s="336"/>
      <c r="C105" s="336"/>
      <c r="D105" s="336"/>
      <c r="E105" s="336"/>
      <c r="F105" s="336"/>
      <c r="G105" s="336"/>
    </row>
    <row r="106" ht="15.75" customHeight="1">
      <c r="A106" s="336"/>
      <c r="B106" s="336"/>
      <c r="C106" s="336"/>
      <c r="D106" s="336"/>
      <c r="E106" s="336"/>
      <c r="F106" s="336"/>
      <c r="G106" s="336"/>
    </row>
    <row r="107" ht="15.75" customHeight="1">
      <c r="A107" s="336"/>
      <c r="B107" s="336"/>
      <c r="C107" s="336"/>
      <c r="D107" s="336"/>
      <c r="E107" s="336"/>
      <c r="F107" s="336"/>
      <c r="G107" s="336"/>
    </row>
    <row r="108" ht="15.75" customHeight="1">
      <c r="A108" s="336"/>
      <c r="B108" s="336"/>
      <c r="C108" s="336"/>
      <c r="D108" s="336"/>
      <c r="E108" s="336"/>
      <c r="F108" s="336"/>
      <c r="G108" s="336"/>
    </row>
    <row r="109" ht="15.75" customHeight="1">
      <c r="A109" s="336"/>
      <c r="B109" s="336"/>
      <c r="C109" s="336"/>
      <c r="D109" s="336"/>
      <c r="E109" s="336"/>
      <c r="F109" s="336"/>
      <c r="G109" s="336"/>
    </row>
    <row r="110" ht="15.75" customHeight="1">
      <c r="A110" s="336"/>
      <c r="B110" s="336"/>
      <c r="C110" s="336"/>
      <c r="D110" s="336"/>
      <c r="E110" s="336"/>
      <c r="F110" s="336"/>
      <c r="G110" s="336"/>
    </row>
    <row r="111" ht="15.75" customHeight="1">
      <c r="A111" s="336"/>
      <c r="B111" s="336"/>
      <c r="C111" s="336"/>
      <c r="D111" s="336"/>
      <c r="E111" s="336"/>
      <c r="F111" s="336"/>
      <c r="G111" s="336"/>
    </row>
    <row r="112" ht="15.75" customHeight="1">
      <c r="A112" s="336"/>
      <c r="B112" s="336"/>
      <c r="C112" s="336"/>
      <c r="D112" s="336"/>
      <c r="E112" s="336"/>
      <c r="F112" s="336"/>
      <c r="G112" s="336"/>
    </row>
    <row r="113" ht="15.75" customHeight="1">
      <c r="A113" s="336"/>
      <c r="B113" s="336"/>
      <c r="C113" s="336"/>
      <c r="D113" s="336"/>
      <c r="E113" s="336"/>
      <c r="F113" s="336"/>
      <c r="G113" s="336"/>
    </row>
    <row r="114" ht="15.75" customHeight="1">
      <c r="A114" s="336"/>
      <c r="B114" s="336"/>
      <c r="C114" s="336"/>
      <c r="D114" s="336"/>
      <c r="E114" s="336"/>
      <c r="F114" s="336"/>
      <c r="G114" s="336"/>
    </row>
    <row r="115" ht="15.75" customHeight="1">
      <c r="A115" s="336"/>
      <c r="B115" s="336"/>
      <c r="C115" s="336"/>
      <c r="D115" s="336"/>
      <c r="E115" s="336"/>
      <c r="F115" s="336"/>
      <c r="G115" s="336"/>
    </row>
    <row r="116" ht="15.75" customHeight="1">
      <c r="A116" s="336"/>
      <c r="B116" s="336"/>
      <c r="C116" s="336"/>
      <c r="D116" s="336"/>
      <c r="E116" s="336"/>
      <c r="F116" s="336"/>
      <c r="G116" s="336"/>
    </row>
    <row r="117" ht="15.75" customHeight="1">
      <c r="A117" s="336"/>
      <c r="B117" s="336"/>
      <c r="C117" s="336"/>
      <c r="D117" s="336"/>
      <c r="E117" s="336"/>
      <c r="F117" s="336"/>
      <c r="G117" s="336"/>
    </row>
    <row r="118" ht="15.75" customHeight="1">
      <c r="A118" s="336"/>
      <c r="B118" s="336"/>
      <c r="C118" s="336"/>
      <c r="D118" s="336"/>
      <c r="E118" s="336"/>
      <c r="F118" s="336"/>
      <c r="G118" s="336"/>
    </row>
    <row r="119" ht="15.75" customHeight="1">
      <c r="A119" s="336"/>
      <c r="B119" s="336"/>
      <c r="C119" s="336"/>
      <c r="D119" s="336"/>
      <c r="E119" s="336"/>
      <c r="F119" s="336"/>
      <c r="G119" s="336"/>
    </row>
    <row r="120" ht="15.75" customHeight="1">
      <c r="A120" s="336"/>
      <c r="B120" s="336"/>
      <c r="C120" s="336"/>
      <c r="D120" s="336"/>
      <c r="E120" s="336"/>
      <c r="F120" s="336"/>
      <c r="G120" s="336"/>
    </row>
    <row r="121" ht="15.75" customHeight="1">
      <c r="A121" s="336"/>
      <c r="B121" s="336"/>
      <c r="C121" s="336"/>
      <c r="D121" s="336"/>
      <c r="E121" s="336"/>
      <c r="F121" s="336"/>
      <c r="G121" s="336"/>
    </row>
    <row r="122" ht="15.75" customHeight="1">
      <c r="A122" s="336"/>
      <c r="B122" s="336"/>
      <c r="C122" s="336"/>
      <c r="D122" s="336"/>
      <c r="E122" s="336"/>
      <c r="F122" s="336"/>
      <c r="G122" s="336"/>
    </row>
    <row r="123" ht="15.75" customHeight="1">
      <c r="A123" s="336"/>
      <c r="B123" s="336"/>
      <c r="C123" s="336"/>
      <c r="D123" s="336"/>
      <c r="E123" s="336"/>
      <c r="F123" s="336"/>
      <c r="G123" s="336"/>
    </row>
    <row r="124" ht="15.75" customHeight="1">
      <c r="A124" s="336"/>
      <c r="B124" s="336"/>
      <c r="C124" s="336"/>
      <c r="D124" s="336"/>
      <c r="E124" s="336"/>
      <c r="F124" s="336"/>
      <c r="G124" s="336"/>
    </row>
    <row r="125" ht="15.75" customHeight="1">
      <c r="A125" s="336"/>
      <c r="B125" s="336"/>
      <c r="C125" s="336"/>
      <c r="D125" s="336"/>
      <c r="E125" s="336"/>
      <c r="F125" s="336"/>
      <c r="G125" s="336"/>
    </row>
    <row r="126" ht="15.75" customHeight="1">
      <c r="A126" s="336"/>
      <c r="B126" s="336"/>
      <c r="C126" s="336"/>
      <c r="D126" s="336"/>
      <c r="E126" s="336"/>
      <c r="F126" s="336"/>
      <c r="G126" s="336"/>
    </row>
    <row r="127" ht="15.75" customHeight="1">
      <c r="A127" s="336"/>
      <c r="B127" s="336"/>
      <c r="C127" s="336"/>
      <c r="D127" s="336"/>
      <c r="E127" s="336"/>
      <c r="F127" s="336"/>
      <c r="G127" s="336"/>
    </row>
    <row r="128" ht="15.75" customHeight="1">
      <c r="A128" s="336"/>
      <c r="B128" s="336"/>
      <c r="C128" s="336"/>
      <c r="D128" s="336"/>
      <c r="E128" s="336"/>
      <c r="F128" s="336"/>
      <c r="G128" s="336"/>
    </row>
    <row r="129" ht="15.75" customHeight="1">
      <c r="A129" s="336"/>
      <c r="B129" s="336"/>
      <c r="C129" s="336"/>
      <c r="D129" s="336"/>
      <c r="E129" s="336"/>
      <c r="F129" s="336"/>
      <c r="G129" s="336"/>
    </row>
    <row r="130" ht="15.75" customHeight="1">
      <c r="A130" s="336"/>
      <c r="B130" s="336"/>
      <c r="C130" s="336"/>
      <c r="D130" s="336"/>
      <c r="E130" s="336"/>
      <c r="F130" s="336"/>
      <c r="G130" s="336"/>
    </row>
    <row r="131" ht="15.75" customHeight="1">
      <c r="A131" s="336"/>
      <c r="B131" s="336"/>
      <c r="C131" s="336"/>
      <c r="D131" s="336"/>
      <c r="E131" s="336"/>
      <c r="F131" s="336"/>
      <c r="G131" s="336"/>
    </row>
    <row r="132" ht="15.75" customHeight="1">
      <c r="A132" s="336"/>
      <c r="B132" s="336"/>
      <c r="C132" s="336"/>
      <c r="D132" s="336"/>
      <c r="E132" s="336"/>
      <c r="F132" s="336"/>
      <c r="G132" s="336"/>
    </row>
    <row r="133" ht="15.75" customHeight="1">
      <c r="A133" s="336"/>
      <c r="B133" s="336"/>
      <c r="C133" s="336"/>
      <c r="D133" s="336"/>
      <c r="E133" s="336"/>
      <c r="F133" s="336"/>
      <c r="G133" s="336"/>
    </row>
    <row r="134" ht="15.75" customHeight="1">
      <c r="A134" s="336"/>
      <c r="B134" s="336"/>
      <c r="C134" s="336"/>
      <c r="D134" s="336"/>
      <c r="E134" s="336"/>
      <c r="F134" s="336"/>
      <c r="G134" s="336"/>
    </row>
    <row r="135" ht="15.75" customHeight="1">
      <c r="A135" s="336"/>
      <c r="B135" s="336"/>
      <c r="C135" s="336"/>
      <c r="D135" s="336"/>
      <c r="E135" s="336"/>
      <c r="F135" s="336"/>
      <c r="G135" s="336"/>
    </row>
    <row r="136" ht="15.75" customHeight="1">
      <c r="A136" s="336"/>
      <c r="B136" s="336"/>
      <c r="C136" s="336"/>
      <c r="D136" s="336"/>
      <c r="E136" s="336"/>
      <c r="F136" s="336"/>
      <c r="G136" s="336"/>
    </row>
    <row r="137" ht="15.75" customHeight="1">
      <c r="A137" s="336"/>
      <c r="B137" s="336"/>
      <c r="C137" s="336"/>
      <c r="D137" s="336"/>
      <c r="E137" s="336"/>
      <c r="F137" s="336"/>
      <c r="G137" s="336"/>
    </row>
    <row r="138" ht="15.75" customHeight="1">
      <c r="A138" s="336"/>
      <c r="B138" s="336"/>
      <c r="C138" s="336"/>
      <c r="D138" s="336"/>
      <c r="E138" s="336"/>
      <c r="F138" s="336"/>
      <c r="G138" s="336"/>
    </row>
    <row r="139" ht="15.75" customHeight="1">
      <c r="A139" s="336"/>
      <c r="B139" s="336"/>
      <c r="C139" s="336"/>
      <c r="D139" s="336"/>
      <c r="E139" s="336"/>
      <c r="F139" s="336"/>
      <c r="G139" s="336"/>
    </row>
    <row r="140" ht="15.75" customHeight="1">
      <c r="A140" s="336"/>
      <c r="B140" s="336"/>
      <c r="C140" s="336"/>
      <c r="D140" s="336"/>
      <c r="E140" s="336"/>
      <c r="F140" s="336"/>
      <c r="G140" s="336"/>
    </row>
    <row r="141" ht="15.75" customHeight="1">
      <c r="A141" s="336"/>
      <c r="B141" s="336"/>
      <c r="C141" s="336"/>
      <c r="D141" s="336"/>
      <c r="E141" s="336"/>
      <c r="F141" s="336"/>
      <c r="G141" s="336"/>
    </row>
    <row r="142" ht="15.75" customHeight="1">
      <c r="A142" s="336"/>
      <c r="B142" s="336"/>
      <c r="C142" s="336"/>
      <c r="D142" s="336"/>
      <c r="E142" s="336"/>
      <c r="F142" s="336"/>
      <c r="G142" s="336"/>
    </row>
    <row r="143" ht="15.75" customHeight="1">
      <c r="A143" s="336"/>
      <c r="B143" s="336"/>
      <c r="C143" s="336"/>
      <c r="D143" s="336"/>
      <c r="E143" s="336"/>
      <c r="F143" s="336"/>
      <c r="G143" s="336"/>
    </row>
    <row r="144" ht="15.75" customHeight="1">
      <c r="A144" s="336"/>
      <c r="B144" s="336"/>
      <c r="C144" s="336"/>
      <c r="D144" s="336"/>
      <c r="E144" s="336"/>
      <c r="F144" s="336"/>
      <c r="G144" s="336"/>
    </row>
    <row r="145" ht="15.75" customHeight="1">
      <c r="A145" s="336"/>
      <c r="B145" s="336"/>
      <c r="C145" s="336"/>
      <c r="D145" s="336"/>
      <c r="E145" s="336"/>
      <c r="F145" s="336"/>
      <c r="G145" s="336"/>
    </row>
    <row r="146" ht="15.75" customHeight="1">
      <c r="A146" s="336"/>
      <c r="B146" s="336"/>
      <c r="C146" s="336"/>
      <c r="D146" s="336"/>
      <c r="E146" s="336"/>
      <c r="F146" s="336"/>
      <c r="G146" s="336"/>
    </row>
    <row r="147" ht="15.75" customHeight="1">
      <c r="A147" s="336"/>
      <c r="B147" s="336"/>
      <c r="C147" s="336"/>
      <c r="D147" s="336"/>
      <c r="E147" s="336"/>
      <c r="F147" s="336"/>
      <c r="G147" s="336"/>
    </row>
    <row r="148" ht="15.75" customHeight="1">
      <c r="A148" s="336"/>
      <c r="B148" s="336"/>
      <c r="C148" s="336"/>
      <c r="D148" s="336"/>
      <c r="E148" s="336"/>
      <c r="F148" s="336"/>
      <c r="G148" s="336"/>
    </row>
    <row r="149" ht="15.75" customHeight="1">
      <c r="A149" s="336"/>
      <c r="B149" s="336"/>
      <c r="C149" s="336"/>
      <c r="D149" s="336"/>
      <c r="E149" s="336"/>
      <c r="F149" s="336"/>
      <c r="G149" s="336"/>
    </row>
    <row r="150" ht="15.75" customHeight="1">
      <c r="A150" s="336"/>
      <c r="B150" s="336"/>
      <c r="C150" s="336"/>
      <c r="D150" s="336"/>
      <c r="E150" s="336"/>
      <c r="F150" s="336"/>
      <c r="G150" s="336"/>
    </row>
    <row r="151" ht="15.75" customHeight="1">
      <c r="A151" s="336"/>
      <c r="B151" s="336"/>
      <c r="C151" s="336"/>
      <c r="D151" s="336"/>
      <c r="E151" s="336"/>
      <c r="F151" s="336"/>
      <c r="G151" s="336"/>
    </row>
    <row r="152" ht="15.75" customHeight="1">
      <c r="A152" s="336"/>
      <c r="B152" s="336"/>
      <c r="C152" s="336"/>
      <c r="D152" s="336"/>
      <c r="E152" s="336"/>
      <c r="F152" s="336"/>
      <c r="G152" s="336"/>
    </row>
    <row r="153" ht="15.75" customHeight="1">
      <c r="A153" s="336"/>
      <c r="B153" s="336"/>
      <c r="C153" s="336"/>
      <c r="D153" s="336"/>
      <c r="E153" s="336"/>
      <c r="F153" s="336"/>
      <c r="G153" s="336"/>
    </row>
    <row r="154" ht="15.75" customHeight="1">
      <c r="A154" s="336"/>
      <c r="B154" s="336"/>
      <c r="C154" s="336"/>
      <c r="D154" s="336"/>
      <c r="E154" s="336"/>
      <c r="F154" s="336"/>
      <c r="G154" s="336"/>
    </row>
    <row r="155" ht="15.75" customHeight="1">
      <c r="A155" s="336"/>
      <c r="B155" s="336"/>
      <c r="C155" s="336"/>
      <c r="D155" s="336"/>
      <c r="E155" s="336"/>
      <c r="F155" s="336"/>
      <c r="G155" s="336"/>
    </row>
    <row r="156" ht="15.75" customHeight="1">
      <c r="A156" s="336"/>
      <c r="B156" s="336"/>
      <c r="C156" s="336"/>
      <c r="D156" s="336"/>
      <c r="E156" s="336"/>
      <c r="F156" s="336"/>
      <c r="G156" s="336"/>
    </row>
    <row r="157" ht="15.75" customHeight="1">
      <c r="A157" s="336"/>
      <c r="B157" s="336"/>
      <c r="C157" s="336"/>
      <c r="D157" s="336"/>
      <c r="E157" s="336"/>
      <c r="F157" s="336"/>
      <c r="G157" s="336"/>
    </row>
    <row r="158" ht="15.75" customHeight="1">
      <c r="A158" s="336"/>
      <c r="B158" s="336"/>
      <c r="C158" s="336"/>
      <c r="D158" s="336"/>
      <c r="E158" s="336"/>
      <c r="F158" s="336"/>
      <c r="G158" s="336"/>
    </row>
    <row r="159" ht="15.75" customHeight="1">
      <c r="A159" s="336"/>
      <c r="B159" s="336"/>
      <c r="C159" s="336"/>
      <c r="D159" s="336"/>
      <c r="E159" s="336"/>
      <c r="F159" s="336"/>
      <c r="G159" s="336"/>
    </row>
    <row r="160" ht="15.75" customHeight="1">
      <c r="A160" s="336"/>
      <c r="B160" s="336"/>
      <c r="C160" s="336"/>
      <c r="D160" s="336"/>
      <c r="E160" s="336"/>
      <c r="F160" s="336"/>
      <c r="G160" s="336"/>
    </row>
    <row r="161" ht="15.75" customHeight="1">
      <c r="A161" s="336"/>
      <c r="B161" s="336"/>
      <c r="C161" s="336"/>
      <c r="D161" s="336"/>
      <c r="E161" s="336"/>
      <c r="F161" s="336"/>
      <c r="G161" s="336"/>
    </row>
    <row r="162" ht="15.75" customHeight="1">
      <c r="A162" s="336"/>
      <c r="B162" s="336"/>
      <c r="C162" s="336"/>
      <c r="D162" s="336"/>
      <c r="E162" s="336"/>
      <c r="F162" s="336"/>
      <c r="G162" s="336"/>
    </row>
    <row r="163" ht="15.75" customHeight="1">
      <c r="A163" s="336"/>
      <c r="B163" s="336"/>
      <c r="C163" s="336"/>
      <c r="D163" s="336"/>
      <c r="E163" s="336"/>
      <c r="F163" s="336"/>
      <c r="G163" s="336"/>
    </row>
    <row r="164" ht="15.75" customHeight="1">
      <c r="A164" s="336"/>
      <c r="B164" s="336"/>
      <c r="C164" s="336"/>
      <c r="D164" s="336"/>
      <c r="E164" s="336"/>
      <c r="F164" s="336"/>
      <c r="G164" s="336"/>
    </row>
    <row r="165" ht="15.75" customHeight="1">
      <c r="A165" s="336"/>
      <c r="B165" s="336"/>
      <c r="C165" s="336"/>
      <c r="D165" s="336"/>
      <c r="E165" s="336"/>
      <c r="F165" s="336"/>
      <c r="G165" s="336"/>
    </row>
    <row r="166" ht="15.75" customHeight="1">
      <c r="A166" s="336"/>
      <c r="B166" s="336"/>
      <c r="C166" s="336"/>
      <c r="D166" s="336"/>
      <c r="E166" s="336"/>
      <c r="F166" s="336"/>
      <c r="G166" s="336"/>
    </row>
    <row r="167" ht="15.75" customHeight="1">
      <c r="A167" s="336"/>
      <c r="B167" s="336"/>
      <c r="C167" s="336"/>
      <c r="D167" s="336"/>
      <c r="E167" s="336"/>
      <c r="F167" s="336"/>
      <c r="G167" s="336"/>
    </row>
    <row r="168" ht="15.75" customHeight="1">
      <c r="A168" s="336"/>
      <c r="B168" s="336"/>
      <c r="C168" s="336"/>
      <c r="D168" s="336"/>
      <c r="E168" s="336"/>
      <c r="F168" s="336"/>
      <c r="G168" s="336"/>
    </row>
    <row r="169" ht="15.75" customHeight="1">
      <c r="A169" s="336"/>
      <c r="B169" s="336"/>
      <c r="C169" s="336"/>
      <c r="D169" s="336"/>
      <c r="E169" s="336"/>
      <c r="F169" s="336"/>
      <c r="G169" s="336"/>
    </row>
    <row r="170" ht="15.75" customHeight="1">
      <c r="A170" s="336"/>
      <c r="B170" s="336"/>
      <c r="C170" s="336"/>
      <c r="D170" s="336"/>
      <c r="E170" s="336"/>
      <c r="F170" s="336"/>
      <c r="G170" s="336"/>
    </row>
    <row r="171" ht="15.75" customHeight="1">
      <c r="A171" s="336"/>
      <c r="B171" s="336"/>
      <c r="C171" s="336"/>
      <c r="D171" s="336"/>
      <c r="E171" s="336"/>
      <c r="F171" s="336"/>
      <c r="G171" s="336"/>
    </row>
    <row r="172" ht="15.75" customHeight="1">
      <c r="A172" s="336"/>
      <c r="B172" s="336"/>
      <c r="C172" s="336"/>
      <c r="D172" s="336"/>
      <c r="E172" s="336"/>
      <c r="F172" s="336"/>
      <c r="G172" s="336"/>
    </row>
    <row r="173" ht="15.75" customHeight="1">
      <c r="A173" s="336"/>
      <c r="B173" s="336"/>
      <c r="C173" s="336"/>
      <c r="D173" s="336"/>
      <c r="E173" s="336"/>
      <c r="F173" s="336"/>
      <c r="G173" s="336"/>
    </row>
    <row r="174" ht="15.75" customHeight="1">
      <c r="A174" s="336"/>
      <c r="B174" s="336"/>
      <c r="C174" s="336"/>
      <c r="D174" s="336"/>
      <c r="E174" s="336"/>
      <c r="F174" s="336"/>
      <c r="G174" s="336"/>
    </row>
    <row r="175" ht="15.75" customHeight="1">
      <c r="A175" s="336"/>
      <c r="B175" s="336"/>
      <c r="C175" s="336"/>
      <c r="D175" s="336"/>
      <c r="E175" s="336"/>
      <c r="F175" s="336"/>
      <c r="G175" s="336"/>
    </row>
    <row r="176" ht="15.75" customHeight="1">
      <c r="A176" s="336"/>
      <c r="B176" s="336"/>
      <c r="C176" s="336"/>
      <c r="D176" s="336"/>
      <c r="E176" s="336"/>
      <c r="F176" s="336"/>
      <c r="G176" s="336"/>
    </row>
    <row r="177" ht="15.75" customHeight="1">
      <c r="A177" s="336"/>
      <c r="B177" s="336"/>
      <c r="C177" s="336"/>
      <c r="D177" s="336"/>
      <c r="E177" s="336"/>
      <c r="F177" s="336"/>
      <c r="G177" s="336"/>
    </row>
    <row r="178" ht="15.75" customHeight="1">
      <c r="A178" s="336"/>
      <c r="B178" s="336"/>
      <c r="C178" s="336"/>
      <c r="D178" s="336"/>
      <c r="E178" s="336"/>
      <c r="F178" s="336"/>
      <c r="G178" s="336"/>
    </row>
    <row r="179" ht="15.75" customHeight="1">
      <c r="A179" s="336"/>
      <c r="B179" s="336"/>
      <c r="C179" s="336"/>
      <c r="D179" s="336"/>
      <c r="E179" s="336"/>
      <c r="F179" s="336"/>
      <c r="G179" s="336"/>
    </row>
    <row r="180" ht="15.75" customHeight="1">
      <c r="A180" s="336"/>
      <c r="B180" s="336"/>
      <c r="C180" s="336"/>
      <c r="D180" s="336"/>
      <c r="E180" s="336"/>
      <c r="F180" s="336"/>
      <c r="G180" s="336"/>
    </row>
    <row r="181" ht="15.75" customHeight="1">
      <c r="A181" s="336"/>
      <c r="B181" s="336"/>
      <c r="C181" s="336"/>
      <c r="D181" s="336"/>
      <c r="E181" s="336"/>
      <c r="F181" s="336"/>
      <c r="G181" s="336"/>
    </row>
    <row r="182" ht="15.75" customHeight="1">
      <c r="A182" s="336"/>
      <c r="B182" s="336"/>
      <c r="C182" s="336"/>
      <c r="D182" s="336"/>
      <c r="E182" s="336"/>
      <c r="F182" s="336"/>
      <c r="G182" s="336"/>
    </row>
    <row r="183" ht="15.75" customHeight="1">
      <c r="A183" s="336"/>
      <c r="B183" s="336"/>
      <c r="C183" s="336"/>
      <c r="D183" s="336"/>
      <c r="E183" s="336"/>
      <c r="F183" s="336"/>
      <c r="G183" s="336"/>
    </row>
    <row r="184" ht="15.75" customHeight="1">
      <c r="A184" s="336"/>
      <c r="B184" s="336"/>
      <c r="C184" s="336"/>
      <c r="D184" s="336"/>
      <c r="E184" s="336"/>
      <c r="F184" s="336"/>
      <c r="G184" s="336"/>
    </row>
    <row r="185" ht="15.75" customHeight="1">
      <c r="A185" s="336"/>
      <c r="B185" s="336"/>
      <c r="C185" s="336"/>
      <c r="D185" s="336"/>
      <c r="E185" s="336"/>
      <c r="F185" s="336"/>
      <c r="G185" s="336"/>
    </row>
    <row r="186" ht="15.75" customHeight="1">
      <c r="A186" s="336"/>
      <c r="B186" s="336"/>
      <c r="C186" s="336"/>
      <c r="D186" s="336"/>
      <c r="E186" s="336"/>
      <c r="F186" s="336"/>
      <c r="G186" s="336"/>
    </row>
    <row r="187" ht="15.75" customHeight="1">
      <c r="A187" s="336"/>
      <c r="B187" s="336"/>
      <c r="C187" s="336"/>
      <c r="D187" s="336"/>
      <c r="E187" s="336"/>
      <c r="F187" s="336"/>
      <c r="G187" s="336"/>
    </row>
    <row r="188" ht="15.75" customHeight="1">
      <c r="A188" s="336"/>
      <c r="B188" s="336"/>
      <c r="C188" s="336"/>
      <c r="D188" s="336"/>
      <c r="E188" s="336"/>
      <c r="F188" s="336"/>
      <c r="G188" s="336"/>
    </row>
    <row r="189" ht="15.75" customHeight="1">
      <c r="A189" s="336"/>
      <c r="B189" s="336"/>
      <c r="C189" s="336"/>
      <c r="D189" s="336"/>
      <c r="E189" s="336"/>
      <c r="F189" s="336"/>
      <c r="G189" s="336"/>
    </row>
    <row r="190" ht="15.75" customHeight="1">
      <c r="A190" s="336"/>
      <c r="B190" s="336"/>
      <c r="C190" s="336"/>
      <c r="D190" s="336"/>
      <c r="E190" s="336"/>
      <c r="F190" s="336"/>
      <c r="G190" s="336"/>
    </row>
    <row r="191" ht="15.75" customHeight="1">
      <c r="A191" s="336"/>
      <c r="B191" s="336"/>
      <c r="C191" s="336"/>
      <c r="D191" s="336"/>
      <c r="E191" s="336"/>
      <c r="F191" s="336"/>
      <c r="G191" s="336"/>
    </row>
    <row r="192" ht="15.75" customHeight="1">
      <c r="A192" s="336"/>
      <c r="B192" s="336"/>
      <c r="C192" s="336"/>
      <c r="D192" s="336"/>
      <c r="E192" s="336"/>
      <c r="F192" s="336"/>
      <c r="G192" s="336"/>
    </row>
    <row r="193" ht="15.75" customHeight="1">
      <c r="A193" s="336"/>
      <c r="B193" s="336"/>
      <c r="C193" s="336"/>
      <c r="D193" s="336"/>
      <c r="E193" s="336"/>
      <c r="F193" s="336"/>
      <c r="G193" s="336"/>
    </row>
    <row r="194" ht="15.75" customHeight="1">
      <c r="A194" s="336"/>
      <c r="B194" s="336"/>
      <c r="C194" s="336"/>
      <c r="D194" s="336"/>
      <c r="E194" s="336"/>
      <c r="F194" s="336"/>
      <c r="G194" s="336"/>
    </row>
    <row r="195" ht="15.75" customHeight="1">
      <c r="A195" s="336"/>
      <c r="B195" s="336"/>
      <c r="C195" s="336"/>
      <c r="D195" s="336"/>
      <c r="E195" s="336"/>
      <c r="F195" s="336"/>
      <c r="G195" s="336"/>
    </row>
    <row r="196" ht="15.75" customHeight="1">
      <c r="A196" s="336"/>
      <c r="B196" s="336"/>
      <c r="C196" s="336"/>
      <c r="D196" s="336"/>
      <c r="E196" s="336"/>
      <c r="F196" s="336"/>
      <c r="G196" s="336"/>
    </row>
    <row r="197" ht="15.75" customHeight="1">
      <c r="A197" s="336"/>
      <c r="B197" s="336"/>
      <c r="C197" s="336"/>
      <c r="D197" s="336"/>
      <c r="E197" s="336"/>
      <c r="F197" s="336"/>
      <c r="G197" s="336"/>
    </row>
    <row r="198" ht="15.75" customHeight="1">
      <c r="A198" s="336"/>
      <c r="B198" s="336"/>
      <c r="C198" s="336"/>
      <c r="D198" s="336"/>
      <c r="E198" s="336"/>
      <c r="F198" s="336"/>
      <c r="G198" s="336"/>
    </row>
    <row r="199" ht="15.75" customHeight="1">
      <c r="A199" s="336"/>
      <c r="B199" s="336"/>
      <c r="C199" s="336"/>
      <c r="D199" s="336"/>
      <c r="E199" s="336"/>
      <c r="F199" s="336"/>
      <c r="G199" s="336"/>
    </row>
    <row r="200" ht="15.75" customHeight="1">
      <c r="A200" s="336"/>
      <c r="B200" s="336"/>
      <c r="C200" s="336"/>
      <c r="D200" s="336"/>
      <c r="E200" s="336"/>
      <c r="F200" s="336"/>
      <c r="G200" s="336"/>
    </row>
    <row r="201" ht="15.75" customHeight="1">
      <c r="A201" s="336"/>
      <c r="B201" s="336"/>
      <c r="C201" s="336"/>
      <c r="D201" s="336"/>
      <c r="E201" s="336"/>
      <c r="F201" s="336"/>
      <c r="G201" s="336"/>
    </row>
    <row r="202" ht="15.75" customHeight="1">
      <c r="A202" s="336"/>
      <c r="B202" s="336"/>
      <c r="C202" s="336"/>
      <c r="D202" s="336"/>
      <c r="E202" s="336"/>
      <c r="F202" s="336"/>
      <c r="G202" s="336"/>
    </row>
    <row r="203" ht="15.75" customHeight="1">
      <c r="A203" s="336"/>
      <c r="B203" s="336"/>
      <c r="C203" s="336"/>
      <c r="D203" s="336"/>
      <c r="E203" s="336"/>
      <c r="F203" s="336"/>
      <c r="G203" s="336"/>
    </row>
    <row r="204" ht="15.75" customHeight="1">
      <c r="A204" s="336"/>
      <c r="B204" s="336"/>
      <c r="C204" s="336"/>
      <c r="D204" s="336"/>
      <c r="E204" s="336"/>
      <c r="F204" s="336"/>
      <c r="G204" s="336"/>
    </row>
    <row r="205" ht="15.75" customHeight="1">
      <c r="A205" s="336"/>
      <c r="B205" s="336"/>
      <c r="C205" s="336"/>
      <c r="D205" s="336"/>
      <c r="E205" s="336"/>
      <c r="F205" s="336"/>
      <c r="G205" s="336"/>
    </row>
    <row r="206" ht="15.75" customHeight="1">
      <c r="A206" s="336"/>
      <c r="B206" s="336"/>
      <c r="C206" s="336"/>
      <c r="D206" s="336"/>
      <c r="E206" s="336"/>
      <c r="F206" s="336"/>
      <c r="G206" s="336"/>
    </row>
    <row r="207" ht="15.75" customHeight="1">
      <c r="A207" s="336"/>
      <c r="B207" s="336"/>
      <c r="C207" s="336"/>
      <c r="D207" s="336"/>
      <c r="E207" s="336"/>
      <c r="F207" s="336"/>
      <c r="G207" s="336"/>
    </row>
    <row r="208" ht="15.75" customHeight="1">
      <c r="A208" s="336"/>
      <c r="B208" s="336"/>
      <c r="C208" s="336"/>
      <c r="D208" s="336"/>
      <c r="E208" s="336"/>
      <c r="F208" s="336"/>
      <c r="G208" s="336"/>
    </row>
    <row r="209" ht="15.75" customHeight="1">
      <c r="A209" s="336"/>
      <c r="B209" s="336"/>
      <c r="C209" s="336"/>
      <c r="D209" s="336"/>
      <c r="E209" s="336"/>
      <c r="F209" s="336"/>
      <c r="G209" s="336"/>
    </row>
    <row r="210" ht="15.75" customHeight="1">
      <c r="A210" s="336"/>
      <c r="B210" s="336"/>
      <c r="C210" s="336"/>
      <c r="D210" s="336"/>
      <c r="E210" s="336"/>
      <c r="F210" s="336"/>
      <c r="G210" s="336"/>
    </row>
    <row r="211" ht="15.75" customHeight="1">
      <c r="A211" s="336"/>
      <c r="B211" s="336"/>
      <c r="C211" s="336"/>
      <c r="D211" s="336"/>
      <c r="E211" s="336"/>
      <c r="F211" s="336"/>
      <c r="G211" s="336"/>
    </row>
    <row r="212" ht="15.75" customHeight="1">
      <c r="A212" s="336"/>
      <c r="B212" s="336"/>
      <c r="C212" s="336"/>
      <c r="D212" s="336"/>
      <c r="E212" s="336"/>
      <c r="F212" s="336"/>
      <c r="G212" s="336"/>
    </row>
    <row r="213" ht="15.75" customHeight="1">
      <c r="A213" s="336"/>
      <c r="B213" s="336"/>
      <c r="C213" s="336"/>
      <c r="D213" s="336"/>
      <c r="E213" s="336"/>
      <c r="F213" s="336"/>
      <c r="G213" s="336"/>
    </row>
    <row r="214" ht="15.75" customHeight="1">
      <c r="A214" s="336"/>
      <c r="B214" s="336"/>
      <c r="C214" s="336"/>
      <c r="D214" s="336"/>
      <c r="E214" s="336"/>
      <c r="F214" s="336"/>
      <c r="G214" s="336"/>
    </row>
    <row r="215" ht="15.75" customHeight="1">
      <c r="A215" s="336"/>
      <c r="B215" s="336"/>
      <c r="C215" s="336"/>
      <c r="D215" s="336"/>
      <c r="E215" s="336"/>
      <c r="F215" s="336"/>
      <c r="G215" s="336"/>
    </row>
    <row r="216" ht="15.75" customHeight="1">
      <c r="A216" s="336"/>
      <c r="B216" s="336"/>
      <c r="C216" s="336"/>
      <c r="D216" s="336"/>
      <c r="E216" s="336"/>
      <c r="F216" s="336"/>
      <c r="G216" s="336"/>
    </row>
    <row r="217" ht="15.75" customHeight="1">
      <c r="A217" s="336"/>
      <c r="B217" s="336"/>
      <c r="C217" s="336"/>
      <c r="D217" s="336"/>
      <c r="E217" s="336"/>
      <c r="F217" s="336"/>
      <c r="G217" s="336"/>
    </row>
    <row r="218" ht="15.75" customHeight="1">
      <c r="A218" s="336"/>
      <c r="B218" s="336"/>
      <c r="C218" s="336"/>
      <c r="D218" s="336"/>
      <c r="E218" s="336"/>
      <c r="F218" s="336"/>
      <c r="G218" s="336"/>
    </row>
    <row r="219" ht="15.75" customHeight="1">
      <c r="A219" s="336"/>
      <c r="B219" s="336"/>
      <c r="C219" s="336"/>
      <c r="D219" s="336"/>
      <c r="E219" s="336"/>
      <c r="F219" s="336"/>
      <c r="G219" s="336"/>
    </row>
    <row r="220" ht="15.75" customHeight="1">
      <c r="A220" s="336"/>
      <c r="B220" s="336"/>
      <c r="C220" s="336"/>
      <c r="D220" s="336"/>
      <c r="E220" s="336"/>
      <c r="F220" s="336"/>
      <c r="G220" s="336"/>
    </row>
    <row r="221" ht="15.75" customHeight="1">
      <c r="A221" s="336"/>
      <c r="B221" s="336"/>
      <c r="C221" s="336"/>
      <c r="D221" s="336"/>
      <c r="E221" s="336"/>
      <c r="F221" s="336"/>
      <c r="G221" s="336"/>
    </row>
    <row r="222" ht="15.75" customHeight="1">
      <c r="A222" s="336"/>
      <c r="B222" s="336"/>
      <c r="C222" s="336"/>
      <c r="D222" s="336"/>
      <c r="E222" s="336"/>
      <c r="F222" s="336"/>
      <c r="G222" s="336"/>
    </row>
    <row r="223" ht="15.75" customHeight="1">
      <c r="A223" s="336"/>
      <c r="B223" s="336"/>
      <c r="C223" s="336"/>
      <c r="D223" s="336"/>
      <c r="E223" s="336"/>
      <c r="F223" s="336"/>
      <c r="G223" s="336"/>
    </row>
    <row r="224" ht="15.75" customHeight="1">
      <c r="A224" s="336"/>
      <c r="B224" s="336"/>
      <c r="C224" s="336"/>
      <c r="D224" s="336"/>
      <c r="E224" s="336"/>
      <c r="F224" s="336"/>
      <c r="G224" s="336"/>
    </row>
    <row r="225" ht="15.75" customHeight="1">
      <c r="A225" s="336"/>
      <c r="B225" s="336"/>
      <c r="C225" s="336"/>
      <c r="D225" s="336"/>
      <c r="E225" s="336"/>
      <c r="F225" s="336"/>
      <c r="G225" s="336"/>
    </row>
    <row r="226" ht="15.75" customHeight="1">
      <c r="A226" s="336"/>
      <c r="B226" s="336"/>
      <c r="C226" s="336"/>
      <c r="D226" s="336"/>
      <c r="E226" s="336"/>
      <c r="F226" s="336"/>
      <c r="G226" s="336"/>
    </row>
    <row r="227" ht="15.75" customHeight="1">
      <c r="A227" s="336"/>
      <c r="B227" s="336"/>
      <c r="C227" s="336"/>
      <c r="D227" s="336"/>
      <c r="E227" s="336"/>
      <c r="F227" s="336"/>
      <c r="G227" s="336"/>
    </row>
    <row r="228" ht="15.75" customHeight="1">
      <c r="A228" s="336"/>
      <c r="B228" s="336"/>
      <c r="C228" s="336"/>
      <c r="D228" s="336"/>
      <c r="E228" s="336"/>
      <c r="F228" s="336"/>
      <c r="G228" s="336"/>
    </row>
    <row r="229" ht="15.75" customHeight="1">
      <c r="A229" s="336"/>
      <c r="B229" s="336"/>
      <c r="C229" s="336"/>
      <c r="D229" s="336"/>
      <c r="E229" s="336"/>
      <c r="F229" s="336"/>
      <c r="G229" s="336"/>
    </row>
    <row r="230" ht="15.75" customHeight="1">
      <c r="A230" s="336"/>
      <c r="B230" s="336"/>
      <c r="C230" s="336"/>
      <c r="D230" s="336"/>
      <c r="E230" s="336"/>
      <c r="F230" s="336"/>
      <c r="G230" s="336"/>
    </row>
    <row r="231" ht="15.75" customHeight="1">
      <c r="A231" s="336"/>
      <c r="B231" s="336"/>
      <c r="C231" s="336"/>
      <c r="D231" s="336"/>
      <c r="E231" s="336"/>
      <c r="F231" s="336"/>
      <c r="G231" s="336"/>
    </row>
    <row r="232" ht="15.75" customHeight="1">
      <c r="A232" s="336"/>
      <c r="B232" s="336"/>
      <c r="C232" s="336"/>
      <c r="D232" s="336"/>
      <c r="E232" s="336"/>
      <c r="F232" s="336"/>
      <c r="G232" s="336"/>
    </row>
    <row r="233" ht="15.75" customHeight="1">
      <c r="A233" s="336"/>
      <c r="B233" s="336"/>
      <c r="C233" s="336"/>
      <c r="D233" s="336"/>
      <c r="E233" s="336"/>
      <c r="F233" s="336"/>
      <c r="G233" s="336"/>
    </row>
    <row r="234" ht="15.75" customHeight="1">
      <c r="A234" s="336"/>
      <c r="B234" s="336"/>
      <c r="C234" s="336"/>
      <c r="D234" s="336"/>
      <c r="E234" s="336"/>
      <c r="F234" s="336"/>
      <c r="G234" s="336"/>
    </row>
    <row r="235" ht="15.75" customHeight="1">
      <c r="A235" s="336"/>
      <c r="B235" s="336"/>
      <c r="C235" s="336"/>
      <c r="D235" s="336"/>
      <c r="E235" s="336"/>
      <c r="F235" s="336"/>
      <c r="G235" s="336"/>
    </row>
    <row r="236" ht="15.75" customHeight="1">
      <c r="A236" s="336"/>
      <c r="B236" s="336"/>
      <c r="C236" s="336"/>
      <c r="D236" s="336"/>
      <c r="E236" s="336"/>
      <c r="F236" s="336"/>
      <c r="G236" s="336"/>
    </row>
    <row r="237" ht="15.75" customHeight="1">
      <c r="A237" s="336"/>
      <c r="B237" s="336"/>
      <c r="C237" s="336"/>
      <c r="D237" s="336"/>
      <c r="E237" s="336"/>
      <c r="F237" s="336"/>
      <c r="G237" s="336"/>
    </row>
    <row r="238" ht="15.75" customHeight="1">
      <c r="A238" s="336"/>
      <c r="B238" s="336"/>
      <c r="C238" s="336"/>
      <c r="D238" s="336"/>
      <c r="E238" s="336"/>
      <c r="F238" s="336"/>
      <c r="G238" s="336"/>
    </row>
    <row r="239" ht="15.75" customHeight="1">
      <c r="A239" s="336"/>
      <c r="B239" s="336"/>
      <c r="C239" s="336"/>
      <c r="D239" s="336"/>
      <c r="E239" s="336"/>
      <c r="F239" s="336"/>
      <c r="G239" s="336"/>
    </row>
    <row r="240" ht="15.75" customHeight="1">
      <c r="A240" s="336"/>
      <c r="B240" s="336"/>
      <c r="C240" s="336"/>
      <c r="D240" s="336"/>
      <c r="E240" s="336"/>
      <c r="F240" s="336"/>
      <c r="G240" s="336"/>
    </row>
    <row r="241" ht="15.75" customHeight="1">
      <c r="A241" s="336"/>
      <c r="B241" s="336"/>
      <c r="C241" s="336"/>
      <c r="D241" s="336"/>
      <c r="E241" s="336"/>
      <c r="F241" s="336"/>
      <c r="G241" s="336"/>
    </row>
    <row r="242" ht="15.75" customHeight="1">
      <c r="A242" s="336"/>
      <c r="B242" s="336"/>
      <c r="C242" s="336"/>
      <c r="D242" s="336"/>
      <c r="E242" s="336"/>
      <c r="F242" s="336"/>
      <c r="G242" s="33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G1"/>
    <mergeCell ref="A2:G2"/>
    <mergeCell ref="A3:G3"/>
    <mergeCell ref="A4:G4"/>
    <mergeCell ref="B5:C5"/>
    <mergeCell ref="B6:C6"/>
    <mergeCell ref="F8:G8"/>
    <mergeCell ref="F9:G9"/>
    <mergeCell ref="F10:G10"/>
    <mergeCell ref="F11:G11"/>
    <mergeCell ref="F13:G13"/>
    <mergeCell ref="A14:G14"/>
    <mergeCell ref="D18:G18"/>
    <mergeCell ref="D19:G19"/>
    <mergeCell ref="F31:G31"/>
    <mergeCell ref="F32:G32"/>
    <mergeCell ref="F33:G33"/>
    <mergeCell ref="F35:G35"/>
    <mergeCell ref="A36:G36"/>
    <mergeCell ref="D40:G40"/>
    <mergeCell ref="D41:G41"/>
    <mergeCell ref="A23:G23"/>
    <mergeCell ref="A24:G24"/>
    <mergeCell ref="A25:G25"/>
    <mergeCell ref="A26:G26"/>
    <mergeCell ref="B27:C27"/>
    <mergeCell ref="B28:C28"/>
    <mergeCell ref="F30:G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