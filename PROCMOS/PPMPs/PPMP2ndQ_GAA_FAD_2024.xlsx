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Downloads\Rich's File\"/>
    </mc:Choice>
  </mc:AlternateContent>
  <xr:revisionPtr revIDLastSave="0" documentId="8_{95C19DBF-5501-46E6-ADC4-BEADC634C9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PMP 1st Quarter 2024" sheetId="1" r:id="rId1"/>
    <sheet name="PPMP 2nd Quarter 2024" sheetId="2" r:id="rId2"/>
    <sheet name="Printer Specs" sheetId="3" r:id="rId3"/>
  </sheets>
  <calcPr calcId="191029"/>
</workbook>
</file>

<file path=xl/calcChain.xml><?xml version="1.0" encoding="utf-8"?>
<calcChain xmlns="http://schemas.openxmlformats.org/spreadsheetml/2006/main">
  <c r="D21" i="2" l="1"/>
  <c r="AK19" i="2"/>
  <c r="AK47" i="1"/>
  <c r="AK46" i="1"/>
  <c r="AK45" i="1"/>
  <c r="AK44" i="1"/>
  <c r="D48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41" i="1" l="1"/>
</calcChain>
</file>

<file path=xl/sharedStrings.xml><?xml version="1.0" encoding="utf-8"?>
<sst xmlns="http://schemas.openxmlformats.org/spreadsheetml/2006/main" count="305" uniqueCount="196">
  <si>
    <t xml:space="preserve">  PROJECT PROCUREMENT MANAGEMENT PLAN (PPMP) 2024</t>
  </si>
  <si>
    <t>Charged to:</t>
  </si>
  <si>
    <t>GAA-GAS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</si>
  <si>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</si>
  <si>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</si>
  <si>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</si>
  <si>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</si>
  <si>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</si>
  <si>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</si>
  <si>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</si>
  <si>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</si>
  <si>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</si>
  <si>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</si>
  <si>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</si>
  <si>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</si>
  <si>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</si>
  <si>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</si>
  <si>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</si>
  <si>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</si>
  <si>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</si>
  <si>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</si>
  <si>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</si>
  <si>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</si>
  <si>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</si>
  <si>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</si>
  <si>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</si>
  <si>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</si>
  <si>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</si>
  <si>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</si>
  <si>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</si>
  <si>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</si>
  <si>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</si>
  <si>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</si>
  <si>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</si>
  <si>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</si>
  <si>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</si>
  <si>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</si>
  <si>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</si>
  <si>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</si>
  <si>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</si>
  <si>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</si>
  <si>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</si>
  <si>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</si>
  <si>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</si>
  <si>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</si>
  <si>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</si>
  <si>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</si>
  <si>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</si>
  <si>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</si>
  <si>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</si>
  <si>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</si>
  <si>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</si>
  <si>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</si>
  <si>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</si>
  <si>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</si>
  <si>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</si>
  <si>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</si>
  <si>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</si>
  <si>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</si>
  <si>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</si>
  <si>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</si>
  <si>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</si>
  <si>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</si>
  <si>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</si>
  <si>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</si>
  <si>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</si>
  <si>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</si>
  <si>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</si>
  <si>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</si>
  <si>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</si>
  <si>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</si>
  <si>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</si>
  <si>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</si>
  <si>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</si>
  <si>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50203010 00</t>
  </si>
  <si>
    <t>Office Supplies</t>
  </si>
  <si>
    <t>OS-183</t>
  </si>
  <si>
    <t xml:space="preserve">1 Lot </t>
  </si>
  <si>
    <t>Shopping</t>
  </si>
  <si>
    <t>15-30 working days</t>
  </si>
  <si>
    <t>OS-182</t>
  </si>
  <si>
    <t>OS-078</t>
  </si>
  <si>
    <t>2 packs White folder, legal size</t>
  </si>
  <si>
    <t>OS-077</t>
  </si>
  <si>
    <t>OS-035</t>
  </si>
  <si>
    <t>OS-128</t>
  </si>
  <si>
    <t>5 boxes Paper clip, vinyl/plastic coat, length: 32mm</t>
  </si>
  <si>
    <t>5 boxes Paper clip, vinyl/plastic coat length: 48mm</t>
  </si>
  <si>
    <t>OS-160</t>
  </si>
  <si>
    <t>OS-063</t>
  </si>
  <si>
    <t>OS-229</t>
  </si>
  <si>
    <t>OS-194</t>
  </si>
  <si>
    <t>OS-196</t>
  </si>
  <si>
    <t>OS-166</t>
  </si>
  <si>
    <t>10 boxes Staple wire No.35</t>
  </si>
  <si>
    <t>OS-034</t>
  </si>
  <si>
    <t>OS-244</t>
  </si>
  <si>
    <t>OS-033</t>
  </si>
  <si>
    <t>OS-299</t>
  </si>
  <si>
    <t>OS-313</t>
  </si>
  <si>
    <t>20 pieces Magazine File Box, large (BLUE)</t>
  </si>
  <si>
    <t>OS-175</t>
  </si>
  <si>
    <t>10 pieces Official Record Book, 500 pages</t>
  </si>
  <si>
    <t>2 pieces Self Inking Stamp (Date Stamp 12 years)</t>
  </si>
  <si>
    <t>50203210 03</t>
  </si>
  <si>
    <t>1 Lot</t>
  </si>
  <si>
    <t>Semi-Expendable ICT</t>
  </si>
  <si>
    <t>50203990 00</t>
  </si>
  <si>
    <t>Other Supplies Expenses</t>
  </si>
  <si>
    <t>MDL-198</t>
  </si>
  <si>
    <t>Small Value Procurement</t>
  </si>
  <si>
    <t>MDL-155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</si>
  <si>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</si>
  <si>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</si>
  <si>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</si>
  <si>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</si>
  <si>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</si>
  <si>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</si>
  <si>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MERLITA R. ODI</t>
  </si>
  <si>
    <t>MARILOU G. AGUSTIN</t>
  </si>
  <si>
    <t>JULIUS L. LEAÑO JR., Ph.D.</t>
  </si>
  <si>
    <t>Head, FAD-BTS</t>
  </si>
  <si>
    <t>Head, FAD-PPGSS</t>
  </si>
  <si>
    <t>Director IV</t>
  </si>
  <si>
    <t>Date: _____________</t>
  </si>
  <si>
    <t>END-USER/UNIT: FINANCIAL ADMINISTRATIVE DIVISION</t>
  </si>
  <si>
    <t>Dell Inspiron (Laptop)</t>
  </si>
  <si>
    <t>VV</t>
  </si>
  <si>
    <t>30 Reams Paper, Multi-purpose, Legal, 70 gsm</t>
  </si>
  <si>
    <t>30 Reams Paper, Multi-purpose, A4, 70 gsm</t>
  </si>
  <si>
    <t>2 packs White folder, A4</t>
  </si>
  <si>
    <t>1 boxes, Pencil</t>
  </si>
  <si>
    <t>3 boxes Gel Ink Pen 0.5mm</t>
  </si>
  <si>
    <t>3 boxes Clip, backfold, 19 mm</t>
  </si>
  <si>
    <t>3 boxes Clip, backfold, 25 mm</t>
  </si>
  <si>
    <t>2 pieces Steno Notebook</t>
  </si>
  <si>
    <t>3 packs Note pad, stick on, yellow, (3"x3") min</t>
  </si>
  <si>
    <t>3 packs Note pad, stick on, green, (3"x3") min</t>
  </si>
  <si>
    <t>3 packs Note pad, stick on, pink, (3"x3") min</t>
  </si>
  <si>
    <t>2 boxes Stapler, standard type</t>
  </si>
  <si>
    <t>1 packs Expandable Envelope with Garter, documentary, A4</t>
  </si>
  <si>
    <t>1 packs Expandable Envelope with Garter, documentary, legal size</t>
  </si>
  <si>
    <t>2 boxes Sign pen - blue</t>
  </si>
  <si>
    <t>2 boxes Fastener, metal</t>
  </si>
  <si>
    <t xml:space="preserve">8 pieces Scotch tape, 1inch </t>
  </si>
  <si>
    <t>2 boxes Rubber Band</t>
  </si>
  <si>
    <t>2 packs Pressboard Folder, 1/2 Cut Right Tab, Legal, Green</t>
  </si>
  <si>
    <t>2 pieces Ruler 12 Inches</t>
  </si>
  <si>
    <t>2 pieces Scissors</t>
  </si>
  <si>
    <t>4 pieces Mouse Pad (Black)</t>
  </si>
  <si>
    <t>Apr</t>
  </si>
  <si>
    <t>May</t>
  </si>
  <si>
    <t>5 Interfolded Paper Towels, 2 ply, 150 pulls</t>
  </si>
  <si>
    <t>8 AIR FRESHENER, Aerosol Type</t>
  </si>
  <si>
    <t>3 ALCOHOL, Ethyl, 500ml</t>
  </si>
  <si>
    <t>5 Tissue Paper, 3 ply, 24 rolls per pack</t>
  </si>
  <si>
    <t>EVA MARIE D. BRAGAIS</t>
  </si>
  <si>
    <t>Administrative Officer II, FAD</t>
  </si>
  <si>
    <t>For 2nd Quarter of CY 2024</t>
  </si>
  <si>
    <t>Basic Specs</t>
  </si>
  <si>
    <t>Functions</t>
  </si>
  <si>
    <t>Print, Copy, Scan, Fax</t>
  </si>
  <si>
    <t>Printer Type</t>
  </si>
  <si>
    <t>Laser Printer</t>
  </si>
  <si>
    <t>Product Dimensions (Width X Depth X Height)</t>
  </si>
  <si>
    <t>495 mm × 427 mm × 486 mm</t>
  </si>
  <si>
    <t>Weight</t>
  </si>
  <si>
    <t>17.7 kg</t>
  </si>
  <si>
    <t>Print Speed</t>
  </si>
  <si>
    <t>Up to 40/42 ppm (ISO/IEC 11160-2:1996)</t>
  </si>
  <si>
    <t>Paper Type</t>
  </si>
  <si>
    <t>Paper Tray (Standard) : Plain Paper, Letterhead, Coloured Paper, Thin Paper, Recycled Paper, Thick Paper</t>
  </si>
  <si>
    <t>Multi-purpose tray (MP tray) : Plain Paper, Letterhead, Coloured Paper, Thin Paper, Thick Paper, Thicker Paper, Recycled Paper, Bond, Label, Envelope, Env.Thin, Env.Thick</t>
  </si>
  <si>
    <t>Paper Size</t>
  </si>
  <si>
    <t>Paper Tray (Standard) : A4, Letter, A5, A5 (Long Edge), A6, Executive, Legal, Folio, Mexico Legal, India Legal</t>
  </si>
  <si>
    <t>Multi-purpose tray (MP tray) : Width: 76.2 to 215.9 mm | Length: 127 to 355.6 mm</t>
  </si>
  <si>
    <t>Maximum Paper Capacity</t>
  </si>
  <si>
    <t>Paper Tray (Standard) : Up to 250 sheets of 80 g/m2 Plain Paper</t>
  </si>
  <si>
    <t>Multi-purpose tray (MP tray) : Up to 50 sheets of 80 g/m2 Plain Paper | Envelope: 10 envelopes up to 10 mm thick</t>
  </si>
  <si>
    <t>Warranty</t>
  </si>
  <si>
    <t>1 year</t>
  </si>
  <si>
    <t>ICT Office Supplies</t>
  </si>
  <si>
    <t>https://iprice.ph/brother/computing/accessories/toner/</t>
  </si>
  <si>
    <t>100% Brand new PCMAX laser toner cartridge Compatible with TN237, TN267 CMYK 1 set (4 cartridges) Use for Brother HL 3270 and other colored printers Vivid color / Quality parts / well manufactured toner cartridges (100% guarantee) (ISO9001 Quality Management System, ISO14001 Environment Management System, STMC, BM, CE Cetifications)</t>
  </si>
  <si>
    <t>June</t>
  </si>
  <si>
    <t>Repair and Check-up of Kolin Inverter Aircon</t>
  </si>
  <si>
    <t>Repair and Maintenance Expenses</t>
  </si>
  <si>
    <t>30 Working days</t>
  </si>
  <si>
    <t>30 working days</t>
  </si>
  <si>
    <t>Repair and Check-up of HP and Canon Printer</t>
  </si>
  <si>
    <t>Color Multifunction Laserjet Printer (Fax, print, &amp; scan)</t>
  </si>
  <si>
    <t>HP 215A Black LaserJet Toner Cartridge (~1,050 yield, No. W2310A)</t>
  </si>
  <si>
    <t>HP 215A Cyan LaserJet Toner Cartridge (~850 yield, No. W2311A)</t>
  </si>
  <si>
    <t>HP 215A Yellow LaserJet Toner Cartridge (~850 yield), No. W2312A)</t>
  </si>
  <si>
    <t>HP 215A Magenta LaserJet Toner Cartridge (~850 yield, No. W2313A)</t>
  </si>
  <si>
    <t>END-USER/UNIT: FINANCE ADMINISTRATIVE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</si>
</sst>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₱]#,##0.00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22"/>
  </cellStyleXfs>
  <cellXfs count="20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6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  <xf numFmtId="4" fontId="8" fillId="0" borderId="10" xfId="0" quotePrefix="1" applyNumberFormat="1" applyFont="1" applyBorder="1" applyAlignment="1">
      <alignment horizontal="center" vertical="center" wrapText="1"/>
    </xf>
    <xf numFmtId="164" fontId="8" fillId="0" borderId="10" xfId="0" quotePrefix="1" applyNumberFormat="1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 wrapText="1"/>
    </xf>
    <xf numFmtId="4" fontId="6" fillId="2" borderId="15" xfId="0" applyNumberFormat="1" applyFont="1" applyFill="1" applyBorder="1" applyAlignment="1">
      <alignment horizontal="right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0" xfId="0" applyFont="1"/>
    <xf numFmtId="0" fontId="8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3" fillId="3" borderId="22" xfId="0" applyFont="1" applyFill="1" applyBorder="1"/>
    <xf numFmtId="49" fontId="6" fillId="3" borderId="13" xfId="0" applyNumberFormat="1" applyFont="1" applyFill="1" applyBorder="1" applyAlignment="1">
      <alignment horizontal="center"/>
    </xf>
    <xf numFmtId="49" fontId="6" fillId="3" borderId="18" xfId="0" applyNumberFormat="1" applyFont="1" applyFill="1" applyBorder="1"/>
    <xf numFmtId="0" fontId="3" fillId="3" borderId="13" xfId="0" applyFont="1" applyFill="1" applyBorder="1"/>
    <xf numFmtId="0" fontId="3" fillId="3" borderId="24" xfId="0" applyFont="1" applyFill="1" applyBorder="1"/>
    <xf numFmtId="4" fontId="6" fillId="3" borderId="20" xfId="0" applyNumberFormat="1" applyFont="1" applyFill="1" applyBorder="1" applyAlignment="1">
      <alignment horizontal="right" vertical="center" wrapText="1"/>
    </xf>
    <xf numFmtId="0" fontId="6" fillId="0" borderId="13" xfId="0" applyFont="1" applyBorder="1" applyAlignment="1">
      <alignment horizontal="center"/>
    </xf>
    <xf numFmtId="0" fontId="6" fillId="0" borderId="13" xfId="0" applyFont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8" xfId="0" applyFont="1" applyFill="1" applyBorder="1"/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4" fontId="6" fillId="2" borderId="13" xfId="0" applyNumberFormat="1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/>
    <xf numFmtId="0" fontId="3" fillId="2" borderId="13" xfId="0" applyFont="1" applyFill="1" applyBorder="1"/>
    <xf numFmtId="0" fontId="3" fillId="2" borderId="24" xfId="0" applyFont="1" applyFill="1" applyBorder="1"/>
    <xf numFmtId="4" fontId="6" fillId="3" borderId="15" xfId="0" applyNumberFormat="1" applyFont="1" applyFill="1" applyBorder="1" applyAlignment="1">
      <alignment horizontal="right" vertical="center" wrapText="1"/>
    </xf>
    <xf numFmtId="49" fontId="6" fillId="3" borderId="13" xfId="0" applyNumberFormat="1" applyFont="1" applyFill="1" applyBorder="1"/>
    <xf numFmtId="0" fontId="6" fillId="3" borderId="13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4" fontId="6" fillId="0" borderId="19" xfId="0" applyNumberFormat="1" applyFont="1" applyBorder="1" applyAlignment="1">
      <alignment horizontal="right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28" xfId="0" applyFont="1" applyBorder="1"/>
    <xf numFmtId="0" fontId="8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3" fillId="0" borderId="19" xfId="0" applyFont="1" applyBorder="1"/>
    <xf numFmtId="0" fontId="3" fillId="0" borderId="29" xfId="0" applyFont="1" applyBorder="1"/>
    <xf numFmtId="0" fontId="12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wrapText="1"/>
    </xf>
    <xf numFmtId="0" fontId="3" fillId="0" borderId="30" xfId="0" applyFont="1" applyBorder="1"/>
    <xf numFmtId="0" fontId="13" fillId="0" borderId="0" xfId="0" applyFont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" fontId="3" fillId="0" borderId="0" xfId="0" applyNumberFormat="1" applyFont="1"/>
    <xf numFmtId="0" fontId="15" fillId="0" borderId="0" xfId="0" applyFont="1" applyAlignment="1">
      <alignment horizontal="left" vertical="center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left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49" fontId="6" fillId="0" borderId="18" xfId="0" applyNumberFormat="1" applyFont="1" applyBorder="1"/>
    <xf numFmtId="49" fontId="6" fillId="0" borderId="26" xfId="0" applyNumberFormat="1" applyFont="1" applyBorder="1"/>
    <xf numFmtId="0" fontId="8" fillId="0" borderId="32" xfId="0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right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8" fillId="0" borderId="33" xfId="0" quotePrefix="1" applyFont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0" fillId="0" borderId="36" xfId="0" applyBorder="1"/>
    <xf numFmtId="0" fontId="6" fillId="0" borderId="29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3" fillId="0" borderId="22" xfId="0" applyFont="1" applyBorder="1"/>
    <xf numFmtId="0" fontId="6" fillId="0" borderId="36" xfId="0" applyFont="1" applyBorder="1" applyAlignment="1">
      <alignment horizontal="center"/>
    </xf>
    <xf numFmtId="0" fontId="0" fillId="0" borderId="37" xfId="0" applyBorder="1"/>
    <xf numFmtId="0" fontId="6" fillId="0" borderId="29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43" fontId="6" fillId="0" borderId="0" xfId="0" applyNumberFormat="1" applyFont="1"/>
    <xf numFmtId="0" fontId="20" fillId="3" borderId="21" xfId="0" applyFont="1" applyFill="1" applyBorder="1"/>
    <xf numFmtId="0" fontId="20" fillId="3" borderId="22" xfId="0" applyFont="1" applyFill="1" applyBorder="1"/>
    <xf numFmtId="0" fontId="20" fillId="0" borderId="5" xfId="0" applyFont="1" applyBorder="1"/>
    <xf numFmtId="0" fontId="20" fillId="0" borderId="0" xfId="0" applyFont="1"/>
    <xf numFmtId="43" fontId="20" fillId="0" borderId="0" xfId="0" applyNumberFormat="1" applyFont="1"/>
    <xf numFmtId="0" fontId="20" fillId="0" borderId="21" xfId="0" applyFont="1" applyBorder="1"/>
    <xf numFmtId="0" fontId="21" fillId="0" borderId="0" xfId="0" applyFont="1" applyAlignment="1">
      <alignment horizontal="left" vertical="center"/>
    </xf>
    <xf numFmtId="49" fontId="22" fillId="0" borderId="26" xfId="0" applyNumberFormat="1" applyFont="1" applyBorder="1"/>
    <xf numFmtId="0" fontId="8" fillId="2" borderId="10" xfId="0" applyFont="1" applyFill="1" applyBorder="1" applyAlignment="1">
      <alignment horizontal="left" vertical="center"/>
    </xf>
    <xf numFmtId="0" fontId="6" fillId="2" borderId="10" xfId="0" applyFont="1" applyFill="1" applyBorder="1"/>
    <xf numFmtId="4" fontId="6" fillId="2" borderId="10" xfId="0" applyNumberFormat="1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38" xfId="0" applyFont="1" applyFill="1" applyBorder="1"/>
    <xf numFmtId="0" fontId="8" fillId="0" borderId="3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4" fontId="6" fillId="0" borderId="10" xfId="0" applyNumberFormat="1" applyFont="1" applyBorder="1" applyAlignment="1">
      <alignment horizontal="right"/>
    </xf>
    <xf numFmtId="0" fontId="6" fillId="0" borderId="10" xfId="0" applyFont="1" applyBorder="1" applyAlignment="1">
      <alignment horizontal="center"/>
    </xf>
    <xf numFmtId="0" fontId="3" fillId="0" borderId="10" xfId="0" applyFont="1" applyBorder="1"/>
    <xf numFmtId="0" fontId="3" fillId="0" borderId="38" xfId="0" applyFont="1" applyBorder="1"/>
    <xf numFmtId="0" fontId="23" fillId="2" borderId="27" xfId="1" applyFont="1" applyFill="1" applyBorder="1" applyAlignment="1">
      <alignment horizontal="center" vertical="center" wrapText="1"/>
    </xf>
    <xf numFmtId="0" fontId="23" fillId="2" borderId="26" xfId="1" applyFont="1" applyFill="1" applyBorder="1" applyAlignment="1">
      <alignment horizontal="left" vertical="center"/>
    </xf>
    <xf numFmtId="0" fontId="23" fillId="0" borderId="36" xfId="1" applyFont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34" xfId="0" applyFont="1" applyFill="1" applyBorder="1"/>
    <xf numFmtId="0" fontId="6" fillId="2" borderId="36" xfId="0" applyFont="1" applyFill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8" fillId="0" borderId="33" xfId="0" applyFont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center" vertical="center"/>
    </xf>
    <xf numFmtId="4" fontId="6" fillId="4" borderId="10" xfId="0" applyNumberFormat="1" applyFont="1" applyFill="1" applyBorder="1" applyAlignment="1">
      <alignment horizontal="right"/>
    </xf>
    <xf numFmtId="0" fontId="6" fillId="4" borderId="2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/>
    </xf>
    <xf numFmtId="0" fontId="6" fillId="4" borderId="36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4" borderId="10" xfId="0" applyFont="1" applyFill="1" applyBorder="1"/>
    <xf numFmtId="0" fontId="3" fillId="4" borderId="38" xfId="0" applyFont="1" applyFill="1" applyBorder="1"/>
    <xf numFmtId="0" fontId="20" fillId="4" borderId="21" xfId="0" applyFont="1" applyFill="1" applyBorder="1"/>
    <xf numFmtId="0" fontId="20" fillId="4" borderId="0" xfId="0" applyFont="1" applyFill="1"/>
    <xf numFmtId="0" fontId="0" fillId="4" borderId="0" xfId="0" applyFill="1"/>
    <xf numFmtId="0" fontId="22" fillId="0" borderId="26" xfId="0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 wrapText="1"/>
    </xf>
    <xf numFmtId="4" fontId="6" fillId="3" borderId="15" xfId="0" applyNumberFormat="1" applyFont="1" applyFill="1" applyBorder="1" applyAlignment="1">
      <alignment horizontal="center" vertical="center" wrapText="1"/>
    </xf>
    <xf numFmtId="49" fontId="8" fillId="4" borderId="26" xfId="0" applyNumberFormat="1" applyFont="1" applyFill="1" applyBorder="1"/>
    <xf numFmtId="49" fontId="6" fillId="0" borderId="40" xfId="0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7" xfId="0" applyFont="1" applyBorder="1"/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/>
    <xf numFmtId="4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6" fillId="3" borderId="19" xfId="0" applyNumberFormat="1" applyFont="1" applyFill="1" applyBorder="1" applyAlignment="1">
      <alignment horizontal="center" vertical="center" wrapText="1"/>
    </xf>
    <xf numFmtId="0" fontId="9" fillId="0" borderId="23" xfId="0" applyFont="1" applyBorder="1"/>
    <xf numFmtId="0" fontId="9" fillId="0" borderId="25" xfId="0" applyFont="1" applyBorder="1"/>
    <xf numFmtId="165" fontId="2" fillId="0" borderId="31" xfId="0" applyNumberFormat="1" applyFont="1" applyBorder="1" applyAlignment="1">
      <alignment horizontal="right" vertical="center" wrapText="1"/>
    </xf>
    <xf numFmtId="0" fontId="9" fillId="0" borderId="31" xfId="0" applyFont="1" applyBorder="1"/>
    <xf numFmtId="0" fontId="19" fillId="0" borderId="0" xfId="0" applyFont="1" applyAlignment="1">
      <alignment horizontal="left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6" fillId="0" borderId="26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</cellXfs>
  <cellStyles count="2">
    <cellStyle name="Normal" xfId="0" builtinId="0"/>
    <cellStyle name="Normal 2" xfId="1" xr:uid="{55FD301D-7336-44D4-AD62-8BAB523FC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67"/>
  <sheetViews>
    <sheetView showGridLines="0" topLeftCell="A18" zoomScale="82" workbookViewId="0">
      <selection activeCell="C19" sqref="C19"/>
    </sheetView>
  </sheetViews>
  <sheetFormatPr defaultColWidth="12.625" defaultRowHeight="15" customHeight="1" x14ac:dyDescent="0.2"/>
  <cols>
    <col min="1" max="1" width="13.875" customWidth="1"/>
    <col min="2" max="2" width="13.375" customWidth="1"/>
    <col min="3" max="3" width="54.875" customWidth="1"/>
    <col min="4" max="4" width="11.625" customWidth="1"/>
    <col min="5" max="5" width="10.125" customWidth="1"/>
    <col min="6" max="6" width="11.25" customWidth="1"/>
    <col min="7" max="7" width="20" customWidth="1"/>
    <col min="8" max="8" width="14.12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"/>
      <c r="AK1" s="1"/>
    </row>
    <row r="2" spans="1:39" ht="14.25" x14ac:dyDescent="0.2">
      <c r="A2" s="172" t="s">
        <v>158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"/>
      <c r="AK2" s="1"/>
    </row>
    <row r="3" spans="1:39" x14ac:dyDescent="0.25">
      <c r="A3" s="173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"/>
      <c r="AK3" s="1"/>
    </row>
    <row r="4" spans="1:39" x14ac:dyDescent="0.2">
      <c r="A4" s="3" t="s">
        <v>125</v>
      </c>
      <c r="B4" s="4"/>
      <c r="C4" s="4"/>
      <c r="D4" s="4"/>
      <c r="E4" s="5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x14ac:dyDescent="0.2">
      <c r="A5" s="7"/>
      <c r="B5" s="4"/>
      <c r="C5" s="4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2">
      <c r="A6" s="3" t="s">
        <v>1</v>
      </c>
      <c r="B6" s="4"/>
      <c r="C6" s="4" t="s">
        <v>2</v>
      </c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x14ac:dyDescent="0.2">
      <c r="A7" s="7" t="s">
        <v>3</v>
      </c>
      <c r="B7" s="4"/>
      <c r="C7" s="4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">
      <c r="A8" s="174" t="s">
        <v>4</v>
      </c>
      <c r="B8" s="165" t="s">
        <v>5</v>
      </c>
      <c r="C8" s="165" t="s">
        <v>6</v>
      </c>
      <c r="D8" s="11" t="s">
        <v>7</v>
      </c>
      <c r="E8" s="176" t="s">
        <v>8</v>
      </c>
      <c r="F8" s="177" t="s">
        <v>9</v>
      </c>
      <c r="G8" s="165" t="s">
        <v>10</v>
      </c>
      <c r="H8" s="165" t="s">
        <v>11</v>
      </c>
      <c r="I8" s="167" t="s">
        <v>12</v>
      </c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2"/>
      <c r="AK8" s="13"/>
      <c r="AL8" s="4"/>
      <c r="AM8" s="4"/>
    </row>
    <row r="9" spans="1:39" ht="24" x14ac:dyDescent="0.2">
      <c r="A9" s="175"/>
      <c r="B9" s="166"/>
      <c r="C9" s="166"/>
      <c r="D9" s="14" t="s">
        <v>13</v>
      </c>
      <c r="E9" s="166"/>
      <c r="F9" s="166"/>
      <c r="G9" s="166"/>
      <c r="H9" s="166"/>
      <c r="I9" s="14" t="s">
        <v>14</v>
      </c>
      <c r="J9" s="14" t="s">
        <v>150</v>
      </c>
      <c r="K9" s="14" t="s">
        <v>151</v>
      </c>
      <c r="L9" s="15" t="s">
        <v>15</v>
      </c>
      <c r="M9" s="15" t="s">
        <v>16</v>
      </c>
      <c r="N9" s="14" t="s">
        <v>17</v>
      </c>
      <c r="O9" s="14" t="s">
        <v>18</v>
      </c>
      <c r="P9" s="14" t="s">
        <v>19</v>
      </c>
      <c r="Q9" s="14" t="s">
        <v>20</v>
      </c>
      <c r="R9" s="14" t="s">
        <v>21</v>
      </c>
      <c r="S9" s="14" t="s">
        <v>22</v>
      </c>
      <c r="T9" s="14" t="s">
        <v>23</v>
      </c>
      <c r="U9" s="14" t="s">
        <v>24</v>
      </c>
      <c r="V9" s="14" t="s">
        <v>25</v>
      </c>
      <c r="W9" s="14" t="s">
        <v>26</v>
      </c>
      <c r="X9" s="14" t="s">
        <v>27</v>
      </c>
      <c r="Y9" s="14" t="s">
        <v>28</v>
      </c>
      <c r="Z9" s="14" t="s">
        <v>29</v>
      </c>
      <c r="AA9" s="14" t="s">
        <v>30</v>
      </c>
      <c r="AB9" s="14" t="s">
        <v>31</v>
      </c>
      <c r="AC9" s="14" t="s">
        <v>32</v>
      </c>
      <c r="AD9" s="14" t="s">
        <v>33</v>
      </c>
      <c r="AE9" s="14" t="s">
        <v>34</v>
      </c>
      <c r="AF9" s="14" t="s">
        <v>35</v>
      </c>
      <c r="AG9" s="14" t="s">
        <v>36</v>
      </c>
      <c r="AH9" s="14" t="s">
        <v>37</v>
      </c>
      <c r="AI9" s="16" t="s">
        <v>38</v>
      </c>
      <c r="AJ9" s="12"/>
      <c r="AK9" s="13"/>
      <c r="AL9" s="4"/>
      <c r="AM9" s="4"/>
    </row>
    <row r="10" spans="1:39" ht="48.75" thickBot="1" x14ac:dyDescent="0.25">
      <c r="A10" s="17" t="s">
        <v>39</v>
      </c>
      <c r="B10" s="18" t="s">
        <v>40</v>
      </c>
      <c r="C10" s="18" t="s">
        <v>41</v>
      </c>
      <c r="D10" s="18" t="s">
        <v>42</v>
      </c>
      <c r="E10" s="19" t="s">
        <v>43</v>
      </c>
      <c r="F10" s="20" t="s">
        <v>44</v>
      </c>
      <c r="G10" s="18" t="s">
        <v>45</v>
      </c>
      <c r="H10" s="18" t="s">
        <v>46</v>
      </c>
      <c r="I10" s="18" t="s">
        <v>47</v>
      </c>
      <c r="J10" s="101" t="s">
        <v>48</v>
      </c>
      <c r="K10" s="18" t="s">
        <v>49</v>
      </c>
      <c r="L10" s="18" t="s">
        <v>50</v>
      </c>
      <c r="M10" s="18" t="s">
        <v>51</v>
      </c>
      <c r="N10" s="18" t="s">
        <v>52</v>
      </c>
      <c r="O10" s="18" t="s">
        <v>53</v>
      </c>
      <c r="P10" s="18" t="s">
        <v>54</v>
      </c>
      <c r="Q10" s="18" t="s">
        <v>55</v>
      </c>
      <c r="R10" s="18" t="s">
        <v>56</v>
      </c>
      <c r="S10" s="18" t="s">
        <v>57</v>
      </c>
      <c r="T10" s="18" t="s">
        <v>58</v>
      </c>
      <c r="U10" s="18" t="s">
        <v>59</v>
      </c>
      <c r="V10" s="18" t="s">
        <v>60</v>
      </c>
      <c r="W10" s="18" t="s">
        <v>61</v>
      </c>
      <c r="X10" s="18" t="s">
        <v>62</v>
      </c>
      <c r="Y10" s="18" t="s">
        <v>63</v>
      </c>
      <c r="Z10" s="18" t="s">
        <v>64</v>
      </c>
      <c r="AA10" s="18" t="s">
        <v>65</v>
      </c>
      <c r="AB10" s="18" t="s">
        <v>66</v>
      </c>
      <c r="AC10" s="18" t="s">
        <v>67</v>
      </c>
      <c r="AD10" s="18" t="s">
        <v>68</v>
      </c>
      <c r="AE10" s="18" t="s">
        <v>69</v>
      </c>
      <c r="AF10" s="18" t="s">
        <v>70</v>
      </c>
      <c r="AG10" s="18" t="s">
        <v>71</v>
      </c>
      <c r="AH10" s="18" t="s">
        <v>72</v>
      </c>
      <c r="AI10" s="21" t="s">
        <v>73</v>
      </c>
      <c r="AJ10" s="12"/>
      <c r="AK10" s="13"/>
      <c r="AL10" s="4"/>
      <c r="AM10" s="4"/>
    </row>
    <row r="11" spans="1:39" ht="14.25" x14ac:dyDescent="0.2">
      <c r="A11" s="22" t="s">
        <v>74</v>
      </c>
      <c r="B11" s="23"/>
      <c r="C11" s="24" t="s">
        <v>75</v>
      </c>
      <c r="D11" s="25"/>
      <c r="E11" s="26"/>
      <c r="F11" s="27"/>
      <c r="G11" s="25"/>
      <c r="H11" s="25"/>
      <c r="I11" s="94"/>
      <c r="J11" s="102"/>
      <c r="K11" s="9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30"/>
      <c r="AJ11" s="31"/>
      <c r="AK11" s="32"/>
    </row>
    <row r="12" spans="1:39" ht="14.25" x14ac:dyDescent="0.2">
      <c r="A12" s="33"/>
      <c r="B12" s="34" t="s">
        <v>76</v>
      </c>
      <c r="C12" s="89" t="s">
        <v>128</v>
      </c>
      <c r="D12" s="193" t="s">
        <v>77</v>
      </c>
      <c r="E12" s="93">
        <v>300</v>
      </c>
      <c r="F12" s="178">
        <v>35317</v>
      </c>
      <c r="G12" s="193" t="s">
        <v>78</v>
      </c>
      <c r="H12" s="193" t="s">
        <v>79</v>
      </c>
      <c r="I12" s="95"/>
      <c r="J12" s="103"/>
      <c r="K12" s="99">
        <v>30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9"/>
      <c r="AI12" s="40"/>
      <c r="AJ12" s="115">
        <v>30</v>
      </c>
      <c r="AK12" s="116">
        <f t="shared" ref="AK12:AK40" si="0">AJ12*E12</f>
        <v>9000</v>
      </c>
      <c r="AL12" s="41"/>
      <c r="AM12" s="41"/>
    </row>
    <row r="13" spans="1:39" ht="14.25" x14ac:dyDescent="0.2">
      <c r="A13" s="33"/>
      <c r="B13" s="34" t="s">
        <v>80</v>
      </c>
      <c r="C13" s="89" t="s">
        <v>129</v>
      </c>
      <c r="D13" s="179"/>
      <c r="E13" s="93">
        <v>250</v>
      </c>
      <c r="F13" s="179"/>
      <c r="G13" s="179"/>
      <c r="H13" s="179"/>
      <c r="I13" s="95"/>
      <c r="J13" s="103"/>
      <c r="K13" s="99">
        <v>30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40"/>
      <c r="AJ13" s="115">
        <v>30</v>
      </c>
      <c r="AK13" s="116">
        <f t="shared" si="0"/>
        <v>7500</v>
      </c>
      <c r="AL13" s="41"/>
      <c r="AM13" s="41"/>
    </row>
    <row r="14" spans="1:39" ht="14.25" x14ac:dyDescent="0.2">
      <c r="A14" s="33"/>
      <c r="B14" s="34" t="s">
        <v>81</v>
      </c>
      <c r="C14" s="89" t="s">
        <v>82</v>
      </c>
      <c r="D14" s="179"/>
      <c r="E14" s="93">
        <v>300</v>
      </c>
      <c r="F14" s="179"/>
      <c r="G14" s="179"/>
      <c r="H14" s="179"/>
      <c r="I14" s="95"/>
      <c r="J14" s="103"/>
      <c r="K14" s="88">
        <v>2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9"/>
      <c r="AI14" s="40"/>
      <c r="AJ14" s="115">
        <v>2</v>
      </c>
      <c r="AK14" s="116">
        <f t="shared" si="0"/>
        <v>600</v>
      </c>
      <c r="AL14" s="41"/>
      <c r="AM14" s="41"/>
    </row>
    <row r="15" spans="1:39" ht="15.75" customHeight="1" x14ac:dyDescent="0.2">
      <c r="A15" s="33"/>
      <c r="B15" s="42" t="s">
        <v>83</v>
      </c>
      <c r="C15" s="43" t="s">
        <v>130</v>
      </c>
      <c r="D15" s="179"/>
      <c r="E15" s="93">
        <v>300</v>
      </c>
      <c r="F15" s="179"/>
      <c r="G15" s="179"/>
      <c r="H15" s="179"/>
      <c r="I15" s="96"/>
      <c r="J15" s="103"/>
      <c r="K15" s="99">
        <v>2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/>
      <c r="AJ15" s="115">
        <v>2</v>
      </c>
      <c r="AK15" s="116">
        <f t="shared" si="0"/>
        <v>600</v>
      </c>
      <c r="AL15" s="41"/>
      <c r="AM15" s="41"/>
    </row>
    <row r="16" spans="1:39" ht="15.75" customHeight="1" x14ac:dyDescent="0.2">
      <c r="A16" s="33"/>
      <c r="B16" s="42" t="s">
        <v>84</v>
      </c>
      <c r="C16" s="43" t="s">
        <v>131</v>
      </c>
      <c r="D16" s="179"/>
      <c r="E16" s="93">
        <v>50</v>
      </c>
      <c r="F16" s="179"/>
      <c r="G16" s="179"/>
      <c r="H16" s="179"/>
      <c r="I16" s="96"/>
      <c r="J16" s="103"/>
      <c r="K16" s="99">
        <v>1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/>
      <c r="AJ16" s="115">
        <v>1</v>
      </c>
      <c r="AK16" s="116">
        <f t="shared" si="0"/>
        <v>50</v>
      </c>
      <c r="AL16" s="41"/>
      <c r="AM16" s="41"/>
    </row>
    <row r="17" spans="1:39" ht="15.75" customHeight="1" x14ac:dyDescent="0.2">
      <c r="A17" s="33"/>
      <c r="B17" s="42" t="s">
        <v>85</v>
      </c>
      <c r="C17" s="90" t="s">
        <v>86</v>
      </c>
      <c r="D17" s="179"/>
      <c r="E17" s="46">
        <v>10</v>
      </c>
      <c r="F17" s="179"/>
      <c r="G17" s="179"/>
      <c r="H17" s="179"/>
      <c r="I17" s="96"/>
      <c r="J17" s="103"/>
      <c r="K17" s="99">
        <v>5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/>
      <c r="AJ17" s="115">
        <v>5</v>
      </c>
      <c r="AK17" s="116">
        <f t="shared" si="0"/>
        <v>50</v>
      </c>
      <c r="AL17" s="41"/>
      <c r="AM17" s="41"/>
    </row>
    <row r="18" spans="1:39" ht="14.25" x14ac:dyDescent="0.2">
      <c r="A18" s="33"/>
      <c r="B18" s="34"/>
      <c r="C18" s="89" t="s">
        <v>87</v>
      </c>
      <c r="D18" s="179"/>
      <c r="E18" s="46">
        <v>20</v>
      </c>
      <c r="F18" s="179"/>
      <c r="G18" s="179"/>
      <c r="H18" s="179"/>
      <c r="I18" s="95"/>
      <c r="J18" s="103"/>
      <c r="K18" s="88">
        <v>5</v>
      </c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9"/>
      <c r="AI18" s="40"/>
      <c r="AJ18" s="115">
        <v>5</v>
      </c>
      <c r="AK18" s="116">
        <f t="shared" si="0"/>
        <v>100</v>
      </c>
      <c r="AL18" s="41"/>
      <c r="AM18" s="41"/>
    </row>
    <row r="19" spans="1:39" ht="15.75" customHeight="1" x14ac:dyDescent="0.2">
      <c r="A19" s="33"/>
      <c r="B19" s="34" t="s">
        <v>88</v>
      </c>
      <c r="C19" s="35" t="s">
        <v>132</v>
      </c>
      <c r="D19" s="179"/>
      <c r="E19" s="93">
        <v>300</v>
      </c>
      <c r="F19" s="179"/>
      <c r="G19" s="179"/>
      <c r="H19" s="179"/>
      <c r="I19" s="95"/>
      <c r="J19" s="103"/>
      <c r="K19" s="88">
        <v>3</v>
      </c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9"/>
      <c r="AI19" s="40"/>
      <c r="AJ19" s="115">
        <v>3</v>
      </c>
      <c r="AK19" s="116">
        <f t="shared" si="0"/>
        <v>900</v>
      </c>
      <c r="AL19" s="41"/>
      <c r="AM19" s="41"/>
    </row>
    <row r="20" spans="1:39" ht="15.75" customHeight="1" x14ac:dyDescent="0.2">
      <c r="A20" s="33"/>
      <c r="B20" s="42" t="s">
        <v>89</v>
      </c>
      <c r="C20" s="43" t="s">
        <v>133</v>
      </c>
      <c r="D20" s="179"/>
      <c r="E20" s="46">
        <v>10</v>
      </c>
      <c r="F20" s="179"/>
      <c r="G20" s="179"/>
      <c r="H20" s="179"/>
      <c r="I20" s="96"/>
      <c r="J20" s="103"/>
      <c r="K20" s="99">
        <v>3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/>
      <c r="AJ20" s="115">
        <v>3</v>
      </c>
      <c r="AK20" s="116">
        <f t="shared" si="0"/>
        <v>30</v>
      </c>
      <c r="AL20" s="41"/>
      <c r="AM20" s="41"/>
    </row>
    <row r="21" spans="1:39" ht="15.75" customHeight="1" x14ac:dyDescent="0.2">
      <c r="A21" s="33"/>
      <c r="B21" s="42" t="s">
        <v>90</v>
      </c>
      <c r="C21" s="43" t="s">
        <v>134</v>
      </c>
      <c r="D21" s="179"/>
      <c r="E21" s="46">
        <v>15</v>
      </c>
      <c r="F21" s="179"/>
      <c r="G21" s="179"/>
      <c r="H21" s="179"/>
      <c r="I21" s="96"/>
      <c r="J21" s="103"/>
      <c r="K21" s="99">
        <v>3</v>
      </c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  <c r="AJ21" s="115">
        <v>3</v>
      </c>
      <c r="AK21" s="116">
        <f t="shared" si="0"/>
        <v>45</v>
      </c>
      <c r="AL21" s="41"/>
      <c r="AM21" s="41"/>
    </row>
    <row r="22" spans="1:39" ht="15.75" customHeight="1" x14ac:dyDescent="0.2">
      <c r="A22" s="33"/>
      <c r="B22" s="47"/>
      <c r="C22" s="48" t="s">
        <v>135</v>
      </c>
      <c r="D22" s="179"/>
      <c r="E22" s="46">
        <v>15</v>
      </c>
      <c r="F22" s="179"/>
      <c r="G22" s="179"/>
      <c r="H22" s="179"/>
      <c r="I22" s="97"/>
      <c r="J22" s="103"/>
      <c r="K22" s="100">
        <v>2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50"/>
      <c r="AI22" s="51"/>
      <c r="AJ22" s="115">
        <v>2</v>
      </c>
      <c r="AK22" s="116">
        <f t="shared" si="0"/>
        <v>30</v>
      </c>
      <c r="AL22" s="41"/>
      <c r="AM22" s="41"/>
    </row>
    <row r="23" spans="1:39" ht="15.75" customHeight="1" x14ac:dyDescent="0.2">
      <c r="A23" s="33"/>
      <c r="B23" s="34" t="s">
        <v>91</v>
      </c>
      <c r="C23" s="35" t="s">
        <v>136</v>
      </c>
      <c r="D23" s="179"/>
      <c r="E23" s="93">
        <v>50</v>
      </c>
      <c r="F23" s="179"/>
      <c r="G23" s="179"/>
      <c r="H23" s="179"/>
      <c r="I23" s="95"/>
      <c r="J23" s="103"/>
      <c r="K23" s="88">
        <v>3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9"/>
      <c r="AI23" s="40"/>
      <c r="AJ23" s="115">
        <v>3</v>
      </c>
      <c r="AK23" s="116">
        <f t="shared" si="0"/>
        <v>150</v>
      </c>
      <c r="AL23" s="41"/>
      <c r="AM23" s="41"/>
    </row>
    <row r="24" spans="1:39" ht="15.75" customHeight="1" x14ac:dyDescent="0.2">
      <c r="A24" s="33"/>
      <c r="B24" s="42"/>
      <c r="C24" s="43" t="s">
        <v>137</v>
      </c>
      <c r="D24" s="179"/>
      <c r="E24" s="93">
        <v>50</v>
      </c>
      <c r="F24" s="179"/>
      <c r="G24" s="179"/>
      <c r="H24" s="179"/>
      <c r="I24" s="96"/>
      <c r="J24" s="103"/>
      <c r="K24" s="99">
        <v>3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/>
      <c r="AJ24" s="115">
        <v>3</v>
      </c>
      <c r="AK24" s="116">
        <f t="shared" si="0"/>
        <v>150</v>
      </c>
      <c r="AL24" s="41"/>
      <c r="AM24" s="41"/>
    </row>
    <row r="25" spans="1:39" ht="15.75" customHeight="1" x14ac:dyDescent="0.2">
      <c r="A25" s="33"/>
      <c r="B25" s="42" t="s">
        <v>92</v>
      </c>
      <c r="C25" s="43" t="s">
        <v>138</v>
      </c>
      <c r="D25" s="179"/>
      <c r="E25" s="93">
        <v>50</v>
      </c>
      <c r="F25" s="179"/>
      <c r="G25" s="179"/>
      <c r="H25" s="179"/>
      <c r="I25" s="96"/>
      <c r="J25" s="103"/>
      <c r="K25" s="99">
        <v>3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/>
      <c r="AJ25" s="115">
        <v>2</v>
      </c>
      <c r="AK25" s="116">
        <f t="shared" si="0"/>
        <v>100</v>
      </c>
      <c r="AL25" s="41"/>
      <c r="AM25" s="41"/>
    </row>
    <row r="26" spans="1:39" ht="15.75" customHeight="1" x14ac:dyDescent="0.2">
      <c r="A26" s="33"/>
      <c r="B26" s="42" t="s">
        <v>93</v>
      </c>
      <c r="C26" s="43" t="s">
        <v>139</v>
      </c>
      <c r="D26" s="179"/>
      <c r="E26" s="93">
        <v>150</v>
      </c>
      <c r="F26" s="179"/>
      <c r="G26" s="179"/>
      <c r="H26" s="179"/>
      <c r="I26" s="96"/>
      <c r="J26" s="103"/>
      <c r="K26" s="99">
        <v>2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/>
      <c r="AJ26" s="115">
        <v>2</v>
      </c>
      <c r="AK26" s="116">
        <f t="shared" si="0"/>
        <v>300</v>
      </c>
      <c r="AL26" s="41"/>
      <c r="AM26" s="41"/>
    </row>
    <row r="27" spans="1:39" ht="15.75" customHeight="1" x14ac:dyDescent="0.2">
      <c r="A27" s="33"/>
      <c r="B27" s="42"/>
      <c r="C27" s="90" t="s">
        <v>94</v>
      </c>
      <c r="D27" s="179"/>
      <c r="E27" s="93">
        <v>150</v>
      </c>
      <c r="F27" s="179"/>
      <c r="G27" s="179"/>
      <c r="H27" s="179"/>
      <c r="I27" s="96"/>
      <c r="J27" s="103"/>
      <c r="K27" s="99">
        <v>10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/>
      <c r="AJ27" s="115">
        <v>10</v>
      </c>
      <c r="AK27" s="116">
        <f t="shared" si="0"/>
        <v>1500</v>
      </c>
      <c r="AL27" s="41"/>
      <c r="AM27" s="41"/>
    </row>
    <row r="28" spans="1:39" ht="15.75" customHeight="1" x14ac:dyDescent="0.2">
      <c r="A28" s="33"/>
      <c r="B28" s="42" t="s">
        <v>95</v>
      </c>
      <c r="C28" s="43" t="s">
        <v>140</v>
      </c>
      <c r="D28" s="179"/>
      <c r="E28" s="93">
        <v>700</v>
      </c>
      <c r="F28" s="179"/>
      <c r="G28" s="179"/>
      <c r="H28" s="179"/>
      <c r="I28" s="96"/>
      <c r="J28" s="103"/>
      <c r="K28" s="99">
        <v>1</v>
      </c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/>
      <c r="AJ28" s="115">
        <v>1</v>
      </c>
      <c r="AK28" s="116">
        <f t="shared" si="0"/>
        <v>700</v>
      </c>
      <c r="AL28" s="41"/>
      <c r="AM28" s="41"/>
    </row>
    <row r="29" spans="1:39" ht="15.75" customHeight="1" x14ac:dyDescent="0.2">
      <c r="A29" s="33"/>
      <c r="B29" s="42"/>
      <c r="C29" s="43" t="s">
        <v>141</v>
      </c>
      <c r="D29" s="179"/>
      <c r="E29" s="93">
        <v>700</v>
      </c>
      <c r="F29" s="179"/>
      <c r="G29" s="179"/>
      <c r="H29" s="179"/>
      <c r="I29" s="96"/>
      <c r="J29" s="103"/>
      <c r="K29" s="99">
        <v>1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/>
      <c r="AJ29" s="115">
        <v>1</v>
      </c>
      <c r="AK29" s="116">
        <f t="shared" si="0"/>
        <v>700</v>
      </c>
      <c r="AL29" s="41"/>
      <c r="AM29" s="41"/>
    </row>
    <row r="30" spans="1:39" ht="15.75" customHeight="1" x14ac:dyDescent="0.2">
      <c r="A30" s="33"/>
      <c r="B30" s="42" t="s">
        <v>96</v>
      </c>
      <c r="C30" s="43" t="s">
        <v>142</v>
      </c>
      <c r="D30" s="179"/>
      <c r="E30" s="93">
        <v>300</v>
      </c>
      <c r="F30" s="179"/>
      <c r="G30" s="179"/>
      <c r="H30" s="179"/>
      <c r="I30" s="96"/>
      <c r="J30" s="103"/>
      <c r="K30" s="99">
        <v>2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/>
      <c r="AJ30" s="115">
        <v>2</v>
      </c>
      <c r="AK30" s="116">
        <f t="shared" si="0"/>
        <v>600</v>
      </c>
      <c r="AL30" s="41"/>
      <c r="AM30" s="41"/>
    </row>
    <row r="31" spans="1:39" ht="15.75" customHeight="1" x14ac:dyDescent="0.2">
      <c r="A31" s="33"/>
      <c r="B31" s="42" t="s">
        <v>97</v>
      </c>
      <c r="C31" s="43" t="s">
        <v>143</v>
      </c>
      <c r="D31" s="179"/>
      <c r="E31" s="93">
        <v>100</v>
      </c>
      <c r="F31" s="179"/>
      <c r="G31" s="179"/>
      <c r="H31" s="179"/>
      <c r="I31" s="96"/>
      <c r="J31" s="103"/>
      <c r="K31" s="99">
        <v>2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/>
      <c r="AJ31" s="115">
        <v>2</v>
      </c>
      <c r="AK31" s="116">
        <f t="shared" si="0"/>
        <v>200</v>
      </c>
      <c r="AL31" s="41"/>
      <c r="AM31" s="41"/>
    </row>
    <row r="32" spans="1:39" ht="15.75" customHeight="1" x14ac:dyDescent="0.2">
      <c r="A32" s="33"/>
      <c r="B32" s="42"/>
      <c r="C32" s="43" t="s">
        <v>144</v>
      </c>
      <c r="D32" s="179"/>
      <c r="E32" s="46">
        <v>55</v>
      </c>
      <c r="F32" s="179"/>
      <c r="G32" s="179"/>
      <c r="H32" s="179"/>
      <c r="I32" s="96"/>
      <c r="J32" s="103"/>
      <c r="K32" s="99">
        <v>8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/>
      <c r="AJ32" s="115">
        <v>8</v>
      </c>
      <c r="AK32" s="116">
        <f t="shared" si="0"/>
        <v>440</v>
      </c>
      <c r="AL32" s="41"/>
      <c r="AM32" s="41"/>
    </row>
    <row r="33" spans="1:39" ht="15.75" customHeight="1" x14ac:dyDescent="0.2">
      <c r="A33" s="33"/>
      <c r="B33" s="42"/>
      <c r="C33" s="43" t="s">
        <v>145</v>
      </c>
      <c r="D33" s="179"/>
      <c r="E33" s="46">
        <v>150</v>
      </c>
      <c r="F33" s="179"/>
      <c r="G33" s="179"/>
      <c r="H33" s="179"/>
      <c r="I33" s="96"/>
      <c r="J33" s="103"/>
      <c r="K33" s="99">
        <v>2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/>
      <c r="AJ33" s="115">
        <v>2</v>
      </c>
      <c r="AK33" s="116">
        <f t="shared" si="0"/>
        <v>300</v>
      </c>
      <c r="AL33" s="41"/>
      <c r="AM33" s="41"/>
    </row>
    <row r="34" spans="1:39" ht="15.75" customHeight="1" x14ac:dyDescent="0.2">
      <c r="A34" s="33"/>
      <c r="B34" s="42" t="s">
        <v>98</v>
      </c>
      <c r="C34" s="43" t="s">
        <v>146</v>
      </c>
      <c r="D34" s="179"/>
      <c r="E34" s="46">
        <v>1000</v>
      </c>
      <c r="F34" s="179"/>
      <c r="G34" s="179"/>
      <c r="H34" s="179"/>
      <c r="I34" s="96"/>
      <c r="J34" s="103"/>
      <c r="K34" s="99">
        <v>2</v>
      </c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/>
      <c r="AJ34" s="115">
        <v>2</v>
      </c>
      <c r="AK34" s="116">
        <f t="shared" si="0"/>
        <v>2000</v>
      </c>
      <c r="AL34" s="41"/>
      <c r="AM34" s="41"/>
    </row>
    <row r="35" spans="1:39" ht="15.75" customHeight="1" x14ac:dyDescent="0.2">
      <c r="A35" s="33"/>
      <c r="B35" s="42" t="s">
        <v>99</v>
      </c>
      <c r="C35" s="43" t="s">
        <v>147</v>
      </c>
      <c r="D35" s="179"/>
      <c r="E35" s="46">
        <v>20</v>
      </c>
      <c r="F35" s="179"/>
      <c r="G35" s="179"/>
      <c r="H35" s="179"/>
      <c r="I35" s="96"/>
      <c r="J35" s="103"/>
      <c r="K35" s="99">
        <v>2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/>
      <c r="AJ35" s="115">
        <v>2</v>
      </c>
      <c r="AK35" s="116">
        <f t="shared" si="0"/>
        <v>40</v>
      </c>
      <c r="AL35" s="41"/>
      <c r="AM35" s="41"/>
    </row>
    <row r="36" spans="1:39" ht="15.75" customHeight="1" x14ac:dyDescent="0.2">
      <c r="A36" s="33"/>
      <c r="B36" s="42"/>
      <c r="C36" s="43" t="s">
        <v>148</v>
      </c>
      <c r="D36" s="179"/>
      <c r="E36" s="46">
        <v>66</v>
      </c>
      <c r="F36" s="179"/>
      <c r="G36" s="179"/>
      <c r="H36" s="179"/>
      <c r="I36" s="96"/>
      <c r="J36" s="103"/>
      <c r="K36" s="99">
        <v>2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/>
      <c r="AJ36" s="115">
        <v>2</v>
      </c>
      <c r="AK36" s="116">
        <f t="shared" si="0"/>
        <v>132</v>
      </c>
      <c r="AL36" s="41"/>
      <c r="AM36" s="41"/>
    </row>
    <row r="37" spans="1:39" ht="15.75" customHeight="1" x14ac:dyDescent="0.2">
      <c r="A37" s="33"/>
      <c r="B37" s="42"/>
      <c r="C37" s="90" t="s">
        <v>100</v>
      </c>
      <c r="D37" s="179"/>
      <c r="E37" s="46">
        <v>250</v>
      </c>
      <c r="F37" s="179"/>
      <c r="G37" s="179"/>
      <c r="H37" s="179"/>
      <c r="I37" s="96"/>
      <c r="J37" s="103"/>
      <c r="K37" s="99">
        <v>20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/>
      <c r="AJ37" s="115">
        <v>20</v>
      </c>
      <c r="AK37" s="116">
        <f t="shared" si="0"/>
        <v>5000</v>
      </c>
      <c r="AL37" s="41"/>
      <c r="AM37" s="41"/>
    </row>
    <row r="38" spans="1:39" ht="15.75" customHeight="1" x14ac:dyDescent="0.2">
      <c r="A38" s="33"/>
      <c r="B38" s="42"/>
      <c r="C38" s="43" t="s">
        <v>149</v>
      </c>
      <c r="D38" s="179"/>
      <c r="E38" s="46">
        <v>250</v>
      </c>
      <c r="F38" s="179"/>
      <c r="G38" s="179"/>
      <c r="H38" s="179"/>
      <c r="I38" s="96"/>
      <c r="J38" s="103"/>
      <c r="K38" s="99">
        <v>4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/>
      <c r="AJ38" s="115">
        <v>4</v>
      </c>
      <c r="AK38" s="116">
        <f t="shared" si="0"/>
        <v>1000</v>
      </c>
      <c r="AL38" s="41"/>
      <c r="AM38" s="41"/>
    </row>
    <row r="39" spans="1:39" ht="15.75" customHeight="1" x14ac:dyDescent="0.2">
      <c r="A39" s="33"/>
      <c r="B39" s="42" t="s">
        <v>101</v>
      </c>
      <c r="C39" s="90" t="s">
        <v>102</v>
      </c>
      <c r="D39" s="179"/>
      <c r="E39" s="93">
        <v>250</v>
      </c>
      <c r="F39" s="179"/>
      <c r="G39" s="179"/>
      <c r="H39" s="179"/>
      <c r="I39" s="96"/>
      <c r="J39" s="103"/>
      <c r="K39" s="99">
        <v>10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/>
      <c r="AJ39" s="115">
        <v>10</v>
      </c>
      <c r="AK39" s="116">
        <f t="shared" si="0"/>
        <v>2500</v>
      </c>
      <c r="AL39" s="41"/>
      <c r="AM39" s="41"/>
    </row>
    <row r="40" spans="1:39" ht="15.75" customHeight="1" x14ac:dyDescent="0.2">
      <c r="A40" s="33"/>
      <c r="B40" s="42"/>
      <c r="C40" s="90" t="s">
        <v>103</v>
      </c>
      <c r="D40" s="194"/>
      <c r="E40" s="46">
        <v>300</v>
      </c>
      <c r="F40" s="180"/>
      <c r="G40" s="194"/>
      <c r="H40" s="194"/>
      <c r="I40" s="37"/>
      <c r="K40" s="37">
        <v>2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/>
      <c r="AJ40" s="115">
        <v>2</v>
      </c>
      <c r="AK40" s="116">
        <f t="shared" si="0"/>
        <v>600</v>
      </c>
      <c r="AL40" s="41"/>
      <c r="AM40" s="41"/>
    </row>
    <row r="41" spans="1:39" ht="15.75" customHeight="1" x14ac:dyDescent="0.2">
      <c r="A41" s="52" t="s">
        <v>104</v>
      </c>
      <c r="B41" s="53"/>
      <c r="C41" s="54" t="s">
        <v>106</v>
      </c>
      <c r="D41" s="58"/>
      <c r="E41" s="55"/>
      <c r="F41" s="56"/>
      <c r="G41" s="57"/>
      <c r="H41" s="58"/>
      <c r="I41" s="57"/>
      <c r="J41" s="57"/>
      <c r="K41" s="58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60"/>
      <c r="AJ41" s="117"/>
      <c r="AK41" s="118">
        <f>SUM(AK12:AK40)</f>
        <v>35317</v>
      </c>
    </row>
    <row r="42" spans="1:39" ht="15.75" customHeight="1" x14ac:dyDescent="0.2">
      <c r="A42" s="33"/>
      <c r="B42" s="62"/>
      <c r="C42" s="91" t="s">
        <v>126</v>
      </c>
      <c r="D42" s="36" t="s">
        <v>105</v>
      </c>
      <c r="E42" s="61">
        <v>49900</v>
      </c>
      <c r="F42" s="61">
        <v>49900</v>
      </c>
      <c r="G42" s="63" t="s">
        <v>78</v>
      </c>
      <c r="H42" s="34" t="s">
        <v>79</v>
      </c>
      <c r="I42" s="37"/>
      <c r="K42" s="37">
        <v>1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/>
      <c r="AJ42" s="115">
        <v>1</v>
      </c>
      <c r="AK42" s="116">
        <v>49900</v>
      </c>
      <c r="AL42" s="41"/>
      <c r="AM42" s="41"/>
    </row>
    <row r="43" spans="1:39" ht="15.75" customHeight="1" x14ac:dyDescent="0.2">
      <c r="A43" s="52" t="s">
        <v>107</v>
      </c>
      <c r="B43" s="53"/>
      <c r="C43" s="110" t="s">
        <v>108</v>
      </c>
      <c r="D43" s="58"/>
      <c r="E43" s="55"/>
      <c r="F43" s="56"/>
      <c r="G43" s="57"/>
      <c r="H43" s="58"/>
      <c r="I43" s="57"/>
      <c r="J43" s="57"/>
      <c r="K43" s="58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60"/>
      <c r="AJ43" s="117"/>
      <c r="AK43" s="118"/>
    </row>
    <row r="44" spans="1:39" ht="15.75" customHeight="1" x14ac:dyDescent="0.2">
      <c r="A44" s="64"/>
      <c r="B44" s="109" t="s">
        <v>109</v>
      </c>
      <c r="C44" s="112" t="s">
        <v>152</v>
      </c>
      <c r="D44" s="184" t="s">
        <v>105</v>
      </c>
      <c r="E44" s="65">
        <v>250</v>
      </c>
      <c r="F44" s="66">
        <v>1250</v>
      </c>
      <c r="G44" s="190" t="s">
        <v>110</v>
      </c>
      <c r="H44" s="187" t="s">
        <v>79</v>
      </c>
      <c r="I44" s="47"/>
      <c r="K44" s="47">
        <v>5</v>
      </c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8"/>
      <c r="AJ44" s="117">
        <v>5</v>
      </c>
      <c r="AK44" s="119">
        <f>(E44*K44)</f>
        <v>1250</v>
      </c>
    </row>
    <row r="45" spans="1:39" ht="15.75" customHeight="1" x14ac:dyDescent="0.2">
      <c r="A45" s="92"/>
      <c r="B45" s="109"/>
      <c r="C45" s="112" t="s">
        <v>153</v>
      </c>
      <c r="D45" s="185"/>
      <c r="E45" s="65">
        <v>87.31</v>
      </c>
      <c r="F45" s="66">
        <v>436.55</v>
      </c>
      <c r="G45" s="191"/>
      <c r="H45" s="188"/>
      <c r="I45" s="70"/>
      <c r="J45" s="70"/>
      <c r="K45" s="70">
        <v>5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2"/>
      <c r="AJ45" s="120">
        <v>5</v>
      </c>
      <c r="AK45" s="118">
        <f>(E45*K45)</f>
        <v>436.55</v>
      </c>
    </row>
    <row r="46" spans="1:39" ht="15.75" customHeight="1" x14ac:dyDescent="0.2">
      <c r="A46" s="92"/>
      <c r="B46" s="109"/>
      <c r="C46" s="112" t="s">
        <v>154</v>
      </c>
      <c r="D46" s="185"/>
      <c r="E46" s="65">
        <v>50.43</v>
      </c>
      <c r="F46" s="66">
        <v>252.15</v>
      </c>
      <c r="G46" s="191"/>
      <c r="H46" s="188"/>
      <c r="I46" s="104"/>
      <c r="J46" s="107"/>
      <c r="K46" s="105">
        <v>5</v>
      </c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2"/>
      <c r="AJ46" s="120">
        <v>5</v>
      </c>
      <c r="AK46" s="119">
        <f>(E46*K46)</f>
        <v>252.15</v>
      </c>
    </row>
    <row r="47" spans="1:39" ht="15.75" customHeight="1" thickBot="1" x14ac:dyDescent="0.25">
      <c r="A47" s="69"/>
      <c r="B47" s="109" t="s">
        <v>111</v>
      </c>
      <c r="C47" s="113" t="s">
        <v>155</v>
      </c>
      <c r="D47" s="186"/>
      <c r="E47" s="65">
        <v>800</v>
      </c>
      <c r="F47" s="66">
        <v>4000</v>
      </c>
      <c r="G47" s="192"/>
      <c r="H47" s="189"/>
      <c r="I47" s="104"/>
      <c r="J47" s="108"/>
      <c r="K47" s="105">
        <v>5</v>
      </c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2"/>
      <c r="AJ47" s="117">
        <v>5</v>
      </c>
      <c r="AK47" s="118">
        <f>(E47*K47)</f>
        <v>4000</v>
      </c>
    </row>
    <row r="48" spans="1:39" ht="15.75" customHeight="1" thickBot="1" x14ac:dyDescent="0.25">
      <c r="A48" s="73" t="s">
        <v>112</v>
      </c>
      <c r="B48" s="74"/>
      <c r="C48" s="111"/>
      <c r="D48" s="181">
        <f>SUM(F12:F47)</f>
        <v>91155.7</v>
      </c>
      <c r="E48" s="182"/>
      <c r="F48" s="182"/>
      <c r="G48" s="75"/>
      <c r="H48" s="75"/>
      <c r="I48" s="76"/>
      <c r="J48" s="10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1"/>
      <c r="AK48" s="114"/>
    </row>
    <row r="49" spans="1:37" ht="15.75" customHeight="1" thickTop="1" x14ac:dyDescent="0.2">
      <c r="A49" s="77"/>
      <c r="B49" s="4"/>
      <c r="C49" s="4"/>
      <c r="D49" s="1"/>
      <c r="E49" s="8"/>
      <c r="F49" s="9"/>
      <c r="G49" s="10"/>
      <c r="H49" s="10"/>
      <c r="I49" s="78"/>
      <c r="J49" s="78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1"/>
      <c r="AJ49" s="1"/>
      <c r="AK49" s="1"/>
    </row>
    <row r="50" spans="1:37" ht="15.75" customHeight="1" x14ac:dyDescent="0.2">
      <c r="A50" s="80" t="s">
        <v>113</v>
      </c>
      <c r="B50" s="4"/>
      <c r="C50" s="4"/>
      <c r="D50" s="1"/>
      <c r="E50" s="8"/>
      <c r="F50" s="9"/>
      <c r="G50" s="10"/>
      <c r="H50" s="10"/>
      <c r="I50" s="78"/>
      <c r="J50" s="78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1"/>
      <c r="AJ50" s="1"/>
      <c r="AK50" s="1"/>
    </row>
    <row r="51" spans="1:37" ht="15.75" customHeight="1" x14ac:dyDescent="0.2">
      <c r="A51" s="13"/>
      <c r="B51" s="4"/>
      <c r="C51" s="4"/>
      <c r="D51" s="1"/>
      <c r="E51" s="8"/>
      <c r="F51" s="9"/>
      <c r="G51" s="10"/>
      <c r="H51" s="10"/>
      <c r="I51" s="78"/>
      <c r="J51" s="78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1"/>
      <c r="AJ51" s="1"/>
      <c r="AK51" s="1"/>
    </row>
    <row r="52" spans="1:37" ht="15.75" customHeight="1" x14ac:dyDescent="0.25">
      <c r="A52" s="81" t="s">
        <v>114</v>
      </c>
      <c r="B52" s="4"/>
      <c r="C52" s="4"/>
      <c r="D52" s="82" t="s">
        <v>115</v>
      </c>
      <c r="E52" s="83"/>
      <c r="F52" s="9"/>
      <c r="G52" s="82" t="s">
        <v>116</v>
      </c>
      <c r="H52" s="1"/>
      <c r="I52" s="1"/>
      <c r="J52" s="82" t="s">
        <v>117</v>
      </c>
      <c r="K52" s="9"/>
      <c r="L52" s="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1"/>
      <c r="AJ52" s="1"/>
      <c r="AK52" s="78"/>
    </row>
    <row r="53" spans="1:37" ht="15.75" customHeight="1" x14ac:dyDescent="0.2">
      <c r="A53" s="81"/>
      <c r="B53" s="4"/>
      <c r="C53" s="4"/>
      <c r="D53" s="1"/>
      <c r="E53" s="83"/>
      <c r="F53" s="9"/>
      <c r="G53" s="1"/>
      <c r="H53" s="1"/>
      <c r="I53" s="1"/>
      <c r="J53" s="1"/>
      <c r="K53" s="9"/>
      <c r="L53" s="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1"/>
      <c r="AJ53" s="78"/>
      <c r="AK53" s="78"/>
    </row>
    <row r="54" spans="1:37" ht="15.75" customHeight="1" x14ac:dyDescent="0.2">
      <c r="A54" s="4"/>
      <c r="B54" s="4"/>
      <c r="C54" s="4"/>
      <c r="D54" s="1"/>
      <c r="E54" s="83"/>
      <c r="F54" s="9"/>
      <c r="G54" s="1"/>
      <c r="H54" s="1"/>
      <c r="I54" s="1"/>
      <c r="J54" s="1"/>
      <c r="K54" s="9"/>
      <c r="L54" s="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1"/>
      <c r="AJ54" s="78"/>
      <c r="AK54" s="78"/>
    </row>
    <row r="55" spans="1:37" ht="15.75" customHeight="1" x14ac:dyDescent="0.25">
      <c r="A55" s="121" t="s">
        <v>156</v>
      </c>
      <c r="B55" s="84"/>
      <c r="C55" s="84"/>
      <c r="D55" s="82" t="s">
        <v>119</v>
      </c>
      <c r="E55" s="83"/>
      <c r="F55" s="9"/>
      <c r="G55" s="82" t="s">
        <v>118</v>
      </c>
      <c r="H55" s="1"/>
      <c r="I55" s="1"/>
      <c r="J55" s="82" t="s">
        <v>120</v>
      </c>
      <c r="K55" s="9"/>
      <c r="L55" s="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1"/>
      <c r="AJ55" s="1"/>
      <c r="AK55" s="1"/>
    </row>
    <row r="56" spans="1:37" ht="15" customHeight="1" x14ac:dyDescent="0.2">
      <c r="A56" s="183" t="s">
        <v>157</v>
      </c>
      <c r="B56" s="171"/>
      <c r="C56" s="171"/>
      <c r="D56" s="1" t="s">
        <v>122</v>
      </c>
      <c r="E56" s="83"/>
      <c r="F56" s="9"/>
      <c r="G56" s="1" t="s">
        <v>121</v>
      </c>
      <c r="H56" s="1"/>
      <c r="I56" s="1"/>
      <c r="J56" s="1" t="s">
        <v>123</v>
      </c>
      <c r="K56" s="9"/>
      <c r="L56" s="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1"/>
      <c r="AJ56" s="78"/>
      <c r="AK56" s="78"/>
    </row>
    <row r="57" spans="1:37" ht="15.75" customHeight="1" x14ac:dyDescent="0.2">
      <c r="A57" s="1"/>
      <c r="B57" s="1"/>
      <c r="C57" s="1"/>
      <c r="D57" s="1"/>
      <c r="E57" s="83"/>
      <c r="F57" s="9"/>
      <c r="G57" s="1"/>
      <c r="H57" s="1"/>
      <c r="I57" s="1"/>
      <c r="J57" s="1"/>
      <c r="K57" s="9"/>
      <c r="L57" s="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1"/>
      <c r="AJ57" s="1"/>
      <c r="AK57" s="1"/>
    </row>
    <row r="58" spans="1:37" ht="15.75" customHeight="1" x14ac:dyDescent="0.2">
      <c r="A58" s="1" t="s">
        <v>127</v>
      </c>
      <c r="B58" s="1"/>
      <c r="C58" s="1"/>
      <c r="D58" s="1" t="s">
        <v>124</v>
      </c>
      <c r="E58" s="83"/>
      <c r="F58" s="9"/>
      <c r="G58" s="1" t="s">
        <v>124</v>
      </c>
      <c r="H58" s="1"/>
      <c r="I58" s="1"/>
      <c r="J58" s="1" t="s">
        <v>124</v>
      </c>
      <c r="K58" s="9"/>
      <c r="L58" s="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1"/>
      <c r="AJ58" s="1"/>
      <c r="AK58" s="1"/>
    </row>
    <row r="59" spans="1:37" ht="15.75" customHeight="1" x14ac:dyDescent="0.2">
      <c r="D59" s="1"/>
      <c r="E59" s="83"/>
      <c r="F59" s="9"/>
      <c r="G59" s="1"/>
      <c r="H59" s="1"/>
      <c r="I59" s="1"/>
      <c r="J59" s="1"/>
      <c r="K59" s="9"/>
      <c r="L59" s="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1"/>
    </row>
    <row r="60" spans="1:37" ht="15.75" customHeight="1" x14ac:dyDescent="0.2">
      <c r="D60" s="1"/>
      <c r="E60" s="8"/>
      <c r="F60" s="9"/>
      <c r="G60" s="10"/>
      <c r="H60" s="10"/>
      <c r="I60" s="78"/>
      <c r="J60" s="78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1"/>
    </row>
    <row r="61" spans="1:37" ht="15.75" customHeight="1" x14ac:dyDescent="0.2">
      <c r="D61" s="1"/>
      <c r="E61" s="8"/>
      <c r="F61" s="9"/>
      <c r="G61" s="10"/>
      <c r="H61" s="10"/>
      <c r="I61" s="78"/>
      <c r="J61" s="78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1"/>
    </row>
    <row r="62" spans="1:37" ht="15.75" customHeight="1" x14ac:dyDescent="0.2">
      <c r="E62" s="85"/>
      <c r="G62" s="2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</row>
    <row r="63" spans="1:37" ht="15.75" customHeight="1" x14ac:dyDescent="0.2">
      <c r="E63" s="85"/>
      <c r="G63" s="2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spans="1:37" ht="15.75" customHeight="1" x14ac:dyDescent="0.2">
      <c r="E64" s="85"/>
      <c r="G64" s="2"/>
    </row>
    <row r="65" spans="5:7" ht="15.75" customHeight="1" x14ac:dyDescent="0.2">
      <c r="E65" s="85"/>
      <c r="G65" s="2"/>
    </row>
    <row r="66" spans="5:7" ht="15.75" customHeight="1" x14ac:dyDescent="0.2">
      <c r="E66" s="85"/>
      <c r="G66" s="2"/>
    </row>
    <row r="67" spans="5:7" ht="15.75" customHeight="1" x14ac:dyDescent="0.2">
      <c r="E67" s="85"/>
      <c r="G67" s="2"/>
    </row>
    <row r="68" spans="5:7" ht="15.75" customHeight="1" x14ac:dyDescent="0.2">
      <c r="E68" s="85"/>
      <c r="G68" s="2"/>
    </row>
    <row r="69" spans="5:7" ht="15.75" customHeight="1" x14ac:dyDescent="0.2">
      <c r="E69" s="85"/>
      <c r="G69" s="2"/>
    </row>
    <row r="70" spans="5:7" ht="15.75" customHeight="1" x14ac:dyDescent="0.2">
      <c r="E70" s="85"/>
      <c r="G70" s="2"/>
    </row>
    <row r="71" spans="5:7" ht="15.75" customHeight="1" x14ac:dyDescent="0.2">
      <c r="E71" s="85"/>
      <c r="G71" s="2"/>
    </row>
    <row r="72" spans="5:7" ht="15.75" customHeight="1" x14ac:dyDescent="0.2">
      <c r="E72" s="85"/>
      <c r="G72" s="2"/>
    </row>
    <row r="73" spans="5:7" ht="15.75" customHeight="1" x14ac:dyDescent="0.2">
      <c r="E73" s="85"/>
      <c r="G73" s="2"/>
    </row>
    <row r="74" spans="5:7" ht="15.75" customHeight="1" x14ac:dyDescent="0.2">
      <c r="E74" s="85"/>
      <c r="G74" s="2"/>
    </row>
    <row r="75" spans="5:7" ht="15.75" customHeight="1" x14ac:dyDescent="0.2">
      <c r="E75" s="85"/>
      <c r="G75" s="2"/>
    </row>
    <row r="76" spans="5:7" ht="15.75" customHeight="1" x14ac:dyDescent="0.2">
      <c r="E76" s="85"/>
      <c r="G76" s="2"/>
    </row>
    <row r="77" spans="5:7" ht="15.75" customHeight="1" x14ac:dyDescent="0.2">
      <c r="E77" s="85"/>
      <c r="G77" s="2"/>
    </row>
    <row r="78" spans="5:7" ht="15.75" customHeight="1" x14ac:dyDescent="0.2">
      <c r="E78" s="85"/>
      <c r="G78" s="2"/>
    </row>
    <row r="79" spans="5:7" ht="15.75" customHeight="1" x14ac:dyDescent="0.2">
      <c r="E79" s="85"/>
      <c r="G79" s="2"/>
    </row>
    <row r="80" spans="5:7" ht="15.75" customHeight="1" x14ac:dyDescent="0.2">
      <c r="E80" s="85"/>
      <c r="G80" s="2"/>
    </row>
    <row r="81" spans="5:7" ht="15.75" customHeight="1" x14ac:dyDescent="0.2">
      <c r="E81" s="85"/>
      <c r="G81" s="2"/>
    </row>
    <row r="82" spans="5:7" ht="15.75" customHeight="1" x14ac:dyDescent="0.2">
      <c r="E82" s="85"/>
      <c r="G82" s="2"/>
    </row>
    <row r="83" spans="5:7" ht="15.75" customHeight="1" x14ac:dyDescent="0.2">
      <c r="E83" s="85"/>
      <c r="G83" s="2"/>
    </row>
    <row r="84" spans="5:7" ht="15.75" customHeight="1" x14ac:dyDescent="0.2">
      <c r="E84" s="85"/>
      <c r="G84" s="2"/>
    </row>
    <row r="85" spans="5:7" ht="15.75" customHeight="1" x14ac:dyDescent="0.2">
      <c r="E85" s="85"/>
      <c r="G85" s="2"/>
    </row>
    <row r="86" spans="5:7" ht="15.75" customHeight="1" x14ac:dyDescent="0.2">
      <c r="E86" s="85"/>
      <c r="G86" s="2"/>
    </row>
    <row r="87" spans="5:7" ht="15.75" customHeight="1" x14ac:dyDescent="0.2">
      <c r="E87" s="85"/>
      <c r="G87" s="2"/>
    </row>
    <row r="88" spans="5:7" ht="15.75" customHeight="1" x14ac:dyDescent="0.2">
      <c r="E88" s="85"/>
      <c r="G88" s="2"/>
    </row>
    <row r="89" spans="5:7" ht="15.75" customHeight="1" x14ac:dyDescent="0.2">
      <c r="E89" s="85"/>
      <c r="G89" s="2"/>
    </row>
    <row r="90" spans="5:7" ht="15.75" customHeight="1" x14ac:dyDescent="0.2">
      <c r="E90" s="85"/>
      <c r="G90" s="2"/>
    </row>
    <row r="91" spans="5:7" ht="15.75" customHeight="1" x14ac:dyDescent="0.2">
      <c r="E91" s="85"/>
      <c r="G91" s="2"/>
    </row>
    <row r="92" spans="5:7" ht="15.75" customHeight="1" x14ac:dyDescent="0.2">
      <c r="E92" s="85"/>
      <c r="G92" s="2"/>
    </row>
    <row r="93" spans="5:7" ht="15.75" customHeight="1" x14ac:dyDescent="0.2">
      <c r="E93" s="85"/>
      <c r="G93" s="2"/>
    </row>
    <row r="94" spans="5:7" ht="15.75" customHeight="1" x14ac:dyDescent="0.2">
      <c r="E94" s="85"/>
      <c r="G94" s="2"/>
    </row>
    <row r="95" spans="5:7" ht="15.75" customHeight="1" x14ac:dyDescent="0.2">
      <c r="E95" s="85"/>
      <c r="G95" s="2"/>
    </row>
    <row r="96" spans="5:7" ht="15.75" customHeight="1" x14ac:dyDescent="0.2">
      <c r="E96" s="85"/>
      <c r="G96" s="2"/>
    </row>
    <row r="97" spans="5:7" ht="15.75" customHeight="1" x14ac:dyDescent="0.2">
      <c r="E97" s="85"/>
      <c r="G97" s="2"/>
    </row>
    <row r="98" spans="5:7" ht="15.75" customHeight="1" x14ac:dyDescent="0.2">
      <c r="E98" s="85"/>
      <c r="G98" s="2"/>
    </row>
    <row r="99" spans="5:7" ht="15.75" customHeight="1" x14ac:dyDescent="0.2">
      <c r="E99" s="85"/>
      <c r="G99" s="2"/>
    </row>
    <row r="100" spans="5:7" ht="15.75" customHeight="1" x14ac:dyDescent="0.2">
      <c r="E100" s="85"/>
      <c r="G100" s="2"/>
    </row>
    <row r="101" spans="5:7" ht="15.75" customHeight="1" x14ac:dyDescent="0.2">
      <c r="E101" s="85"/>
      <c r="G101" s="2"/>
    </row>
    <row r="102" spans="5:7" ht="15.75" customHeight="1" x14ac:dyDescent="0.2">
      <c r="E102" s="85"/>
      <c r="G102" s="2"/>
    </row>
    <row r="103" spans="5:7" ht="15.75" customHeight="1" x14ac:dyDescent="0.2">
      <c r="E103" s="85"/>
      <c r="G103" s="2"/>
    </row>
    <row r="104" spans="5:7" ht="15.75" customHeight="1" x14ac:dyDescent="0.2">
      <c r="E104" s="85"/>
      <c r="G104" s="2"/>
    </row>
    <row r="105" spans="5:7" ht="15.75" customHeight="1" x14ac:dyDescent="0.2">
      <c r="E105" s="85"/>
      <c r="G105" s="2"/>
    </row>
    <row r="106" spans="5:7" ht="15.75" customHeight="1" x14ac:dyDescent="0.2">
      <c r="E106" s="85"/>
      <c r="G106" s="2"/>
    </row>
    <row r="107" spans="5:7" ht="15.75" customHeight="1" x14ac:dyDescent="0.2">
      <c r="E107" s="85"/>
      <c r="G107" s="2"/>
    </row>
    <row r="108" spans="5:7" ht="15.75" customHeight="1" x14ac:dyDescent="0.2">
      <c r="E108" s="85"/>
      <c r="G108" s="2"/>
    </row>
    <row r="109" spans="5:7" ht="15.75" customHeight="1" x14ac:dyDescent="0.2">
      <c r="E109" s="85"/>
      <c r="G109" s="2"/>
    </row>
    <row r="110" spans="5:7" ht="15.75" customHeight="1" x14ac:dyDescent="0.2">
      <c r="E110" s="85"/>
      <c r="G110" s="2"/>
    </row>
    <row r="111" spans="5:7" ht="15.75" customHeight="1" x14ac:dyDescent="0.2">
      <c r="E111" s="85"/>
      <c r="G111" s="2"/>
    </row>
    <row r="112" spans="5:7" ht="15.75" customHeight="1" x14ac:dyDescent="0.2">
      <c r="E112" s="85"/>
      <c r="G112" s="2"/>
    </row>
    <row r="113" spans="5:7" ht="15.75" customHeight="1" x14ac:dyDescent="0.2">
      <c r="E113" s="85"/>
      <c r="G113" s="2"/>
    </row>
    <row r="114" spans="5:7" ht="15.75" customHeight="1" x14ac:dyDescent="0.2">
      <c r="E114" s="85"/>
      <c r="G114" s="2"/>
    </row>
    <row r="115" spans="5:7" ht="15.75" customHeight="1" x14ac:dyDescent="0.2">
      <c r="E115" s="85"/>
      <c r="G115" s="2"/>
    </row>
    <row r="116" spans="5:7" ht="15.75" customHeight="1" x14ac:dyDescent="0.2">
      <c r="E116" s="85"/>
      <c r="G116" s="2"/>
    </row>
    <row r="117" spans="5:7" ht="15.75" customHeight="1" x14ac:dyDescent="0.2">
      <c r="E117" s="85"/>
      <c r="G117" s="2"/>
    </row>
    <row r="118" spans="5:7" ht="15.75" customHeight="1" x14ac:dyDescent="0.2">
      <c r="E118" s="85"/>
      <c r="G118" s="2"/>
    </row>
    <row r="119" spans="5:7" ht="15.75" customHeight="1" x14ac:dyDescent="0.2">
      <c r="E119" s="85"/>
      <c r="G119" s="2"/>
    </row>
    <row r="120" spans="5:7" ht="15.75" customHeight="1" x14ac:dyDescent="0.2">
      <c r="E120" s="85"/>
      <c r="G120" s="2"/>
    </row>
    <row r="121" spans="5:7" ht="15.75" customHeight="1" x14ac:dyDescent="0.2">
      <c r="E121" s="85"/>
      <c r="G121" s="2"/>
    </row>
    <row r="122" spans="5:7" ht="15.75" customHeight="1" x14ac:dyDescent="0.2">
      <c r="E122" s="85"/>
      <c r="G122" s="2"/>
    </row>
    <row r="123" spans="5:7" ht="15.75" customHeight="1" x14ac:dyDescent="0.2">
      <c r="E123" s="85"/>
      <c r="G123" s="2"/>
    </row>
    <row r="124" spans="5:7" ht="15.75" customHeight="1" x14ac:dyDescent="0.2">
      <c r="E124" s="85"/>
      <c r="G124" s="2"/>
    </row>
    <row r="125" spans="5:7" ht="15.75" customHeight="1" x14ac:dyDescent="0.2">
      <c r="E125" s="85"/>
      <c r="G125" s="2"/>
    </row>
    <row r="126" spans="5:7" ht="15.75" customHeight="1" x14ac:dyDescent="0.2">
      <c r="E126" s="85"/>
      <c r="G126" s="2"/>
    </row>
    <row r="127" spans="5:7" ht="15.75" customHeight="1" x14ac:dyDescent="0.2">
      <c r="E127" s="85"/>
      <c r="G127" s="2"/>
    </row>
    <row r="128" spans="5:7" ht="15.75" customHeight="1" x14ac:dyDescent="0.2">
      <c r="E128" s="85"/>
      <c r="G128" s="2"/>
    </row>
    <row r="129" spans="5:7" ht="15.75" customHeight="1" x14ac:dyDescent="0.2">
      <c r="E129" s="85"/>
      <c r="G129" s="2"/>
    </row>
    <row r="130" spans="5:7" ht="15.75" customHeight="1" x14ac:dyDescent="0.2">
      <c r="E130" s="85"/>
      <c r="G130" s="2"/>
    </row>
    <row r="131" spans="5:7" ht="15.75" customHeight="1" x14ac:dyDescent="0.2">
      <c r="E131" s="85"/>
      <c r="G131" s="2"/>
    </row>
    <row r="132" spans="5:7" ht="15.75" customHeight="1" x14ac:dyDescent="0.2">
      <c r="E132" s="85"/>
      <c r="G132" s="2"/>
    </row>
    <row r="133" spans="5:7" ht="15.75" customHeight="1" x14ac:dyDescent="0.2">
      <c r="E133" s="85"/>
      <c r="G133" s="2"/>
    </row>
    <row r="134" spans="5:7" ht="15.75" customHeight="1" x14ac:dyDescent="0.2">
      <c r="E134" s="85"/>
      <c r="G134" s="2"/>
    </row>
    <row r="135" spans="5:7" ht="15.75" customHeight="1" x14ac:dyDescent="0.2">
      <c r="E135" s="85"/>
      <c r="G135" s="2"/>
    </row>
    <row r="136" spans="5:7" ht="15.75" customHeight="1" x14ac:dyDescent="0.2">
      <c r="E136" s="85"/>
      <c r="G136" s="2"/>
    </row>
    <row r="137" spans="5:7" ht="15.75" customHeight="1" x14ac:dyDescent="0.2">
      <c r="E137" s="85"/>
      <c r="G137" s="2"/>
    </row>
    <row r="138" spans="5:7" ht="15.75" customHeight="1" x14ac:dyDescent="0.2">
      <c r="E138" s="85"/>
      <c r="G138" s="2"/>
    </row>
    <row r="139" spans="5:7" ht="15.75" customHeight="1" x14ac:dyDescent="0.2">
      <c r="E139" s="85"/>
      <c r="G139" s="2"/>
    </row>
    <row r="140" spans="5:7" ht="15.75" customHeight="1" x14ac:dyDescent="0.2">
      <c r="E140" s="85"/>
      <c r="G140" s="2"/>
    </row>
    <row r="141" spans="5:7" ht="15.75" customHeight="1" x14ac:dyDescent="0.2">
      <c r="E141" s="85"/>
      <c r="G141" s="2"/>
    </row>
    <row r="142" spans="5:7" ht="15.75" customHeight="1" x14ac:dyDescent="0.2">
      <c r="E142" s="85"/>
      <c r="G142" s="2"/>
    </row>
    <row r="143" spans="5:7" ht="15.75" customHeight="1" x14ac:dyDescent="0.2">
      <c r="E143" s="85"/>
      <c r="G143" s="2"/>
    </row>
    <row r="144" spans="5:7" ht="15.75" customHeight="1" x14ac:dyDescent="0.2">
      <c r="E144" s="85"/>
      <c r="G144" s="2"/>
    </row>
    <row r="145" spans="5:7" ht="15.75" customHeight="1" x14ac:dyDescent="0.2">
      <c r="E145" s="85"/>
      <c r="G145" s="2"/>
    </row>
    <row r="146" spans="5:7" ht="15.75" customHeight="1" x14ac:dyDescent="0.2">
      <c r="E146" s="85"/>
      <c r="G146" s="2"/>
    </row>
    <row r="147" spans="5:7" ht="15.75" customHeight="1" x14ac:dyDescent="0.2">
      <c r="E147" s="85"/>
      <c r="G147" s="2"/>
    </row>
    <row r="148" spans="5:7" ht="15.75" customHeight="1" x14ac:dyDescent="0.2">
      <c r="E148" s="85"/>
      <c r="G148" s="2"/>
    </row>
    <row r="149" spans="5:7" ht="15.75" customHeight="1" x14ac:dyDescent="0.2">
      <c r="E149" s="85"/>
      <c r="G149" s="2"/>
    </row>
    <row r="150" spans="5:7" ht="15.75" customHeight="1" x14ac:dyDescent="0.2">
      <c r="E150" s="85"/>
      <c r="G150" s="2"/>
    </row>
    <row r="151" spans="5:7" ht="15.75" customHeight="1" x14ac:dyDescent="0.2">
      <c r="E151" s="85"/>
      <c r="G151" s="2"/>
    </row>
    <row r="152" spans="5:7" ht="15.75" customHeight="1" x14ac:dyDescent="0.2">
      <c r="E152" s="85"/>
      <c r="G152" s="2"/>
    </row>
    <row r="153" spans="5:7" ht="15.75" customHeight="1" x14ac:dyDescent="0.2">
      <c r="E153" s="85"/>
      <c r="G153" s="2"/>
    </row>
    <row r="154" spans="5:7" ht="15.75" customHeight="1" x14ac:dyDescent="0.2">
      <c r="E154" s="85"/>
      <c r="G154" s="2"/>
    </row>
    <row r="155" spans="5:7" ht="15.75" customHeight="1" x14ac:dyDescent="0.2">
      <c r="E155" s="85"/>
      <c r="G155" s="2"/>
    </row>
    <row r="156" spans="5:7" ht="15.75" customHeight="1" x14ac:dyDescent="0.2">
      <c r="E156" s="85"/>
      <c r="G156" s="2"/>
    </row>
    <row r="157" spans="5:7" ht="15.75" customHeight="1" x14ac:dyDescent="0.2">
      <c r="E157" s="85"/>
      <c r="G157" s="2"/>
    </row>
    <row r="158" spans="5:7" ht="15.75" customHeight="1" x14ac:dyDescent="0.2">
      <c r="E158" s="85"/>
      <c r="G158" s="2"/>
    </row>
    <row r="159" spans="5:7" ht="15.75" customHeight="1" x14ac:dyDescent="0.2">
      <c r="E159" s="85"/>
      <c r="G159" s="2"/>
    </row>
    <row r="160" spans="5:7" ht="15.75" customHeight="1" x14ac:dyDescent="0.2">
      <c r="E160" s="85"/>
      <c r="G160" s="2"/>
    </row>
    <row r="161" spans="5:7" ht="15.75" customHeight="1" x14ac:dyDescent="0.2">
      <c r="E161" s="85"/>
      <c r="G161" s="2"/>
    </row>
    <row r="162" spans="5:7" ht="15.75" customHeight="1" x14ac:dyDescent="0.2">
      <c r="E162" s="85"/>
      <c r="G162" s="2"/>
    </row>
    <row r="163" spans="5:7" ht="15.75" customHeight="1" x14ac:dyDescent="0.2">
      <c r="E163" s="85"/>
      <c r="G163" s="2"/>
    </row>
    <row r="164" spans="5:7" ht="15.75" customHeight="1" x14ac:dyDescent="0.2">
      <c r="E164" s="85"/>
      <c r="G164" s="2"/>
    </row>
    <row r="165" spans="5:7" ht="15.75" customHeight="1" x14ac:dyDescent="0.2">
      <c r="E165" s="85"/>
      <c r="G165" s="2"/>
    </row>
    <row r="166" spans="5:7" ht="15.75" customHeight="1" x14ac:dyDescent="0.2">
      <c r="E166" s="85"/>
      <c r="G166" s="2"/>
    </row>
    <row r="167" spans="5:7" ht="15.75" customHeight="1" x14ac:dyDescent="0.2">
      <c r="E167" s="85"/>
      <c r="G167" s="2"/>
    </row>
    <row r="168" spans="5:7" ht="15.75" customHeight="1" x14ac:dyDescent="0.2">
      <c r="E168" s="85"/>
      <c r="G168" s="2"/>
    </row>
    <row r="169" spans="5:7" ht="15.75" customHeight="1" x14ac:dyDescent="0.2">
      <c r="E169" s="85"/>
      <c r="G169" s="2"/>
    </row>
    <row r="170" spans="5:7" ht="15.75" customHeight="1" x14ac:dyDescent="0.2">
      <c r="E170" s="85"/>
      <c r="G170" s="2"/>
    </row>
    <row r="171" spans="5:7" ht="15.75" customHeight="1" x14ac:dyDescent="0.2">
      <c r="E171" s="85"/>
      <c r="G171" s="2"/>
    </row>
    <row r="172" spans="5:7" ht="15.75" customHeight="1" x14ac:dyDescent="0.2">
      <c r="E172" s="85"/>
      <c r="G172" s="2"/>
    </row>
    <row r="173" spans="5:7" ht="15.75" customHeight="1" x14ac:dyDescent="0.2">
      <c r="E173" s="85"/>
      <c r="G173" s="2"/>
    </row>
    <row r="174" spans="5:7" ht="15.75" customHeight="1" x14ac:dyDescent="0.2">
      <c r="E174" s="85"/>
      <c r="G174" s="2"/>
    </row>
    <row r="175" spans="5:7" ht="15.75" customHeight="1" x14ac:dyDescent="0.2">
      <c r="E175" s="85"/>
      <c r="G175" s="2"/>
    </row>
    <row r="176" spans="5:7" ht="15.75" customHeight="1" x14ac:dyDescent="0.2">
      <c r="E176" s="85"/>
      <c r="G176" s="2"/>
    </row>
    <row r="177" spans="5:7" ht="15.75" customHeight="1" x14ac:dyDescent="0.2">
      <c r="E177" s="85"/>
      <c r="G177" s="2"/>
    </row>
    <row r="178" spans="5:7" ht="15.75" customHeight="1" x14ac:dyDescent="0.2">
      <c r="E178" s="85"/>
      <c r="G178" s="2"/>
    </row>
    <row r="179" spans="5:7" ht="15.75" customHeight="1" x14ac:dyDescent="0.2">
      <c r="E179" s="85"/>
      <c r="G179" s="2"/>
    </row>
    <row r="180" spans="5:7" ht="15.75" customHeight="1" x14ac:dyDescent="0.2">
      <c r="E180" s="85"/>
      <c r="G180" s="2"/>
    </row>
    <row r="181" spans="5:7" ht="15.75" customHeight="1" x14ac:dyDescent="0.2">
      <c r="E181" s="85"/>
      <c r="G181" s="2"/>
    </row>
    <row r="182" spans="5:7" ht="15.75" customHeight="1" x14ac:dyDescent="0.2">
      <c r="E182" s="85"/>
      <c r="G182" s="2"/>
    </row>
    <row r="183" spans="5:7" ht="15.75" customHeight="1" x14ac:dyDescent="0.2">
      <c r="E183" s="85"/>
      <c r="G183" s="2"/>
    </row>
    <row r="184" spans="5:7" ht="15.75" customHeight="1" x14ac:dyDescent="0.2">
      <c r="E184" s="85"/>
      <c r="G184" s="2"/>
    </row>
    <row r="185" spans="5:7" ht="15.75" customHeight="1" x14ac:dyDescent="0.2">
      <c r="E185" s="85"/>
      <c r="G185" s="2"/>
    </row>
    <row r="186" spans="5:7" ht="15.75" customHeight="1" x14ac:dyDescent="0.2">
      <c r="E186" s="85"/>
      <c r="G186" s="2"/>
    </row>
    <row r="187" spans="5:7" ht="15.75" customHeight="1" x14ac:dyDescent="0.2">
      <c r="E187" s="85"/>
      <c r="G187" s="2"/>
    </row>
    <row r="188" spans="5:7" ht="15.75" customHeight="1" x14ac:dyDescent="0.2">
      <c r="E188" s="85"/>
      <c r="G188" s="2"/>
    </row>
    <row r="189" spans="5:7" ht="15.75" customHeight="1" x14ac:dyDescent="0.2">
      <c r="E189" s="85"/>
      <c r="G189" s="2"/>
    </row>
    <row r="190" spans="5:7" ht="15.75" customHeight="1" x14ac:dyDescent="0.2">
      <c r="E190" s="85"/>
      <c r="G190" s="2"/>
    </row>
    <row r="191" spans="5:7" ht="15.75" customHeight="1" x14ac:dyDescent="0.2">
      <c r="E191" s="85"/>
      <c r="G191" s="2"/>
    </row>
    <row r="192" spans="5:7" ht="15.75" customHeight="1" x14ac:dyDescent="0.2">
      <c r="E192" s="85"/>
      <c r="G192" s="2"/>
    </row>
    <row r="193" spans="5:7" ht="15.75" customHeight="1" x14ac:dyDescent="0.2">
      <c r="E193" s="85"/>
      <c r="G193" s="2"/>
    </row>
    <row r="194" spans="5:7" ht="15.75" customHeight="1" x14ac:dyDescent="0.2">
      <c r="E194" s="85"/>
      <c r="G194" s="2"/>
    </row>
    <row r="195" spans="5:7" ht="15.75" customHeight="1" x14ac:dyDescent="0.2">
      <c r="E195" s="85"/>
      <c r="G195" s="2"/>
    </row>
    <row r="196" spans="5:7" ht="15.75" customHeight="1" x14ac:dyDescent="0.2">
      <c r="E196" s="85"/>
      <c r="G196" s="2"/>
    </row>
    <row r="197" spans="5:7" ht="15.75" customHeight="1" x14ac:dyDescent="0.2">
      <c r="E197" s="85"/>
      <c r="G197" s="2"/>
    </row>
    <row r="198" spans="5:7" ht="15.75" customHeight="1" x14ac:dyDescent="0.2">
      <c r="E198" s="85"/>
      <c r="G198" s="2"/>
    </row>
    <row r="199" spans="5:7" ht="15.75" customHeight="1" x14ac:dyDescent="0.2">
      <c r="E199" s="85"/>
      <c r="G199" s="2"/>
    </row>
    <row r="200" spans="5:7" ht="15.75" customHeight="1" x14ac:dyDescent="0.2">
      <c r="E200" s="85"/>
      <c r="G200" s="2"/>
    </row>
    <row r="201" spans="5:7" ht="15.75" customHeight="1" x14ac:dyDescent="0.2">
      <c r="E201" s="85"/>
      <c r="G201" s="2"/>
    </row>
    <row r="202" spans="5:7" ht="15.75" customHeight="1" x14ac:dyDescent="0.2">
      <c r="E202" s="85"/>
      <c r="G202" s="2"/>
    </row>
    <row r="203" spans="5:7" ht="15.75" customHeight="1" x14ac:dyDescent="0.2">
      <c r="E203" s="85"/>
      <c r="G203" s="2"/>
    </row>
    <row r="204" spans="5:7" ht="15.75" customHeight="1" x14ac:dyDescent="0.2">
      <c r="E204" s="85"/>
      <c r="G204" s="2"/>
    </row>
    <row r="205" spans="5:7" ht="15.75" customHeight="1" x14ac:dyDescent="0.2">
      <c r="E205" s="85"/>
      <c r="G205" s="2"/>
    </row>
    <row r="206" spans="5:7" ht="15.75" customHeight="1" x14ac:dyDescent="0.2">
      <c r="E206" s="85"/>
      <c r="G206" s="2"/>
    </row>
    <row r="207" spans="5:7" ht="15.75" customHeight="1" x14ac:dyDescent="0.2">
      <c r="E207" s="85"/>
      <c r="G207" s="2"/>
    </row>
    <row r="208" spans="5:7" ht="15.75" customHeight="1" x14ac:dyDescent="0.2">
      <c r="E208" s="85"/>
      <c r="G208" s="2"/>
    </row>
    <row r="209" spans="5:7" ht="15.75" customHeight="1" x14ac:dyDescent="0.2">
      <c r="E209" s="85"/>
      <c r="G209" s="2"/>
    </row>
    <row r="210" spans="5:7" ht="15.75" customHeight="1" x14ac:dyDescent="0.2">
      <c r="E210" s="85"/>
      <c r="G210" s="2"/>
    </row>
    <row r="211" spans="5:7" ht="15.75" customHeight="1" x14ac:dyDescent="0.2">
      <c r="E211" s="85"/>
      <c r="G211" s="2"/>
    </row>
    <row r="212" spans="5:7" ht="15.75" customHeight="1" x14ac:dyDescent="0.2">
      <c r="E212" s="85"/>
      <c r="G212" s="2"/>
    </row>
    <row r="213" spans="5:7" ht="15.75" customHeight="1" x14ac:dyDescent="0.2">
      <c r="E213" s="85"/>
      <c r="G213" s="2"/>
    </row>
    <row r="214" spans="5:7" ht="15.75" customHeight="1" x14ac:dyDescent="0.2">
      <c r="E214" s="85"/>
      <c r="G214" s="2"/>
    </row>
    <row r="215" spans="5:7" ht="15.75" customHeight="1" x14ac:dyDescent="0.2">
      <c r="E215" s="85"/>
      <c r="G215" s="2"/>
    </row>
    <row r="216" spans="5:7" ht="15.75" customHeight="1" x14ac:dyDescent="0.2">
      <c r="E216" s="85"/>
      <c r="G216" s="2"/>
    </row>
    <row r="217" spans="5:7" ht="15.75" customHeight="1" x14ac:dyDescent="0.2">
      <c r="E217" s="85"/>
      <c r="G217" s="2"/>
    </row>
    <row r="218" spans="5:7" ht="15.75" customHeight="1" x14ac:dyDescent="0.2">
      <c r="E218" s="85"/>
      <c r="G218" s="2"/>
    </row>
    <row r="219" spans="5:7" ht="15.75" customHeight="1" x14ac:dyDescent="0.2">
      <c r="E219" s="85"/>
      <c r="G219" s="2"/>
    </row>
    <row r="220" spans="5:7" ht="15.75" customHeight="1" x14ac:dyDescent="0.2">
      <c r="E220" s="85"/>
      <c r="G220" s="2"/>
    </row>
    <row r="221" spans="5:7" ht="15.75" customHeight="1" x14ac:dyDescent="0.2">
      <c r="E221" s="85"/>
      <c r="G221" s="2"/>
    </row>
    <row r="222" spans="5:7" ht="15.75" customHeight="1" x14ac:dyDescent="0.2">
      <c r="E222" s="85"/>
      <c r="G222" s="2"/>
    </row>
    <row r="223" spans="5:7" ht="15.75" customHeight="1" x14ac:dyDescent="0.2">
      <c r="E223" s="85"/>
      <c r="G223" s="2"/>
    </row>
    <row r="224" spans="5:7" ht="15.75" customHeight="1" x14ac:dyDescent="0.2">
      <c r="E224" s="85"/>
      <c r="G224" s="2"/>
    </row>
    <row r="225" spans="5:7" ht="15.75" customHeight="1" x14ac:dyDescent="0.2">
      <c r="E225" s="85"/>
      <c r="G225" s="2"/>
    </row>
    <row r="226" spans="5:7" ht="15.75" customHeight="1" x14ac:dyDescent="0.2">
      <c r="E226" s="85"/>
      <c r="G226" s="2"/>
    </row>
    <row r="227" spans="5:7" ht="15.75" customHeight="1" x14ac:dyDescent="0.2">
      <c r="E227" s="85"/>
      <c r="G227" s="2"/>
    </row>
    <row r="228" spans="5:7" ht="15.75" customHeight="1" x14ac:dyDescent="0.2">
      <c r="E228" s="85"/>
      <c r="G228" s="2"/>
    </row>
    <row r="229" spans="5:7" ht="15.75" customHeight="1" x14ac:dyDescent="0.2">
      <c r="E229" s="85"/>
      <c r="G229" s="2"/>
    </row>
    <row r="230" spans="5:7" ht="15.75" customHeight="1" x14ac:dyDescent="0.2">
      <c r="E230" s="85"/>
      <c r="G230" s="2"/>
    </row>
    <row r="231" spans="5:7" ht="15.75" customHeight="1" x14ac:dyDescent="0.2">
      <c r="E231" s="85"/>
      <c r="G231" s="2"/>
    </row>
    <row r="232" spans="5:7" ht="15.75" customHeight="1" x14ac:dyDescent="0.2">
      <c r="E232" s="85"/>
      <c r="G232" s="2"/>
    </row>
    <row r="233" spans="5:7" ht="15.75" customHeight="1" x14ac:dyDescent="0.2">
      <c r="E233" s="85"/>
      <c r="G233" s="2"/>
    </row>
    <row r="234" spans="5:7" ht="15.75" customHeight="1" x14ac:dyDescent="0.2">
      <c r="E234" s="85"/>
      <c r="G234" s="2"/>
    </row>
    <row r="235" spans="5:7" ht="15.75" customHeight="1" x14ac:dyDescent="0.2">
      <c r="E235" s="85"/>
      <c r="G235" s="2"/>
    </row>
    <row r="236" spans="5:7" ht="15.75" customHeight="1" x14ac:dyDescent="0.2">
      <c r="E236" s="85"/>
      <c r="G236" s="2"/>
    </row>
    <row r="237" spans="5:7" ht="15.75" customHeight="1" x14ac:dyDescent="0.2">
      <c r="E237" s="85"/>
      <c r="G237" s="2"/>
    </row>
    <row r="238" spans="5:7" ht="15.75" customHeight="1" x14ac:dyDescent="0.2">
      <c r="E238" s="85"/>
      <c r="G238" s="2"/>
    </row>
    <row r="239" spans="5:7" ht="15.75" customHeight="1" x14ac:dyDescent="0.2">
      <c r="E239" s="85"/>
      <c r="G239" s="2"/>
    </row>
    <row r="240" spans="5:7" ht="15.75" customHeight="1" x14ac:dyDescent="0.2">
      <c r="E240" s="85"/>
      <c r="G240" s="2"/>
    </row>
    <row r="241" spans="5:7" ht="15.75" customHeight="1" x14ac:dyDescent="0.2">
      <c r="E241" s="85"/>
      <c r="G241" s="2"/>
    </row>
    <row r="242" spans="5:7" ht="15.75" customHeight="1" x14ac:dyDescent="0.2">
      <c r="E242" s="85"/>
      <c r="G242" s="2"/>
    </row>
    <row r="243" spans="5:7" ht="15.75" customHeight="1" x14ac:dyDescent="0.2">
      <c r="E243" s="85"/>
      <c r="G243" s="2"/>
    </row>
    <row r="244" spans="5:7" ht="15.75" customHeight="1" x14ac:dyDescent="0.2">
      <c r="E244" s="85"/>
      <c r="G244" s="2"/>
    </row>
    <row r="245" spans="5:7" ht="15.75" customHeight="1" x14ac:dyDescent="0.2">
      <c r="E245" s="85"/>
      <c r="G245" s="2"/>
    </row>
    <row r="246" spans="5:7" ht="15.75" customHeight="1" x14ac:dyDescent="0.2">
      <c r="E246" s="85"/>
      <c r="G246" s="2"/>
    </row>
    <row r="247" spans="5:7" ht="15.75" customHeight="1" x14ac:dyDescent="0.2">
      <c r="E247" s="85"/>
      <c r="G247" s="2"/>
    </row>
    <row r="248" spans="5:7" ht="15.75" customHeight="1" x14ac:dyDescent="0.2">
      <c r="E248" s="85"/>
      <c r="G248" s="2"/>
    </row>
    <row r="249" spans="5:7" ht="15.75" customHeight="1" x14ac:dyDescent="0.2">
      <c r="E249" s="85"/>
      <c r="G249" s="2"/>
    </row>
    <row r="250" spans="5:7" ht="15.75" customHeight="1" x14ac:dyDescent="0.2">
      <c r="E250" s="85"/>
      <c r="G250" s="2"/>
    </row>
    <row r="251" spans="5:7" ht="15.75" customHeight="1" x14ac:dyDescent="0.2">
      <c r="E251" s="85"/>
      <c r="G251" s="2"/>
    </row>
    <row r="252" spans="5:7" ht="15.75" customHeight="1" x14ac:dyDescent="0.2">
      <c r="E252" s="85"/>
      <c r="G252" s="2"/>
    </row>
    <row r="253" spans="5:7" ht="15.75" customHeight="1" x14ac:dyDescent="0.2">
      <c r="E253" s="85"/>
      <c r="G253" s="2"/>
    </row>
    <row r="254" spans="5:7" ht="15.75" customHeight="1" x14ac:dyDescent="0.2">
      <c r="E254" s="85"/>
      <c r="G254" s="2"/>
    </row>
    <row r="255" spans="5:7" ht="15.75" customHeight="1" x14ac:dyDescent="0.2">
      <c r="E255" s="85"/>
      <c r="G255" s="2"/>
    </row>
    <row r="256" spans="5:7" ht="15.75" customHeight="1" x14ac:dyDescent="0.2">
      <c r="E256" s="85"/>
      <c r="G256" s="2"/>
    </row>
    <row r="257" spans="5:7" ht="15.75" customHeight="1" x14ac:dyDescent="0.2">
      <c r="E257" s="85"/>
      <c r="G257" s="2"/>
    </row>
    <row r="258" spans="5:7" ht="15.75" customHeight="1" x14ac:dyDescent="0.2">
      <c r="E258" s="85"/>
      <c r="G258" s="2"/>
    </row>
    <row r="259" spans="5:7" ht="15.75" customHeight="1" x14ac:dyDescent="0.2"/>
    <row r="260" spans="5:7" ht="15.75" customHeight="1" x14ac:dyDescent="0.2"/>
    <row r="261" spans="5:7" ht="15.75" customHeight="1" x14ac:dyDescent="0.2"/>
    <row r="262" spans="5:7" ht="15.75" customHeight="1" x14ac:dyDescent="0.2"/>
    <row r="263" spans="5:7" ht="15.75" customHeight="1" x14ac:dyDescent="0.2"/>
    <row r="264" spans="5:7" ht="15.75" customHeight="1" x14ac:dyDescent="0.2"/>
    <row r="265" spans="5:7" ht="15.75" customHeight="1" x14ac:dyDescent="0.2"/>
    <row r="266" spans="5:7" ht="15.75" customHeight="1" x14ac:dyDescent="0.2"/>
    <row r="267" spans="5:7" ht="15.75" customHeight="1" x14ac:dyDescent="0.2"/>
    <row r="268" spans="5:7" ht="15.75" customHeight="1" x14ac:dyDescent="0.2"/>
    <row r="269" spans="5:7" ht="15.75" customHeight="1" x14ac:dyDescent="0.2"/>
    <row r="270" spans="5:7" ht="15.75" customHeight="1" x14ac:dyDescent="0.2"/>
    <row r="271" spans="5:7" ht="15.75" customHeight="1" x14ac:dyDescent="0.2"/>
    <row r="272" spans="5:7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20">
    <mergeCell ref="F12:F40"/>
    <mergeCell ref="D48:F48"/>
    <mergeCell ref="A56:C56"/>
    <mergeCell ref="D44:D47"/>
    <mergeCell ref="H44:H47"/>
    <mergeCell ref="G44:G47"/>
    <mergeCell ref="D12:D40"/>
    <mergeCell ref="G12:G40"/>
    <mergeCell ref="H12:H40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rintOptions horizontalCentered="1"/>
  <pageMargins left="0.71627906976744182" right="0.36899224806201547" top="0.74803149606299213" bottom="0.74803149606299213" header="0" footer="0"/>
  <pageSetup paperSize="5" scale="5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3A19-1377-4AEB-B866-5EB2189F8D69}">
  <sheetPr>
    <pageSetUpPr fitToPage="1"/>
  </sheetPr>
  <dimension ref="A1:AM940"/>
  <sheetViews>
    <sheetView showGridLines="0" tabSelected="1" zoomScale="71" zoomScaleNormal="71" workbookViewId="0">
      <selection activeCell="D5" sqref="D5"/>
    </sheetView>
  </sheetViews>
  <sheetFormatPr defaultColWidth="12.625" defaultRowHeight="15" customHeight="1" x14ac:dyDescent="0.2"/>
  <cols>
    <col min="1" max="1" width="13.875" customWidth="1"/>
    <col min="2" max="2" width="13.375" customWidth="1"/>
    <col min="3" max="3" width="54.875" customWidth="1"/>
    <col min="4" max="4" width="11.625" customWidth="1"/>
    <col min="5" max="5" width="10.125" customWidth="1"/>
    <col min="6" max="6" width="11.25" customWidth="1"/>
    <col min="7" max="7" width="20" customWidth="1"/>
    <col min="8" max="8" width="14.12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170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"/>
      <c r="AK1" s="1"/>
    </row>
    <row r="2" spans="1:39" ht="14.25" x14ac:dyDescent="0.2">
      <c r="A2" s="172" t="s">
        <v>158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"/>
      <c r="AK2" s="1"/>
    </row>
    <row r="3" spans="1:39" x14ac:dyDescent="0.25">
      <c r="A3" s="173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"/>
      <c r="AK3" s="1"/>
    </row>
    <row r="4" spans="1:39" x14ac:dyDescent="0.2">
      <c r="A4" s="3" t="s">
        <v>195</v>
      </c>
      <c r="B4" s="4"/>
      <c r="C4" s="4"/>
      <c r="D4" s="4"/>
      <c r="E4" s="5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 x14ac:dyDescent="0.2">
      <c r="A5" s="7"/>
      <c r="B5" s="4"/>
      <c r="C5" s="4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2">
      <c r="A6" s="3" t="s">
        <v>1</v>
      </c>
      <c r="B6" s="4"/>
      <c r="C6" s="4" t="s">
        <v>2</v>
      </c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75" thickBot="1" x14ac:dyDescent="0.25">
      <c r="A7" s="7" t="s">
        <v>3</v>
      </c>
      <c r="B7" s="4"/>
      <c r="C7" s="4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">
      <c r="A8" s="174" t="s">
        <v>4</v>
      </c>
      <c r="B8" s="165" t="s">
        <v>5</v>
      </c>
      <c r="C8" s="165" t="s">
        <v>6</v>
      </c>
      <c r="D8" s="11" t="s">
        <v>7</v>
      </c>
      <c r="E8" s="176" t="s">
        <v>8</v>
      </c>
      <c r="F8" s="177" t="s">
        <v>9</v>
      </c>
      <c r="G8" s="165" t="s">
        <v>10</v>
      </c>
      <c r="H8" s="165" t="s">
        <v>11</v>
      </c>
      <c r="I8" s="167" t="s">
        <v>12</v>
      </c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2"/>
      <c r="AK8" s="13"/>
      <c r="AL8" s="4"/>
      <c r="AM8" s="4"/>
    </row>
    <row r="9" spans="1:39" ht="24.75" thickBot="1" x14ac:dyDescent="0.25">
      <c r="A9" s="175"/>
      <c r="B9" s="166"/>
      <c r="C9" s="166"/>
      <c r="D9" s="14" t="s">
        <v>13</v>
      </c>
      <c r="E9" s="166"/>
      <c r="F9" s="166"/>
      <c r="G9" s="166"/>
      <c r="H9" s="166"/>
      <c r="I9" s="144" t="s">
        <v>150</v>
      </c>
      <c r="J9" s="144" t="s">
        <v>151</v>
      </c>
      <c r="K9" s="144" t="s">
        <v>184</v>
      </c>
      <c r="L9" s="15" t="s">
        <v>15</v>
      </c>
      <c r="M9" s="15" t="s">
        <v>16</v>
      </c>
      <c r="N9" s="14" t="s">
        <v>17</v>
      </c>
      <c r="O9" s="14" t="s">
        <v>18</v>
      </c>
      <c r="P9" s="14" t="s">
        <v>19</v>
      </c>
      <c r="Q9" s="14" t="s">
        <v>20</v>
      </c>
      <c r="R9" s="14" t="s">
        <v>21</v>
      </c>
      <c r="S9" s="14" t="s">
        <v>22</v>
      </c>
      <c r="T9" s="14" t="s">
        <v>23</v>
      </c>
      <c r="U9" s="14" t="s">
        <v>24</v>
      </c>
      <c r="V9" s="14" t="s">
        <v>25</v>
      </c>
      <c r="W9" s="14" t="s">
        <v>26</v>
      </c>
      <c r="X9" s="14" t="s">
        <v>27</v>
      </c>
      <c r="Y9" s="14" t="s">
        <v>28</v>
      </c>
      <c r="Z9" s="14" t="s">
        <v>29</v>
      </c>
      <c r="AA9" s="14" t="s">
        <v>30</v>
      </c>
      <c r="AB9" s="14" t="s">
        <v>31</v>
      </c>
      <c r="AC9" s="14" t="s">
        <v>32</v>
      </c>
      <c r="AD9" s="14" t="s">
        <v>33</v>
      </c>
      <c r="AE9" s="14" t="s">
        <v>34</v>
      </c>
      <c r="AF9" s="14" t="s">
        <v>35</v>
      </c>
      <c r="AG9" s="14" t="s">
        <v>36</v>
      </c>
      <c r="AH9" s="14" t="s">
        <v>37</v>
      </c>
      <c r="AI9" s="16" t="s">
        <v>38</v>
      </c>
      <c r="AJ9" s="12"/>
      <c r="AK9" s="13"/>
      <c r="AL9" s="4"/>
      <c r="AM9" s="4"/>
    </row>
    <row r="10" spans="1:39" ht="48" x14ac:dyDescent="0.2">
      <c r="A10" s="17" t="s">
        <v>39</v>
      </c>
      <c r="B10" s="18" t="s">
        <v>40</v>
      </c>
      <c r="C10" s="18" t="s">
        <v>41</v>
      </c>
      <c r="D10" s="18" t="s">
        <v>42</v>
      </c>
      <c r="E10" s="19" t="s">
        <v>43</v>
      </c>
      <c r="F10" s="20" t="s">
        <v>44</v>
      </c>
      <c r="G10" s="18" t="s">
        <v>45</v>
      </c>
      <c r="H10" s="18" t="s">
        <v>46</v>
      </c>
      <c r="I10" s="18" t="s">
        <v>47</v>
      </c>
      <c r="J10" s="101" t="s">
        <v>48</v>
      </c>
      <c r="K10" s="18" t="s">
        <v>49</v>
      </c>
      <c r="L10" s="18" t="s">
        <v>50</v>
      </c>
      <c r="M10" s="18" t="s">
        <v>51</v>
      </c>
      <c r="N10" s="18" t="s">
        <v>52</v>
      </c>
      <c r="O10" s="18" t="s">
        <v>53</v>
      </c>
      <c r="P10" s="18" t="s">
        <v>54</v>
      </c>
      <c r="Q10" s="18" t="s">
        <v>55</v>
      </c>
      <c r="R10" s="18" t="s">
        <v>56</v>
      </c>
      <c r="S10" s="18" t="s">
        <v>57</v>
      </c>
      <c r="T10" s="18" t="s">
        <v>58</v>
      </c>
      <c r="U10" s="18" t="s">
        <v>59</v>
      </c>
      <c r="V10" s="18" t="s">
        <v>60</v>
      </c>
      <c r="W10" s="18" t="s">
        <v>61</v>
      </c>
      <c r="X10" s="18" t="s">
        <v>62</v>
      </c>
      <c r="Y10" s="18" t="s">
        <v>63</v>
      </c>
      <c r="Z10" s="18" t="s">
        <v>64</v>
      </c>
      <c r="AA10" s="18" t="s">
        <v>65</v>
      </c>
      <c r="AB10" s="18" t="s">
        <v>66</v>
      </c>
      <c r="AC10" s="18" t="s">
        <v>67</v>
      </c>
      <c r="AD10" s="18" t="s">
        <v>68</v>
      </c>
      <c r="AE10" s="18" t="s">
        <v>69</v>
      </c>
      <c r="AF10" s="18" t="s">
        <v>70</v>
      </c>
      <c r="AG10" s="18" t="s">
        <v>71</v>
      </c>
      <c r="AH10" s="18" t="s">
        <v>72</v>
      </c>
      <c r="AI10" s="21" t="s">
        <v>73</v>
      </c>
      <c r="AJ10" s="12"/>
      <c r="AK10" s="13"/>
      <c r="AL10" s="4"/>
      <c r="AM10" s="4"/>
    </row>
    <row r="11" spans="1:39" ht="15.75" customHeight="1" x14ac:dyDescent="0.2">
      <c r="A11" s="136" t="s">
        <v>104</v>
      </c>
      <c r="B11" s="123"/>
      <c r="C11" s="137" t="s">
        <v>181</v>
      </c>
      <c r="D11" s="124"/>
      <c r="E11" s="125"/>
      <c r="F11" s="126"/>
      <c r="G11" s="127"/>
      <c r="H11" s="124"/>
      <c r="I11" s="139"/>
      <c r="J11" s="143"/>
      <c r="K11" s="124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9"/>
      <c r="AJ11" s="120"/>
      <c r="AK11" s="118"/>
    </row>
    <row r="12" spans="1:39" ht="15.75" customHeight="1" x14ac:dyDescent="0.2">
      <c r="A12" s="138"/>
      <c r="B12" s="131"/>
      <c r="C12" s="91" t="s">
        <v>191</v>
      </c>
      <c r="D12" s="196" t="s">
        <v>105</v>
      </c>
      <c r="E12" s="132">
        <v>3500</v>
      </c>
      <c r="F12" s="197">
        <v>58000</v>
      </c>
      <c r="G12" s="196" t="s">
        <v>78</v>
      </c>
      <c r="H12" s="190" t="s">
        <v>187</v>
      </c>
      <c r="I12" s="140"/>
      <c r="J12" s="107">
        <v>3</v>
      </c>
      <c r="K12" s="133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5"/>
      <c r="AJ12" s="120"/>
      <c r="AK12" s="118"/>
    </row>
    <row r="13" spans="1:39" ht="15.75" customHeight="1" x14ac:dyDescent="0.2">
      <c r="A13" s="138"/>
      <c r="B13" s="131"/>
      <c r="C13" s="91" t="s">
        <v>192</v>
      </c>
      <c r="D13" s="191"/>
      <c r="E13" s="132">
        <v>4000</v>
      </c>
      <c r="F13" s="188"/>
      <c r="G13" s="191"/>
      <c r="H13" s="191"/>
      <c r="I13" s="140"/>
      <c r="J13" s="107">
        <v>4</v>
      </c>
      <c r="K13" s="133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5"/>
      <c r="AJ13" s="120"/>
      <c r="AK13" s="118"/>
    </row>
    <row r="14" spans="1:39" ht="15.75" customHeight="1" x14ac:dyDescent="0.2">
      <c r="A14" s="138"/>
      <c r="B14" s="131"/>
      <c r="C14" s="91" t="s">
        <v>193</v>
      </c>
      <c r="D14" s="191"/>
      <c r="E14" s="132">
        <v>4000</v>
      </c>
      <c r="F14" s="188"/>
      <c r="G14" s="191"/>
      <c r="H14" s="191"/>
      <c r="I14" s="140"/>
      <c r="J14" s="107">
        <v>4</v>
      </c>
      <c r="K14" s="133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5"/>
      <c r="AJ14" s="120"/>
      <c r="AK14" s="118"/>
    </row>
    <row r="15" spans="1:39" ht="15.75" customHeight="1" x14ac:dyDescent="0.2">
      <c r="A15" s="130"/>
      <c r="B15" s="131"/>
      <c r="C15" s="91" t="s">
        <v>194</v>
      </c>
      <c r="D15" s="195"/>
      <c r="E15" s="132">
        <v>4000</v>
      </c>
      <c r="F15" s="198"/>
      <c r="G15" s="195"/>
      <c r="H15" s="195"/>
      <c r="I15" s="140"/>
      <c r="J15" s="107">
        <v>4</v>
      </c>
      <c r="K15" s="133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5"/>
      <c r="AJ15" s="120"/>
      <c r="AK15" s="118"/>
    </row>
    <row r="16" spans="1:39" s="159" customFormat="1" ht="15.75" customHeight="1" x14ac:dyDescent="0.2">
      <c r="A16" s="147"/>
      <c r="B16" s="148"/>
      <c r="C16" s="163" t="s">
        <v>186</v>
      </c>
      <c r="D16" s="149"/>
      <c r="E16" s="150"/>
      <c r="F16" s="151"/>
      <c r="G16" s="149"/>
      <c r="H16" s="149"/>
      <c r="I16" s="152"/>
      <c r="J16" s="153"/>
      <c r="K16" s="154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6"/>
      <c r="AJ16" s="157"/>
      <c r="AK16" s="158"/>
    </row>
    <row r="17" spans="1:39" ht="15.75" customHeight="1" x14ac:dyDescent="0.2">
      <c r="A17" s="146"/>
      <c r="B17" s="131"/>
      <c r="C17" s="122" t="s">
        <v>185</v>
      </c>
      <c r="D17" s="196" t="s">
        <v>105</v>
      </c>
      <c r="E17" s="132">
        <v>9000</v>
      </c>
      <c r="F17" s="161">
        <v>9000</v>
      </c>
      <c r="G17" s="160"/>
      <c r="H17" s="190" t="s">
        <v>187</v>
      </c>
      <c r="I17" s="140"/>
      <c r="J17" s="107">
        <v>1</v>
      </c>
      <c r="K17" s="133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5"/>
      <c r="AJ17" s="120"/>
      <c r="AK17" s="118"/>
    </row>
    <row r="18" spans="1:39" ht="15.75" customHeight="1" x14ac:dyDescent="0.2">
      <c r="A18" s="146"/>
      <c r="B18" s="131"/>
      <c r="C18" s="91" t="s">
        <v>189</v>
      </c>
      <c r="D18" s="199"/>
      <c r="E18" s="132">
        <v>10000</v>
      </c>
      <c r="F18" s="161">
        <v>10000</v>
      </c>
      <c r="G18" s="160"/>
      <c r="H18" s="195"/>
      <c r="I18" s="140"/>
      <c r="J18" s="107">
        <v>1</v>
      </c>
      <c r="K18" s="133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5"/>
      <c r="AJ18" s="120"/>
      <c r="AK18" s="118"/>
    </row>
    <row r="19" spans="1:39" ht="15.75" customHeight="1" x14ac:dyDescent="0.2">
      <c r="A19" s="52" t="s">
        <v>104</v>
      </c>
      <c r="B19" s="53"/>
      <c r="C19" s="54" t="s">
        <v>106</v>
      </c>
      <c r="D19" s="58"/>
      <c r="E19" s="55"/>
      <c r="F19" s="56"/>
      <c r="G19" s="57"/>
      <c r="H19" s="58"/>
      <c r="I19" s="141"/>
      <c r="J19" s="143"/>
      <c r="K19" s="142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60"/>
      <c r="AJ19" s="117"/>
      <c r="AK19" s="118" t="e">
        <f>SUM(#REF!)</f>
        <v>#REF!</v>
      </c>
    </row>
    <row r="20" spans="1:39" ht="15.75" customHeight="1" thickBot="1" x14ac:dyDescent="0.25">
      <c r="A20" s="33"/>
      <c r="B20" s="62"/>
      <c r="C20" s="164" t="s">
        <v>190</v>
      </c>
      <c r="D20" s="36" t="s">
        <v>105</v>
      </c>
      <c r="E20" s="61">
        <v>30000</v>
      </c>
      <c r="F20" s="162">
        <v>30000</v>
      </c>
      <c r="G20" s="63" t="s">
        <v>78</v>
      </c>
      <c r="H20" s="34" t="s">
        <v>188</v>
      </c>
      <c r="I20" s="96"/>
      <c r="J20" s="145">
        <v>1</v>
      </c>
      <c r="K20" s="9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/>
      <c r="AJ20" s="115">
        <v>1</v>
      </c>
      <c r="AK20" s="116">
        <v>49900</v>
      </c>
      <c r="AL20" s="41"/>
      <c r="AM20" s="41"/>
    </row>
    <row r="21" spans="1:39" ht="15.75" customHeight="1" thickBot="1" x14ac:dyDescent="0.25">
      <c r="A21" s="73" t="s">
        <v>112</v>
      </c>
      <c r="B21" s="74"/>
      <c r="C21" s="111"/>
      <c r="D21" s="181">
        <f>SUM(F12,F20,F17,F18)</f>
        <v>107000</v>
      </c>
      <c r="E21" s="182"/>
      <c r="F21" s="182"/>
      <c r="G21" s="75"/>
      <c r="H21" s="75"/>
      <c r="I21" s="76"/>
      <c r="J21" s="10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1"/>
      <c r="AK21" s="114"/>
    </row>
    <row r="22" spans="1:39" ht="15.75" customHeight="1" thickTop="1" x14ac:dyDescent="0.2">
      <c r="A22" s="77"/>
      <c r="B22" s="4"/>
      <c r="C22" s="4"/>
      <c r="D22" s="1"/>
      <c r="E22" s="8"/>
      <c r="F22" s="9"/>
      <c r="G22" s="10"/>
      <c r="H22" s="10"/>
      <c r="I22" s="78"/>
      <c r="J22" s="7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1"/>
      <c r="AJ22" s="1"/>
      <c r="AK22" s="1"/>
    </row>
    <row r="23" spans="1:39" ht="15.75" customHeight="1" x14ac:dyDescent="0.2">
      <c r="A23" s="80" t="s">
        <v>113</v>
      </c>
      <c r="B23" s="4"/>
      <c r="C23" s="4"/>
      <c r="D23" s="1"/>
      <c r="E23" s="8"/>
      <c r="F23" s="9"/>
      <c r="G23" s="10"/>
      <c r="H23" s="10"/>
      <c r="I23" s="78"/>
      <c r="J23" s="7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1"/>
      <c r="AJ23" s="1"/>
      <c r="AK23" s="1"/>
    </row>
    <row r="24" spans="1:39" ht="15.75" customHeight="1" x14ac:dyDescent="0.2">
      <c r="A24" s="13"/>
      <c r="B24" s="4"/>
      <c r="C24" s="4"/>
      <c r="D24" s="1"/>
      <c r="E24" s="8"/>
      <c r="F24" s="9"/>
      <c r="G24" s="10"/>
      <c r="H24" s="10"/>
      <c r="I24" s="78"/>
      <c r="J24" s="7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1"/>
      <c r="AJ24" s="1"/>
      <c r="AK24" s="1"/>
    </row>
    <row r="25" spans="1:39" ht="15.75" customHeight="1" x14ac:dyDescent="0.25">
      <c r="A25" s="81" t="s">
        <v>114</v>
      </c>
      <c r="B25" s="4"/>
      <c r="C25" s="4"/>
      <c r="D25" s="82" t="s">
        <v>115</v>
      </c>
      <c r="E25" s="83"/>
      <c r="F25" s="9"/>
      <c r="G25" s="82" t="s">
        <v>116</v>
      </c>
      <c r="H25" s="1"/>
      <c r="I25" s="1"/>
      <c r="J25" s="82" t="s">
        <v>117</v>
      </c>
      <c r="K25" s="9"/>
      <c r="L25" s="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1"/>
      <c r="AJ25" s="1"/>
      <c r="AK25" s="78"/>
    </row>
    <row r="26" spans="1:39" ht="15.75" customHeight="1" x14ac:dyDescent="0.2">
      <c r="A26" s="81"/>
      <c r="B26" s="4"/>
      <c r="C26" s="4"/>
      <c r="D26" s="1"/>
      <c r="E26" s="83"/>
      <c r="F26" s="9"/>
      <c r="G26" s="1"/>
      <c r="H26" s="1"/>
      <c r="I26" s="1"/>
      <c r="J26" s="1"/>
      <c r="K26" s="9"/>
      <c r="L26" s="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1"/>
      <c r="AJ26" s="78"/>
      <c r="AK26" s="78"/>
    </row>
    <row r="27" spans="1:39" ht="15.75" customHeight="1" x14ac:dyDescent="0.2">
      <c r="A27" s="4"/>
      <c r="B27" s="4"/>
      <c r="C27" s="4"/>
      <c r="D27" s="1"/>
      <c r="E27" s="83"/>
      <c r="F27" s="9"/>
      <c r="G27" s="1"/>
      <c r="H27" s="1"/>
      <c r="I27" s="1"/>
      <c r="J27" s="1"/>
      <c r="K27" s="9"/>
      <c r="L27" s="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1"/>
      <c r="AJ27" s="78"/>
      <c r="AK27" s="78"/>
    </row>
    <row r="28" spans="1:39" ht="15.75" customHeight="1" x14ac:dyDescent="0.25">
      <c r="A28" s="121" t="s">
        <v>156</v>
      </c>
      <c r="B28" s="84"/>
      <c r="C28" s="84"/>
      <c r="D28" s="82" t="s">
        <v>119</v>
      </c>
      <c r="E28" s="83"/>
      <c r="F28" s="9"/>
      <c r="G28" s="82" t="s">
        <v>118</v>
      </c>
      <c r="H28" s="1"/>
      <c r="I28" s="1"/>
      <c r="J28" s="82" t="s">
        <v>120</v>
      </c>
      <c r="K28" s="9"/>
      <c r="L28" s="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1"/>
      <c r="AJ28" s="1"/>
      <c r="AK28" s="1"/>
    </row>
    <row r="29" spans="1:39" ht="15" customHeight="1" x14ac:dyDescent="0.2">
      <c r="A29" s="183" t="s">
        <v>157</v>
      </c>
      <c r="B29" s="171"/>
      <c r="C29" s="171"/>
      <c r="D29" s="1" t="s">
        <v>122</v>
      </c>
      <c r="E29" s="83"/>
      <c r="F29" s="9"/>
      <c r="G29" s="1" t="s">
        <v>121</v>
      </c>
      <c r="H29" s="1"/>
      <c r="I29" s="1"/>
      <c r="J29" s="1" t="s">
        <v>123</v>
      </c>
      <c r="K29" s="9"/>
      <c r="L29" s="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1"/>
      <c r="AJ29" s="78"/>
      <c r="AK29" s="78"/>
    </row>
    <row r="30" spans="1:39" ht="15.75" customHeight="1" x14ac:dyDescent="0.2">
      <c r="A30" s="1"/>
      <c r="B30" s="1"/>
      <c r="C30" s="1"/>
      <c r="D30" s="1"/>
      <c r="E30" s="83"/>
      <c r="F30" s="9"/>
      <c r="G30" s="1"/>
      <c r="H30" s="1"/>
      <c r="I30" s="1"/>
      <c r="J30" s="1"/>
      <c r="K30" s="9"/>
      <c r="L30" s="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1"/>
      <c r="AJ30" s="1"/>
      <c r="AK30" s="1"/>
    </row>
    <row r="31" spans="1:39" ht="15.75" customHeight="1" x14ac:dyDescent="0.2">
      <c r="A31" s="1" t="s">
        <v>127</v>
      </c>
      <c r="B31" s="1"/>
      <c r="C31" s="1"/>
      <c r="D31" s="1" t="s">
        <v>124</v>
      </c>
      <c r="E31" s="83"/>
      <c r="F31" s="9"/>
      <c r="G31" s="1" t="s">
        <v>124</v>
      </c>
      <c r="H31" s="1"/>
      <c r="I31" s="1"/>
      <c r="J31" s="1" t="s">
        <v>124</v>
      </c>
      <c r="K31" s="9"/>
      <c r="L31" s="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1"/>
      <c r="AJ31" s="1"/>
      <c r="AK31" s="1"/>
    </row>
    <row r="32" spans="1:39" ht="15.75" customHeight="1" x14ac:dyDescent="0.2">
      <c r="D32" s="1"/>
      <c r="E32" s="83"/>
      <c r="F32" s="9"/>
      <c r="G32" s="1"/>
      <c r="H32" s="1"/>
      <c r="I32" s="1"/>
      <c r="J32" s="1"/>
      <c r="K32" s="9"/>
      <c r="L32" s="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1"/>
    </row>
    <row r="33" spans="4:35" ht="15.75" customHeight="1" x14ac:dyDescent="0.2">
      <c r="D33" s="1"/>
      <c r="E33" s="8"/>
      <c r="F33" s="9"/>
      <c r="G33" s="10"/>
      <c r="H33" s="10"/>
      <c r="I33" s="78"/>
      <c r="J33" s="78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1"/>
    </row>
    <row r="34" spans="4:35" ht="15.75" customHeight="1" x14ac:dyDescent="0.2">
      <c r="D34" s="1"/>
      <c r="E34" s="8"/>
      <c r="F34" s="9"/>
      <c r="G34" s="10"/>
      <c r="H34" s="10"/>
      <c r="I34" s="78"/>
      <c r="J34" s="78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1"/>
    </row>
    <row r="35" spans="4:35" ht="15.75" customHeight="1" x14ac:dyDescent="0.2">
      <c r="E35" s="85"/>
      <c r="G35" s="2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</row>
    <row r="36" spans="4:35" ht="15.75" customHeight="1" x14ac:dyDescent="0.2">
      <c r="E36" s="85"/>
      <c r="G36" s="2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</row>
    <row r="37" spans="4:35" ht="15.75" customHeight="1" x14ac:dyDescent="0.2">
      <c r="E37" s="85"/>
      <c r="G37" s="2"/>
    </row>
    <row r="38" spans="4:35" ht="15.75" customHeight="1" x14ac:dyDescent="0.2">
      <c r="E38" s="85"/>
      <c r="G38" s="2"/>
    </row>
    <row r="39" spans="4:35" ht="15.75" customHeight="1" x14ac:dyDescent="0.2">
      <c r="E39" s="85"/>
      <c r="G39" s="2"/>
    </row>
    <row r="40" spans="4:35" ht="15.75" customHeight="1" x14ac:dyDescent="0.2">
      <c r="E40" s="85"/>
      <c r="G40" s="2"/>
    </row>
    <row r="41" spans="4:35" ht="15.75" customHeight="1" x14ac:dyDescent="0.2">
      <c r="E41" s="85"/>
      <c r="G41" s="2"/>
    </row>
    <row r="42" spans="4:35" ht="15.75" customHeight="1" x14ac:dyDescent="0.2">
      <c r="E42" s="85"/>
      <c r="G42" s="2"/>
    </row>
    <row r="43" spans="4:35" ht="15.75" customHeight="1" x14ac:dyDescent="0.2">
      <c r="E43" s="85"/>
      <c r="G43" s="2"/>
    </row>
    <row r="44" spans="4:35" ht="15.75" customHeight="1" x14ac:dyDescent="0.2">
      <c r="E44" s="85"/>
      <c r="G44" s="2"/>
    </row>
    <row r="45" spans="4:35" ht="15.75" customHeight="1" x14ac:dyDescent="0.2">
      <c r="E45" s="85"/>
      <c r="G45" s="2"/>
    </row>
    <row r="46" spans="4:35" ht="15.75" customHeight="1" x14ac:dyDescent="0.2">
      <c r="E46" s="85"/>
      <c r="G46" s="2"/>
    </row>
    <row r="47" spans="4:35" ht="15.75" customHeight="1" x14ac:dyDescent="0.2">
      <c r="E47" s="85"/>
      <c r="G47" s="2"/>
    </row>
    <row r="48" spans="4:35" ht="15.75" customHeight="1" x14ac:dyDescent="0.2">
      <c r="E48" s="85"/>
      <c r="G48" s="2"/>
    </row>
    <row r="49" spans="5:7" ht="15.75" customHeight="1" x14ac:dyDescent="0.2">
      <c r="E49" s="85"/>
      <c r="G49" s="2"/>
    </row>
    <row r="50" spans="5:7" ht="15.75" customHeight="1" x14ac:dyDescent="0.2">
      <c r="E50" s="85"/>
      <c r="G50" s="2"/>
    </row>
    <row r="51" spans="5:7" ht="15.75" customHeight="1" x14ac:dyDescent="0.2">
      <c r="E51" s="85"/>
      <c r="G51" s="2"/>
    </row>
    <row r="52" spans="5:7" ht="15.75" customHeight="1" x14ac:dyDescent="0.2">
      <c r="E52" s="85"/>
      <c r="G52" s="2"/>
    </row>
    <row r="53" spans="5:7" ht="15.75" customHeight="1" x14ac:dyDescent="0.2">
      <c r="E53" s="85"/>
      <c r="G53" s="2"/>
    </row>
    <row r="54" spans="5:7" ht="15.75" customHeight="1" x14ac:dyDescent="0.2">
      <c r="E54" s="85"/>
      <c r="G54" s="2"/>
    </row>
    <row r="55" spans="5:7" ht="15.75" customHeight="1" x14ac:dyDescent="0.2">
      <c r="E55" s="85"/>
      <c r="G55" s="2"/>
    </row>
    <row r="56" spans="5:7" ht="15.75" customHeight="1" x14ac:dyDescent="0.2">
      <c r="E56" s="85"/>
      <c r="G56" s="2"/>
    </row>
    <row r="57" spans="5:7" ht="15.75" customHeight="1" x14ac:dyDescent="0.2">
      <c r="E57" s="85"/>
      <c r="G57" s="2"/>
    </row>
    <row r="58" spans="5:7" ht="15.75" customHeight="1" x14ac:dyDescent="0.2">
      <c r="E58" s="85"/>
      <c r="G58" s="2"/>
    </row>
    <row r="59" spans="5:7" ht="15.75" customHeight="1" x14ac:dyDescent="0.2">
      <c r="E59" s="85"/>
      <c r="G59" s="2"/>
    </row>
    <row r="60" spans="5:7" ht="15.75" customHeight="1" x14ac:dyDescent="0.2">
      <c r="E60" s="85"/>
      <c r="G60" s="2"/>
    </row>
    <row r="61" spans="5:7" ht="15.75" customHeight="1" x14ac:dyDescent="0.2">
      <c r="E61" s="85"/>
      <c r="G61" s="2"/>
    </row>
    <row r="62" spans="5:7" ht="15.75" customHeight="1" x14ac:dyDescent="0.2">
      <c r="E62" s="85"/>
      <c r="G62" s="2"/>
    </row>
    <row r="63" spans="5:7" ht="15.75" customHeight="1" x14ac:dyDescent="0.2">
      <c r="E63" s="85"/>
      <c r="G63" s="2"/>
    </row>
    <row r="64" spans="5:7" ht="15.75" customHeight="1" x14ac:dyDescent="0.2">
      <c r="E64" s="85"/>
      <c r="G64" s="2"/>
    </row>
    <row r="65" spans="5:7" ht="15.75" customHeight="1" x14ac:dyDescent="0.2">
      <c r="E65" s="85"/>
      <c r="G65" s="2"/>
    </row>
    <row r="66" spans="5:7" ht="15.75" customHeight="1" x14ac:dyDescent="0.2">
      <c r="E66" s="85"/>
      <c r="G66" s="2"/>
    </row>
    <row r="67" spans="5:7" ht="15.75" customHeight="1" x14ac:dyDescent="0.2">
      <c r="E67" s="85"/>
      <c r="G67" s="2"/>
    </row>
    <row r="68" spans="5:7" ht="15.75" customHeight="1" x14ac:dyDescent="0.2">
      <c r="E68" s="85"/>
      <c r="G68" s="2"/>
    </row>
    <row r="69" spans="5:7" ht="15.75" customHeight="1" x14ac:dyDescent="0.2">
      <c r="E69" s="85"/>
      <c r="G69" s="2"/>
    </row>
    <row r="70" spans="5:7" ht="15.75" customHeight="1" x14ac:dyDescent="0.2">
      <c r="E70" s="85"/>
      <c r="G70" s="2"/>
    </row>
    <row r="71" spans="5:7" ht="15.75" customHeight="1" x14ac:dyDescent="0.2">
      <c r="E71" s="85"/>
      <c r="G71" s="2"/>
    </row>
    <row r="72" spans="5:7" ht="15.75" customHeight="1" x14ac:dyDescent="0.2">
      <c r="E72" s="85"/>
      <c r="G72" s="2"/>
    </row>
    <row r="73" spans="5:7" ht="15.75" customHeight="1" x14ac:dyDescent="0.2">
      <c r="E73" s="85"/>
      <c r="G73" s="2"/>
    </row>
    <row r="74" spans="5:7" ht="15.75" customHeight="1" x14ac:dyDescent="0.2">
      <c r="E74" s="85"/>
      <c r="G74" s="2"/>
    </row>
    <row r="75" spans="5:7" ht="15.75" customHeight="1" x14ac:dyDescent="0.2">
      <c r="E75" s="85"/>
      <c r="G75" s="2"/>
    </row>
    <row r="76" spans="5:7" ht="15.75" customHeight="1" x14ac:dyDescent="0.2">
      <c r="E76" s="85"/>
      <c r="G76" s="2"/>
    </row>
    <row r="77" spans="5:7" ht="15.75" customHeight="1" x14ac:dyDescent="0.2">
      <c r="E77" s="85"/>
      <c r="G77" s="2"/>
    </row>
    <row r="78" spans="5:7" ht="15.75" customHeight="1" x14ac:dyDescent="0.2">
      <c r="E78" s="85"/>
      <c r="G78" s="2"/>
    </row>
    <row r="79" spans="5:7" ht="15.75" customHeight="1" x14ac:dyDescent="0.2">
      <c r="E79" s="85"/>
      <c r="G79" s="2"/>
    </row>
    <row r="80" spans="5:7" ht="15.75" customHeight="1" x14ac:dyDescent="0.2">
      <c r="E80" s="85"/>
      <c r="G80" s="2"/>
    </row>
    <row r="81" spans="5:7" ht="15.75" customHeight="1" x14ac:dyDescent="0.2">
      <c r="E81" s="85"/>
      <c r="G81" s="2"/>
    </row>
    <row r="82" spans="5:7" ht="15.75" customHeight="1" x14ac:dyDescent="0.2">
      <c r="E82" s="85"/>
      <c r="G82" s="2"/>
    </row>
    <row r="83" spans="5:7" ht="15.75" customHeight="1" x14ac:dyDescent="0.2">
      <c r="E83" s="85"/>
      <c r="G83" s="2"/>
    </row>
    <row r="84" spans="5:7" ht="15.75" customHeight="1" x14ac:dyDescent="0.2">
      <c r="E84" s="85"/>
      <c r="G84" s="2"/>
    </row>
    <row r="85" spans="5:7" ht="15.75" customHeight="1" x14ac:dyDescent="0.2">
      <c r="E85" s="85"/>
      <c r="G85" s="2"/>
    </row>
    <row r="86" spans="5:7" ht="15.75" customHeight="1" x14ac:dyDescent="0.2">
      <c r="E86" s="85"/>
      <c r="G86" s="2"/>
    </row>
    <row r="87" spans="5:7" ht="15.75" customHeight="1" x14ac:dyDescent="0.2">
      <c r="E87" s="85"/>
      <c r="G87" s="2"/>
    </row>
    <row r="88" spans="5:7" ht="15.75" customHeight="1" x14ac:dyDescent="0.2">
      <c r="E88" s="85"/>
      <c r="G88" s="2"/>
    </row>
    <row r="89" spans="5:7" ht="15.75" customHeight="1" x14ac:dyDescent="0.2">
      <c r="E89" s="85"/>
      <c r="G89" s="2"/>
    </row>
    <row r="90" spans="5:7" ht="15.75" customHeight="1" x14ac:dyDescent="0.2">
      <c r="E90" s="85"/>
      <c r="G90" s="2"/>
    </row>
    <row r="91" spans="5:7" ht="15.75" customHeight="1" x14ac:dyDescent="0.2">
      <c r="E91" s="85"/>
      <c r="G91" s="2"/>
    </row>
    <row r="92" spans="5:7" ht="15.75" customHeight="1" x14ac:dyDescent="0.2">
      <c r="E92" s="85"/>
      <c r="G92" s="2"/>
    </row>
    <row r="93" spans="5:7" ht="15.75" customHeight="1" x14ac:dyDescent="0.2">
      <c r="E93" s="85"/>
      <c r="G93" s="2"/>
    </row>
    <row r="94" spans="5:7" ht="15.75" customHeight="1" x14ac:dyDescent="0.2">
      <c r="E94" s="85"/>
      <c r="G94" s="2"/>
    </row>
    <row r="95" spans="5:7" ht="15.75" customHeight="1" x14ac:dyDescent="0.2">
      <c r="E95" s="85"/>
      <c r="G95" s="2"/>
    </row>
    <row r="96" spans="5:7" ht="15.75" customHeight="1" x14ac:dyDescent="0.2">
      <c r="E96" s="85"/>
      <c r="G96" s="2"/>
    </row>
    <row r="97" spans="5:7" ht="15.75" customHeight="1" x14ac:dyDescent="0.2">
      <c r="E97" s="85"/>
      <c r="G97" s="2"/>
    </row>
    <row r="98" spans="5:7" ht="15.75" customHeight="1" x14ac:dyDescent="0.2">
      <c r="E98" s="85"/>
      <c r="G98" s="2"/>
    </row>
    <row r="99" spans="5:7" ht="15.75" customHeight="1" x14ac:dyDescent="0.2">
      <c r="E99" s="85"/>
      <c r="G99" s="2"/>
    </row>
    <row r="100" spans="5:7" ht="15.75" customHeight="1" x14ac:dyDescent="0.2">
      <c r="E100" s="85"/>
      <c r="G100" s="2"/>
    </row>
    <row r="101" spans="5:7" ht="15.75" customHeight="1" x14ac:dyDescent="0.2">
      <c r="E101" s="85"/>
      <c r="G101" s="2"/>
    </row>
    <row r="102" spans="5:7" ht="15.75" customHeight="1" x14ac:dyDescent="0.2">
      <c r="E102" s="85"/>
      <c r="G102" s="2"/>
    </row>
    <row r="103" spans="5:7" ht="15.75" customHeight="1" x14ac:dyDescent="0.2">
      <c r="E103" s="85"/>
      <c r="G103" s="2"/>
    </row>
    <row r="104" spans="5:7" ht="15.75" customHeight="1" x14ac:dyDescent="0.2">
      <c r="E104" s="85"/>
      <c r="G104" s="2"/>
    </row>
    <row r="105" spans="5:7" ht="15.75" customHeight="1" x14ac:dyDescent="0.2">
      <c r="E105" s="85"/>
      <c r="G105" s="2"/>
    </row>
    <row r="106" spans="5:7" ht="15.75" customHeight="1" x14ac:dyDescent="0.2">
      <c r="E106" s="85"/>
      <c r="G106" s="2"/>
    </row>
    <row r="107" spans="5:7" ht="15.75" customHeight="1" x14ac:dyDescent="0.2">
      <c r="E107" s="85"/>
      <c r="G107" s="2"/>
    </row>
    <row r="108" spans="5:7" ht="15.75" customHeight="1" x14ac:dyDescent="0.2">
      <c r="E108" s="85"/>
      <c r="G108" s="2"/>
    </row>
    <row r="109" spans="5:7" ht="15.75" customHeight="1" x14ac:dyDescent="0.2">
      <c r="E109" s="85"/>
      <c r="G109" s="2"/>
    </row>
    <row r="110" spans="5:7" ht="15.75" customHeight="1" x14ac:dyDescent="0.2">
      <c r="E110" s="85"/>
      <c r="G110" s="2"/>
    </row>
    <row r="111" spans="5:7" ht="15.75" customHeight="1" x14ac:dyDescent="0.2">
      <c r="E111" s="85"/>
      <c r="G111" s="2"/>
    </row>
    <row r="112" spans="5:7" ht="15.75" customHeight="1" x14ac:dyDescent="0.2">
      <c r="E112" s="85"/>
      <c r="G112" s="2"/>
    </row>
    <row r="113" spans="5:7" ht="15.75" customHeight="1" x14ac:dyDescent="0.2">
      <c r="E113" s="85"/>
      <c r="G113" s="2"/>
    </row>
    <row r="114" spans="5:7" ht="15.75" customHeight="1" x14ac:dyDescent="0.2">
      <c r="E114" s="85"/>
      <c r="G114" s="2"/>
    </row>
    <row r="115" spans="5:7" ht="15.75" customHeight="1" x14ac:dyDescent="0.2">
      <c r="E115" s="85"/>
      <c r="G115" s="2"/>
    </row>
    <row r="116" spans="5:7" ht="15.75" customHeight="1" x14ac:dyDescent="0.2">
      <c r="E116" s="85"/>
      <c r="G116" s="2"/>
    </row>
    <row r="117" spans="5:7" ht="15.75" customHeight="1" x14ac:dyDescent="0.2">
      <c r="E117" s="85"/>
      <c r="G117" s="2"/>
    </row>
    <row r="118" spans="5:7" ht="15.75" customHeight="1" x14ac:dyDescent="0.2">
      <c r="E118" s="85"/>
      <c r="G118" s="2"/>
    </row>
    <row r="119" spans="5:7" ht="15.75" customHeight="1" x14ac:dyDescent="0.2">
      <c r="E119" s="85"/>
      <c r="G119" s="2"/>
    </row>
    <row r="120" spans="5:7" ht="15.75" customHeight="1" x14ac:dyDescent="0.2">
      <c r="E120" s="85"/>
      <c r="G120" s="2"/>
    </row>
    <row r="121" spans="5:7" ht="15.75" customHeight="1" x14ac:dyDescent="0.2">
      <c r="E121" s="85"/>
      <c r="G121" s="2"/>
    </row>
    <row r="122" spans="5:7" ht="15.75" customHeight="1" x14ac:dyDescent="0.2">
      <c r="E122" s="85"/>
      <c r="G122" s="2"/>
    </row>
    <row r="123" spans="5:7" ht="15.75" customHeight="1" x14ac:dyDescent="0.2">
      <c r="E123" s="85"/>
      <c r="G123" s="2"/>
    </row>
    <row r="124" spans="5:7" ht="15.75" customHeight="1" x14ac:dyDescent="0.2">
      <c r="E124" s="85"/>
      <c r="G124" s="2"/>
    </row>
    <row r="125" spans="5:7" ht="15.75" customHeight="1" x14ac:dyDescent="0.2">
      <c r="E125" s="85"/>
      <c r="G125" s="2"/>
    </row>
    <row r="126" spans="5:7" ht="15.75" customHeight="1" x14ac:dyDescent="0.2">
      <c r="E126" s="85"/>
      <c r="G126" s="2"/>
    </row>
    <row r="127" spans="5:7" ht="15.75" customHeight="1" x14ac:dyDescent="0.2">
      <c r="E127" s="85"/>
      <c r="G127" s="2"/>
    </row>
    <row r="128" spans="5:7" ht="15.75" customHeight="1" x14ac:dyDescent="0.2">
      <c r="E128" s="85"/>
      <c r="G128" s="2"/>
    </row>
    <row r="129" spans="5:7" ht="15.75" customHeight="1" x14ac:dyDescent="0.2">
      <c r="E129" s="85"/>
      <c r="G129" s="2"/>
    </row>
    <row r="130" spans="5:7" ht="15.75" customHeight="1" x14ac:dyDescent="0.2">
      <c r="E130" s="85"/>
      <c r="G130" s="2"/>
    </row>
    <row r="131" spans="5:7" ht="15.75" customHeight="1" x14ac:dyDescent="0.2">
      <c r="E131" s="85"/>
      <c r="G131" s="2"/>
    </row>
    <row r="132" spans="5:7" ht="15.75" customHeight="1" x14ac:dyDescent="0.2">
      <c r="E132" s="85"/>
      <c r="G132" s="2"/>
    </row>
    <row r="133" spans="5:7" ht="15.75" customHeight="1" x14ac:dyDescent="0.2">
      <c r="E133" s="85"/>
      <c r="G133" s="2"/>
    </row>
    <row r="134" spans="5:7" ht="15.75" customHeight="1" x14ac:dyDescent="0.2">
      <c r="E134" s="85"/>
      <c r="G134" s="2"/>
    </row>
    <row r="135" spans="5:7" ht="15.75" customHeight="1" x14ac:dyDescent="0.2">
      <c r="E135" s="85"/>
      <c r="G135" s="2"/>
    </row>
    <row r="136" spans="5:7" ht="15.75" customHeight="1" x14ac:dyDescent="0.2">
      <c r="E136" s="85"/>
      <c r="G136" s="2"/>
    </row>
    <row r="137" spans="5:7" ht="15.75" customHeight="1" x14ac:dyDescent="0.2">
      <c r="E137" s="85"/>
      <c r="G137" s="2"/>
    </row>
    <row r="138" spans="5:7" ht="15.75" customHeight="1" x14ac:dyDescent="0.2">
      <c r="E138" s="85"/>
      <c r="G138" s="2"/>
    </row>
    <row r="139" spans="5:7" ht="15.75" customHeight="1" x14ac:dyDescent="0.2">
      <c r="E139" s="85"/>
      <c r="G139" s="2"/>
    </row>
    <row r="140" spans="5:7" ht="15.75" customHeight="1" x14ac:dyDescent="0.2">
      <c r="E140" s="85"/>
      <c r="G140" s="2"/>
    </row>
    <row r="141" spans="5:7" ht="15.75" customHeight="1" x14ac:dyDescent="0.2">
      <c r="E141" s="85"/>
      <c r="G141" s="2"/>
    </row>
    <row r="142" spans="5:7" ht="15.75" customHeight="1" x14ac:dyDescent="0.2">
      <c r="E142" s="85"/>
      <c r="G142" s="2"/>
    </row>
    <row r="143" spans="5:7" ht="15.75" customHeight="1" x14ac:dyDescent="0.2">
      <c r="E143" s="85"/>
      <c r="G143" s="2"/>
    </row>
    <row r="144" spans="5:7" ht="15.75" customHeight="1" x14ac:dyDescent="0.2">
      <c r="E144" s="85"/>
      <c r="G144" s="2"/>
    </row>
    <row r="145" spans="5:7" ht="15.75" customHeight="1" x14ac:dyDescent="0.2">
      <c r="E145" s="85"/>
      <c r="G145" s="2"/>
    </row>
    <row r="146" spans="5:7" ht="15.75" customHeight="1" x14ac:dyDescent="0.2">
      <c r="E146" s="85"/>
      <c r="G146" s="2"/>
    </row>
    <row r="147" spans="5:7" ht="15.75" customHeight="1" x14ac:dyDescent="0.2">
      <c r="E147" s="85"/>
      <c r="G147" s="2"/>
    </row>
    <row r="148" spans="5:7" ht="15.75" customHeight="1" x14ac:dyDescent="0.2">
      <c r="E148" s="85"/>
      <c r="G148" s="2"/>
    </row>
    <row r="149" spans="5:7" ht="15.75" customHeight="1" x14ac:dyDescent="0.2">
      <c r="E149" s="85"/>
      <c r="G149" s="2"/>
    </row>
    <row r="150" spans="5:7" ht="15.75" customHeight="1" x14ac:dyDescent="0.2">
      <c r="E150" s="85"/>
      <c r="G150" s="2"/>
    </row>
    <row r="151" spans="5:7" ht="15.75" customHeight="1" x14ac:dyDescent="0.2">
      <c r="E151" s="85"/>
      <c r="G151" s="2"/>
    </row>
    <row r="152" spans="5:7" ht="15.75" customHeight="1" x14ac:dyDescent="0.2">
      <c r="E152" s="85"/>
      <c r="G152" s="2"/>
    </row>
    <row r="153" spans="5:7" ht="15.75" customHeight="1" x14ac:dyDescent="0.2">
      <c r="E153" s="85"/>
      <c r="G153" s="2"/>
    </row>
    <row r="154" spans="5:7" ht="15.75" customHeight="1" x14ac:dyDescent="0.2">
      <c r="E154" s="85"/>
      <c r="G154" s="2"/>
    </row>
    <row r="155" spans="5:7" ht="15.75" customHeight="1" x14ac:dyDescent="0.2">
      <c r="E155" s="85"/>
      <c r="G155" s="2"/>
    </row>
    <row r="156" spans="5:7" ht="15.75" customHeight="1" x14ac:dyDescent="0.2">
      <c r="E156" s="85"/>
      <c r="G156" s="2"/>
    </row>
    <row r="157" spans="5:7" ht="15.75" customHeight="1" x14ac:dyDescent="0.2">
      <c r="E157" s="85"/>
      <c r="G157" s="2"/>
    </row>
    <row r="158" spans="5:7" ht="15.75" customHeight="1" x14ac:dyDescent="0.2">
      <c r="E158" s="85"/>
      <c r="G158" s="2"/>
    </row>
    <row r="159" spans="5:7" ht="15.75" customHeight="1" x14ac:dyDescent="0.2">
      <c r="E159" s="85"/>
      <c r="G159" s="2"/>
    </row>
    <row r="160" spans="5:7" ht="15.75" customHeight="1" x14ac:dyDescent="0.2">
      <c r="E160" s="85"/>
      <c r="G160" s="2"/>
    </row>
    <row r="161" spans="5:7" ht="15.75" customHeight="1" x14ac:dyDescent="0.2">
      <c r="E161" s="85"/>
      <c r="G161" s="2"/>
    </row>
    <row r="162" spans="5:7" ht="15.75" customHeight="1" x14ac:dyDescent="0.2">
      <c r="E162" s="85"/>
      <c r="G162" s="2"/>
    </row>
    <row r="163" spans="5:7" ht="15.75" customHeight="1" x14ac:dyDescent="0.2">
      <c r="E163" s="85"/>
      <c r="G163" s="2"/>
    </row>
    <row r="164" spans="5:7" ht="15.75" customHeight="1" x14ac:dyDescent="0.2">
      <c r="E164" s="85"/>
      <c r="G164" s="2"/>
    </row>
    <row r="165" spans="5:7" ht="15.75" customHeight="1" x14ac:dyDescent="0.2">
      <c r="E165" s="85"/>
      <c r="G165" s="2"/>
    </row>
    <row r="166" spans="5:7" ht="15.75" customHeight="1" x14ac:dyDescent="0.2">
      <c r="E166" s="85"/>
      <c r="G166" s="2"/>
    </row>
    <row r="167" spans="5:7" ht="15.75" customHeight="1" x14ac:dyDescent="0.2">
      <c r="E167" s="85"/>
      <c r="G167" s="2"/>
    </row>
    <row r="168" spans="5:7" ht="15.75" customHeight="1" x14ac:dyDescent="0.2">
      <c r="E168" s="85"/>
      <c r="G168" s="2"/>
    </row>
    <row r="169" spans="5:7" ht="15.75" customHeight="1" x14ac:dyDescent="0.2">
      <c r="E169" s="85"/>
      <c r="G169" s="2"/>
    </row>
    <row r="170" spans="5:7" ht="15.75" customHeight="1" x14ac:dyDescent="0.2">
      <c r="E170" s="85"/>
      <c r="G170" s="2"/>
    </row>
    <row r="171" spans="5:7" ht="15.75" customHeight="1" x14ac:dyDescent="0.2">
      <c r="E171" s="85"/>
      <c r="G171" s="2"/>
    </row>
    <row r="172" spans="5:7" ht="15.75" customHeight="1" x14ac:dyDescent="0.2">
      <c r="E172" s="85"/>
      <c r="G172" s="2"/>
    </row>
    <row r="173" spans="5:7" ht="15.75" customHeight="1" x14ac:dyDescent="0.2">
      <c r="E173" s="85"/>
      <c r="G173" s="2"/>
    </row>
    <row r="174" spans="5:7" ht="15.75" customHeight="1" x14ac:dyDescent="0.2">
      <c r="E174" s="85"/>
      <c r="G174" s="2"/>
    </row>
    <row r="175" spans="5:7" ht="15.75" customHeight="1" x14ac:dyDescent="0.2">
      <c r="E175" s="85"/>
      <c r="G175" s="2"/>
    </row>
    <row r="176" spans="5:7" ht="15.75" customHeight="1" x14ac:dyDescent="0.2">
      <c r="E176" s="85"/>
      <c r="G176" s="2"/>
    </row>
    <row r="177" spans="5:7" ht="15.75" customHeight="1" x14ac:dyDescent="0.2">
      <c r="E177" s="85"/>
      <c r="G177" s="2"/>
    </row>
    <row r="178" spans="5:7" ht="15.75" customHeight="1" x14ac:dyDescent="0.2">
      <c r="E178" s="85"/>
      <c r="G178" s="2"/>
    </row>
    <row r="179" spans="5:7" ht="15.75" customHeight="1" x14ac:dyDescent="0.2">
      <c r="E179" s="85"/>
      <c r="G179" s="2"/>
    </row>
    <row r="180" spans="5:7" ht="15.75" customHeight="1" x14ac:dyDescent="0.2">
      <c r="E180" s="85"/>
      <c r="G180" s="2"/>
    </row>
    <row r="181" spans="5:7" ht="15.75" customHeight="1" x14ac:dyDescent="0.2">
      <c r="E181" s="85"/>
      <c r="G181" s="2"/>
    </row>
    <row r="182" spans="5:7" ht="15.75" customHeight="1" x14ac:dyDescent="0.2">
      <c r="E182" s="85"/>
      <c r="G182" s="2"/>
    </row>
    <row r="183" spans="5:7" ht="15.75" customHeight="1" x14ac:dyDescent="0.2">
      <c r="E183" s="85"/>
      <c r="G183" s="2"/>
    </row>
    <row r="184" spans="5:7" ht="15.75" customHeight="1" x14ac:dyDescent="0.2">
      <c r="E184" s="85"/>
      <c r="G184" s="2"/>
    </row>
    <row r="185" spans="5:7" ht="15.75" customHeight="1" x14ac:dyDescent="0.2">
      <c r="E185" s="85"/>
      <c r="G185" s="2"/>
    </row>
    <row r="186" spans="5:7" ht="15.75" customHeight="1" x14ac:dyDescent="0.2">
      <c r="E186" s="85"/>
      <c r="G186" s="2"/>
    </row>
    <row r="187" spans="5:7" ht="15.75" customHeight="1" x14ac:dyDescent="0.2">
      <c r="E187" s="85"/>
      <c r="G187" s="2"/>
    </row>
    <row r="188" spans="5:7" ht="15.75" customHeight="1" x14ac:dyDescent="0.2">
      <c r="E188" s="85"/>
      <c r="G188" s="2"/>
    </row>
    <row r="189" spans="5:7" ht="15.75" customHeight="1" x14ac:dyDescent="0.2">
      <c r="E189" s="85"/>
      <c r="G189" s="2"/>
    </row>
    <row r="190" spans="5:7" ht="15.75" customHeight="1" x14ac:dyDescent="0.2">
      <c r="E190" s="85"/>
      <c r="G190" s="2"/>
    </row>
    <row r="191" spans="5:7" ht="15.75" customHeight="1" x14ac:dyDescent="0.2">
      <c r="E191" s="85"/>
      <c r="G191" s="2"/>
    </row>
    <row r="192" spans="5:7" ht="15.75" customHeight="1" x14ac:dyDescent="0.2">
      <c r="E192" s="85"/>
      <c r="G192" s="2"/>
    </row>
    <row r="193" spans="5:7" ht="15.75" customHeight="1" x14ac:dyDescent="0.2">
      <c r="E193" s="85"/>
      <c r="G193" s="2"/>
    </row>
    <row r="194" spans="5:7" ht="15.75" customHeight="1" x14ac:dyDescent="0.2">
      <c r="E194" s="85"/>
      <c r="G194" s="2"/>
    </row>
    <row r="195" spans="5:7" ht="15.75" customHeight="1" x14ac:dyDescent="0.2">
      <c r="E195" s="85"/>
      <c r="G195" s="2"/>
    </row>
    <row r="196" spans="5:7" ht="15.75" customHeight="1" x14ac:dyDescent="0.2">
      <c r="E196" s="85"/>
      <c r="G196" s="2"/>
    </row>
    <row r="197" spans="5:7" ht="15.75" customHeight="1" x14ac:dyDescent="0.2">
      <c r="E197" s="85"/>
      <c r="G197" s="2"/>
    </row>
    <row r="198" spans="5:7" ht="15.75" customHeight="1" x14ac:dyDescent="0.2">
      <c r="E198" s="85"/>
      <c r="G198" s="2"/>
    </row>
    <row r="199" spans="5:7" ht="15.75" customHeight="1" x14ac:dyDescent="0.2">
      <c r="E199" s="85"/>
      <c r="G199" s="2"/>
    </row>
    <row r="200" spans="5:7" ht="15.75" customHeight="1" x14ac:dyDescent="0.2">
      <c r="E200" s="85"/>
      <c r="G200" s="2"/>
    </row>
    <row r="201" spans="5:7" ht="15.75" customHeight="1" x14ac:dyDescent="0.2">
      <c r="E201" s="85"/>
      <c r="G201" s="2"/>
    </row>
    <row r="202" spans="5:7" ht="15.75" customHeight="1" x14ac:dyDescent="0.2">
      <c r="E202" s="85"/>
      <c r="G202" s="2"/>
    </row>
    <row r="203" spans="5:7" ht="15.75" customHeight="1" x14ac:dyDescent="0.2">
      <c r="E203" s="85"/>
      <c r="G203" s="2"/>
    </row>
    <row r="204" spans="5:7" ht="15.75" customHeight="1" x14ac:dyDescent="0.2">
      <c r="E204" s="85"/>
      <c r="G204" s="2"/>
    </row>
    <row r="205" spans="5:7" ht="15.75" customHeight="1" x14ac:dyDescent="0.2">
      <c r="E205" s="85"/>
      <c r="G205" s="2"/>
    </row>
    <row r="206" spans="5:7" ht="15.75" customHeight="1" x14ac:dyDescent="0.2">
      <c r="E206" s="85"/>
      <c r="G206" s="2"/>
    </row>
    <row r="207" spans="5:7" ht="15.75" customHeight="1" x14ac:dyDescent="0.2">
      <c r="E207" s="85"/>
      <c r="G207" s="2"/>
    </row>
    <row r="208" spans="5:7" ht="15.75" customHeight="1" x14ac:dyDescent="0.2">
      <c r="E208" s="85"/>
      <c r="G208" s="2"/>
    </row>
    <row r="209" spans="5:7" ht="15.75" customHeight="1" x14ac:dyDescent="0.2">
      <c r="E209" s="85"/>
      <c r="G209" s="2"/>
    </row>
    <row r="210" spans="5:7" ht="15.75" customHeight="1" x14ac:dyDescent="0.2">
      <c r="E210" s="85"/>
      <c r="G210" s="2"/>
    </row>
    <row r="211" spans="5:7" ht="15.75" customHeight="1" x14ac:dyDescent="0.2">
      <c r="E211" s="85"/>
      <c r="G211" s="2"/>
    </row>
    <row r="212" spans="5:7" ht="15.75" customHeight="1" x14ac:dyDescent="0.2">
      <c r="E212" s="85"/>
      <c r="G212" s="2"/>
    </row>
    <row r="213" spans="5:7" ht="15.75" customHeight="1" x14ac:dyDescent="0.2">
      <c r="E213" s="85"/>
      <c r="G213" s="2"/>
    </row>
    <row r="214" spans="5:7" ht="15.75" customHeight="1" x14ac:dyDescent="0.2">
      <c r="E214" s="85"/>
      <c r="G214" s="2"/>
    </row>
    <row r="215" spans="5:7" ht="15.75" customHeight="1" x14ac:dyDescent="0.2">
      <c r="E215" s="85"/>
      <c r="G215" s="2"/>
    </row>
    <row r="216" spans="5:7" ht="15.75" customHeight="1" x14ac:dyDescent="0.2">
      <c r="E216" s="85"/>
      <c r="G216" s="2"/>
    </row>
    <row r="217" spans="5:7" ht="15.75" customHeight="1" x14ac:dyDescent="0.2">
      <c r="E217" s="85"/>
      <c r="G217" s="2"/>
    </row>
    <row r="218" spans="5:7" ht="15.75" customHeight="1" x14ac:dyDescent="0.2">
      <c r="E218" s="85"/>
      <c r="G218" s="2"/>
    </row>
    <row r="219" spans="5:7" ht="15.75" customHeight="1" x14ac:dyDescent="0.2">
      <c r="E219" s="85"/>
      <c r="G219" s="2"/>
    </row>
    <row r="220" spans="5:7" ht="15.75" customHeight="1" x14ac:dyDescent="0.2">
      <c r="E220" s="85"/>
      <c r="G220" s="2"/>
    </row>
    <row r="221" spans="5:7" ht="15.75" customHeight="1" x14ac:dyDescent="0.2">
      <c r="E221" s="85"/>
      <c r="G221" s="2"/>
    </row>
    <row r="222" spans="5:7" ht="15.75" customHeight="1" x14ac:dyDescent="0.2">
      <c r="E222" s="85"/>
      <c r="G222" s="2"/>
    </row>
    <row r="223" spans="5:7" ht="15.75" customHeight="1" x14ac:dyDescent="0.2">
      <c r="E223" s="85"/>
      <c r="G223" s="2"/>
    </row>
    <row r="224" spans="5:7" ht="15.75" customHeight="1" x14ac:dyDescent="0.2">
      <c r="E224" s="85"/>
      <c r="G224" s="2"/>
    </row>
    <row r="225" spans="5:7" ht="15.75" customHeight="1" x14ac:dyDescent="0.2">
      <c r="E225" s="85"/>
      <c r="G225" s="2"/>
    </row>
    <row r="226" spans="5:7" ht="15.75" customHeight="1" x14ac:dyDescent="0.2">
      <c r="E226" s="85"/>
      <c r="G226" s="2"/>
    </row>
    <row r="227" spans="5:7" ht="15.75" customHeight="1" x14ac:dyDescent="0.2">
      <c r="E227" s="85"/>
      <c r="G227" s="2"/>
    </row>
    <row r="228" spans="5:7" ht="15.75" customHeight="1" x14ac:dyDescent="0.2">
      <c r="E228" s="85"/>
      <c r="G228" s="2"/>
    </row>
    <row r="229" spans="5:7" ht="15.75" customHeight="1" x14ac:dyDescent="0.2">
      <c r="E229" s="85"/>
      <c r="G229" s="2"/>
    </row>
    <row r="230" spans="5:7" ht="15.75" customHeight="1" x14ac:dyDescent="0.2">
      <c r="E230" s="85"/>
      <c r="G230" s="2"/>
    </row>
    <row r="231" spans="5:7" ht="15.75" customHeight="1" x14ac:dyDescent="0.2">
      <c r="E231" s="85"/>
      <c r="G231" s="2"/>
    </row>
    <row r="232" spans="5:7" ht="15.75" customHeight="1" x14ac:dyDescent="0.2"/>
    <row r="233" spans="5:7" ht="15.75" customHeight="1" x14ac:dyDescent="0.2"/>
    <row r="234" spans="5:7" ht="15.75" customHeight="1" x14ac:dyDescent="0.2"/>
    <row r="235" spans="5:7" ht="15.75" customHeight="1" x14ac:dyDescent="0.2"/>
    <row r="236" spans="5:7" ht="15.75" customHeight="1" x14ac:dyDescent="0.2"/>
    <row r="237" spans="5:7" ht="15.75" customHeight="1" x14ac:dyDescent="0.2"/>
    <row r="238" spans="5:7" ht="15.75" customHeight="1" x14ac:dyDescent="0.2"/>
    <row r="239" spans="5:7" ht="15.75" customHeight="1" x14ac:dyDescent="0.2"/>
    <row r="240" spans="5: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</sheetData>
  <mergeCells count="19">
    <mergeCell ref="H12:H15"/>
    <mergeCell ref="D21:F21"/>
    <mergeCell ref="A29:C29"/>
    <mergeCell ref="D12:D15"/>
    <mergeCell ref="F12:F15"/>
    <mergeCell ref="G12:G15"/>
    <mergeCell ref="D17:D18"/>
    <mergeCell ref="H17:H18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H8:H9"/>
  </mergeCells>
  <printOptions horizontalCentered="1"/>
  <pageMargins left="0.71627906976744182" right="0.36899224806201547" top="0.74803149606299213" bottom="0.74803149606299213" header="0" footer="0"/>
  <pageSetup paperSize="5" scale="54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DE86-900A-4429-9676-BDFB71F2F3BF}">
  <dimension ref="A1:A39"/>
  <sheetViews>
    <sheetView topLeftCell="A25" workbookViewId="0">
      <selection activeCell="D43" sqref="D43"/>
    </sheetView>
  </sheetViews>
  <sheetFormatPr defaultRowHeight="14.25" x14ac:dyDescent="0.2"/>
  <sheetData>
    <row r="1" spans="1:1" x14ac:dyDescent="0.2">
      <c r="A1" t="s">
        <v>159</v>
      </c>
    </row>
    <row r="3" spans="1:1" x14ac:dyDescent="0.2">
      <c r="A3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8" spans="1:1" x14ac:dyDescent="0.2">
      <c r="A8" t="s">
        <v>163</v>
      </c>
    </row>
    <row r="9" spans="1:1" x14ac:dyDescent="0.2">
      <c r="A9" t="s">
        <v>164</v>
      </c>
    </row>
    <row r="11" spans="1:1" x14ac:dyDescent="0.2">
      <c r="A11" t="s">
        <v>165</v>
      </c>
    </row>
    <row r="12" spans="1:1" x14ac:dyDescent="0.2">
      <c r="A12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7" spans="1:1" x14ac:dyDescent="0.2">
      <c r="A17" t="s">
        <v>169</v>
      </c>
    </row>
    <row r="18" spans="1:1" x14ac:dyDescent="0.2">
      <c r="A18" t="s">
        <v>170</v>
      </c>
    </row>
    <row r="20" spans="1:1" x14ac:dyDescent="0.2">
      <c r="A20" t="s">
        <v>171</v>
      </c>
    </row>
    <row r="21" spans="1:1" x14ac:dyDescent="0.2">
      <c r="A21" t="s">
        <v>172</v>
      </c>
    </row>
    <row r="23" spans="1:1" x14ac:dyDescent="0.2">
      <c r="A23" t="s">
        <v>173</v>
      </c>
    </row>
    <row r="25" spans="1:1" x14ac:dyDescent="0.2">
      <c r="A25" t="s">
        <v>174</v>
      </c>
    </row>
    <row r="26" spans="1:1" x14ac:dyDescent="0.2">
      <c r="A26" t="s">
        <v>175</v>
      </c>
    </row>
    <row r="28" spans="1:1" x14ac:dyDescent="0.2">
      <c r="A28" t="s">
        <v>176</v>
      </c>
    </row>
    <row r="30" spans="1:1" x14ac:dyDescent="0.2">
      <c r="A30" t="s">
        <v>177</v>
      </c>
    </row>
    <row r="31" spans="1:1" x14ac:dyDescent="0.2">
      <c r="A31" t="s">
        <v>178</v>
      </c>
    </row>
    <row r="33" spans="1:1" x14ac:dyDescent="0.2">
      <c r="A33" t="s">
        <v>179</v>
      </c>
    </row>
    <row r="35" spans="1:1" x14ac:dyDescent="0.2">
      <c r="A35" t="s">
        <v>180</v>
      </c>
    </row>
    <row r="37" spans="1:1" x14ac:dyDescent="0.2">
      <c r="A37" t="s">
        <v>182</v>
      </c>
    </row>
    <row r="39" spans="1:1" x14ac:dyDescent="0.2">
      <c r="A39" t="s">
        <v>183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PPMP 1st Quarter 2024</vt:lpstr>
      <vt:lpstr>PPMP 2nd Quarter 2024</vt:lpstr>
      <vt:lpstr>Printer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cp:lastPrinted>2024-03-25T00:55:35Z</cp:lastPrinted>
  <dcterms:created xsi:type="dcterms:W3CDTF">2024-01-03T07:55:13Z</dcterms:created>
  <dcterms:modified xsi:type="dcterms:W3CDTF">2024-05-30T02:26:03Z</dcterms:modified>
</cp:coreProperties>
</file>