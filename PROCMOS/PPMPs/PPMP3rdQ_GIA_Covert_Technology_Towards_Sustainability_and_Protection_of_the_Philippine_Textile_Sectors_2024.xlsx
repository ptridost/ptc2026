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C\Documents\PPMP 2024 (APP)\"/>
    </mc:Choice>
  </mc:AlternateContent>
  <xr:revisionPtr revIDLastSave="0" documentId="8_{A81DEF10-1089-4328-9A8B-B176D953DE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sed of Q3 wo UB" sheetId="1" r:id="rId1"/>
  </sheets>
  <calcPr calcId="191029"/>
  <extLst>
    <ext uri="GoogleSheetsCustomDataVersion2">
      <go:sheetsCustomData xmlns:go="http://customooxmlschemas.google.com/" r:id="rId10" roundtripDataChecksum="3i9Hk/mHFj2HY0GYpmKwkAjSS0OSspivTBm7ZU9wZis="/>
    </ext>
  </extLst>
</workbook>
</file>

<file path=xl/calcChain.xml><?xml version="1.0" encoding="utf-8"?>
<calcChain xmlns="http://schemas.openxmlformats.org/spreadsheetml/2006/main">
  <c r="E59" i="1" l="1"/>
  <c r="E58" i="1"/>
  <c r="E53" i="1"/>
  <c r="E52" i="1"/>
  <c r="E51" i="1"/>
  <c r="E50" i="1"/>
  <c r="E38" i="1"/>
  <c r="E37" i="1"/>
  <c r="E33" i="1"/>
  <c r="D30" i="1"/>
  <c r="D29" i="1"/>
  <c r="D28" i="1"/>
  <c r="E27" i="1"/>
  <c r="D27" i="1"/>
  <c r="E19" i="1"/>
  <c r="C64" i="1" s="1"/>
  <c r="U9" i="1"/>
  <c r="C65" i="1" l="1"/>
  <c r="C67" i="1"/>
  <c r="C66" i="1"/>
</calcChain>
</file>

<file path=xl/sharedStrings.xml><?xml version="1.0" encoding="utf-8"?>
<sst xmlns="http://schemas.openxmlformats.org/spreadsheetml/2006/main" count="178" uniqueCount="104">
  <si>
    <t>END-USER/UNIT: RDD-NFUS</t>
  </si>
  <si>
    <t>Charged to: Covert Technology Towards Sustainability and Protection of the Philippine Textile Sectors - Year 2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</si>
  <si>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</si>
  <si>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</si>
  <si>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</si>
  <si>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</si>
  <si>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</si>
  <si>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</si>
  <si>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</si>
  <si>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</si>
  <si>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</si>
  <si>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</si>
  <si>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July</t>
  </si>
  <si>
    <t>Aug</t>
  </si>
  <si>
    <t>Sept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</si>
  <si>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</si>
  <si>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</si>
  <si>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</si>
  <si>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</si>
  <si>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</si>
  <si>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</si>
  <si>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</si>
  <si>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</si>
  <si>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</si>
  <si>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</si>
  <si>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</si>
  <si>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Training Expenses</t>
  </si>
  <si>
    <t>Training of- Safety in the Laboratory, GHS, Chemical Inventory, Chemical  and Waste Labelling, and Storage</t>
  </si>
  <si>
    <t>1 lot</t>
  </si>
  <si>
    <t>Negotiated Procurement</t>
  </si>
  <si>
    <t>Communication Expenses</t>
  </si>
  <si>
    <t>c/a</t>
  </si>
  <si>
    <t>(19) Mobile Load Card for PHWC CAR</t>
  </si>
  <si>
    <t>Small Value Procurement</t>
  </si>
  <si>
    <t>(12) Mobile Load Card for RSTW Region IX</t>
  </si>
  <si>
    <t>Laboratory Supplies Expenses</t>
  </si>
  <si>
    <t>5 box, Smart Spatula, 5 1/2 in, package of 300pcs</t>
  </si>
  <si>
    <t>5 box, Smart Spatula, 12 1/2 in, package of 300pcs</t>
  </si>
  <si>
    <t>5 box, Smart Spatula, 8 17/64 in, package of 300pcs</t>
  </si>
  <si>
    <t>Glass gooch crucible with sintered disc</t>
  </si>
  <si>
    <t>60 pcs</t>
  </si>
  <si>
    <t>Poly (ethylene Glycol)</t>
  </si>
  <si>
    <t>Printing and Publication Expenses</t>
  </si>
  <si>
    <t>Tarpulin for Natural Dyes Workshop in Zamboanga City</t>
  </si>
  <si>
    <t>Tarpulin for PHWC in Zamboanga City</t>
  </si>
  <si>
    <t>Office Supplies Expenses</t>
  </si>
  <si>
    <t>5 pcks Vellum Board Paper, A4 size</t>
  </si>
  <si>
    <t>5 pcks Photo Paper, A4 Size</t>
  </si>
  <si>
    <t>20 pc Cartridge 003 Black</t>
  </si>
  <si>
    <t>20 pc Cartridge 003 Cyan</t>
  </si>
  <si>
    <t>20 pc Cartridge 003 Yellow</t>
  </si>
  <si>
    <t>20 pc Cartridge 003 Magenta</t>
  </si>
  <si>
    <t>Other Supplies and Materials</t>
  </si>
  <si>
    <t>72 yards Piña Silk</t>
  </si>
  <si>
    <t>100 pcs Customized PHWC T-Shirt</t>
  </si>
  <si>
    <t>300 kg Ginned Cotton Fiber</t>
  </si>
  <si>
    <t>Handloom Woven Products</t>
  </si>
  <si>
    <t>5 Polymetric Filament for 3D Printing</t>
  </si>
  <si>
    <t>5 unit Office Cubicle Partitions</t>
  </si>
  <si>
    <t>5 pc Mesh Chair</t>
  </si>
  <si>
    <t>1 pc Executive Chair</t>
  </si>
  <si>
    <t>1 pc</t>
  </si>
  <si>
    <t>30 boxes Interfolded Paper Towels, 2 ply, 100 pulls,per box</t>
  </si>
  <si>
    <t>20 packsTissue Paper, 3 ply, 24 rolls per pack</t>
  </si>
  <si>
    <t>1 pcs Glue Gun</t>
  </si>
  <si>
    <t>3 pcs Super Glue</t>
  </si>
  <si>
    <t>3 box Clothes Pin</t>
  </si>
  <si>
    <t>5 pcs Adhesive Tape</t>
  </si>
  <si>
    <t>10 Acrylic Box with base</t>
  </si>
  <si>
    <t>1 pc Wireless Presenter</t>
  </si>
  <si>
    <t>Woven Products</t>
  </si>
  <si>
    <t>Handwoven Coin Purse</t>
  </si>
  <si>
    <t>150 pcs</t>
  </si>
  <si>
    <t>Bamboo Pens with Laser Engrave</t>
  </si>
  <si>
    <t>30 pcs Plain White Shirt</t>
  </si>
  <si>
    <t>Small Procurement</t>
  </si>
  <si>
    <t>20 pcs Plain White Handkerchief</t>
  </si>
  <si>
    <t>Woven Fabrics</t>
  </si>
  <si>
    <t>Transportation Expenses</t>
  </si>
  <si>
    <t>(2) Van Rental</t>
  </si>
  <si>
    <t>Gasoline, Oil and Lubricants Expenses</t>
  </si>
  <si>
    <t>Diesel</t>
  </si>
  <si>
    <t>Additional Diesel</t>
  </si>
  <si>
    <t>Outsourced Testing Services</t>
  </si>
  <si>
    <t>TEM-EDS</t>
  </si>
  <si>
    <t>TGA Analysis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</si>
  <si>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</si>
  <si>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</si>
  <si>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</si>
  <si>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</si>
  <si>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</si>
  <si>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</si>
  <si>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</si>
  <si>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</si>
  <si>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</si>
  <si>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JULIUS L. LEAÑO JR., Ph.D.</t>
  </si>
  <si>
    <t>MARILOU G. AGUSTIN</t>
  </si>
  <si>
    <t>MERLITA R. ODI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</si>
  <si>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</si>
  <si>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</si>
  <si>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</si>
  <si>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</si>
  <si>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</si>
  <si>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For 3rd Quarter of CY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</si>
</sst>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;[Red]#,##0.00"/>
  </numFmts>
  <fonts count="22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theme="1"/>
      <name val="Arial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9" fillId="0" borderId="12" xfId="0" applyFont="1" applyBorder="1"/>
    <xf numFmtId="0" fontId="6" fillId="0" borderId="13" xfId="0" applyFont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>
      <alignment horizontal="center" vertical="center" wrapText="1"/>
    </xf>
    <xf numFmtId="4" fontId="10" fillId="2" borderId="15" xfId="0" applyNumberFormat="1" applyFont="1" applyFill="1" applyBorder="1" applyAlignment="1">
      <alignment horizontal="right" vertical="center" wrapText="1"/>
    </xf>
    <xf numFmtId="43" fontId="10" fillId="2" borderId="15" xfId="0" applyNumberFormat="1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4" fontId="2" fillId="0" borderId="0" xfId="0" applyNumberFormat="1" applyFont="1"/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center" vertical="center" wrapText="1"/>
    </xf>
    <xf numFmtId="4" fontId="10" fillId="0" borderId="19" xfId="0" applyNumberFormat="1" applyFont="1" applyBorder="1" applyAlignment="1">
      <alignment horizontal="right" vertical="center" wrapText="1"/>
    </xf>
    <xf numFmtId="43" fontId="10" fillId="0" borderId="19" xfId="0" applyNumberFormat="1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left" vertical="center"/>
    </xf>
    <xf numFmtId="0" fontId="2" fillId="2" borderId="24" xfId="0" applyFont="1" applyFill="1" applyBorder="1"/>
    <xf numFmtId="4" fontId="2" fillId="2" borderId="24" xfId="0" applyNumberFormat="1" applyFont="1" applyFill="1" applyBorder="1" applyAlignment="1">
      <alignment horizontal="right"/>
    </xf>
    <xf numFmtId="0" fontId="10" fillId="2" borderId="24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0" borderId="25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1" fillId="0" borderId="24" xfId="0" applyFont="1" applyBorder="1" applyAlignment="1">
      <alignment wrapText="1"/>
    </xf>
    <xf numFmtId="0" fontId="2" fillId="3" borderId="27" xfId="0" applyFont="1" applyFill="1" applyBorder="1" applyAlignment="1">
      <alignment horizontal="center" vertical="center" wrapText="1"/>
    </xf>
    <xf numFmtId="43" fontId="12" fillId="0" borderId="24" xfId="0" applyNumberFormat="1" applyFont="1" applyBorder="1" applyAlignment="1">
      <alignment horizontal="right"/>
    </xf>
    <xf numFmtId="0" fontId="2" fillId="3" borderId="19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10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1" fillId="0" borderId="9" xfId="0" applyFont="1" applyBorder="1" applyAlignment="1">
      <alignment wrapText="1"/>
    </xf>
    <xf numFmtId="43" fontId="12" fillId="0" borderId="9" xfId="0" applyNumberFormat="1" applyFont="1" applyBorder="1" applyAlignment="1">
      <alignment horizontal="right"/>
    </xf>
    <xf numFmtId="0" fontId="11" fillId="0" borderId="22" xfId="0" applyFont="1" applyBorder="1" applyAlignment="1">
      <alignment wrapText="1"/>
    </xf>
    <xf numFmtId="43" fontId="12" fillId="0" borderId="28" xfId="0" applyNumberFormat="1" applyFont="1" applyBorder="1" applyAlignment="1">
      <alignment horizontal="right"/>
    </xf>
    <xf numFmtId="0" fontId="2" fillId="3" borderId="28" xfId="0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wrapText="1"/>
    </xf>
    <xf numFmtId="43" fontId="12" fillId="0" borderId="19" xfId="0" applyNumberFormat="1" applyFont="1" applyBorder="1" applyAlignment="1">
      <alignment horizontal="right"/>
    </xf>
    <xf numFmtId="0" fontId="2" fillId="0" borderId="19" xfId="0" applyFont="1" applyBorder="1"/>
    <xf numFmtId="0" fontId="10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0" fillId="2" borderId="3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right" vertical="center" wrapText="1"/>
    </xf>
    <xf numFmtId="43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/>
    <xf numFmtId="0" fontId="10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43" fontId="12" fillId="0" borderId="18" xfId="0" applyNumberFormat="1" applyFont="1" applyBorder="1" applyAlignment="1">
      <alignment horizontal="right"/>
    </xf>
    <xf numFmtId="0" fontId="2" fillId="0" borderId="25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 wrapText="1"/>
    </xf>
    <xf numFmtId="4" fontId="2" fillId="0" borderId="24" xfId="0" applyNumberFormat="1" applyFont="1" applyBorder="1" applyAlignment="1">
      <alignment horizontal="right" vertical="center" wrapText="1"/>
    </xf>
    <xf numFmtId="43" fontId="2" fillId="0" borderId="19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/>
    </xf>
    <xf numFmtId="4" fontId="2" fillId="0" borderId="9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/>
    </xf>
    <xf numFmtId="4" fontId="2" fillId="0" borderId="18" xfId="0" applyNumberFormat="1" applyFont="1" applyBorder="1" applyAlignment="1">
      <alignment horizontal="right" vertical="center" wrapText="1"/>
    </xf>
    <xf numFmtId="0" fontId="2" fillId="0" borderId="2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" fontId="2" fillId="0" borderId="19" xfId="0" applyNumberFormat="1" applyFont="1" applyBorder="1" applyAlignment="1">
      <alignment horizontal="right" vertical="center" wrapText="1"/>
    </xf>
    <xf numFmtId="0" fontId="2" fillId="2" borderId="14" xfId="0" applyFont="1" applyFill="1" applyBorder="1" applyAlignment="1">
      <alignment horizontal="center" vertical="center" wrapText="1"/>
    </xf>
    <xf numFmtId="4" fontId="2" fillId="2" borderId="38" xfId="0" applyNumberFormat="1" applyFont="1" applyFill="1" applyBorder="1" applyAlignment="1">
      <alignment horizontal="right" vertical="center" wrapText="1"/>
    </xf>
    <xf numFmtId="43" fontId="2" fillId="2" borderId="38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/>
    <xf numFmtId="0" fontId="10" fillId="2" borderId="14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10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left" vertical="center"/>
    </xf>
    <xf numFmtId="4" fontId="2" fillId="3" borderId="24" xfId="0" applyNumberFormat="1" applyFont="1" applyFill="1" applyBorder="1" applyAlignment="1">
      <alignment horizontal="right" vertical="center" wrapText="1"/>
    </xf>
    <xf numFmtId="43" fontId="2" fillId="3" borderId="24" xfId="0" applyNumberFormat="1" applyFont="1" applyFill="1" applyBorder="1" applyAlignment="1">
      <alignment horizontal="center" vertical="center" wrapText="1"/>
    </xf>
    <xf numFmtId="0" fontId="2" fillId="3" borderId="14" xfId="0" applyFont="1" applyFill="1" applyBorder="1"/>
    <xf numFmtId="0" fontId="10" fillId="3" borderId="14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9" fillId="3" borderId="42" xfId="0" applyFont="1" applyFill="1" applyBorder="1"/>
    <xf numFmtId="4" fontId="2" fillId="3" borderId="42" xfId="0" applyNumberFormat="1" applyFont="1" applyFill="1" applyBorder="1"/>
    <xf numFmtId="0" fontId="2" fillId="3" borderId="42" xfId="0" applyFont="1" applyFill="1" applyBorder="1"/>
    <xf numFmtId="0" fontId="2" fillId="0" borderId="43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/>
    <xf numFmtId="0" fontId="10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24" xfId="0" applyFont="1" applyBorder="1"/>
    <xf numFmtId="0" fontId="10" fillId="0" borderId="2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45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43" fontId="2" fillId="0" borderId="9" xfId="0" applyNumberFormat="1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10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4" fontId="2" fillId="0" borderId="28" xfId="0" applyNumberFormat="1" applyFont="1" applyBorder="1" applyAlignment="1">
      <alignment horizontal="right" vertical="center" wrapText="1"/>
    </xf>
    <xf numFmtId="43" fontId="2" fillId="0" borderId="2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3" fillId="0" borderId="19" xfId="0" applyFont="1" applyBorder="1" applyAlignment="1">
      <alignment wrapText="1"/>
    </xf>
    <xf numFmtId="0" fontId="13" fillId="0" borderId="19" xfId="0" applyFont="1" applyBorder="1"/>
    <xf numFmtId="4" fontId="2" fillId="0" borderId="20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 wrapText="1"/>
    </xf>
    <xf numFmtId="0" fontId="2" fillId="0" borderId="18" xfId="0" applyFont="1" applyBorder="1" applyAlignment="1">
      <alignment horizontal="center" vertical="center" wrapText="1"/>
    </xf>
    <xf numFmtId="43" fontId="2" fillId="0" borderId="18" xfId="0" applyNumberFormat="1" applyFont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43" fontId="2" fillId="0" borderId="24" xfId="0" applyNumberFormat="1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/>
    </xf>
    <xf numFmtId="0" fontId="10" fillId="2" borderId="43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 wrapText="1"/>
    </xf>
    <xf numFmtId="4" fontId="2" fillId="2" borderId="18" xfId="0" applyNumberFormat="1" applyFont="1" applyFill="1" applyBorder="1" applyAlignment="1">
      <alignment horizontal="right" vertical="center" wrapText="1"/>
    </xf>
    <xf numFmtId="43" fontId="2" fillId="2" borderId="18" xfId="0" applyNumberFormat="1" applyFont="1" applyFill="1" applyBorder="1" applyAlignment="1">
      <alignment horizontal="center" vertical="center" wrapText="1"/>
    </xf>
    <xf numFmtId="0" fontId="2" fillId="2" borderId="18" xfId="0" applyFont="1" applyFill="1" applyBorder="1"/>
    <xf numFmtId="0" fontId="10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10" fillId="0" borderId="24" xfId="0" applyFont="1" applyBorder="1" applyAlignment="1">
      <alignment horizontal="left" vertical="center"/>
    </xf>
    <xf numFmtId="0" fontId="2" fillId="3" borderId="24" xfId="0" applyFont="1" applyFill="1" applyBorder="1" applyAlignment="1">
      <alignment horizontal="center" vertical="center" wrapText="1"/>
    </xf>
    <xf numFmtId="164" fontId="13" fillId="2" borderId="24" xfId="0" applyNumberFormat="1" applyFont="1" applyFill="1" applyBorder="1" applyAlignment="1">
      <alignment vertical="top"/>
    </xf>
    <xf numFmtId="0" fontId="2" fillId="2" borderId="24" xfId="0" applyFont="1" applyFill="1" applyBorder="1" applyAlignment="1">
      <alignment horizontal="center" vertical="center" wrapText="1"/>
    </xf>
    <xf numFmtId="4" fontId="2" fillId="2" borderId="24" xfId="0" applyNumberFormat="1" applyFont="1" applyFill="1" applyBorder="1" applyAlignment="1">
      <alignment horizontal="right" vertical="center" wrapText="1"/>
    </xf>
    <xf numFmtId="43" fontId="2" fillId="2" borderId="24" xfId="0" applyNumberFormat="1" applyFont="1" applyFill="1" applyBorder="1" applyAlignment="1">
      <alignment horizontal="center" vertical="center" wrapText="1"/>
    </xf>
    <xf numFmtId="0" fontId="10" fillId="0" borderId="49" xfId="0" applyFont="1" applyBorder="1" applyAlignment="1">
      <alignment horizontal="left" vertical="center"/>
    </xf>
    <xf numFmtId="0" fontId="10" fillId="0" borderId="19" xfId="0" applyFont="1" applyBorder="1" applyAlignment="1">
      <alignment horizontal="center"/>
    </xf>
    <xf numFmtId="0" fontId="10" fillId="2" borderId="50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38" xfId="0" applyFont="1" applyFill="1" applyBorder="1"/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3" fontId="2" fillId="0" borderId="45" xfId="0" applyNumberFormat="1" applyFont="1" applyBorder="1"/>
    <xf numFmtId="0" fontId="15" fillId="0" borderId="0" xfId="0" applyFont="1" applyAlignment="1">
      <alignment vertical="center"/>
    </xf>
    <xf numFmtId="0" fontId="6" fillId="0" borderId="18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6" fillId="0" borderId="24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4" fillId="0" borderId="0" xfId="0" applyFont="1"/>
    <xf numFmtId="43" fontId="14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4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/>
    </xf>
    <xf numFmtId="4" fontId="18" fillId="0" borderId="0" xfId="0" applyNumberFormat="1" applyFont="1" applyAlignment="1">
      <alignment horizontal="right"/>
    </xf>
    <xf numFmtId="0" fontId="19" fillId="0" borderId="0" xfId="0" applyFont="1" applyAlignment="1">
      <alignment horizontal="left" vertical="center" wrapText="1"/>
    </xf>
    <xf numFmtId="0" fontId="20" fillId="0" borderId="0" xfId="0" applyFont="1"/>
    <xf numFmtId="0" fontId="19" fillId="0" borderId="0" xfId="0" applyFont="1" applyAlignment="1">
      <alignment wrapText="1"/>
    </xf>
    <xf numFmtId="0" fontId="2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0" fontId="8" fillId="0" borderId="8" xfId="0" applyFont="1" applyBorder="1"/>
    <xf numFmtId="4" fontId="6" fillId="0" borderId="2" xfId="0" applyNumberFormat="1" applyFont="1" applyBorder="1" applyAlignment="1">
      <alignment horizontal="center" vertical="center" wrapText="1"/>
    </xf>
    <xf numFmtId="43" fontId="6" fillId="0" borderId="2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2" fillId="0" borderId="28" xfId="0" applyFont="1" applyBorder="1" applyAlignment="1">
      <alignment horizontal="center"/>
    </xf>
    <xf numFmtId="0" fontId="8" fillId="0" borderId="28" xfId="0" applyFont="1" applyBorder="1"/>
    <xf numFmtId="0" fontId="2" fillId="0" borderId="21" xfId="0" applyFont="1" applyBorder="1" applyAlignment="1">
      <alignment horizontal="center"/>
    </xf>
    <xf numFmtId="0" fontId="8" fillId="0" borderId="21" xfId="0" applyFont="1" applyBorder="1"/>
    <xf numFmtId="0" fontId="8" fillId="0" borderId="29" xfId="0" applyFont="1" applyBorder="1"/>
    <xf numFmtId="0" fontId="10" fillId="0" borderId="28" xfId="0" applyFont="1" applyBorder="1" applyAlignment="1">
      <alignment horizontal="center" vertical="center"/>
    </xf>
    <xf numFmtId="0" fontId="2" fillId="0" borderId="28" xfId="0" applyFont="1" applyBorder="1"/>
    <xf numFmtId="0" fontId="7" fillId="0" borderId="2" xfId="0" applyFont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8" fillId="0" borderId="36" xfId="0" applyFont="1" applyBorder="1"/>
    <xf numFmtId="0" fontId="2" fillId="0" borderId="35" xfId="0" applyFont="1" applyBorder="1" applyAlignment="1">
      <alignment horizontal="center"/>
    </xf>
    <xf numFmtId="0" fontId="8" fillId="0" borderId="37" xfId="0" applyFont="1" applyBorder="1"/>
    <xf numFmtId="43" fontId="2" fillId="0" borderId="19" xfId="0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8" fillId="0" borderId="22" xfId="0" applyFont="1" applyBorder="1"/>
    <xf numFmtId="43" fontId="12" fillId="0" borderId="28" xfId="0" applyNumberFormat="1" applyFont="1" applyBorder="1" applyAlignment="1">
      <alignment horizontal="right" vertical="center"/>
    </xf>
    <xf numFmtId="0" fontId="8" fillId="0" borderId="34" xfId="0" applyFont="1" applyBorder="1"/>
    <xf numFmtId="0" fontId="10" fillId="0" borderId="22" xfId="0" applyFont="1" applyBorder="1" applyAlignment="1">
      <alignment horizontal="center"/>
    </xf>
    <xf numFmtId="0" fontId="2" fillId="0" borderId="22" xfId="0" applyFont="1" applyBorder="1"/>
    <xf numFmtId="0" fontId="10" fillId="0" borderId="22" xfId="0" applyFont="1" applyBorder="1" applyAlignment="1">
      <alignment horizontal="center" vertical="center"/>
    </xf>
    <xf numFmtId="0" fontId="8" fillId="0" borderId="35" xfId="0" applyFont="1" applyBorder="1"/>
    <xf numFmtId="0" fontId="2" fillId="0" borderId="2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7" fillId="0" borderId="0" xfId="0" applyFont="1" applyAlignment="1">
      <alignment horizontal="left" wrapText="1"/>
    </xf>
    <xf numFmtId="0" fontId="14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43" fontId="21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" fillId="0" borderId="0" xfId="0" applyFont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10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 wrapText="1"/>
    </xf>
    <xf numFmtId="43" fontId="2" fillId="0" borderId="22" xfId="0" applyNumberFormat="1" applyFont="1" applyBorder="1" applyAlignment="1">
      <alignment horizontal="center" vertical="center" wrapText="1"/>
    </xf>
    <xf numFmtId="43" fontId="2" fillId="0" borderId="2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9" fillId="0" borderId="0" xfId="0" applyFont="1" applyAlignment="1">
      <alignment horizontal="left"/>
    </xf>
    <xf numFmtId="43" fontId="14" fillId="0" borderId="0" xfId="0" applyNumberFormat="1" applyFont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3" fontId="1" fillId="0" borderId="0" xfId="0" applyNumberFormat="1" applyFont="1" applyAlignment="1">
      <alignment horizontal="center"/>
    </xf>
    <xf numFmtId="43" fontId="1" fillId="0" borderId="48" xfId="0" applyNumberFormat="1" applyFont="1" applyBorder="1" applyAlignment="1">
      <alignment horizontal="center"/>
    </xf>
    <xf numFmtId="0" fontId="8" fillId="0" borderId="43" xfId="0" applyFont="1" applyBorder="1"/>
    <xf numFmtId="0" fontId="8" fillId="0" borderId="25" xfId="0" applyFont="1" applyBorder="1"/>
    <xf numFmtId="43" fontId="1" fillId="0" borderId="51" xfId="0" applyNumberFormat="1" applyFont="1" applyBorder="1" applyAlignment="1">
      <alignment horizontal="center"/>
    </xf>
    <xf numFmtId="0" fontId="8" fillId="0" borderId="52" xfId="0" applyFont="1" applyBorder="1"/>
    <xf numFmtId="0" fontId="8" fillId="0" borderId="53" xfId="0" applyFont="1" applyBorder="1"/>
    <xf numFmtId="0" fontId="8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2"/>
  <sheetViews>
    <sheetView tabSelected="1" workbookViewId="0">
      <selection activeCell="A2" sqref="A2:V2"/>
    </sheetView>
  </sheetViews>
  <sheetFormatPr defaultColWidth="12.625" defaultRowHeight="15" customHeight="1" x14ac:dyDescent="0.2"/>
  <cols>
    <col min="1" max="1" width="7.625" customWidth="1"/>
    <col min="2" max="2" width="47.625" customWidth="1"/>
    <col min="3" max="4" width="11.625" customWidth="1"/>
    <col min="5" max="5" width="14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5" ht="15.75" x14ac:dyDescent="0.2">
      <c r="A1" s="176"/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"/>
      <c r="X1" s="1"/>
    </row>
    <row r="2" spans="1:25" ht="14.25" x14ac:dyDescent="0.2">
      <c r="A2" s="178" t="s">
        <v>103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"/>
      <c r="X2" s="1"/>
    </row>
    <row r="3" spans="1:25" x14ac:dyDescent="0.25">
      <c r="A3" s="179"/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"/>
      <c r="X3" s="1"/>
    </row>
    <row r="4" spans="1:25" x14ac:dyDescent="0.2">
      <c r="A4" s="2" t="s">
        <v>0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5" x14ac:dyDescent="0.2">
      <c r="A5" s="5"/>
      <c r="B5" s="3"/>
      <c r="C5" s="1"/>
      <c r="D5" s="6"/>
      <c r="E5" s="7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x14ac:dyDescent="0.2">
      <c r="A6" s="2" t="s">
        <v>1</v>
      </c>
      <c r="B6" s="3"/>
      <c r="C6" s="1"/>
      <c r="D6" s="6"/>
      <c r="E6" s="7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x14ac:dyDescent="0.2">
      <c r="A7" s="5" t="s">
        <v>2</v>
      </c>
      <c r="B7" s="3"/>
      <c r="C7" s="1"/>
      <c r="D7" s="6"/>
      <c r="E7" s="7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ht="22.5" customHeight="1" x14ac:dyDescent="0.2">
      <c r="A8" s="180" t="s">
        <v>3</v>
      </c>
      <c r="B8" s="182" t="s">
        <v>4</v>
      </c>
      <c r="C8" s="9" t="s">
        <v>5</v>
      </c>
      <c r="D8" s="184" t="s">
        <v>6</v>
      </c>
      <c r="E8" s="185" t="s">
        <v>7</v>
      </c>
      <c r="F8" s="196" t="s">
        <v>8</v>
      </c>
      <c r="G8" s="182" t="s">
        <v>9</v>
      </c>
      <c r="H8" s="186" t="s">
        <v>10</v>
      </c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8"/>
      <c r="W8" s="10"/>
      <c r="X8" s="10"/>
    </row>
    <row r="9" spans="1:25" ht="38.25" x14ac:dyDescent="0.2">
      <c r="A9" s="181"/>
      <c r="B9" s="183"/>
      <c r="C9" s="11" t="s">
        <v>11</v>
      </c>
      <c r="D9" s="183"/>
      <c r="E9" s="183"/>
      <c r="F9" s="183"/>
      <c r="G9" s="183"/>
      <c r="H9" s="12" t="s">
        <v>12</v>
      </c>
      <c r="I9" s="12" t="s">
        <v>13</v>
      </c>
      <c r="J9" s="12" t="s">
        <v>14</v>
      </c>
      <c r="K9" s="12" t="s">
        <v>15</v>
      </c>
      <c r="L9" s="12" t="s">
        <v>16</v>
      </c>
      <c r="M9" s="12" t="s">
        <v>17</v>
      </c>
      <c r="N9" s="12" t="s">
        <v>18</v>
      </c>
      <c r="O9" s="12" t="s">
        <v>19</v>
      </c>
      <c r="P9" s="12" t="s">
        <v>20</v>
      </c>
      <c r="Q9" s="12" t="s">
        <v>21</v>
      </c>
      <c r="R9" s="12" t="s">
        <v>22</v>
      </c>
      <c r="S9" s="12" t="s">
        <v>23</v>
      </c>
      <c r="T9" s="12" t="s">
        <v>24</v>
      </c>
      <c r="U9" s="13" t="str">
        <f>$V$9</f>
        <v>REMARKS</v>
      </c>
      <c r="V9" s="14" t="s">
        <v>25</v>
      </c>
      <c r="W9" s="15"/>
      <c r="X9" s="10"/>
    </row>
    <row r="10" spans="1:25" x14ac:dyDescent="0.2">
      <c r="A10" s="16"/>
      <c r="B10" s="17" t="s">
        <v>26</v>
      </c>
      <c r="C10" s="18"/>
      <c r="D10" s="19"/>
      <c r="E10" s="20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21"/>
      <c r="V10" s="22"/>
      <c r="W10" s="10"/>
      <c r="X10" s="10"/>
      <c r="Y10" s="23"/>
    </row>
    <row r="11" spans="1:25" ht="45" x14ac:dyDescent="0.2">
      <c r="A11" s="16"/>
      <c r="B11" s="24" t="s">
        <v>27</v>
      </c>
      <c r="C11" s="25" t="s">
        <v>28</v>
      </c>
      <c r="D11" s="26">
        <v>200000</v>
      </c>
      <c r="E11" s="27">
        <v>200000</v>
      </c>
      <c r="F11" s="28" t="s">
        <v>29</v>
      </c>
      <c r="G11" s="25"/>
      <c r="H11" s="25"/>
      <c r="I11" s="25">
        <v>1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9"/>
      <c r="V11" s="30"/>
      <c r="W11" s="10"/>
      <c r="X11" s="10"/>
      <c r="Y11" s="23"/>
    </row>
    <row r="12" spans="1:25" x14ac:dyDescent="0.25">
      <c r="A12" s="31"/>
      <c r="B12" s="32" t="s">
        <v>30</v>
      </c>
      <c r="C12" s="33"/>
      <c r="D12" s="34"/>
      <c r="E12" s="33"/>
      <c r="F12" s="33"/>
      <c r="G12" s="33"/>
      <c r="H12" s="35"/>
      <c r="I12" s="35"/>
      <c r="J12" s="35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7"/>
      <c r="W12" s="10"/>
      <c r="X12" s="10"/>
      <c r="Y12" s="23"/>
    </row>
    <row r="13" spans="1:25" x14ac:dyDescent="0.2">
      <c r="A13" s="31" t="s">
        <v>31</v>
      </c>
      <c r="B13" s="38" t="s">
        <v>32</v>
      </c>
      <c r="C13" s="25" t="s">
        <v>28</v>
      </c>
      <c r="D13" s="26">
        <v>100</v>
      </c>
      <c r="E13" s="27">
        <v>1900</v>
      </c>
      <c r="F13" s="28" t="s">
        <v>33</v>
      </c>
      <c r="G13" s="25"/>
      <c r="H13" s="25">
        <v>1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39"/>
      <c r="V13" s="40"/>
      <c r="W13" s="10"/>
      <c r="X13" s="10"/>
      <c r="Y13" s="23"/>
    </row>
    <row r="14" spans="1:25" x14ac:dyDescent="0.2">
      <c r="A14" s="31" t="s">
        <v>31</v>
      </c>
      <c r="B14" s="38" t="s">
        <v>34</v>
      </c>
      <c r="C14" s="25" t="s">
        <v>28</v>
      </c>
      <c r="D14" s="26">
        <v>100</v>
      </c>
      <c r="E14" s="27">
        <v>1200</v>
      </c>
      <c r="F14" s="28" t="s">
        <v>33</v>
      </c>
      <c r="G14" s="25"/>
      <c r="H14" s="25"/>
      <c r="I14" s="25"/>
      <c r="J14" s="25">
        <v>1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9"/>
      <c r="V14" s="30"/>
      <c r="W14" s="10"/>
      <c r="X14" s="10"/>
      <c r="Y14" s="23"/>
    </row>
    <row r="15" spans="1:25" ht="15.75" customHeight="1" x14ac:dyDescent="0.25">
      <c r="A15" s="41"/>
      <c r="B15" s="32" t="s">
        <v>35</v>
      </c>
      <c r="C15" s="33"/>
      <c r="D15" s="34"/>
      <c r="E15" s="33"/>
      <c r="F15" s="33"/>
      <c r="G15" s="33"/>
      <c r="H15" s="35"/>
      <c r="I15" s="35"/>
      <c r="J15" s="35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7"/>
      <c r="W15" s="10"/>
      <c r="X15" s="10"/>
      <c r="Y15" s="23"/>
    </row>
    <row r="16" spans="1:25" x14ac:dyDescent="0.25">
      <c r="A16" s="41"/>
      <c r="B16" s="42" t="s">
        <v>36</v>
      </c>
      <c r="C16" s="197" t="s">
        <v>28</v>
      </c>
      <c r="D16" s="44">
        <v>3500</v>
      </c>
      <c r="E16" s="44">
        <v>17500</v>
      </c>
      <c r="F16" s="198" t="s">
        <v>29</v>
      </c>
      <c r="G16" s="195"/>
      <c r="H16" s="194"/>
      <c r="I16" s="194">
        <v>1</v>
      </c>
      <c r="J16" s="194"/>
      <c r="K16" s="195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91"/>
      <c r="W16" s="10"/>
      <c r="X16" s="10"/>
    </row>
    <row r="17" spans="1:26" x14ac:dyDescent="0.25">
      <c r="A17" s="41"/>
      <c r="B17" s="42" t="s">
        <v>37</v>
      </c>
      <c r="C17" s="190"/>
      <c r="D17" s="44">
        <v>5000</v>
      </c>
      <c r="E17" s="44">
        <v>25000</v>
      </c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2"/>
      <c r="W17" s="10"/>
      <c r="X17" s="10"/>
    </row>
    <row r="18" spans="1:26" x14ac:dyDescent="0.25">
      <c r="A18" s="41"/>
      <c r="B18" s="50" t="s">
        <v>38</v>
      </c>
      <c r="C18" s="183"/>
      <c r="D18" s="51">
        <v>4000</v>
      </c>
      <c r="E18" s="51">
        <v>20000</v>
      </c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93"/>
      <c r="W18" s="10"/>
      <c r="X18" s="10"/>
    </row>
    <row r="19" spans="1:26" x14ac:dyDescent="0.25">
      <c r="A19" s="41"/>
      <c r="B19" s="52" t="s">
        <v>39</v>
      </c>
      <c r="C19" s="43" t="s">
        <v>40</v>
      </c>
      <c r="D19" s="53">
        <v>3200</v>
      </c>
      <c r="E19" s="53">
        <f>D19*60</f>
        <v>192000</v>
      </c>
      <c r="F19" s="54" t="s">
        <v>29</v>
      </c>
      <c r="G19" s="46"/>
      <c r="H19" s="47"/>
      <c r="I19" s="47"/>
      <c r="J19" s="47">
        <v>1</v>
      </c>
      <c r="K19" s="46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9"/>
      <c r="W19" s="10"/>
      <c r="X19" s="10"/>
    </row>
    <row r="20" spans="1:26" x14ac:dyDescent="0.25">
      <c r="A20" s="41"/>
      <c r="B20" s="55" t="s">
        <v>41</v>
      </c>
      <c r="C20" s="45">
        <v>1</v>
      </c>
      <c r="D20" s="56">
        <v>10000</v>
      </c>
      <c r="E20" s="56">
        <v>10000</v>
      </c>
      <c r="F20" s="45" t="s">
        <v>29</v>
      </c>
      <c r="G20" s="57"/>
      <c r="H20" s="58"/>
      <c r="I20" s="58"/>
      <c r="J20" s="58">
        <v>1</v>
      </c>
      <c r="K20" s="57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60"/>
      <c r="W20" s="10"/>
      <c r="X20" s="10"/>
    </row>
    <row r="21" spans="1:26" ht="15.75" customHeight="1" x14ac:dyDescent="0.25">
      <c r="A21" s="41"/>
      <c r="B21" s="61" t="s">
        <v>42</v>
      </c>
      <c r="C21" s="62"/>
      <c r="D21" s="63"/>
      <c r="E21" s="64"/>
      <c r="F21" s="65"/>
      <c r="G21" s="65"/>
      <c r="H21" s="66"/>
      <c r="I21" s="66"/>
      <c r="J21" s="66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8"/>
      <c r="W21" s="10"/>
      <c r="X21" s="10"/>
      <c r="Y21" s="23"/>
    </row>
    <row r="22" spans="1:26" x14ac:dyDescent="0.25">
      <c r="A22" s="204" t="s">
        <v>31</v>
      </c>
      <c r="B22" s="52" t="s">
        <v>43</v>
      </c>
      <c r="C22" s="224" t="s">
        <v>28</v>
      </c>
      <c r="D22" s="69">
        <v>1000</v>
      </c>
      <c r="E22" s="206">
        <v>2000</v>
      </c>
      <c r="F22" s="198" t="s">
        <v>29</v>
      </c>
      <c r="G22" s="195"/>
      <c r="H22" s="194"/>
      <c r="I22" s="194"/>
      <c r="J22" s="194">
        <v>1</v>
      </c>
      <c r="K22" s="195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1"/>
      <c r="W22" s="10"/>
      <c r="X22" s="10"/>
    </row>
    <row r="23" spans="1:26" x14ac:dyDescent="0.25">
      <c r="A23" s="205"/>
      <c r="B23" s="55" t="s">
        <v>44</v>
      </c>
      <c r="C23" s="190"/>
      <c r="D23" s="56">
        <v>1000</v>
      </c>
      <c r="E23" s="190"/>
      <c r="F23" s="207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2"/>
      <c r="W23" s="10"/>
      <c r="X23" s="10"/>
    </row>
    <row r="24" spans="1:26" ht="15.75" customHeight="1" x14ac:dyDescent="0.25">
      <c r="A24" s="41"/>
      <c r="B24" s="61" t="s">
        <v>45</v>
      </c>
      <c r="C24" s="62"/>
      <c r="D24" s="63"/>
      <c r="E24" s="64"/>
      <c r="F24" s="65"/>
      <c r="G24" s="65"/>
      <c r="H24" s="66"/>
      <c r="I24" s="66"/>
      <c r="J24" s="66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8"/>
      <c r="W24" s="10"/>
      <c r="X24" s="10"/>
      <c r="Y24" s="23"/>
    </row>
    <row r="25" spans="1:26" ht="15.75" customHeight="1" x14ac:dyDescent="0.2">
      <c r="A25" s="204" t="s">
        <v>31</v>
      </c>
      <c r="B25" s="70" t="s">
        <v>46</v>
      </c>
      <c r="C25" s="229" t="s">
        <v>28</v>
      </c>
      <c r="D25" s="72">
        <v>100</v>
      </c>
      <c r="E25" s="203">
        <v>1000</v>
      </c>
      <c r="F25" s="198" t="s">
        <v>33</v>
      </c>
      <c r="G25" s="209"/>
      <c r="H25" s="210">
        <v>1</v>
      </c>
      <c r="I25" s="208"/>
      <c r="J25" s="194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201"/>
      <c r="W25" s="10"/>
      <c r="X25" s="10"/>
      <c r="Y25" s="23"/>
    </row>
    <row r="26" spans="1:26" ht="15.75" customHeight="1" x14ac:dyDescent="0.2">
      <c r="A26" s="205"/>
      <c r="B26" s="74" t="s">
        <v>47</v>
      </c>
      <c r="C26" s="183"/>
      <c r="D26" s="75">
        <v>100</v>
      </c>
      <c r="E26" s="183"/>
      <c r="F26" s="183"/>
      <c r="G26" s="200"/>
      <c r="H26" s="200"/>
      <c r="I26" s="200"/>
      <c r="J26" s="183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2"/>
      <c r="W26" s="10"/>
      <c r="X26" s="10"/>
      <c r="Y26" s="23"/>
    </row>
    <row r="27" spans="1:26" ht="15.75" customHeight="1" x14ac:dyDescent="0.2">
      <c r="A27" s="41"/>
      <c r="B27" s="76" t="s">
        <v>48</v>
      </c>
      <c r="C27" s="229" t="s">
        <v>28</v>
      </c>
      <c r="D27" s="77">
        <f t="shared" ref="D27:D30" si="0">650*20</f>
        <v>13000</v>
      </c>
      <c r="E27" s="230">
        <f>13000*4</f>
        <v>52000</v>
      </c>
      <c r="F27" s="224" t="s">
        <v>29</v>
      </c>
      <c r="G27" s="209"/>
      <c r="H27" s="208">
        <v>1</v>
      </c>
      <c r="I27" s="208"/>
      <c r="J27" s="194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201"/>
      <c r="W27" s="10"/>
      <c r="X27" s="10"/>
      <c r="Y27" s="23"/>
    </row>
    <row r="28" spans="1:26" ht="15.75" customHeight="1" x14ac:dyDescent="0.2">
      <c r="A28" s="41"/>
      <c r="B28" s="78" t="s">
        <v>49</v>
      </c>
      <c r="C28" s="190"/>
      <c r="D28" s="72">
        <f t="shared" si="0"/>
        <v>13000</v>
      </c>
      <c r="E28" s="205"/>
      <c r="F28" s="190"/>
      <c r="G28" s="205"/>
      <c r="H28" s="205"/>
      <c r="I28" s="205"/>
      <c r="J28" s="190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11"/>
      <c r="W28" s="10"/>
      <c r="X28" s="10"/>
      <c r="Y28" s="23"/>
    </row>
    <row r="29" spans="1:26" ht="15.75" customHeight="1" x14ac:dyDescent="0.2">
      <c r="A29" s="41"/>
      <c r="B29" s="78" t="s">
        <v>50</v>
      </c>
      <c r="C29" s="190"/>
      <c r="D29" s="72">
        <f t="shared" si="0"/>
        <v>13000</v>
      </c>
      <c r="E29" s="205"/>
      <c r="F29" s="190"/>
      <c r="G29" s="205"/>
      <c r="H29" s="205"/>
      <c r="I29" s="205"/>
      <c r="J29" s="190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11"/>
      <c r="W29" s="10"/>
      <c r="X29" s="10"/>
      <c r="Y29" s="23"/>
    </row>
    <row r="30" spans="1:26" ht="15.75" customHeight="1" x14ac:dyDescent="0.2">
      <c r="A30" s="41"/>
      <c r="B30" s="79" t="s">
        <v>51</v>
      </c>
      <c r="C30" s="183"/>
      <c r="D30" s="80">
        <f t="shared" si="0"/>
        <v>13000</v>
      </c>
      <c r="E30" s="205"/>
      <c r="F30" s="183"/>
      <c r="G30" s="200"/>
      <c r="H30" s="200"/>
      <c r="I30" s="200"/>
      <c r="J30" s="183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2"/>
      <c r="W30" s="10"/>
      <c r="X30" s="10"/>
      <c r="Y30" s="23"/>
    </row>
    <row r="31" spans="1:26" ht="15.75" customHeight="1" x14ac:dyDescent="0.25">
      <c r="A31" s="41"/>
      <c r="B31" s="32" t="s">
        <v>52</v>
      </c>
      <c r="C31" s="81"/>
      <c r="D31" s="82"/>
      <c r="E31" s="83"/>
      <c r="F31" s="84"/>
      <c r="G31" s="84"/>
      <c r="H31" s="85"/>
      <c r="I31" s="85"/>
      <c r="J31" s="85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7"/>
      <c r="W31" s="10"/>
      <c r="X31" s="10"/>
      <c r="Y31" s="23"/>
    </row>
    <row r="32" spans="1:26" ht="15.75" customHeight="1" x14ac:dyDescent="0.25">
      <c r="A32" s="88"/>
      <c r="B32" s="89" t="s">
        <v>53</v>
      </c>
      <c r="C32" s="43" t="s">
        <v>28</v>
      </c>
      <c r="D32" s="90">
        <v>1000</v>
      </c>
      <c r="E32" s="91">
        <v>72000</v>
      </c>
      <c r="F32" s="28" t="s">
        <v>29</v>
      </c>
      <c r="G32" s="92"/>
      <c r="H32" s="93">
        <v>1</v>
      </c>
      <c r="I32" s="93"/>
      <c r="J32" s="93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5"/>
      <c r="W32" s="96"/>
      <c r="X32" s="96"/>
      <c r="Y32" s="97"/>
      <c r="Z32" s="98"/>
    </row>
    <row r="33" spans="1:24" ht="15.75" customHeight="1" x14ac:dyDescent="0.25">
      <c r="A33" s="41"/>
      <c r="B33" s="99" t="s">
        <v>54</v>
      </c>
      <c r="C33" s="100" t="s">
        <v>28</v>
      </c>
      <c r="D33" s="80">
        <v>220</v>
      </c>
      <c r="E33" s="73">
        <f>D33*100</f>
        <v>22000</v>
      </c>
      <c r="F33" s="28" t="s">
        <v>29</v>
      </c>
      <c r="G33" s="101"/>
      <c r="H33" s="102">
        <v>1</v>
      </c>
      <c r="I33" s="102"/>
      <c r="J33" s="102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4"/>
      <c r="W33" s="10"/>
      <c r="X33" s="10"/>
    </row>
    <row r="34" spans="1:24" ht="15.75" customHeight="1" x14ac:dyDescent="0.25">
      <c r="A34" s="41"/>
      <c r="B34" s="99" t="s">
        <v>55</v>
      </c>
      <c r="C34" s="100" t="s">
        <v>28</v>
      </c>
      <c r="D34" s="80">
        <v>300</v>
      </c>
      <c r="E34" s="73">
        <v>90000</v>
      </c>
      <c r="F34" s="28" t="s">
        <v>29</v>
      </c>
      <c r="G34" s="105"/>
      <c r="H34" s="106"/>
      <c r="I34" s="106">
        <v>1</v>
      </c>
      <c r="J34" s="106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8"/>
      <c r="W34" s="10"/>
      <c r="X34" s="10"/>
    </row>
    <row r="35" spans="1:24" ht="15.75" customHeight="1" x14ac:dyDescent="0.25">
      <c r="A35" s="41" t="s">
        <v>31</v>
      </c>
      <c r="B35" s="99" t="s">
        <v>56</v>
      </c>
      <c r="C35" s="100" t="s">
        <v>28</v>
      </c>
      <c r="D35" s="80">
        <v>20000</v>
      </c>
      <c r="E35" s="73">
        <v>20000</v>
      </c>
      <c r="F35" s="28" t="s">
        <v>29</v>
      </c>
      <c r="G35" s="105"/>
      <c r="H35" s="106">
        <v>1</v>
      </c>
      <c r="I35" s="106"/>
      <c r="J35" s="106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8"/>
      <c r="W35" s="10"/>
      <c r="X35" s="10"/>
    </row>
    <row r="36" spans="1:24" ht="15.75" customHeight="1" x14ac:dyDescent="0.25">
      <c r="A36" s="41" t="s">
        <v>31</v>
      </c>
      <c r="B36" s="109" t="s">
        <v>57</v>
      </c>
      <c r="C36" s="110" t="s">
        <v>28</v>
      </c>
      <c r="D36" s="75">
        <v>1000</v>
      </c>
      <c r="E36" s="111">
        <v>5000</v>
      </c>
      <c r="F36" s="112" t="s">
        <v>29</v>
      </c>
      <c r="G36" s="113"/>
      <c r="H36" s="114">
        <v>1</v>
      </c>
      <c r="I36" s="114"/>
      <c r="J36" s="114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6"/>
      <c r="W36" s="10"/>
      <c r="X36" s="10"/>
    </row>
    <row r="37" spans="1:24" ht="15.75" customHeight="1" x14ac:dyDescent="0.2">
      <c r="A37" s="41"/>
      <c r="B37" s="99" t="s">
        <v>58</v>
      </c>
      <c r="C37" s="229" t="s">
        <v>28</v>
      </c>
      <c r="D37" s="117">
        <v>28000</v>
      </c>
      <c r="E37" s="118">
        <f t="shared" ref="E37:E38" si="1">D37*3</f>
        <v>84000</v>
      </c>
      <c r="F37" s="224" t="s">
        <v>29</v>
      </c>
      <c r="G37" s="195"/>
      <c r="H37" s="194">
        <v>1</v>
      </c>
      <c r="I37" s="194"/>
      <c r="J37" s="194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91"/>
      <c r="W37" s="10"/>
      <c r="X37" s="10"/>
    </row>
    <row r="38" spans="1:24" ht="15.75" customHeight="1" x14ac:dyDescent="0.2">
      <c r="A38" s="41"/>
      <c r="B38" s="109" t="s">
        <v>59</v>
      </c>
      <c r="C38" s="183"/>
      <c r="D38" s="75">
        <v>5000</v>
      </c>
      <c r="E38" s="111">
        <f t="shared" si="1"/>
        <v>15000</v>
      </c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93"/>
      <c r="W38" s="10"/>
      <c r="X38" s="10"/>
    </row>
    <row r="39" spans="1:24" ht="15.75" customHeight="1" x14ac:dyDescent="0.2">
      <c r="A39" s="41"/>
      <c r="B39" s="119" t="s">
        <v>60</v>
      </c>
      <c r="C39" s="71" t="s">
        <v>61</v>
      </c>
      <c r="D39" s="117">
        <v>16000</v>
      </c>
      <c r="E39" s="118">
        <v>16000</v>
      </c>
      <c r="F39" s="54" t="s">
        <v>29</v>
      </c>
      <c r="G39" s="46"/>
      <c r="H39" s="47"/>
      <c r="I39" s="47">
        <v>1</v>
      </c>
      <c r="J39" s="47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9"/>
      <c r="W39" s="10"/>
      <c r="X39" s="10"/>
    </row>
    <row r="40" spans="1:24" ht="15.75" customHeight="1" x14ac:dyDescent="0.2">
      <c r="A40" s="41"/>
      <c r="B40" s="120" t="s">
        <v>62</v>
      </c>
      <c r="C40" s="238" t="s">
        <v>28</v>
      </c>
      <c r="D40" s="72">
        <v>200</v>
      </c>
      <c r="E40" s="72">
        <v>6000</v>
      </c>
      <c r="F40" s="198" t="s">
        <v>29</v>
      </c>
      <c r="G40" s="225"/>
      <c r="H40" s="226"/>
      <c r="I40" s="226"/>
      <c r="J40" s="226">
        <v>1</v>
      </c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8"/>
      <c r="W40" s="10"/>
      <c r="X40" s="10"/>
    </row>
    <row r="41" spans="1:24" ht="15.75" customHeight="1" x14ac:dyDescent="0.2">
      <c r="A41" s="41"/>
      <c r="B41" s="121" t="s">
        <v>63</v>
      </c>
      <c r="C41" s="190"/>
      <c r="D41" s="122">
        <v>400</v>
      </c>
      <c r="E41" s="117">
        <v>8000</v>
      </c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2"/>
      <c r="W41" s="10"/>
      <c r="X41" s="10"/>
    </row>
    <row r="42" spans="1:24" ht="15.75" customHeight="1" x14ac:dyDescent="0.2">
      <c r="A42" s="204" t="s">
        <v>31</v>
      </c>
      <c r="B42" s="123" t="s">
        <v>64</v>
      </c>
      <c r="C42" s="239" t="s">
        <v>28</v>
      </c>
      <c r="D42" s="124">
        <v>400</v>
      </c>
      <c r="E42" s="231">
        <v>1000</v>
      </c>
      <c r="F42" s="232" t="s">
        <v>33</v>
      </c>
      <c r="G42" s="233"/>
      <c r="H42" s="234">
        <v>1</v>
      </c>
      <c r="I42" s="235"/>
      <c r="J42" s="235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3"/>
      <c r="W42" s="10"/>
      <c r="X42" s="10"/>
    </row>
    <row r="43" spans="1:24" ht="15.75" customHeight="1" x14ac:dyDescent="0.2">
      <c r="A43" s="205"/>
      <c r="B43" s="99" t="s">
        <v>65</v>
      </c>
      <c r="C43" s="190"/>
      <c r="D43" s="80">
        <v>100</v>
      </c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2"/>
      <c r="W43" s="10"/>
      <c r="X43" s="10"/>
    </row>
    <row r="44" spans="1:24" ht="15.75" customHeight="1" x14ac:dyDescent="0.2">
      <c r="A44" s="205"/>
      <c r="B44" s="78" t="s">
        <v>66</v>
      </c>
      <c r="C44" s="190"/>
      <c r="D44" s="80">
        <v>50</v>
      </c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2"/>
      <c r="W44" s="10"/>
      <c r="X44" s="10"/>
    </row>
    <row r="45" spans="1:24" ht="15.75" customHeight="1" x14ac:dyDescent="0.2">
      <c r="A45" s="205"/>
      <c r="B45" s="79" t="s">
        <v>67</v>
      </c>
      <c r="C45" s="183"/>
      <c r="D45" s="75">
        <v>30</v>
      </c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93"/>
      <c r="W45" s="10"/>
      <c r="X45" s="10"/>
    </row>
    <row r="46" spans="1:24" ht="15.75" customHeight="1" x14ac:dyDescent="0.25">
      <c r="A46" s="41"/>
      <c r="B46" s="99" t="s">
        <v>68</v>
      </c>
      <c r="C46" s="125" t="s">
        <v>28</v>
      </c>
      <c r="D46" s="77">
        <v>1200</v>
      </c>
      <c r="E46" s="126">
        <v>12000</v>
      </c>
      <c r="F46" s="127" t="s">
        <v>29</v>
      </c>
      <c r="G46" s="101"/>
      <c r="H46" s="102">
        <v>1</v>
      </c>
      <c r="I46" s="102"/>
      <c r="J46" s="102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4"/>
      <c r="W46" s="10"/>
      <c r="X46" s="10"/>
    </row>
    <row r="47" spans="1:24" ht="15.75" customHeight="1" x14ac:dyDescent="0.25">
      <c r="A47" s="41"/>
      <c r="B47" s="99" t="s">
        <v>69</v>
      </c>
      <c r="C47" s="125" t="s">
        <v>61</v>
      </c>
      <c r="D47" s="77">
        <v>1000</v>
      </c>
      <c r="E47" s="126">
        <v>1000</v>
      </c>
      <c r="F47" s="127" t="s">
        <v>33</v>
      </c>
      <c r="G47" s="101"/>
      <c r="H47" s="102">
        <v>1</v>
      </c>
      <c r="I47" s="102"/>
      <c r="J47" s="102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4"/>
      <c r="W47" s="10"/>
      <c r="X47" s="10"/>
    </row>
    <row r="48" spans="1:24" ht="15.75" customHeight="1" x14ac:dyDescent="0.25">
      <c r="A48" s="41"/>
      <c r="B48" s="99" t="s">
        <v>60</v>
      </c>
      <c r="C48" s="125" t="s">
        <v>61</v>
      </c>
      <c r="D48" s="77">
        <v>16000</v>
      </c>
      <c r="E48" s="126">
        <v>16000</v>
      </c>
      <c r="F48" s="127" t="s">
        <v>29</v>
      </c>
      <c r="G48" s="101"/>
      <c r="H48" s="102"/>
      <c r="I48" s="102">
        <v>1</v>
      </c>
      <c r="J48" s="102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4"/>
      <c r="W48" s="10"/>
      <c r="X48" s="10"/>
    </row>
    <row r="49" spans="1:24" ht="15.75" customHeight="1" x14ac:dyDescent="0.25">
      <c r="A49" s="41" t="s">
        <v>31</v>
      </c>
      <c r="B49" s="119" t="s">
        <v>70</v>
      </c>
      <c r="C49" s="71" t="s">
        <v>28</v>
      </c>
      <c r="D49" s="117">
        <v>10000</v>
      </c>
      <c r="E49" s="118">
        <v>10000</v>
      </c>
      <c r="F49" s="127" t="s">
        <v>29</v>
      </c>
      <c r="G49" s="46"/>
      <c r="H49" s="128"/>
      <c r="I49" s="128"/>
      <c r="J49" s="128">
        <v>1</v>
      </c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9"/>
      <c r="W49" s="10"/>
      <c r="X49" s="10"/>
    </row>
    <row r="50" spans="1:24" ht="15.75" customHeight="1" x14ac:dyDescent="0.25">
      <c r="A50" s="41"/>
      <c r="B50" s="78" t="s">
        <v>71</v>
      </c>
      <c r="C50" s="129" t="s">
        <v>72</v>
      </c>
      <c r="D50" s="72">
        <v>50</v>
      </c>
      <c r="E50" s="130">
        <f>150*50</f>
        <v>7500</v>
      </c>
      <c r="F50" s="127" t="s">
        <v>29</v>
      </c>
      <c r="G50" s="105"/>
      <c r="H50" s="106"/>
      <c r="I50" s="106">
        <v>1</v>
      </c>
      <c r="J50" s="106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"/>
      <c r="X50" s="10"/>
    </row>
    <row r="51" spans="1:24" ht="15.75" customHeight="1" x14ac:dyDescent="0.25">
      <c r="A51" s="41" t="s">
        <v>31</v>
      </c>
      <c r="B51" s="78" t="s">
        <v>73</v>
      </c>
      <c r="C51" s="129" t="s">
        <v>72</v>
      </c>
      <c r="D51" s="72">
        <v>60</v>
      </c>
      <c r="E51" s="130">
        <f>150*60</f>
        <v>9000</v>
      </c>
      <c r="F51" s="127" t="s">
        <v>29</v>
      </c>
      <c r="G51" s="105"/>
      <c r="H51" s="106"/>
      <c r="I51" s="106">
        <v>1</v>
      </c>
      <c r="J51" s="106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"/>
      <c r="X51" s="10"/>
    </row>
    <row r="52" spans="1:24" ht="15.75" customHeight="1" x14ac:dyDescent="0.25">
      <c r="A52" s="41" t="s">
        <v>31</v>
      </c>
      <c r="B52" s="78" t="s">
        <v>74</v>
      </c>
      <c r="C52" s="238" t="s">
        <v>28</v>
      </c>
      <c r="D52" s="72">
        <v>250</v>
      </c>
      <c r="E52" s="130">
        <f>250*30</f>
        <v>7500</v>
      </c>
      <c r="F52" s="127" t="s">
        <v>75</v>
      </c>
      <c r="G52" s="105"/>
      <c r="H52" s="106"/>
      <c r="I52" s="106">
        <v>1</v>
      </c>
      <c r="J52" s="106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"/>
      <c r="X52" s="10"/>
    </row>
    <row r="53" spans="1:24" ht="15.75" customHeight="1" x14ac:dyDescent="0.25">
      <c r="A53" s="41" t="s">
        <v>31</v>
      </c>
      <c r="B53" s="99" t="s">
        <v>76</v>
      </c>
      <c r="C53" s="247"/>
      <c r="D53" s="77">
        <v>20</v>
      </c>
      <c r="E53" s="126">
        <f>20*20</f>
        <v>400</v>
      </c>
      <c r="F53" s="127" t="s">
        <v>75</v>
      </c>
      <c r="G53" s="101"/>
      <c r="H53" s="102"/>
      <c r="I53" s="102">
        <v>1</v>
      </c>
      <c r="J53" s="102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31"/>
      <c r="W53" s="10"/>
      <c r="X53" s="10"/>
    </row>
    <row r="54" spans="1:24" ht="15.75" customHeight="1" x14ac:dyDescent="0.25">
      <c r="A54" s="41" t="s">
        <v>31</v>
      </c>
      <c r="B54" s="99" t="s">
        <v>77</v>
      </c>
      <c r="C54" s="125" t="s">
        <v>28</v>
      </c>
      <c r="D54" s="77">
        <v>10000</v>
      </c>
      <c r="E54" s="126">
        <v>10000</v>
      </c>
      <c r="F54" s="127" t="s">
        <v>29</v>
      </c>
      <c r="G54" s="101"/>
      <c r="H54" s="102"/>
      <c r="I54" s="102">
        <v>1</v>
      </c>
      <c r="J54" s="102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31"/>
      <c r="W54" s="10"/>
      <c r="X54" s="10"/>
    </row>
    <row r="55" spans="1:24" ht="15.75" customHeight="1" x14ac:dyDescent="0.25">
      <c r="A55" s="41"/>
      <c r="B55" s="132" t="s">
        <v>78</v>
      </c>
      <c r="C55" s="133"/>
      <c r="D55" s="134"/>
      <c r="E55" s="135"/>
      <c r="F55" s="136"/>
      <c r="G55" s="136"/>
      <c r="H55" s="137"/>
      <c r="I55" s="137"/>
      <c r="J55" s="137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9"/>
      <c r="W55" s="10"/>
      <c r="X55" s="10"/>
    </row>
    <row r="56" spans="1:24" ht="15.75" customHeight="1" x14ac:dyDescent="0.25">
      <c r="A56" s="41" t="s">
        <v>31</v>
      </c>
      <c r="B56" s="140" t="s">
        <v>79</v>
      </c>
      <c r="C56" s="129" t="s">
        <v>28</v>
      </c>
      <c r="D56" s="72">
        <v>80000</v>
      </c>
      <c r="E56" s="130">
        <v>80000</v>
      </c>
      <c r="F56" s="141" t="s">
        <v>29</v>
      </c>
      <c r="G56" s="46"/>
      <c r="H56" s="128">
        <v>1</v>
      </c>
      <c r="I56" s="128"/>
      <c r="J56" s="12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9"/>
      <c r="W56" s="10"/>
      <c r="X56" s="10"/>
    </row>
    <row r="57" spans="1:24" ht="15.75" customHeight="1" x14ac:dyDescent="0.25">
      <c r="A57" s="41"/>
      <c r="B57" s="142" t="s">
        <v>80</v>
      </c>
      <c r="C57" s="143"/>
      <c r="D57" s="144"/>
      <c r="E57" s="145"/>
      <c r="F57" s="33"/>
      <c r="G57" s="33"/>
      <c r="H57" s="35"/>
      <c r="I57" s="35"/>
      <c r="J57" s="35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7"/>
      <c r="W57" s="10"/>
      <c r="X57" s="10"/>
    </row>
    <row r="58" spans="1:24" ht="15.75" customHeight="1" x14ac:dyDescent="0.25">
      <c r="A58" s="41" t="s">
        <v>31</v>
      </c>
      <c r="B58" s="146" t="s">
        <v>81</v>
      </c>
      <c r="C58" s="100" t="s">
        <v>28</v>
      </c>
      <c r="D58" s="80">
        <v>4000</v>
      </c>
      <c r="E58" s="73">
        <f t="shared" ref="E58:E59" si="2">D58</f>
        <v>4000</v>
      </c>
      <c r="F58" s="127" t="s">
        <v>29</v>
      </c>
      <c r="G58" s="57"/>
      <c r="H58" s="147"/>
      <c r="I58" s="147"/>
      <c r="J58" s="147">
        <v>1</v>
      </c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60"/>
      <c r="W58" s="10"/>
      <c r="X58" s="10"/>
    </row>
    <row r="59" spans="1:24" ht="15.75" customHeight="1" x14ac:dyDescent="0.25">
      <c r="A59" s="41" t="s">
        <v>31</v>
      </c>
      <c r="B59" s="146" t="s">
        <v>82</v>
      </c>
      <c r="C59" s="100" t="s">
        <v>28</v>
      </c>
      <c r="D59" s="80">
        <v>12000</v>
      </c>
      <c r="E59" s="73">
        <f t="shared" si="2"/>
        <v>12000</v>
      </c>
      <c r="F59" s="127" t="s">
        <v>29</v>
      </c>
      <c r="G59" s="57"/>
      <c r="H59" s="147"/>
      <c r="I59" s="147"/>
      <c r="J59" s="147">
        <v>1</v>
      </c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60"/>
      <c r="W59" s="10"/>
      <c r="X59" s="10"/>
    </row>
    <row r="60" spans="1:24" ht="15.75" customHeight="1" x14ac:dyDescent="0.25">
      <c r="A60" s="41"/>
      <c r="B60" s="148" t="s">
        <v>83</v>
      </c>
      <c r="C60" s="149"/>
      <c r="D60" s="82"/>
      <c r="E60" s="83"/>
      <c r="F60" s="150"/>
      <c r="G60" s="65"/>
      <c r="H60" s="66"/>
      <c r="I60" s="66"/>
      <c r="J60" s="66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8"/>
      <c r="W60" s="10"/>
      <c r="X60" s="10"/>
    </row>
    <row r="61" spans="1:24" ht="15.75" customHeight="1" x14ac:dyDescent="0.25">
      <c r="A61" s="41"/>
      <c r="B61" s="99" t="s">
        <v>84</v>
      </c>
      <c r="C61" s="100" t="s">
        <v>28</v>
      </c>
      <c r="D61" s="80">
        <v>78000</v>
      </c>
      <c r="E61" s="80">
        <v>78000</v>
      </c>
      <c r="F61" s="28" t="s">
        <v>29</v>
      </c>
      <c r="G61" s="105"/>
      <c r="H61" s="106"/>
      <c r="I61" s="106"/>
      <c r="J61" s="106">
        <v>1</v>
      </c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8"/>
      <c r="W61" s="10"/>
      <c r="X61" s="10"/>
    </row>
    <row r="62" spans="1:24" ht="15.75" customHeight="1" x14ac:dyDescent="0.25">
      <c r="A62" s="41"/>
      <c r="B62" s="109" t="s">
        <v>85</v>
      </c>
      <c r="C62" s="110" t="s">
        <v>28</v>
      </c>
      <c r="D62" s="75">
        <v>30000</v>
      </c>
      <c r="E62" s="75">
        <v>30000</v>
      </c>
      <c r="F62" s="112" t="s">
        <v>29</v>
      </c>
      <c r="G62" s="113"/>
      <c r="H62" s="114"/>
      <c r="I62" s="114"/>
      <c r="J62" s="114">
        <v>1</v>
      </c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6"/>
      <c r="W62" s="10"/>
      <c r="X62" s="10"/>
    </row>
    <row r="63" spans="1:24" ht="15.75" customHeight="1" x14ac:dyDescent="0.2">
      <c r="A63" s="151"/>
      <c r="B63" s="152"/>
      <c r="C63" s="1"/>
      <c r="D63" s="6"/>
      <c r="E63" s="153"/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25">
      <c r="A64" s="154" t="s">
        <v>86</v>
      </c>
      <c r="B64" s="3"/>
      <c r="C64" s="240">
        <f>SUM(E10:E62)</f>
        <v>1139000</v>
      </c>
      <c r="D64" s="177"/>
      <c r="E64" s="177"/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hidden="1" customHeight="1" x14ac:dyDescent="0.25">
      <c r="A65" s="155" t="s">
        <v>87</v>
      </c>
      <c r="B65" s="156"/>
      <c r="C65" s="241">
        <f>PRODUCT(C64,0.1)</f>
        <v>113900</v>
      </c>
      <c r="D65" s="242"/>
      <c r="E65" s="243"/>
      <c r="F65" s="8"/>
      <c r="G65" s="8"/>
      <c r="H65" s="236"/>
      <c r="I65" s="177"/>
      <c r="J65" s="236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57"/>
      <c r="V65" s="1"/>
      <c r="W65" s="1"/>
      <c r="X65" s="1"/>
    </row>
    <row r="66" spans="1:24" ht="15.75" hidden="1" customHeight="1" x14ac:dyDescent="0.25">
      <c r="A66" s="158" t="s">
        <v>88</v>
      </c>
      <c r="B66" s="159"/>
      <c r="C66" s="244">
        <f>PRODUCT(C64,0.1)</f>
        <v>113900</v>
      </c>
      <c r="D66" s="245"/>
      <c r="E66" s="246"/>
      <c r="F66" s="8"/>
      <c r="G66" s="8"/>
      <c r="H66" s="160"/>
      <c r="I66" s="160"/>
      <c r="J66" s="23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61"/>
      <c r="V66" s="1"/>
      <c r="W66" s="1"/>
      <c r="X66" s="1"/>
    </row>
    <row r="67" spans="1:24" ht="15.75" hidden="1" customHeight="1" x14ac:dyDescent="0.25">
      <c r="A67" s="158" t="s">
        <v>89</v>
      </c>
      <c r="B67" s="159"/>
      <c r="C67" s="244">
        <f>SUM(C64:E66)</f>
        <v>1366800</v>
      </c>
      <c r="D67" s="245"/>
      <c r="E67" s="246"/>
      <c r="F67" s="8"/>
      <c r="G67" s="8"/>
      <c r="H67" s="160"/>
      <c r="I67" s="160"/>
      <c r="J67" s="23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61"/>
      <c r="V67" s="1"/>
      <c r="W67" s="1"/>
      <c r="X67" s="1"/>
    </row>
    <row r="68" spans="1:24" ht="15.75" customHeight="1" x14ac:dyDescent="0.2">
      <c r="A68" s="162"/>
      <c r="B68" s="3"/>
      <c r="C68" s="1"/>
      <c r="D68" s="6"/>
      <c r="E68" s="7"/>
      <c r="F68" s="8"/>
      <c r="G68" s="8"/>
      <c r="H68" s="160"/>
      <c r="I68" s="160"/>
      <c r="J68" s="23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61"/>
      <c r="V68" s="1"/>
      <c r="W68" s="1"/>
      <c r="X68" s="1"/>
    </row>
    <row r="69" spans="1:24" ht="15.75" customHeight="1" x14ac:dyDescent="0.2">
      <c r="A69" s="163" t="s">
        <v>90</v>
      </c>
      <c r="B69" s="3"/>
      <c r="C69" s="1"/>
      <c r="D69" s="6"/>
      <c r="E69" s="7"/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2">
      <c r="A70" s="164"/>
      <c r="B70" s="3"/>
      <c r="C70" s="1"/>
      <c r="D70" s="6"/>
      <c r="E70" s="7"/>
      <c r="F70" s="8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2">
      <c r="A71" s="165" t="s">
        <v>91</v>
      </c>
      <c r="B71" s="152"/>
      <c r="C71" s="219" t="s">
        <v>92</v>
      </c>
      <c r="D71" s="177"/>
      <c r="E71" s="177"/>
      <c r="F71" s="160"/>
      <c r="G71" s="160"/>
      <c r="H71" s="1"/>
      <c r="I71" s="219" t="s">
        <v>93</v>
      </c>
      <c r="J71" s="177"/>
      <c r="K71" s="177"/>
      <c r="L71" s="177"/>
      <c r="M71" s="177"/>
      <c r="N71" s="177"/>
      <c r="O71" s="1"/>
      <c r="P71" s="1"/>
      <c r="Q71" s="219" t="s">
        <v>94</v>
      </c>
      <c r="R71" s="177"/>
      <c r="S71" s="177"/>
      <c r="T71" s="177"/>
      <c r="U71" s="1"/>
      <c r="V71" s="221"/>
      <c r="W71" s="177"/>
      <c r="X71" s="160"/>
    </row>
    <row r="72" spans="1:24" ht="15.75" customHeight="1" x14ac:dyDescent="0.2">
      <c r="A72" s="165"/>
      <c r="B72" s="152"/>
      <c r="C72" s="166"/>
      <c r="D72" s="167"/>
      <c r="E72" s="166"/>
      <c r="F72" s="160"/>
      <c r="G72" s="160"/>
      <c r="H72" s="1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0"/>
      <c r="X72" s="160"/>
    </row>
    <row r="73" spans="1:24" ht="15.75" customHeight="1" x14ac:dyDescent="0.2">
      <c r="A73" s="152"/>
      <c r="B73" s="152"/>
      <c r="C73" s="160"/>
      <c r="D73" s="168"/>
      <c r="E73" s="169"/>
      <c r="F73" s="160"/>
      <c r="G73" s="160"/>
      <c r="H73" s="1"/>
      <c r="I73" s="160"/>
      <c r="J73" s="169"/>
      <c r="K73" s="169"/>
      <c r="L73" s="169"/>
      <c r="M73" s="169"/>
      <c r="N73" s="169"/>
      <c r="O73" s="169"/>
      <c r="P73" s="169"/>
      <c r="Q73" s="160"/>
      <c r="R73" s="169"/>
      <c r="S73" s="160"/>
      <c r="T73" s="160"/>
      <c r="U73" s="160"/>
      <c r="V73" s="160"/>
      <c r="W73" s="160"/>
      <c r="X73" s="160"/>
    </row>
    <row r="74" spans="1:24" ht="15.75" customHeight="1" x14ac:dyDescent="0.2">
      <c r="A74" s="220" t="s">
        <v>95</v>
      </c>
      <c r="B74" s="177"/>
      <c r="C74" s="214" t="s">
        <v>96</v>
      </c>
      <c r="D74" s="177"/>
      <c r="E74" s="177"/>
      <c r="F74" s="177"/>
      <c r="G74" s="1"/>
      <c r="H74" s="1"/>
      <c r="I74" s="214" t="s">
        <v>97</v>
      </c>
      <c r="J74" s="177"/>
      <c r="K74" s="177"/>
      <c r="L74" s="177"/>
      <c r="M74" s="177"/>
      <c r="N74" s="177"/>
      <c r="O74" s="1"/>
      <c r="P74" s="1"/>
      <c r="Q74" s="214" t="s">
        <v>95</v>
      </c>
      <c r="R74" s="177"/>
      <c r="S74" s="177"/>
      <c r="T74" s="177"/>
      <c r="U74" s="1"/>
      <c r="V74" s="221"/>
      <c r="W74" s="177"/>
      <c r="X74" s="177"/>
    </row>
    <row r="75" spans="1:24" ht="15" customHeight="1" x14ac:dyDescent="0.2">
      <c r="A75" s="222" t="s">
        <v>98</v>
      </c>
      <c r="B75" s="177"/>
      <c r="C75" s="223" t="s">
        <v>99</v>
      </c>
      <c r="D75" s="177"/>
      <c r="E75" s="177"/>
      <c r="F75" s="177"/>
      <c r="G75" s="170"/>
      <c r="H75" s="1"/>
      <c r="I75" s="215" t="s">
        <v>100</v>
      </c>
      <c r="J75" s="177"/>
      <c r="K75" s="177"/>
      <c r="L75" s="177"/>
      <c r="M75" s="177"/>
      <c r="N75" s="177"/>
      <c r="O75" s="1"/>
      <c r="P75" s="1"/>
      <c r="Q75" s="223" t="s">
        <v>101</v>
      </c>
      <c r="R75" s="177"/>
      <c r="S75" s="177"/>
      <c r="T75" s="177"/>
      <c r="U75" s="1"/>
      <c r="V75" s="1"/>
      <c r="W75" s="160"/>
      <c r="X75" s="160"/>
    </row>
    <row r="76" spans="1:24" ht="15.75" customHeight="1" x14ac:dyDescent="0.2">
      <c r="A76" s="1"/>
      <c r="B76" s="1"/>
      <c r="C76" s="1"/>
      <c r="D76" s="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2">
      <c r="A77" s="1" t="s">
        <v>102</v>
      </c>
      <c r="B77" s="1"/>
      <c r="C77" s="1" t="s">
        <v>102</v>
      </c>
      <c r="D77" s="6"/>
      <c r="E77" s="1"/>
      <c r="F77" s="1"/>
      <c r="G77" s="1"/>
      <c r="H77" s="1"/>
      <c r="I77" s="1" t="s">
        <v>102</v>
      </c>
      <c r="J77" s="1"/>
      <c r="K77" s="1"/>
      <c r="L77" s="1"/>
      <c r="M77" s="1"/>
      <c r="N77" s="1"/>
      <c r="O77" s="1"/>
      <c r="P77" s="1"/>
      <c r="Q77" s="1" t="s">
        <v>102</v>
      </c>
      <c r="R77" s="1"/>
      <c r="S77" s="1"/>
      <c r="T77" s="1"/>
      <c r="U77" s="1"/>
      <c r="V77" s="1"/>
      <c r="W77" s="1"/>
      <c r="X77" s="1"/>
    </row>
    <row r="78" spans="1:24" ht="15.75" customHeight="1" x14ac:dyDescent="0.25">
      <c r="D78" s="171"/>
      <c r="H78" s="216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</row>
    <row r="79" spans="1:24" ht="15.75" customHeight="1" x14ac:dyDescent="0.25">
      <c r="D79" s="171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</row>
    <row r="80" spans="1:24" ht="15.75" customHeight="1" x14ac:dyDescent="0.25">
      <c r="D80" s="171"/>
      <c r="H80" s="173"/>
      <c r="I80" s="174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</row>
    <row r="81" spans="4:20" ht="15.75" customHeight="1" x14ac:dyDescent="0.25">
      <c r="D81" s="171"/>
      <c r="H81" s="21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</row>
    <row r="82" spans="4:20" ht="15.75" customHeight="1" x14ac:dyDescent="0.25">
      <c r="D82" s="171"/>
      <c r="H82" s="218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</row>
    <row r="83" spans="4:20" ht="15.75" customHeight="1" x14ac:dyDescent="0.25">
      <c r="D83" s="171"/>
    </row>
    <row r="84" spans="4:20" ht="15.75" customHeight="1" x14ac:dyDescent="0.25">
      <c r="D84" s="171"/>
    </row>
    <row r="85" spans="4:20" ht="15.75" customHeight="1" x14ac:dyDescent="0.25">
      <c r="D85" s="171"/>
    </row>
    <row r="86" spans="4:20" ht="15.75" customHeight="1" x14ac:dyDescent="0.25">
      <c r="D86" s="171"/>
    </row>
    <row r="87" spans="4:20" ht="15.75" customHeight="1" x14ac:dyDescent="0.25">
      <c r="D87" s="171"/>
    </row>
    <row r="88" spans="4:20" ht="15.75" customHeight="1" x14ac:dyDescent="0.25">
      <c r="D88" s="171"/>
    </row>
    <row r="89" spans="4:20" ht="15.75" customHeight="1" x14ac:dyDescent="0.25">
      <c r="D89" s="171"/>
    </row>
    <row r="90" spans="4:20" ht="15.75" customHeight="1" x14ac:dyDescent="0.25">
      <c r="D90" s="171"/>
    </row>
    <row r="91" spans="4:20" ht="15.75" customHeight="1" x14ac:dyDescent="0.25">
      <c r="D91" s="171"/>
    </row>
    <row r="92" spans="4:20" ht="15.75" customHeight="1" x14ac:dyDescent="0.25">
      <c r="D92" s="171"/>
    </row>
    <row r="93" spans="4:20" ht="15.75" customHeight="1" x14ac:dyDescent="0.25">
      <c r="D93" s="171"/>
    </row>
    <row r="94" spans="4:20" ht="15.75" customHeight="1" x14ac:dyDescent="0.25">
      <c r="D94" s="171"/>
    </row>
    <row r="95" spans="4:20" ht="15.75" customHeight="1" x14ac:dyDescent="0.25">
      <c r="D95" s="171"/>
    </row>
    <row r="96" spans="4:20" ht="15.75" customHeight="1" x14ac:dyDescent="0.25">
      <c r="D96" s="171"/>
    </row>
    <row r="97" spans="4:4" ht="15.75" customHeight="1" x14ac:dyDescent="0.25">
      <c r="D97" s="171"/>
    </row>
    <row r="98" spans="4:4" ht="15.75" customHeight="1" x14ac:dyDescent="0.25">
      <c r="D98" s="171"/>
    </row>
    <row r="99" spans="4:4" ht="15.75" customHeight="1" x14ac:dyDescent="0.25">
      <c r="D99" s="171"/>
    </row>
    <row r="100" spans="4:4" ht="15.75" customHeight="1" x14ac:dyDescent="0.25">
      <c r="D100" s="171"/>
    </row>
    <row r="101" spans="4:4" ht="15.75" customHeight="1" x14ac:dyDescent="0.25">
      <c r="D101" s="171"/>
    </row>
    <row r="102" spans="4:4" ht="15.75" customHeight="1" x14ac:dyDescent="0.25">
      <c r="D102" s="171"/>
    </row>
    <row r="103" spans="4:4" ht="15.75" customHeight="1" x14ac:dyDescent="0.25">
      <c r="D103" s="171"/>
    </row>
    <row r="104" spans="4:4" ht="15.75" customHeight="1" x14ac:dyDescent="0.25">
      <c r="D104" s="171"/>
    </row>
    <row r="105" spans="4:4" ht="15.75" customHeight="1" x14ac:dyDescent="0.25">
      <c r="D105" s="171"/>
    </row>
    <row r="106" spans="4:4" ht="15.75" customHeight="1" x14ac:dyDescent="0.25">
      <c r="D106" s="171"/>
    </row>
    <row r="107" spans="4:4" ht="15.75" customHeight="1" x14ac:dyDescent="0.25">
      <c r="D107" s="171"/>
    </row>
    <row r="108" spans="4:4" ht="15.75" customHeight="1" x14ac:dyDescent="0.25">
      <c r="D108" s="171"/>
    </row>
    <row r="109" spans="4:4" ht="15.75" customHeight="1" x14ac:dyDescent="0.25">
      <c r="D109" s="171"/>
    </row>
    <row r="110" spans="4:4" ht="15.75" customHeight="1" x14ac:dyDescent="0.25">
      <c r="D110" s="171"/>
    </row>
    <row r="111" spans="4:4" ht="15.75" customHeight="1" x14ac:dyDescent="0.25">
      <c r="D111" s="171"/>
    </row>
    <row r="112" spans="4:4" ht="15.75" customHeight="1" x14ac:dyDescent="0.25">
      <c r="D112" s="171"/>
    </row>
    <row r="113" spans="4:4" ht="15.75" customHeight="1" x14ac:dyDescent="0.25">
      <c r="D113" s="171"/>
    </row>
    <row r="114" spans="4:4" ht="15.75" customHeight="1" x14ac:dyDescent="0.25">
      <c r="D114" s="171"/>
    </row>
    <row r="115" spans="4:4" ht="15.75" customHeight="1" x14ac:dyDescent="0.25">
      <c r="D115" s="171"/>
    </row>
    <row r="116" spans="4:4" ht="15.75" customHeight="1" x14ac:dyDescent="0.25">
      <c r="D116" s="171"/>
    </row>
    <row r="117" spans="4:4" ht="15.75" customHeight="1" x14ac:dyDescent="0.25">
      <c r="D117" s="171"/>
    </row>
    <row r="118" spans="4:4" ht="15.75" customHeight="1" x14ac:dyDescent="0.25">
      <c r="D118" s="171"/>
    </row>
    <row r="119" spans="4:4" ht="15.75" customHeight="1" x14ac:dyDescent="0.25">
      <c r="D119" s="171"/>
    </row>
    <row r="120" spans="4:4" ht="15.75" customHeight="1" x14ac:dyDescent="0.25">
      <c r="D120" s="171"/>
    </row>
    <row r="121" spans="4:4" ht="15.75" customHeight="1" x14ac:dyDescent="0.25">
      <c r="D121" s="171"/>
    </row>
    <row r="122" spans="4:4" ht="15.75" customHeight="1" x14ac:dyDescent="0.25">
      <c r="D122" s="171"/>
    </row>
    <row r="123" spans="4:4" ht="15.75" customHeight="1" x14ac:dyDescent="0.25">
      <c r="D123" s="171"/>
    </row>
    <row r="124" spans="4:4" ht="15.75" customHeight="1" x14ac:dyDescent="0.25">
      <c r="D124" s="171"/>
    </row>
    <row r="125" spans="4:4" ht="15.75" customHeight="1" x14ac:dyDescent="0.25">
      <c r="D125" s="171"/>
    </row>
    <row r="126" spans="4:4" ht="15.75" customHeight="1" x14ac:dyDescent="0.25">
      <c r="D126" s="171"/>
    </row>
    <row r="127" spans="4:4" ht="15.75" customHeight="1" x14ac:dyDescent="0.25">
      <c r="D127" s="171"/>
    </row>
    <row r="128" spans="4:4" ht="15.75" customHeight="1" x14ac:dyDescent="0.25">
      <c r="D128" s="171"/>
    </row>
    <row r="129" spans="4:4" ht="15.75" customHeight="1" x14ac:dyDescent="0.25">
      <c r="D129" s="171"/>
    </row>
    <row r="130" spans="4:4" ht="15.75" customHeight="1" x14ac:dyDescent="0.25">
      <c r="D130" s="171"/>
    </row>
    <row r="131" spans="4:4" ht="15.75" customHeight="1" x14ac:dyDescent="0.25">
      <c r="D131" s="171"/>
    </row>
    <row r="132" spans="4:4" ht="15.75" customHeight="1" x14ac:dyDescent="0.25">
      <c r="D132" s="171"/>
    </row>
    <row r="133" spans="4:4" ht="15.75" customHeight="1" x14ac:dyDescent="0.25">
      <c r="D133" s="171"/>
    </row>
    <row r="134" spans="4:4" ht="15.75" customHeight="1" x14ac:dyDescent="0.25">
      <c r="D134" s="171"/>
    </row>
    <row r="135" spans="4:4" ht="15.75" customHeight="1" x14ac:dyDescent="0.25">
      <c r="D135" s="171"/>
    </row>
    <row r="136" spans="4:4" ht="15.75" customHeight="1" x14ac:dyDescent="0.25">
      <c r="D136" s="171"/>
    </row>
    <row r="137" spans="4:4" ht="15.75" customHeight="1" x14ac:dyDescent="0.25">
      <c r="D137" s="171"/>
    </row>
    <row r="138" spans="4:4" ht="15.75" customHeight="1" x14ac:dyDescent="0.25">
      <c r="D138" s="171"/>
    </row>
    <row r="139" spans="4:4" ht="15.75" customHeight="1" x14ac:dyDescent="0.25">
      <c r="D139" s="171"/>
    </row>
    <row r="140" spans="4:4" ht="15.75" customHeight="1" x14ac:dyDescent="0.25">
      <c r="D140" s="171"/>
    </row>
    <row r="141" spans="4:4" ht="15.75" customHeight="1" x14ac:dyDescent="0.25">
      <c r="D141" s="171"/>
    </row>
    <row r="142" spans="4:4" ht="15.75" customHeight="1" x14ac:dyDescent="0.25">
      <c r="D142" s="171"/>
    </row>
    <row r="143" spans="4:4" ht="15.75" customHeight="1" x14ac:dyDescent="0.25">
      <c r="D143" s="171"/>
    </row>
    <row r="144" spans="4:4" ht="15.75" customHeight="1" x14ac:dyDescent="0.25">
      <c r="D144" s="171"/>
    </row>
    <row r="145" spans="4:4" ht="15.75" customHeight="1" x14ac:dyDescent="0.25">
      <c r="D145" s="171"/>
    </row>
    <row r="146" spans="4:4" ht="15.75" customHeight="1" x14ac:dyDescent="0.25">
      <c r="D146" s="171"/>
    </row>
    <row r="147" spans="4:4" ht="15.75" customHeight="1" x14ac:dyDescent="0.25">
      <c r="D147" s="171"/>
    </row>
    <row r="148" spans="4:4" ht="15.75" customHeight="1" x14ac:dyDescent="0.25">
      <c r="D148" s="171"/>
    </row>
    <row r="149" spans="4:4" ht="15.75" customHeight="1" x14ac:dyDescent="0.25">
      <c r="D149" s="171"/>
    </row>
    <row r="150" spans="4:4" ht="15.75" customHeight="1" x14ac:dyDescent="0.25">
      <c r="D150" s="171"/>
    </row>
    <row r="151" spans="4:4" ht="15.75" customHeight="1" x14ac:dyDescent="0.25">
      <c r="D151" s="171"/>
    </row>
    <row r="152" spans="4:4" ht="15.75" customHeight="1" x14ac:dyDescent="0.25">
      <c r="D152" s="171"/>
    </row>
    <row r="153" spans="4:4" ht="15.75" customHeight="1" x14ac:dyDescent="0.25">
      <c r="D153" s="171"/>
    </row>
    <row r="154" spans="4:4" ht="15.75" customHeight="1" x14ac:dyDescent="0.25">
      <c r="D154" s="171"/>
    </row>
    <row r="155" spans="4:4" ht="15.75" customHeight="1" x14ac:dyDescent="0.25">
      <c r="D155" s="171"/>
    </row>
    <row r="156" spans="4:4" ht="15.75" customHeight="1" x14ac:dyDescent="0.25">
      <c r="D156" s="171"/>
    </row>
    <row r="157" spans="4:4" ht="15.75" customHeight="1" x14ac:dyDescent="0.25">
      <c r="D157" s="171"/>
    </row>
    <row r="158" spans="4:4" ht="15.75" customHeight="1" x14ac:dyDescent="0.25">
      <c r="D158" s="171"/>
    </row>
    <row r="159" spans="4:4" ht="15.75" customHeight="1" x14ac:dyDescent="0.25">
      <c r="D159" s="171"/>
    </row>
    <row r="160" spans="4:4" ht="15.75" customHeight="1" x14ac:dyDescent="0.25">
      <c r="D160" s="171"/>
    </row>
    <row r="161" spans="4:4" ht="15.75" customHeight="1" x14ac:dyDescent="0.25">
      <c r="D161" s="171"/>
    </row>
    <row r="162" spans="4:4" ht="15.75" customHeight="1" x14ac:dyDescent="0.25">
      <c r="D162" s="171"/>
    </row>
    <row r="163" spans="4:4" ht="15.75" customHeight="1" x14ac:dyDescent="0.25">
      <c r="D163" s="171"/>
    </row>
    <row r="164" spans="4:4" ht="15.75" customHeight="1" x14ac:dyDescent="0.25">
      <c r="D164" s="171"/>
    </row>
    <row r="165" spans="4:4" ht="15.75" customHeight="1" x14ac:dyDescent="0.25">
      <c r="D165" s="171"/>
    </row>
    <row r="166" spans="4:4" ht="15.75" customHeight="1" x14ac:dyDescent="0.25">
      <c r="D166" s="171"/>
    </row>
    <row r="167" spans="4:4" ht="15.75" customHeight="1" x14ac:dyDescent="0.25">
      <c r="D167" s="171"/>
    </row>
    <row r="168" spans="4:4" ht="15.75" customHeight="1" x14ac:dyDescent="0.25">
      <c r="D168" s="171"/>
    </row>
    <row r="169" spans="4:4" ht="15.75" customHeight="1" x14ac:dyDescent="0.25">
      <c r="D169" s="171"/>
    </row>
    <row r="170" spans="4:4" ht="15.75" customHeight="1" x14ac:dyDescent="0.25">
      <c r="D170" s="171"/>
    </row>
    <row r="171" spans="4:4" ht="15.75" customHeight="1" x14ac:dyDescent="0.25">
      <c r="D171" s="171"/>
    </row>
    <row r="172" spans="4:4" ht="15.75" customHeight="1" x14ac:dyDescent="0.25">
      <c r="D172" s="171"/>
    </row>
    <row r="173" spans="4:4" ht="15.75" customHeight="1" x14ac:dyDescent="0.25">
      <c r="D173" s="171"/>
    </row>
    <row r="174" spans="4:4" ht="15.75" customHeight="1" x14ac:dyDescent="0.25">
      <c r="D174" s="171"/>
    </row>
    <row r="175" spans="4:4" ht="15.75" customHeight="1" x14ac:dyDescent="0.25">
      <c r="D175" s="171"/>
    </row>
    <row r="176" spans="4:4" ht="15.75" customHeight="1" x14ac:dyDescent="0.25">
      <c r="D176" s="171"/>
    </row>
    <row r="177" spans="4:4" ht="15.75" customHeight="1" x14ac:dyDescent="0.25">
      <c r="D177" s="171"/>
    </row>
    <row r="178" spans="4:4" ht="15.75" customHeight="1" x14ac:dyDescent="0.25">
      <c r="D178" s="171"/>
    </row>
    <row r="179" spans="4:4" ht="15.75" customHeight="1" x14ac:dyDescent="0.25">
      <c r="D179" s="171"/>
    </row>
    <row r="180" spans="4:4" ht="15.75" customHeight="1" x14ac:dyDescent="0.25">
      <c r="D180" s="171"/>
    </row>
    <row r="181" spans="4:4" ht="15.75" customHeight="1" x14ac:dyDescent="0.25">
      <c r="D181" s="171"/>
    </row>
    <row r="182" spans="4:4" ht="15.75" customHeight="1" x14ac:dyDescent="0.25">
      <c r="D182" s="171"/>
    </row>
    <row r="183" spans="4:4" ht="15.75" customHeight="1" x14ac:dyDescent="0.25">
      <c r="D183" s="171"/>
    </row>
    <row r="184" spans="4:4" ht="15.75" customHeight="1" x14ac:dyDescent="0.25">
      <c r="D184" s="171"/>
    </row>
    <row r="185" spans="4:4" ht="15.75" customHeight="1" x14ac:dyDescent="0.25">
      <c r="D185" s="171"/>
    </row>
    <row r="186" spans="4:4" ht="15.75" customHeight="1" x14ac:dyDescent="0.25">
      <c r="D186" s="171"/>
    </row>
    <row r="187" spans="4:4" ht="15.75" customHeight="1" x14ac:dyDescent="0.25">
      <c r="D187" s="171"/>
    </row>
    <row r="188" spans="4:4" ht="15.75" customHeight="1" x14ac:dyDescent="0.25">
      <c r="D188" s="171"/>
    </row>
    <row r="189" spans="4:4" ht="15.75" customHeight="1" x14ac:dyDescent="0.25">
      <c r="D189" s="171"/>
    </row>
    <row r="190" spans="4:4" ht="15.75" customHeight="1" x14ac:dyDescent="0.25">
      <c r="D190" s="171"/>
    </row>
    <row r="191" spans="4:4" ht="15.75" customHeight="1" x14ac:dyDescent="0.25">
      <c r="D191" s="171"/>
    </row>
    <row r="192" spans="4:4" ht="15.75" customHeight="1" x14ac:dyDescent="0.25">
      <c r="D192" s="171"/>
    </row>
    <row r="193" spans="4:4" ht="15.75" customHeight="1" x14ac:dyDescent="0.25">
      <c r="D193" s="171"/>
    </row>
    <row r="194" spans="4:4" ht="15.75" customHeight="1" x14ac:dyDescent="0.25">
      <c r="D194" s="171"/>
    </row>
    <row r="195" spans="4:4" ht="15.75" customHeight="1" x14ac:dyDescent="0.25">
      <c r="D195" s="171"/>
    </row>
    <row r="196" spans="4:4" ht="15.75" customHeight="1" x14ac:dyDescent="0.25">
      <c r="D196" s="171"/>
    </row>
    <row r="197" spans="4:4" ht="15.75" customHeight="1" x14ac:dyDescent="0.25">
      <c r="D197" s="171"/>
    </row>
    <row r="198" spans="4:4" ht="15.75" customHeight="1" x14ac:dyDescent="0.25">
      <c r="D198" s="171"/>
    </row>
    <row r="199" spans="4:4" ht="15.75" customHeight="1" x14ac:dyDescent="0.25">
      <c r="D199" s="171"/>
    </row>
    <row r="200" spans="4:4" ht="15.75" customHeight="1" x14ac:dyDescent="0.25">
      <c r="D200" s="171"/>
    </row>
    <row r="201" spans="4:4" ht="15.75" customHeight="1" x14ac:dyDescent="0.25">
      <c r="D201" s="171"/>
    </row>
    <row r="202" spans="4:4" ht="15.75" customHeight="1" x14ac:dyDescent="0.25">
      <c r="D202" s="171"/>
    </row>
    <row r="203" spans="4:4" ht="15.75" customHeight="1" x14ac:dyDescent="0.25">
      <c r="D203" s="171"/>
    </row>
    <row r="204" spans="4:4" ht="15.75" customHeight="1" x14ac:dyDescent="0.25">
      <c r="D204" s="171"/>
    </row>
    <row r="205" spans="4:4" ht="15.75" customHeight="1" x14ac:dyDescent="0.25">
      <c r="D205" s="171"/>
    </row>
    <row r="206" spans="4:4" ht="15.75" customHeight="1" x14ac:dyDescent="0.25">
      <c r="D206" s="171"/>
    </row>
    <row r="207" spans="4:4" ht="15.75" customHeight="1" x14ac:dyDescent="0.25">
      <c r="D207" s="171"/>
    </row>
    <row r="208" spans="4:4" ht="15.75" customHeight="1" x14ac:dyDescent="0.25">
      <c r="D208" s="171"/>
    </row>
    <row r="209" spans="4:4" ht="15.75" customHeight="1" x14ac:dyDescent="0.25">
      <c r="D209" s="171"/>
    </row>
    <row r="210" spans="4:4" ht="15.75" customHeight="1" x14ac:dyDescent="0.25">
      <c r="D210" s="171"/>
    </row>
    <row r="211" spans="4:4" ht="15.75" customHeight="1" x14ac:dyDescent="0.25">
      <c r="D211" s="171"/>
    </row>
    <row r="212" spans="4:4" ht="15.75" customHeight="1" x14ac:dyDescent="0.25">
      <c r="D212" s="171"/>
    </row>
    <row r="213" spans="4:4" ht="15.75" customHeight="1" x14ac:dyDescent="0.25">
      <c r="D213" s="171"/>
    </row>
    <row r="214" spans="4:4" ht="15.75" customHeight="1" x14ac:dyDescent="0.25">
      <c r="D214" s="171"/>
    </row>
    <row r="215" spans="4:4" ht="15.75" customHeight="1" x14ac:dyDescent="0.25">
      <c r="D215" s="171"/>
    </row>
    <row r="216" spans="4:4" ht="15.75" customHeight="1" x14ac:dyDescent="0.25">
      <c r="D216" s="171"/>
    </row>
    <row r="217" spans="4:4" ht="15.75" customHeight="1" x14ac:dyDescent="0.25">
      <c r="D217" s="171"/>
    </row>
    <row r="218" spans="4:4" ht="15.75" customHeight="1" x14ac:dyDescent="0.25">
      <c r="D218" s="171"/>
    </row>
    <row r="219" spans="4:4" ht="15.75" customHeight="1" x14ac:dyDescent="0.25">
      <c r="D219" s="171"/>
    </row>
    <row r="220" spans="4:4" ht="15.75" customHeight="1" x14ac:dyDescent="0.25">
      <c r="D220" s="171"/>
    </row>
    <row r="221" spans="4:4" ht="15.75" customHeight="1" x14ac:dyDescent="0.25">
      <c r="D221" s="171"/>
    </row>
    <row r="222" spans="4:4" ht="15.75" customHeight="1" x14ac:dyDescent="0.25">
      <c r="D222" s="171"/>
    </row>
    <row r="223" spans="4:4" ht="15.75" customHeight="1" x14ac:dyDescent="0.25">
      <c r="D223" s="171"/>
    </row>
    <row r="224" spans="4:4" ht="15.75" customHeight="1" x14ac:dyDescent="0.25">
      <c r="D224" s="171"/>
    </row>
    <row r="225" spans="4:4" ht="15.75" customHeight="1" x14ac:dyDescent="0.25">
      <c r="D225" s="171"/>
    </row>
    <row r="226" spans="4:4" ht="15.75" customHeight="1" x14ac:dyDescent="0.25">
      <c r="D226" s="171"/>
    </row>
    <row r="227" spans="4:4" ht="15.75" customHeight="1" x14ac:dyDescent="0.25">
      <c r="D227" s="171"/>
    </row>
    <row r="228" spans="4:4" ht="15.75" customHeight="1" x14ac:dyDescent="0.25">
      <c r="D228" s="171"/>
    </row>
    <row r="229" spans="4:4" ht="15.75" customHeight="1" x14ac:dyDescent="0.25">
      <c r="D229" s="171"/>
    </row>
    <row r="230" spans="4:4" ht="15.75" customHeight="1" x14ac:dyDescent="0.25">
      <c r="D230" s="171"/>
    </row>
    <row r="231" spans="4:4" ht="15.75" customHeight="1" x14ac:dyDescent="0.25">
      <c r="D231" s="171"/>
    </row>
    <row r="232" spans="4:4" ht="15.75" customHeight="1" x14ac:dyDescent="0.25">
      <c r="D232" s="171"/>
    </row>
    <row r="233" spans="4:4" ht="15.75" customHeight="1" x14ac:dyDescent="0.25">
      <c r="D233" s="171"/>
    </row>
    <row r="234" spans="4:4" ht="15.75" customHeight="1" x14ac:dyDescent="0.25">
      <c r="D234" s="171"/>
    </row>
    <row r="235" spans="4:4" ht="15.75" customHeight="1" x14ac:dyDescent="0.25">
      <c r="D235" s="171"/>
    </row>
    <row r="236" spans="4:4" ht="15.75" customHeight="1" x14ac:dyDescent="0.25">
      <c r="D236" s="171"/>
    </row>
    <row r="237" spans="4:4" ht="15.75" customHeight="1" x14ac:dyDescent="0.25">
      <c r="D237" s="171"/>
    </row>
    <row r="238" spans="4:4" ht="15.75" customHeight="1" x14ac:dyDescent="0.25">
      <c r="D238" s="171"/>
    </row>
    <row r="239" spans="4:4" ht="15.75" customHeight="1" x14ac:dyDescent="0.25">
      <c r="D239" s="171"/>
    </row>
    <row r="240" spans="4:4" ht="15.75" customHeight="1" x14ac:dyDescent="0.25">
      <c r="D240" s="171"/>
    </row>
    <row r="241" spans="4:4" ht="15.75" customHeight="1" x14ac:dyDescent="0.25">
      <c r="D241" s="171"/>
    </row>
    <row r="242" spans="4:4" ht="15.75" customHeight="1" x14ac:dyDescent="0.25">
      <c r="D242" s="171"/>
    </row>
    <row r="243" spans="4:4" ht="15.75" customHeight="1" x14ac:dyDescent="0.25">
      <c r="D243" s="171"/>
    </row>
    <row r="244" spans="4:4" ht="15.75" customHeight="1" x14ac:dyDescent="0.25">
      <c r="D244" s="171"/>
    </row>
    <row r="245" spans="4:4" ht="15.75" customHeight="1" x14ac:dyDescent="0.25">
      <c r="D245" s="171"/>
    </row>
    <row r="246" spans="4:4" ht="15.75" customHeight="1" x14ac:dyDescent="0.25">
      <c r="D246" s="171"/>
    </row>
    <row r="247" spans="4:4" ht="15.75" customHeight="1" x14ac:dyDescent="0.25">
      <c r="D247" s="171"/>
    </row>
    <row r="248" spans="4:4" ht="15.75" customHeight="1" x14ac:dyDescent="0.25">
      <c r="D248" s="171"/>
    </row>
    <row r="249" spans="4:4" ht="15.75" customHeight="1" x14ac:dyDescent="0.25">
      <c r="D249" s="171"/>
    </row>
    <row r="250" spans="4:4" ht="15.75" customHeight="1" x14ac:dyDescent="0.25">
      <c r="D250" s="171"/>
    </row>
    <row r="251" spans="4:4" ht="15.75" customHeight="1" x14ac:dyDescent="0.25">
      <c r="D251" s="171"/>
    </row>
    <row r="252" spans="4:4" ht="15.75" customHeight="1" x14ac:dyDescent="0.25">
      <c r="D252" s="171"/>
    </row>
    <row r="253" spans="4:4" ht="15.75" customHeight="1" x14ac:dyDescent="0.25">
      <c r="D253" s="171"/>
    </row>
    <row r="254" spans="4:4" ht="15.75" customHeight="1" x14ac:dyDescent="0.25">
      <c r="D254" s="171"/>
    </row>
    <row r="255" spans="4:4" ht="15.75" customHeight="1" x14ac:dyDescent="0.25">
      <c r="D255" s="171"/>
    </row>
    <row r="256" spans="4:4" ht="15.75" customHeight="1" x14ac:dyDescent="0.25">
      <c r="D256" s="171"/>
    </row>
    <row r="257" spans="4:4" ht="15.75" customHeight="1" x14ac:dyDescent="0.25">
      <c r="D257" s="171"/>
    </row>
    <row r="258" spans="4:4" ht="15.75" customHeight="1" x14ac:dyDescent="0.25">
      <c r="D258" s="171"/>
    </row>
    <row r="259" spans="4:4" ht="15.75" customHeight="1" x14ac:dyDescent="0.25">
      <c r="D259" s="171"/>
    </row>
    <row r="260" spans="4:4" ht="15.75" customHeight="1" x14ac:dyDescent="0.25">
      <c r="D260" s="171"/>
    </row>
    <row r="261" spans="4:4" ht="15.75" customHeight="1" x14ac:dyDescent="0.25">
      <c r="D261" s="171"/>
    </row>
    <row r="262" spans="4:4" ht="15.75" customHeight="1" x14ac:dyDescent="0.25">
      <c r="D262" s="171"/>
    </row>
    <row r="263" spans="4:4" ht="15.75" customHeight="1" x14ac:dyDescent="0.25">
      <c r="D263" s="171"/>
    </row>
    <row r="264" spans="4:4" ht="15.75" customHeight="1" x14ac:dyDescent="0.25">
      <c r="D264" s="171"/>
    </row>
    <row r="265" spans="4:4" ht="15.75" customHeight="1" x14ac:dyDescent="0.25">
      <c r="D265" s="171"/>
    </row>
    <row r="266" spans="4:4" ht="15.75" customHeight="1" x14ac:dyDescent="0.25">
      <c r="D266" s="171"/>
    </row>
    <row r="267" spans="4:4" ht="15.75" customHeight="1" x14ac:dyDescent="0.25">
      <c r="D267" s="171"/>
    </row>
    <row r="268" spans="4:4" ht="15.75" customHeight="1" x14ac:dyDescent="0.25">
      <c r="D268" s="171"/>
    </row>
    <row r="269" spans="4:4" ht="15.75" customHeight="1" x14ac:dyDescent="0.25">
      <c r="D269" s="171"/>
    </row>
    <row r="270" spans="4:4" ht="15.75" customHeight="1" x14ac:dyDescent="0.25">
      <c r="D270" s="171"/>
    </row>
    <row r="271" spans="4:4" ht="15.75" customHeight="1" x14ac:dyDescent="0.25">
      <c r="D271" s="171"/>
    </row>
    <row r="272" spans="4:4" ht="15.75" customHeight="1" x14ac:dyDescent="0.25">
      <c r="D272" s="171"/>
    </row>
    <row r="273" spans="4:4" ht="15.75" customHeight="1" x14ac:dyDescent="0.25">
      <c r="D273" s="171"/>
    </row>
    <row r="274" spans="4:4" ht="15.75" customHeight="1" x14ac:dyDescent="0.25">
      <c r="D274" s="171"/>
    </row>
    <row r="275" spans="4:4" ht="15.75" customHeight="1" x14ac:dyDescent="0.25">
      <c r="D275" s="171"/>
    </row>
    <row r="276" spans="4:4" ht="15.75" customHeight="1" x14ac:dyDescent="0.25">
      <c r="D276" s="171"/>
    </row>
    <row r="277" spans="4:4" ht="15.75" customHeight="1" x14ac:dyDescent="0.25">
      <c r="D277" s="171"/>
    </row>
    <row r="278" spans="4:4" ht="15.75" customHeight="1" x14ac:dyDescent="0.2"/>
    <row r="279" spans="4:4" ht="15.75" customHeight="1" x14ac:dyDescent="0.2"/>
    <row r="280" spans="4:4" ht="15.75" customHeight="1" x14ac:dyDescent="0.2"/>
    <row r="281" spans="4:4" ht="15.75" customHeight="1" x14ac:dyDescent="0.2"/>
    <row r="282" spans="4:4" ht="15.75" customHeight="1" x14ac:dyDescent="0.2"/>
    <row r="283" spans="4:4" ht="15.75" customHeight="1" x14ac:dyDescent="0.2"/>
    <row r="284" spans="4:4" ht="15.75" customHeight="1" x14ac:dyDescent="0.2"/>
    <row r="285" spans="4:4" ht="15.75" customHeight="1" x14ac:dyDescent="0.2"/>
    <row r="286" spans="4:4" ht="15.75" customHeight="1" x14ac:dyDescent="0.2"/>
    <row r="287" spans="4:4" ht="15.75" customHeight="1" x14ac:dyDescent="0.2"/>
    <row r="288" spans="4:4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69">
    <mergeCell ref="K42:K45"/>
    <mergeCell ref="J65:T65"/>
    <mergeCell ref="J66:T66"/>
    <mergeCell ref="J67:T67"/>
    <mergeCell ref="J68:T68"/>
    <mergeCell ref="I71:N71"/>
    <mergeCell ref="Q71:T71"/>
    <mergeCell ref="V71:W71"/>
    <mergeCell ref="C40:C41"/>
    <mergeCell ref="C42:C45"/>
    <mergeCell ref="C64:E64"/>
    <mergeCell ref="C65:E65"/>
    <mergeCell ref="H65:I65"/>
    <mergeCell ref="C66:E66"/>
    <mergeCell ref="C67:E67"/>
    <mergeCell ref="C52:C53"/>
    <mergeCell ref="C27:C30"/>
    <mergeCell ref="E27:E30"/>
    <mergeCell ref="F27:F30"/>
    <mergeCell ref="C37:C38"/>
    <mergeCell ref="A42:A45"/>
    <mergeCell ref="E42:E45"/>
    <mergeCell ref="F42:F45"/>
    <mergeCell ref="G42:G45"/>
    <mergeCell ref="H42:H45"/>
    <mergeCell ref="V74:X74"/>
    <mergeCell ref="A75:B75"/>
    <mergeCell ref="C75:F75"/>
    <mergeCell ref="Q75:T75"/>
    <mergeCell ref="F37:F38"/>
    <mergeCell ref="F40:F41"/>
    <mergeCell ref="G40:G41"/>
    <mergeCell ref="H40:H41"/>
    <mergeCell ref="I40:I41"/>
    <mergeCell ref="J40:J41"/>
    <mergeCell ref="K40:K41"/>
    <mergeCell ref="S40:S41"/>
    <mergeCell ref="T40:T41"/>
    <mergeCell ref="U40:U41"/>
    <mergeCell ref="V40:V41"/>
    <mergeCell ref="L40:L41"/>
    <mergeCell ref="M40:M41"/>
    <mergeCell ref="N40:N41"/>
    <mergeCell ref="O40:O41"/>
    <mergeCell ref="P40:P41"/>
    <mergeCell ref="Q40:Q41"/>
    <mergeCell ref="R40:R41"/>
    <mergeCell ref="I42:I45"/>
    <mergeCell ref="J42:J45"/>
    <mergeCell ref="I74:N74"/>
    <mergeCell ref="I75:N75"/>
    <mergeCell ref="H78:T78"/>
    <mergeCell ref="H81:T81"/>
    <mergeCell ref="H82:T82"/>
    <mergeCell ref="C71:E71"/>
    <mergeCell ref="A74:B74"/>
    <mergeCell ref="C74:F74"/>
    <mergeCell ref="Q74:T74"/>
    <mergeCell ref="S42:S45"/>
    <mergeCell ref="T42:T45"/>
    <mergeCell ref="U42:U45"/>
    <mergeCell ref="V42:V45"/>
    <mergeCell ref="L42:L45"/>
    <mergeCell ref="M42:M45"/>
    <mergeCell ref="N42:N45"/>
    <mergeCell ref="O42:O45"/>
    <mergeCell ref="P42:P45"/>
    <mergeCell ref="Q42:Q45"/>
    <mergeCell ref="R42:R45"/>
    <mergeCell ref="G37:G38"/>
    <mergeCell ref="H37:H38"/>
    <mergeCell ref="I37:I38"/>
    <mergeCell ref="J37:J38"/>
    <mergeCell ref="K37:K38"/>
    <mergeCell ref="L37:L38"/>
    <mergeCell ref="M37:M38"/>
    <mergeCell ref="U37:U38"/>
    <mergeCell ref="V37:V38"/>
    <mergeCell ref="N37:N38"/>
    <mergeCell ref="O37:O38"/>
    <mergeCell ref="P37:P38"/>
    <mergeCell ref="Q37:Q38"/>
    <mergeCell ref="R37:R38"/>
    <mergeCell ref="S37:S38"/>
    <mergeCell ref="T37:T38"/>
    <mergeCell ref="G27:G30"/>
    <mergeCell ref="H27:H30"/>
    <mergeCell ref="I27:I30"/>
    <mergeCell ref="J27:J30"/>
    <mergeCell ref="K27:K30"/>
    <mergeCell ref="S27:S30"/>
    <mergeCell ref="T27:T30"/>
    <mergeCell ref="U27:U30"/>
    <mergeCell ref="V27:V30"/>
    <mergeCell ref="L27:L30"/>
    <mergeCell ref="M27:M30"/>
    <mergeCell ref="N27:N30"/>
    <mergeCell ref="O27:O30"/>
    <mergeCell ref="P27:P30"/>
    <mergeCell ref="Q27:Q30"/>
    <mergeCell ref="R27:R30"/>
    <mergeCell ref="E25:E26"/>
    <mergeCell ref="F25:F26"/>
    <mergeCell ref="J25:J26"/>
    <mergeCell ref="K25:K26"/>
    <mergeCell ref="L25:L26"/>
    <mergeCell ref="M25:M26"/>
    <mergeCell ref="N25:N26"/>
    <mergeCell ref="A22:A23"/>
    <mergeCell ref="E22:E23"/>
    <mergeCell ref="F22:F23"/>
    <mergeCell ref="G22:G23"/>
    <mergeCell ref="H22:H23"/>
    <mergeCell ref="I22:I23"/>
    <mergeCell ref="A25:A26"/>
    <mergeCell ref="I25:I26"/>
    <mergeCell ref="G25:G26"/>
    <mergeCell ref="H25:H26"/>
    <mergeCell ref="C22:C23"/>
    <mergeCell ref="C25:C26"/>
    <mergeCell ref="V22:V23"/>
    <mergeCell ref="J22:J23"/>
    <mergeCell ref="K22:K23"/>
    <mergeCell ref="L22:L23"/>
    <mergeCell ref="M22:M23"/>
    <mergeCell ref="N22:N23"/>
    <mergeCell ref="O22:O23"/>
    <mergeCell ref="P22:P23"/>
    <mergeCell ref="O25:O26"/>
    <mergeCell ref="P25:P26"/>
    <mergeCell ref="Q25:Q26"/>
    <mergeCell ref="R25:R26"/>
    <mergeCell ref="S25:S26"/>
    <mergeCell ref="T25:T26"/>
    <mergeCell ref="U25:U26"/>
    <mergeCell ref="V25:V26"/>
    <mergeCell ref="F16:F18"/>
    <mergeCell ref="G16:G18"/>
    <mergeCell ref="H16:H18"/>
    <mergeCell ref="I16:I18"/>
    <mergeCell ref="Q22:Q23"/>
    <mergeCell ref="R22:R23"/>
    <mergeCell ref="S22:S23"/>
    <mergeCell ref="T22:T23"/>
    <mergeCell ref="U22:U23"/>
    <mergeCell ref="A1:V1"/>
    <mergeCell ref="A2:V2"/>
    <mergeCell ref="A3:V3"/>
    <mergeCell ref="A8:A9"/>
    <mergeCell ref="B8:B9"/>
    <mergeCell ref="D8:D9"/>
    <mergeCell ref="E8:E9"/>
    <mergeCell ref="H8:V8"/>
    <mergeCell ref="Q16:Q18"/>
    <mergeCell ref="R16:R18"/>
    <mergeCell ref="S16:S18"/>
    <mergeCell ref="T16:T18"/>
    <mergeCell ref="U16:U18"/>
    <mergeCell ref="V16:V18"/>
    <mergeCell ref="J16:J18"/>
    <mergeCell ref="K16:K18"/>
    <mergeCell ref="L16:L18"/>
    <mergeCell ref="M16:M18"/>
    <mergeCell ref="N16:N18"/>
    <mergeCell ref="O16:O18"/>
    <mergeCell ref="P16:P18"/>
    <mergeCell ref="F8:F9"/>
    <mergeCell ref="G8:G9"/>
    <mergeCell ref="C16:C18"/>
  </mergeCells>
  <pageMargins left="0.67557803468208089" right="7.153179190751445E-2" top="0.1430635838150289" bottom="1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of Q3 wo 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Mary Grace Ballesteros</cp:lastModifiedBy>
  <dcterms:created xsi:type="dcterms:W3CDTF">2024-01-03T07:55:13Z</dcterms:created>
  <dcterms:modified xsi:type="dcterms:W3CDTF">2024-08-14T05:57:07Z</dcterms:modified>
</cp:coreProperties>
</file>