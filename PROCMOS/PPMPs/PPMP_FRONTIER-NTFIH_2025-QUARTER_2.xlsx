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Sample 1 (2)" sheetId="1" r:id="rId4"/>
    <sheet state="visible" name="PPMP FRONTIER-NTFIH" sheetId="2" r:id="rId5"/>
    <sheet state="visible" name="PPMP FRONTIER-NTFIH Q2" sheetId="3" r:id="rId6"/>
    <sheet state="visible" name="PPMP FRONTIER-NTFIH Q1" sheetId="4" r:id="rId7"/>
    <sheet state="visible" name="Sheet1" sheetId="5" r:id="rId8"/>
  </sheets>
  <definedNames/>
  <calcPr/>
  <extLst>
    <ext uri="GoogleSheetsCustomDataVersion2">
      <go:sheetsCustomData xmlns:go="http://customooxmlschemas.google.com/" r:id="rId9" roundtripDataChecksum="dw6lgNOiArRCnR9v/5vN3zToGqHeg+EfY7CS485XK3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ugnF/w+rAdAnM35hyZb+Km2ThN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1">
      <text>
        <t xml:space="preserve">======
ID#AAAA-ZHBewo
upmnih    (2021-04-08 04:25:07)
Prepared by: Project Staff/ Research Associate</t>
      </text>
    </comment>
    <comment authorId="0" ref="C171">
      <text>
        <t xml:space="preserve">======
ID#AAAA-ZHBewc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UQZ9U2usrVh14PQlm1TOKQOiEyA=="/>
    </ext>
  </extLst>
</comments>
</file>

<file path=xl/sharedStrings.xml><?xml version="1.0" encoding="utf-8"?>
<sst xmlns="http://schemas.openxmlformats.org/spreadsheetml/2006/main" count="1329" uniqueCount="322">
  <si>
    <t xml:space="preserve">  PROJECT PROCUREMENT MANAGEMENT PLAN (PPMP) 2024</t>
  </si>
  <si>
    <t>For 1st Quarter of CY 2024</t>
  </si>
  <si>
    <t>(Sample Only)</t>
  </si>
  <si>
    <t>END-USER/UNIT: RDD-NFUS</t>
  </si>
  <si>
    <t>Charged to: Digitalization of Philippine Textiles to Protect and Sustain the Handloom Weaving Sector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</si>
  <si>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</si>
  <si>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</si>
  <si>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</si>
  <si>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</si>
  <si>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</si>
  <si>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</si>
  <si>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</si>
  <si>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</si>
  <si>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</si>
  <si>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</si>
  <si>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</si>
  <si>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</si>
  <si>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</si>
  <si>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</si>
  <si>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</si>
  <si>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</si>
  <si>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</si>
  <si>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</si>
  <si>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</si>
  <si>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</si>
  <si>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</si>
  <si>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</si>
  <si>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</si>
  <si>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</si>
  <si>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</si>
  <si>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</si>
  <si>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</si>
  <si>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</si>
  <si>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</si>
  <si>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</si>
  <si>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</si>
  <si>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</si>
  <si>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</si>
  <si>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</si>
  <si>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</si>
  <si>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</si>
  <si>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Shopping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</si>
  <si>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</si>
  <si>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</si>
  <si>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</si>
  <si>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</si>
  <si>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</si>
  <si>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</si>
  <si>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</si>
  <si>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</si>
  <si>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</si>
  <si>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</si>
  <si>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</si>
  <si>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</si>
  <si>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</si>
  <si>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</si>
  <si>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</si>
  <si>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</si>
  <si>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</si>
  <si>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</si>
  <si>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</si>
  <si>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</si>
  <si>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</si>
  <si>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</si>
  <si>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</si>
  <si>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</si>
  <si>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</si>
  <si>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</si>
  <si>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</si>
  <si>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</si>
  <si>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</si>
  <si>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</si>
  <si>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</si>
  <si>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</si>
  <si>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</si>
  <si>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</si>
  <si>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</si>
  <si>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</si>
  <si>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</si>
  <si>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</si>
  <si>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</si>
  <si>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</si>
  <si>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</si>
  <si>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</si>
  <si>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</si>
  <si>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</si>
  <si>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</si>
  <si>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</si>
  <si>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</si>
  <si>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</si>
  <si>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</si>
  <si>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</si>
  <si>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</si>
  <si>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</si>
  <si>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</si>
  <si>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</si>
  <si>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</si>
  <si>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</si>
  <si>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</si>
  <si>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</si>
  <si>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</si>
  <si>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</si>
  <si>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</si>
  <si>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</si>
  <si>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</si>
  <si>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</si>
  <si>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</si>
  <si>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</si>
  <si>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</si>
  <si>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</si>
  <si>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</si>
  <si>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</si>
  <si>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</si>
  <si>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</si>
  <si>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</si>
  <si>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</si>
  <si>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</si>
  <si>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</si>
  <si>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</si>
  <si>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</si>
  <si>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</si>
  <si>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</si>
  <si>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</si>
  <si>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</si>
  <si>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</si>
  <si>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</si>
  <si>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</si>
  <si>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</si>
  <si>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</si>
  <si>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</si>
  <si>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  PROJECT PROCUREMENT MANAGEMENT PLAN (PPMP) 2025</t>
  </si>
  <si>
    <t>For 1st Quarter of CY 2025</t>
  </si>
  <si>
    <t>Charged to: FRONTIER: Fostering the Revitalization of Nascent Textile Innovation Ecosystems in the Regions - Establishment of Natural Textile Fiber Innovation Hub (NTFIH)</t>
  </si>
  <si>
    <t xml:space="preserve">Laptop - </t>
  </si>
  <si>
    <t xml:space="preserve">Hardrive atleast 2TB </t>
  </si>
  <si>
    <t>Foldable Laptop Stand</t>
  </si>
  <si>
    <t>3 boxes - Permanent Marker, Black 12's per box</t>
  </si>
  <si>
    <t>1 lot</t>
  </si>
  <si>
    <t>15 working days</t>
  </si>
  <si>
    <t>3 boxes - Permanent Marker, Blue 12's per box</t>
  </si>
  <si>
    <t>3 boxes - Permanent Marker, Red 12's per box</t>
  </si>
  <si>
    <t>15 boxes -Ballpen Blue 0.5mm Hi-Techpoint Pen 12s/box</t>
  </si>
  <si>
    <t>15 boxes - Staple Wire No.35</t>
  </si>
  <si>
    <t>15 boxes - Binder Clips, 32mm 12's</t>
  </si>
  <si>
    <t>15 boxes - Binder Clips, 19mm 12's</t>
  </si>
  <si>
    <t>1 box - Expanded Envelope (Legal, 100's)</t>
  </si>
  <si>
    <t>5 boxes - Paper Clips, 50mm, 100's/box</t>
  </si>
  <si>
    <t>5 boxes - Paper Clips, 33mm, 100's/box</t>
  </si>
  <si>
    <t>30 pcs - Clear Packing Tape 48mm (2" width)x 100m</t>
  </si>
  <si>
    <t>30 pcs - Clear Packing Tape 24mm (1" width)x 100m</t>
  </si>
  <si>
    <t>50 pcs - Masking Tape, 1"inch</t>
  </si>
  <si>
    <t>10 packs - Specialty Boardpaper, 30's, 90gsm</t>
  </si>
  <si>
    <t>10 packs - Label Index Stickers, 5 colors</t>
  </si>
  <si>
    <t>5 packs - White Folder A4 size, 25 pcs per pack</t>
  </si>
  <si>
    <t>5 packs - White Folder Legal Size, 25pcs per pack</t>
  </si>
  <si>
    <t>20 packs - Sticky Notes 3x3 inches,  100 sheets. Light Green</t>
  </si>
  <si>
    <t>10 packs - Vellum Board (A4, 10's/pack)</t>
  </si>
  <si>
    <t>10 packs - Sticker Paper, Matte (A4, 10's/pack)</t>
  </si>
  <si>
    <t>25 pcs Clear Acrylic Name Plate Holder for Conference; 3x8.5 inches for conference\</t>
  </si>
  <si>
    <t>30 pcs - Steno Notebook 153x228mm, 60leaves</t>
  </si>
  <si>
    <t>30 pcs - Laboratory Notebook, 100 leaves, 216x280mm, blue cover</t>
  </si>
  <si>
    <t>Computer Chair/Office Chair,/Ergonomic Chair With Armrest</t>
  </si>
  <si>
    <t>5 pcs</t>
  </si>
  <si>
    <t>Microsoft Office License - Lifetime 2021 version or better</t>
  </si>
  <si>
    <t>2 pcs</t>
  </si>
  <si>
    <t>Other Supplies</t>
  </si>
  <si>
    <t>Oil-Free Vacuum Pump</t>
  </si>
  <si>
    <t>1 unit</t>
  </si>
  <si>
    <t>50 packs - Pull-ups Tissue, 2 ply, 190pulls/pack</t>
  </si>
  <si>
    <t>30-45 working days</t>
  </si>
  <si>
    <t>30 bottles - Isopropyl Alcohol with moisturizer, 70%,500ml</t>
  </si>
  <si>
    <t>12 gallons - Liquid Detergent</t>
  </si>
  <si>
    <t>10 bottles - Liquid hand soap, Pump dispenser, 225ml</t>
  </si>
  <si>
    <t>10 bottles - Dishwashing Liquid, Antibac, 475ml</t>
  </si>
  <si>
    <t>12 gallons - Commercial Bleach (Liquid) - Sodium Hypochlorite</t>
  </si>
  <si>
    <t>24 pcs - Paper Towel- standard specifications</t>
  </si>
  <si>
    <t>5 boxes - Aluminum Foil - Standard Specification</t>
  </si>
  <si>
    <t>5 pcs Color LaserMFP 178nw  Original Laser Toner Cartridge - Yellow</t>
  </si>
  <si>
    <t>5 pcs Color LaserMFP 178nw  Original Laser Toner Cartridge - Cyan</t>
  </si>
  <si>
    <t>5 pcs Color LaserMFP 178nw  Original Laser Toner Cartridge - Magenta</t>
  </si>
  <si>
    <t>5 pcs Color LaserMFP 178nw  Original Laser Toner Cartridge - Black</t>
  </si>
  <si>
    <t>20 boxes - Lint freeTissue 1 ply 4.3x8.4 inches</t>
  </si>
  <si>
    <t>Thimbles - Double Thickness, 33mm x 80 mm, 25pcs per box</t>
  </si>
  <si>
    <t>2 box</t>
  </si>
  <si>
    <t>Stainless Strainer
- minimum of 12 inches diameter and minimum of 6 inches depth</t>
  </si>
  <si>
    <t>3 pcs</t>
  </si>
  <si>
    <t>Stainless Steel Cooking Barrel
- 50 Liter capacity</t>
  </si>
  <si>
    <t>Stainless Steel Cooking Barrel
- 20 L capacity</t>
  </si>
  <si>
    <t>Stainless Steel Cooking Barrel
- 10L to12 L capacity</t>
  </si>
  <si>
    <t>Gooch Crucibles - Borosilicate glass, 50 mL</t>
  </si>
  <si>
    <t>20 pcs</t>
  </si>
  <si>
    <t>Glass Laboratory Thermometer
- Glass Thermometer: 25 mm Immersion, -10 to 250C, Glass, Mineral Spirit-Filled Model: CG-3508-N-02</t>
  </si>
  <si>
    <t>Beaker - Borosilicate glass, 50 mL</t>
  </si>
  <si>
    <t>Beaker - Borosilicate glass, 100 mL</t>
  </si>
  <si>
    <t>Beaker - Borosilicate glass, 500 mL</t>
  </si>
  <si>
    <t>Beaker - Borosilicate glass, 1000 mL</t>
  </si>
  <si>
    <t>Erlenmeyer flask - Borosilicate glass, 250 mL</t>
  </si>
  <si>
    <t>10 pcs</t>
  </si>
  <si>
    <t>Erlenmeyer flask - Borosilicate glass, 500 mL</t>
  </si>
  <si>
    <t>Stirring Rod - Glass, 200 mm</t>
  </si>
  <si>
    <t>5pcs</t>
  </si>
  <si>
    <t>Spatula - Stainless, Standard size</t>
  </si>
  <si>
    <t>Volumetric Flask - Borosilicate glass, 1000 mL</t>
  </si>
  <si>
    <t>Volumetric Flask - Borosilicate glass, 2000 mL</t>
  </si>
  <si>
    <t>Magnetic Stirrer Bar - 30 mm / 1.18 inches</t>
  </si>
  <si>
    <t>18 pcs</t>
  </si>
  <si>
    <t>Micropipette 5ml</t>
  </si>
  <si>
    <t>1 pc</t>
  </si>
  <si>
    <t>Micropipette 10ml</t>
  </si>
  <si>
    <t>Latex rubber tube, Bleed Elastic  Hose, 6mmx9mm</t>
  </si>
  <si>
    <t>10 meters</t>
  </si>
  <si>
    <t>Latex rubber tube, Bleed Elastic  Hose, 8mmx12mm</t>
  </si>
  <si>
    <t>Micropipette tips Plastic 5ml</t>
  </si>
  <si>
    <t>1 box</t>
  </si>
  <si>
    <t>Desiccator - Borosilicate glass, 210 mm</t>
  </si>
  <si>
    <t>2 pc</t>
  </si>
  <si>
    <t>Crucible Tongs - Stainless Steel, 230 mm</t>
  </si>
  <si>
    <t>Forceps - Standard specifications</t>
  </si>
  <si>
    <t>Test tube Brush Small</t>
  </si>
  <si>
    <t>Test tube Brush Medium</t>
  </si>
  <si>
    <t>Test tube Brush Large</t>
  </si>
  <si>
    <t xml:space="preserve">Glass Dessicator
- 9.4 inch inner diameter; 12 inch outer diameter; 13 inch height
- with porcelain plate and knob cover
</t>
  </si>
  <si>
    <t>20 boxes - Nitrile Gloves - Medium</t>
  </si>
  <si>
    <t>30 boxes - Face Mask, 3 ply, Earloop, 50pcs/box</t>
  </si>
  <si>
    <t>10 pcs - Gas Masks, N95 grade 3M</t>
  </si>
  <si>
    <t>5 pcs - Parafilm, 4" x 125 ft</t>
  </si>
  <si>
    <t>5 pcs - Non-Slip Lab Shoes (Medium/Size 8)</t>
  </si>
  <si>
    <t>Emrgency Spray Eyewash and Emergency Shower</t>
  </si>
  <si>
    <t>Sodium Hydroxide (NaOH) Liquid
- Analytical grade 49% purity
- 30 kg/cby</t>
  </si>
  <si>
    <t>10 carboys</t>
  </si>
  <si>
    <t>60 Working Days</t>
  </si>
  <si>
    <t>Sodium Hydroxide (NaOH) Micro Pellets
-Analytical grade 97-99% purity
- 1kg/btl</t>
  </si>
  <si>
    <t>10 bottles</t>
  </si>
  <si>
    <t>Acetone (Liquid)
-Analytical grade 99% purity, 2.5 L/bottle</t>
  </si>
  <si>
    <t>12 bottles</t>
  </si>
  <si>
    <t>Hydrochloric Acid (Liquid)
-Analytical grade 37% purity, 2.5 L/bottle</t>
  </si>
  <si>
    <t>Acetic Acid (Liquid)
-Analytical grade 99% purity, 40L/carboy</t>
  </si>
  <si>
    <t>Hydrogen Peroxide (Liquid)
-Analytical grade 99% purity</t>
  </si>
  <si>
    <t>5 gallons</t>
  </si>
  <si>
    <t>Hydrogen Peroxide - Aqueous Solution (50%) 35kg/cby</t>
  </si>
  <si>
    <t>Sodium Chlorite (Powder)
-Analytical grade 80% purity</t>
  </si>
  <si>
    <t>5 bottles</t>
  </si>
  <si>
    <t>Sulfuric acid (Liquid)
- Analytical grade 98% purity, 2.5 L/bottle</t>
  </si>
  <si>
    <t>Sodium metabisulfite 
-Technical grade, 97% purity, 1kg/bottle</t>
  </si>
  <si>
    <t>Sodium silicate
-Neutral solution, pure</t>
  </si>
  <si>
    <t>Fabric Softener (Flakes)</t>
  </si>
  <si>
    <t>Xylanase Enzyme - Activity: ~200-250 U/m</t>
  </si>
  <si>
    <t>10 Liters</t>
  </si>
  <si>
    <t>60 working days</t>
  </si>
  <si>
    <t>Pectinase Enzyme - Activity: ~200-250 U/m</t>
  </si>
  <si>
    <t>Laccase
-Laccase from Trametes versicolor powder, light brown, ≥ 0.5 U/mg, Sigma cat#38429</t>
  </si>
  <si>
    <t>Other MOOE</t>
  </si>
  <si>
    <t>Bamboo Lei for MOA Signing and Launching of NTFIH in Laguna, Leyte , Davao, Isabela, Catanduanes, and Mindoro</t>
  </si>
  <si>
    <t>60pcs</t>
  </si>
  <si>
    <t>30 working days</t>
  </si>
  <si>
    <t>Cash Advances</t>
  </si>
  <si>
    <t>Banana Fiber Decorticated/Raw, Variety: Cavendish Source: Catanduanes</t>
  </si>
  <si>
    <t>1kg</t>
  </si>
  <si>
    <t>per schedule</t>
  </si>
  <si>
    <t>Pineapple Fiber Decorticated, Variety : Formossa Source: Catanduanes</t>
  </si>
  <si>
    <t>Banana Fiber Decorticated/Raw, Variety: Cavendish Source: Isabela</t>
  </si>
  <si>
    <t>Pineapple Fiber Decorticated, Variety : Formossa Source: Isabela</t>
  </si>
  <si>
    <t>Banana Fiber Decorticated/Raw Variety: Cavendish, Source: Mindoro</t>
  </si>
  <si>
    <t>Pineapple Fiber Decorticated,  Variety : FormossaSource: Mindoro</t>
  </si>
  <si>
    <t>Banana Fiber Decorticated/Raw, Variety: Cavendish Source: Northern Samar</t>
  </si>
  <si>
    <t>Pineapple Fiber Decorticated,  Variety : Formossa Source: Northern Samar</t>
  </si>
  <si>
    <t>Banana Fiber Decorticated/Raw, Source: Catanduanes</t>
  </si>
  <si>
    <t>Pineapple Fiber Decorticated, Variety : Hawaian Source: Catanduanes</t>
  </si>
  <si>
    <t>Banana Fiber Decorticated/Raw, Source: Isabela</t>
  </si>
  <si>
    <t>Pineapple Fiber Decorticated, Variety : Hawaian Source: Isabela</t>
  </si>
  <si>
    <t>Banana Fiber Decorticated/Raw, Source: Mindoro</t>
  </si>
  <si>
    <t>Pineapple Fiber Decorticated, Variety : Hawaian Source: Mindoro</t>
  </si>
  <si>
    <t>Banana Fiber Decorticated/Raw, Source: Northern Samar</t>
  </si>
  <si>
    <t>Pineapple Fiber Decorticated, Variety : Hawaian Source: Northern Samar</t>
  </si>
  <si>
    <t>Bakong Raw Fibers - Decorticated</t>
  </si>
  <si>
    <t>2kg</t>
  </si>
  <si>
    <t>Bakong Stem</t>
  </si>
  <si>
    <t>Repairs and Maintenance Expenses</t>
  </si>
  <si>
    <t>Renovation of NTFIH Isabela</t>
  </si>
  <si>
    <t>Competitive Bidding (Public Bidding)</t>
  </si>
  <si>
    <t>Renovation of NTFIH Mindoro</t>
  </si>
  <si>
    <t>Renovation of NTFIH Catanduanes</t>
  </si>
  <si>
    <t>Renovation of NTFIH Leyte</t>
  </si>
  <si>
    <t>Other Professional Services (OPS)</t>
  </si>
  <si>
    <t>FESEM Imaging
Sample: Raw and treated textile fiber
- Surface morphology
- Cross-sectional imaging
- VAT inclusive
- Turnaround time: 7-10 working days upon receipt of sample</t>
  </si>
  <si>
    <t>30 Samples</t>
  </si>
  <si>
    <t>Agency to Agency</t>
  </si>
  <si>
    <t>Fiber fineness, cut middle method
- sample raw and treated bamboo fibers
- includes raw data of results
- turnaround time: 7-10 working days upon receipt of sample</t>
  </si>
  <si>
    <t>20 samples</t>
  </si>
  <si>
    <t>Capital Outlay (Equipment)</t>
  </si>
  <si>
    <t>Decorticating machine</t>
  </si>
  <si>
    <t>6 lots</t>
  </si>
  <si>
    <t>Public Bidding (Competitive Bidding)</t>
  </si>
  <si>
    <t>Mechanical Softening Machine</t>
  </si>
  <si>
    <t>3 lots</t>
  </si>
  <si>
    <t>Bench Scale Degumming Equipment</t>
  </si>
  <si>
    <t>Fiber Cutting Machine</t>
  </si>
  <si>
    <t>Hard Fiber Opener</t>
  </si>
  <si>
    <t>Hydro Extractor Machine</t>
  </si>
  <si>
    <t>ENGR. KARL MARX LENNIN A. FLORANTE</t>
  </si>
  <si>
    <t>April</t>
  </si>
  <si>
    <t>May</t>
  </si>
  <si>
    <t>June</t>
  </si>
  <si>
    <t>Small Vallue Procurement</t>
  </si>
  <si>
    <t>SVP</t>
  </si>
  <si>
    <t>Full Fabric notebook as Tokens</t>
  </si>
  <si>
    <t>60 pcs</t>
  </si>
  <si>
    <t>15 CD</t>
  </si>
  <si>
    <t>Tokens Packaging Box</t>
  </si>
  <si>
    <t>15CD</t>
  </si>
  <si>
    <t>Abaca Fiber Decorticated/Raw, Source: Catanduanes</t>
  </si>
  <si>
    <t>2 boxes - Aluminum Foil - Standard Specification</t>
  </si>
  <si>
    <t>Stainless Strainer
- minimum of 12 inches diameter and minimum of 6 inches depth</t>
  </si>
  <si>
    <t>Stainless Steel Cooking Barrel
- 20 L capacity</t>
  </si>
  <si>
    <t>Stainless Steel Cooking Barrel
- 10L to12 L capacity</t>
  </si>
  <si>
    <t>Nitrile Gloves - Medium</t>
  </si>
  <si>
    <t>15 box</t>
  </si>
  <si>
    <t>Gas Masks, N95 grade 3M</t>
  </si>
  <si>
    <t>Parafilm, 4" x 125 ft</t>
  </si>
  <si>
    <t>Non-Slip Lab Shoes (Medium/Size 8)</t>
  </si>
  <si>
    <t>20 Samples</t>
  </si>
  <si>
    <t>Sulfuric acid (Liquid)
- Analytical grade 98% purity, 2.5 L/bottle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</si>
</sst>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sz val="11.0"/>
      <color rgb="FF000000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4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/>
    </xf>
    <xf borderId="16" fillId="0" fontId="2" numFmtId="4" xfId="0" applyAlignment="1" applyBorder="1" applyFont="1" applyNumberFormat="1">
      <alignment horizontal="right"/>
    </xf>
    <xf borderId="16" fillId="0" fontId="2" numFmtId="0" xfId="0" applyBorder="1" applyFont="1"/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5" fillId="0" fontId="2" numFmtId="49" xfId="0" applyBorder="1" applyFont="1" applyNumberFormat="1"/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5" fillId="0" fontId="2" numFmtId="49" xfId="0" applyAlignment="1" applyBorder="1" applyFont="1" applyNumberFormat="1">
      <alignment horizontal="left" vertical="center"/>
    </xf>
    <xf borderId="17" fillId="0" fontId="2" numFmtId="0" xfId="0" applyAlignment="1" applyBorder="1" applyFont="1">
      <alignment horizontal="right" shrinkToFit="0" vertical="center" wrapText="1"/>
    </xf>
    <xf borderId="18" fillId="2" fontId="10" numFmtId="0" xfId="0" applyAlignment="1" applyBorder="1" applyFont="1">
      <alignment horizontal="left" vertical="center"/>
    </xf>
    <xf borderId="16" fillId="2" fontId="2" numFmtId="0" xfId="0" applyBorder="1" applyFont="1"/>
    <xf borderId="16" fillId="2" fontId="2" numFmtId="4" xfId="0" applyAlignment="1" applyBorder="1" applyFont="1" applyNumberFormat="1">
      <alignment horizontal="right"/>
    </xf>
    <xf borderId="19" fillId="0" fontId="10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left" shrinkToFit="0" vertical="center" wrapText="1"/>
    </xf>
    <xf borderId="21" fillId="0" fontId="8" numFmtId="0" xfId="0" applyBorder="1" applyFont="1"/>
    <xf borderId="22" fillId="0" fontId="8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23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5" fillId="0" fontId="6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4" fillId="0" fontId="1" numFmtId="164" xfId="0" applyAlignment="1" applyBorder="1" applyFont="1" applyNumberFormat="1">
      <alignment horizontal="center"/>
    </xf>
    <xf borderId="25" fillId="0" fontId="8" numFmtId="0" xfId="0" applyBorder="1" applyFont="1"/>
    <xf borderId="26" fillId="0" fontId="8" numFmtId="0" xfId="0" applyBorder="1" applyFont="1"/>
    <xf borderId="0" fillId="0" fontId="9" numFmtId="0" xfId="0" applyAlignment="1" applyFont="1">
      <alignment horizontal="left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0" fillId="0" fontId="18" numFmtId="0" xfId="0" applyFont="1"/>
    <xf borderId="0" fillId="0" fontId="17" numFmtId="0" xfId="0" applyAlignment="1" applyFont="1">
      <alignment shrinkToFit="0" wrapText="1"/>
    </xf>
    <xf borderId="0" fillId="0" fontId="19" numFmtId="0" xfId="0" applyFont="1"/>
    <xf borderId="0" fillId="0" fontId="17" numFmtId="0" xfId="0" applyAlignment="1" applyFont="1">
      <alignment horizontal="left" shrinkToFit="0" wrapText="1"/>
    </xf>
    <xf borderId="0" fillId="0" fontId="19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3" fillId="2" fontId="10" numFmtId="0" xfId="0" applyAlignment="1" applyBorder="1" applyFont="1">
      <alignment horizontal="left" shrinkToFit="0" vertical="center" wrapText="1"/>
    </xf>
    <xf borderId="15" fillId="0" fontId="20" numFmtId="0" xfId="0" applyAlignment="1" applyBorder="1" applyFont="1">
      <alignment readingOrder="0" shrinkToFit="0" wrapText="0"/>
    </xf>
    <xf borderId="27" fillId="0" fontId="20" numFmtId="0" xfId="0" applyAlignment="1" applyBorder="1" applyFont="1">
      <alignment horizontal="center" readingOrder="0"/>
    </xf>
    <xf borderId="27" fillId="0" fontId="20" numFmtId="4" xfId="0" applyAlignment="1" applyBorder="1" applyFont="1" applyNumberFormat="1">
      <alignment horizontal="right"/>
    </xf>
    <xf borderId="27" fillId="3" fontId="20" numFmtId="164" xfId="0" applyAlignment="1" applyBorder="1" applyFill="1" applyFont="1" applyNumberFormat="1">
      <alignment horizontal="center"/>
    </xf>
    <xf borderId="17" fillId="0" fontId="9" numFmtId="0" xfId="0" applyAlignment="1" applyBorder="1" applyFont="1">
      <alignment horizontal="center" shrinkToFit="0" vertical="center" wrapText="1"/>
    </xf>
    <xf borderId="17" fillId="3" fontId="2" numFmtId="0" xfId="0" applyBorder="1" applyFont="1"/>
    <xf borderId="17" fillId="0" fontId="2" numFmtId="0" xfId="0" applyBorder="1" applyFont="1"/>
    <xf borderId="15" fillId="0" fontId="2" numFmtId="0" xfId="0" applyBorder="1" applyFont="1"/>
    <xf borderId="12" fillId="3" fontId="10" numFmtId="0" xfId="0" applyAlignment="1" applyBorder="1" applyFont="1">
      <alignment horizontal="center" shrinkToFit="0" vertical="center" wrapText="1"/>
    </xf>
    <xf borderId="15" fillId="3" fontId="2" numFmtId="49" xfId="0" applyAlignment="1" applyBorder="1" applyFont="1" applyNumberFormat="1">
      <alignment readingOrder="0" vertical="bottom"/>
    </xf>
    <xf borderId="27" fillId="3" fontId="2" numFmtId="0" xfId="0" applyAlignment="1" applyBorder="1" applyFont="1">
      <alignment horizontal="center" readingOrder="0" shrinkToFit="0" vertical="center" wrapText="1"/>
    </xf>
    <xf borderId="27" fillId="3" fontId="2" numFmtId="4" xfId="0" applyAlignment="1" applyBorder="1" applyFont="1" applyNumberFormat="1">
      <alignment horizontal="right" readingOrder="0" vertical="bottom"/>
    </xf>
    <xf borderId="27" fillId="3" fontId="2" numFmtId="164" xfId="0" applyAlignment="1" applyBorder="1" applyFont="1" applyNumberFormat="1">
      <alignment horizontal="center" shrinkToFit="0" vertical="center" wrapText="1"/>
    </xf>
    <xf borderId="16" fillId="3" fontId="2" numFmtId="0" xfId="0" applyBorder="1" applyFont="1"/>
    <xf borderId="17" fillId="3" fontId="2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ont="1">
      <alignment readingOrder="0"/>
    </xf>
    <xf borderId="15" fillId="3" fontId="2" numFmtId="0" xfId="0" applyBorder="1" applyFont="1"/>
    <xf borderId="0" fillId="3" fontId="9" numFmtId="0" xfId="0" applyFont="1"/>
    <xf borderId="0" fillId="3" fontId="2" numFmtId="0" xfId="0" applyFont="1"/>
    <xf borderId="12" fillId="4" fontId="10" numFmtId="0" xfId="0" applyAlignment="1" applyBorder="1" applyFill="1" applyFont="1">
      <alignment horizontal="center" shrinkToFit="0" vertical="center" wrapText="1"/>
    </xf>
    <xf borderId="16" fillId="4" fontId="2" numFmtId="49" xfId="0" applyAlignment="1" applyBorder="1" applyFont="1" applyNumberFormat="1">
      <alignment readingOrder="0" vertical="bottom"/>
    </xf>
    <xf borderId="27" fillId="4" fontId="2" numFmtId="0" xfId="0" applyAlignment="1" applyBorder="1" applyFont="1">
      <alignment horizontal="center" readingOrder="0" shrinkToFit="0" vertical="center" wrapText="1"/>
    </xf>
    <xf borderId="16" fillId="4" fontId="2" numFmtId="4" xfId="0" applyAlignment="1" applyBorder="1" applyFont="1" applyNumberFormat="1">
      <alignment horizontal="right" readingOrder="0" vertical="bottom"/>
    </xf>
    <xf borderId="27" fillId="4" fontId="2" numFmtId="164" xfId="0" applyAlignment="1" applyBorder="1" applyFont="1" applyNumberFormat="1">
      <alignment horizontal="center" shrinkToFit="0" vertical="center" wrapText="1"/>
    </xf>
    <xf borderId="16" fillId="4" fontId="2" numFmtId="0" xfId="0" applyBorder="1" applyFont="1"/>
    <xf borderId="17" fillId="4" fontId="2" numFmtId="0" xfId="0" applyAlignment="1" applyBorder="1" applyFont="1">
      <alignment horizontal="center" readingOrder="0" shrinkToFit="0" vertical="center" wrapText="1"/>
    </xf>
    <xf borderId="17" fillId="4" fontId="2" numFmtId="0" xfId="0" applyBorder="1" applyFont="1"/>
    <xf borderId="17" fillId="4" fontId="2" numFmtId="0" xfId="0" applyAlignment="1" applyBorder="1" applyFont="1">
      <alignment readingOrder="0"/>
    </xf>
    <xf borderId="15" fillId="4" fontId="2" numFmtId="0" xfId="0" applyBorder="1" applyFont="1"/>
    <xf borderId="0" fillId="4" fontId="9" numFmtId="0" xfId="0" applyFont="1"/>
    <xf borderId="0" fillId="4" fontId="2" numFmtId="0" xfId="0" applyFont="1"/>
    <xf borderId="28" fillId="0" fontId="8" numFmtId="0" xfId="0" applyBorder="1" applyFont="1"/>
    <xf borderId="29" fillId="0" fontId="8" numFmtId="0" xfId="0" applyBorder="1" applyFont="1"/>
    <xf borderId="17" fillId="4" fontId="2" numFmtId="4" xfId="0" applyAlignment="1" applyBorder="1" applyFont="1" applyNumberFormat="1">
      <alignment horizontal="right" readingOrder="0" vertical="bottom"/>
    </xf>
    <xf borderId="27" fillId="4" fontId="2" numFmtId="164" xfId="0" applyAlignment="1" applyBorder="1" applyFont="1" applyNumberFormat="1">
      <alignment horizontal="center" readingOrder="0" shrinkToFit="0" vertical="center" wrapText="1"/>
    </xf>
    <xf borderId="16" fillId="4" fontId="2" numFmtId="0" xfId="0" applyAlignment="1" applyBorder="1" applyFont="1">
      <alignment vertical="bottom"/>
    </xf>
    <xf borderId="16" fillId="4" fontId="21" numFmtId="49" xfId="0" applyAlignment="1" applyBorder="1" applyFont="1" applyNumberFormat="1">
      <alignment readingOrder="0" vertical="bottom"/>
    </xf>
    <xf borderId="17" fillId="4" fontId="2" numFmtId="4" xfId="0" applyAlignment="1" applyBorder="1" applyFont="1" applyNumberFormat="1">
      <alignment horizontal="right"/>
    </xf>
    <xf borderId="17" fillId="4" fontId="2" numFmtId="164" xfId="0" applyAlignment="1" applyBorder="1" applyFont="1" applyNumberFormat="1">
      <alignment horizontal="center" shrinkToFit="0" vertical="center" wrapText="1"/>
    </xf>
    <xf borderId="30" fillId="4" fontId="10" numFmtId="0" xfId="0" applyAlignment="1" applyBorder="1" applyFont="1">
      <alignment horizontal="center" shrinkToFit="0" vertical="center" wrapText="1"/>
    </xf>
    <xf borderId="16" fillId="4" fontId="21" numFmtId="49" xfId="0" applyAlignment="1" applyBorder="1" applyFont="1" applyNumberFormat="1">
      <alignment vertical="bottom"/>
    </xf>
    <xf borderId="16" fillId="4" fontId="2" numFmtId="4" xfId="0" applyAlignment="1" applyBorder="1" applyFont="1" applyNumberFormat="1">
      <alignment horizontal="right"/>
    </xf>
    <xf borderId="16" fillId="4" fontId="2" numFmtId="164" xfId="0" applyAlignment="1" applyBorder="1" applyFont="1" applyNumberFormat="1">
      <alignment horizontal="center" shrinkToFit="0" vertical="center" wrapText="1"/>
    </xf>
    <xf borderId="22" fillId="4" fontId="2" numFmtId="0" xfId="0" applyBorder="1" applyFont="1"/>
    <xf borderId="16" fillId="4" fontId="2" numFmtId="4" xfId="0" applyAlignment="1" applyBorder="1" applyFont="1" applyNumberFormat="1">
      <alignment horizontal="right" readingOrder="0"/>
    </xf>
    <xf borderId="16" fillId="4" fontId="21" numFmtId="49" xfId="0" applyAlignment="1" applyBorder="1" applyFont="1" applyNumberFormat="1">
      <alignment shrinkToFit="0" vertical="bottom" wrapText="1"/>
    </xf>
    <xf borderId="16" fillId="4" fontId="2" numFmtId="4" xfId="0" applyAlignment="1" applyBorder="1" applyFont="1" applyNumberFormat="1">
      <alignment horizontal="right" shrinkToFit="0" vertical="center" wrapText="1"/>
    </xf>
    <xf borderId="16" fillId="4" fontId="21" numFmtId="49" xfId="0" applyAlignment="1" applyBorder="1" applyFont="1" applyNumberFormat="1">
      <alignment readingOrder="0" shrinkToFit="0" vertical="bottom" wrapText="1"/>
    </xf>
    <xf borderId="16" fillId="4" fontId="2" numFmtId="0" xfId="0" applyAlignment="1" applyBorder="1" applyFont="1">
      <alignment horizontal="right" shrinkToFit="0" vertical="center" wrapText="1"/>
    </xf>
    <xf borderId="16" fillId="4" fontId="22" numFmtId="49" xfId="0" applyAlignment="1" applyBorder="1" applyFont="1" applyNumberFormat="1">
      <alignment readingOrder="0" shrinkToFit="0" vertical="bottom" wrapText="1"/>
    </xf>
    <xf borderId="16" fillId="4" fontId="2" numFmtId="0" xfId="0" applyAlignment="1" applyBorder="1" applyFont="1">
      <alignment horizontal="right" readingOrder="0" shrinkToFit="0" vertical="center" wrapText="1"/>
    </xf>
    <xf borderId="22" fillId="4" fontId="2" numFmtId="0" xfId="0" applyAlignment="1" applyBorder="1" applyFont="1">
      <alignment readingOrder="0"/>
    </xf>
    <xf borderId="16" fillId="4" fontId="2" numFmtId="0" xfId="0" applyAlignment="1" applyBorder="1" applyFont="1">
      <alignment readingOrder="0"/>
    </xf>
    <xf borderId="30" fillId="0" fontId="10" numFmtId="0" xfId="0" applyAlignment="1" applyBorder="1" applyFont="1">
      <alignment horizontal="center" shrinkToFit="0" vertical="center" wrapText="1"/>
    </xf>
    <xf borderId="16" fillId="0" fontId="21" numFmtId="49" xfId="0" applyAlignment="1" applyBorder="1" applyFont="1" applyNumberFormat="1">
      <alignment readingOrder="0" shrinkToFit="0" vertical="bottom" wrapText="1"/>
    </xf>
    <xf borderId="2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right" readingOrder="0" shrinkToFit="0" vertical="center" wrapText="1"/>
    </xf>
    <xf borderId="17" fillId="3" fontId="2" numFmtId="164" xfId="0" applyAlignment="1" applyBorder="1" applyFont="1" applyNumberFormat="1">
      <alignment horizontal="center" shrinkToFit="0" vertical="center" wrapText="1"/>
    </xf>
    <xf borderId="22" fillId="0" fontId="2" numFmtId="0" xfId="0" applyBorder="1" applyFont="1"/>
    <xf borderId="17" fillId="0" fontId="2" numFmtId="0" xfId="0" applyAlignment="1" applyBorder="1" applyFont="1">
      <alignment readingOrder="0"/>
    </xf>
    <xf borderId="29" fillId="0" fontId="2" numFmtId="0" xfId="0" applyBorder="1" applyFont="1"/>
    <xf borderId="30" fillId="5" fontId="10" numFmtId="0" xfId="0" applyAlignment="1" applyBorder="1" applyFill="1" applyFont="1">
      <alignment horizontal="center" shrinkToFit="0" vertical="center" wrapText="1"/>
    </xf>
    <xf borderId="16" fillId="5" fontId="21" numFmtId="49" xfId="0" applyAlignment="1" applyBorder="1" applyFont="1" applyNumberFormat="1">
      <alignment readingOrder="0" shrinkToFit="0" vertical="bottom" wrapText="1"/>
    </xf>
    <xf borderId="17" fillId="5" fontId="2" numFmtId="4" xfId="0" applyAlignment="1" applyBorder="1" applyFont="1" applyNumberFormat="1">
      <alignment horizontal="right" readingOrder="0" shrinkToFit="0" vertical="center" wrapText="1"/>
    </xf>
    <xf borderId="17" fillId="5" fontId="2" numFmtId="164" xfId="0" applyAlignment="1" applyBorder="1" applyFont="1" applyNumberFormat="1">
      <alignment horizontal="center" shrinkToFit="0" vertical="center" wrapText="1"/>
    </xf>
    <xf borderId="22" fillId="5" fontId="2" numFmtId="0" xfId="0" applyAlignment="1" applyBorder="1" applyFont="1">
      <alignment readingOrder="0"/>
    </xf>
    <xf borderId="17" fillId="5" fontId="2" numFmtId="0" xfId="0" applyBorder="1" applyFont="1"/>
    <xf borderId="17" fillId="5" fontId="2" numFmtId="0" xfId="0" applyAlignment="1" applyBorder="1" applyFont="1">
      <alignment readingOrder="0"/>
    </xf>
    <xf borderId="29" fillId="5" fontId="2" numFmtId="0" xfId="0" applyBorder="1" applyFont="1"/>
    <xf borderId="15" fillId="5" fontId="2" numFmtId="0" xfId="0" applyBorder="1" applyFont="1"/>
    <xf borderId="0" fillId="5" fontId="9" numFmtId="0" xfId="0" applyFont="1"/>
    <xf borderId="0" fillId="5" fontId="2" numFmtId="0" xfId="0" applyFont="1"/>
    <xf borderId="16" fillId="5" fontId="21" numFmtId="49" xfId="0" applyAlignment="1" applyBorder="1" applyFont="1" applyNumberFormat="1">
      <alignment readingOrder="0" shrinkToFit="0" vertical="bottom" wrapText="0"/>
    </xf>
    <xf borderId="17" fillId="5" fontId="2" numFmtId="0" xfId="0" applyAlignment="1" applyBorder="1" applyFont="1">
      <alignment horizontal="right" readingOrder="0" shrinkToFit="0" vertical="center" wrapText="1"/>
    </xf>
    <xf borderId="27" fillId="5" fontId="2" numFmtId="0" xfId="0" applyAlignment="1" applyBorder="1" applyFont="1">
      <alignment readingOrder="0"/>
    </xf>
    <xf borderId="30" fillId="0" fontId="2" numFmtId="0" xfId="0" applyBorder="1" applyFont="1"/>
    <xf borderId="16" fillId="0" fontId="2" numFmtId="49" xfId="0" applyAlignment="1" applyBorder="1" applyFont="1" applyNumberFormat="1">
      <alignment shrinkToFit="0" vertical="bottom" wrapText="1"/>
    </xf>
    <xf borderId="27" fillId="0" fontId="2" numFmtId="0" xfId="0" applyAlignment="1" applyBorder="1" applyFont="1">
      <alignment horizontal="center" shrinkToFit="0" wrapText="1"/>
    </xf>
    <xf borderId="17" fillId="0" fontId="2" numFmtId="4" xfId="0" applyAlignment="1" applyBorder="1" applyFont="1" applyNumberFormat="1">
      <alignment horizontal="right" shrinkToFit="0" wrapText="1"/>
    </xf>
    <xf borderId="17" fillId="3" fontId="2" numFmtId="164" xfId="0" applyAlignment="1" applyBorder="1" applyFont="1" applyNumberFormat="1">
      <alignment horizontal="center" shrinkToFit="0" wrapText="1"/>
    </xf>
    <xf borderId="22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7" fillId="0" fontId="2" numFmtId="0" xfId="0" applyAlignment="1" applyBorder="1" applyFont="1">
      <alignment horizontal="right" vertical="bottom"/>
    </xf>
    <xf borderId="29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6" fillId="0" fontId="2" numFmtId="49" xfId="0" applyAlignment="1" applyBorder="1" applyFont="1" applyNumberFormat="1">
      <alignment readingOrder="0" shrinkToFit="0" vertical="bottom" wrapText="1"/>
    </xf>
    <xf borderId="27" fillId="0" fontId="2" numFmtId="0" xfId="0" applyAlignment="1" applyBorder="1" applyFont="1">
      <alignment horizontal="center" readingOrder="0" shrinkToFit="0" wrapText="1"/>
    </xf>
    <xf borderId="17" fillId="0" fontId="2" numFmtId="4" xfId="0" applyAlignment="1" applyBorder="1" applyFont="1" applyNumberFormat="1">
      <alignment horizontal="right" readingOrder="0" shrinkToFit="0" wrapText="1"/>
    </xf>
    <xf borderId="27" fillId="0" fontId="2" numFmtId="0" xfId="0" applyAlignment="1" applyBorder="1" applyFont="1">
      <alignment readingOrder="0" vertical="bottom"/>
    </xf>
    <xf borderId="30" fillId="0" fontId="6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31" fillId="2" fontId="6" numFmtId="0" xfId="0" applyAlignment="1" applyBorder="1" applyFont="1">
      <alignment horizontal="center" shrinkToFit="0" vertical="center" wrapText="1"/>
    </xf>
    <xf borderId="30" fillId="6" fontId="10" numFmtId="0" xfId="0" applyAlignment="1" applyBorder="1" applyFill="1" applyFont="1">
      <alignment horizontal="center" shrinkToFit="0" vertical="center" wrapText="1"/>
    </xf>
    <xf borderId="16" fillId="6" fontId="21" numFmtId="49" xfId="0" applyAlignment="1" applyBorder="1" applyFont="1" applyNumberFormat="1">
      <alignment readingOrder="0" shrinkToFit="0" vertical="bottom" wrapText="1"/>
    </xf>
    <xf borderId="27" fillId="6" fontId="2" numFmtId="0" xfId="0" applyAlignment="1" applyBorder="1" applyFont="1">
      <alignment horizontal="center" readingOrder="0" shrinkToFit="0" vertical="center" wrapText="1"/>
    </xf>
    <xf borderId="17" fillId="6" fontId="2" numFmtId="4" xfId="0" applyAlignment="1" applyBorder="1" applyFont="1" applyNumberFormat="1">
      <alignment horizontal="right" shrinkToFit="0" wrapText="1"/>
    </xf>
    <xf borderId="17" fillId="6" fontId="2" numFmtId="164" xfId="0" applyAlignment="1" applyBorder="1" applyFont="1" applyNumberFormat="1">
      <alignment horizontal="center" shrinkToFit="0" vertical="center" wrapText="1"/>
    </xf>
    <xf borderId="27" fillId="6" fontId="2" numFmtId="0" xfId="0" applyBorder="1" applyFont="1"/>
    <xf borderId="17" fillId="6" fontId="9" numFmtId="0" xfId="0" applyAlignment="1" applyBorder="1" applyFont="1">
      <alignment horizontal="center" shrinkToFit="0" vertical="center" wrapText="1"/>
    </xf>
    <xf borderId="17" fillId="6" fontId="2" numFmtId="0" xfId="0" applyBorder="1" applyFont="1"/>
    <xf borderId="17" fillId="6" fontId="2" numFmtId="0" xfId="0" applyAlignment="1" applyBorder="1" applyFont="1">
      <alignment readingOrder="0"/>
    </xf>
    <xf borderId="29" fillId="6" fontId="2" numFmtId="0" xfId="0" applyBorder="1" applyFont="1"/>
    <xf borderId="15" fillId="6" fontId="2" numFmtId="0" xfId="0" applyBorder="1" applyFont="1"/>
    <xf borderId="0" fillId="6" fontId="9" numFmtId="0" xfId="0" applyFont="1"/>
    <xf borderId="0" fillId="6" fontId="2" numFmtId="0" xfId="0" applyFont="1"/>
    <xf borderId="30" fillId="7" fontId="10" numFmtId="0" xfId="0" applyAlignment="1" applyBorder="1" applyFill="1" applyFont="1">
      <alignment horizontal="center" shrinkToFit="0" vertical="center" wrapText="1"/>
    </xf>
    <xf borderId="16" fillId="7" fontId="21" numFmtId="49" xfId="0" applyAlignment="1" applyBorder="1" applyFont="1" applyNumberFormat="1">
      <alignment readingOrder="0" shrinkToFit="0" vertical="bottom" wrapText="1"/>
    </xf>
    <xf borderId="17" fillId="7" fontId="2" numFmtId="0" xfId="0" applyAlignment="1" applyBorder="1" applyFont="1">
      <alignment horizontal="center" shrinkToFit="0" vertical="center" wrapText="1"/>
    </xf>
    <xf borderId="16" fillId="7" fontId="2" numFmtId="4" xfId="0" applyAlignment="1" applyBorder="1" applyFont="1" applyNumberFormat="1">
      <alignment horizontal="right" shrinkToFit="0" wrapText="1"/>
    </xf>
    <xf borderId="17" fillId="7" fontId="2" numFmtId="164" xfId="0" applyAlignment="1" applyBorder="1" applyFont="1" applyNumberFormat="1">
      <alignment horizontal="center" shrinkToFit="0" vertical="center" wrapText="1"/>
    </xf>
    <xf borderId="22" fillId="7" fontId="2" numFmtId="0" xfId="0" applyBorder="1" applyFont="1"/>
    <xf borderId="17" fillId="7" fontId="9" numFmtId="0" xfId="0" applyAlignment="1" applyBorder="1" applyFont="1">
      <alignment horizontal="center" shrinkToFit="0" vertical="center" wrapText="1"/>
    </xf>
    <xf borderId="16" fillId="7" fontId="2" numFmtId="0" xfId="0" applyBorder="1" applyFont="1"/>
    <xf borderId="16" fillId="7" fontId="2" numFmtId="0" xfId="0" applyAlignment="1" applyBorder="1" applyFont="1">
      <alignment readingOrder="0"/>
    </xf>
    <xf borderId="0" fillId="7" fontId="9" numFmtId="0" xfId="0" applyFont="1"/>
    <xf borderId="0" fillId="7" fontId="2" numFmtId="0" xfId="0" applyFont="1"/>
    <xf borderId="15" fillId="4" fontId="2" numFmtId="4" xfId="0" applyAlignment="1" applyBorder="1" applyFont="1" applyNumberFormat="1">
      <alignment horizontal="right" shrinkToFit="0" wrapText="1"/>
    </xf>
    <xf borderId="15" fillId="4" fontId="2" numFmtId="4" xfId="0" applyAlignment="1" applyBorder="1" applyFont="1" applyNumberFormat="1">
      <alignment horizontal="right" readingOrder="0" shrinkToFit="0" wrapText="1"/>
    </xf>
    <xf borderId="15" fillId="0" fontId="2" numFmtId="4" xfId="0" applyAlignment="1" applyBorder="1" applyFont="1" applyNumberFormat="1">
      <alignment horizontal="right" shrinkToFit="0" wrapText="1"/>
    </xf>
    <xf borderId="16" fillId="0" fontId="2" numFmtId="0" xfId="0" applyAlignment="1" applyBorder="1" applyFont="1">
      <alignment readingOrder="0"/>
    </xf>
    <xf borderId="16" fillId="0" fontId="21" numFmtId="49" xfId="0" applyAlignment="1" applyBorder="1" applyFont="1" applyNumberFormat="1">
      <alignment shrinkToFit="0" vertical="bottom" wrapText="1"/>
    </xf>
    <xf borderId="26" fillId="4" fontId="2" numFmtId="4" xfId="0" applyAlignment="1" applyBorder="1" applyFont="1" applyNumberFormat="1">
      <alignment horizontal="right" readingOrder="0" shrinkToFit="0" wrapText="1"/>
    </xf>
    <xf borderId="27" fillId="4" fontId="9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26" fillId="0" fontId="2" numFmtId="4" xfId="0" applyAlignment="1" applyBorder="1" applyFont="1" applyNumberFormat="1">
      <alignment horizontal="right" readingOrder="0" shrinkToFit="0" wrapText="1"/>
    </xf>
    <xf borderId="27" fillId="3" fontId="2" numFmtId="164" xfId="0" applyAlignment="1" applyBorder="1" applyFont="1" applyNumberFormat="1">
      <alignment horizontal="center" readingOrder="0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readingOrder="0"/>
    </xf>
    <xf borderId="16" fillId="4" fontId="10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2" fillId="2" fontId="10" numFmtId="49" xfId="0" applyBorder="1" applyFont="1" applyNumberFormat="1"/>
    <xf borderId="22" fillId="2" fontId="2" numFmtId="0" xfId="0" applyAlignment="1" applyBorder="1" applyFont="1">
      <alignment vertical="bottom"/>
    </xf>
    <xf borderId="22" fillId="2" fontId="2" numFmtId="4" xfId="0" applyAlignment="1" applyBorder="1" applyFont="1" applyNumberFormat="1">
      <alignment vertical="bottom"/>
    </xf>
    <xf borderId="22" fillId="2" fontId="2" numFmtId="164" xfId="0" applyAlignment="1" applyBorder="1" applyFont="1" applyNumberFormat="1">
      <alignment vertical="bottom"/>
    </xf>
    <xf borderId="27" fillId="2" fontId="2" numFmtId="0" xfId="0" applyAlignment="1" applyBorder="1" applyFont="1">
      <alignment vertical="bottom"/>
    </xf>
    <xf borderId="16" fillId="4" fontId="2" numFmtId="0" xfId="0" applyAlignment="1" applyBorder="1" applyFont="1">
      <alignment horizontal="center" readingOrder="0" vertical="center"/>
    </xf>
    <xf borderId="16" fillId="4" fontId="2" numFmtId="4" xfId="0" applyAlignment="1" applyBorder="1" applyFont="1" applyNumberFormat="1">
      <alignment horizontal="right" readingOrder="0" shrinkToFit="0" wrapText="1"/>
    </xf>
    <xf borderId="32" fillId="4" fontId="2" numFmtId="164" xfId="0" applyAlignment="1" applyBorder="1" applyFont="1" applyNumberFormat="1">
      <alignment horizontal="center" shrinkToFit="0" vertical="center" wrapText="1"/>
    </xf>
    <xf borderId="16" fillId="4" fontId="2" numFmtId="0" xfId="0" applyAlignment="1" applyBorder="1" applyFont="1">
      <alignment horizontal="center" vertical="center"/>
    </xf>
    <xf borderId="27" fillId="8" fontId="9" numFmtId="0" xfId="0" applyAlignment="1" applyBorder="1" applyFill="1" applyFont="1">
      <alignment horizontal="center" readingOrder="0" shrinkToFit="0" vertical="center" wrapText="1"/>
    </xf>
    <xf borderId="12" fillId="9" fontId="10" numFmtId="0" xfId="0" applyAlignment="1" applyBorder="1" applyFill="1" applyFont="1">
      <alignment horizontal="center" shrinkToFit="0" vertical="center" wrapText="1"/>
    </xf>
    <xf borderId="16" fillId="9" fontId="21" numFmtId="49" xfId="0" applyAlignment="1" applyBorder="1" applyFont="1" applyNumberFormat="1">
      <alignment readingOrder="0" shrinkToFit="0" vertical="bottom" wrapText="1"/>
    </xf>
    <xf borderId="16" fillId="9" fontId="2" numFmtId="0" xfId="0" applyAlignment="1" applyBorder="1" applyFont="1">
      <alignment horizontal="center" readingOrder="0" vertical="center"/>
    </xf>
    <xf borderId="16" fillId="9" fontId="2" numFmtId="4" xfId="0" applyAlignment="1" applyBorder="1" applyFont="1" applyNumberFormat="1">
      <alignment horizontal="right" readingOrder="0" shrinkToFit="0" wrapText="1"/>
    </xf>
    <xf borderId="32" fillId="9" fontId="2" numFmtId="164" xfId="0" applyAlignment="1" applyBorder="1" applyFont="1" applyNumberFormat="1">
      <alignment horizontal="center" shrinkToFit="0" vertical="center" wrapText="1"/>
    </xf>
    <xf borderId="16" fillId="9" fontId="2" numFmtId="0" xfId="0" applyAlignment="1" applyBorder="1" applyFont="1">
      <alignment horizontal="center" vertical="center"/>
    </xf>
    <xf borderId="16" fillId="9" fontId="2" numFmtId="0" xfId="0" applyBorder="1" applyFont="1"/>
    <xf borderId="0" fillId="9" fontId="9" numFmtId="0" xfId="0" applyFont="1"/>
    <xf borderId="0" fillId="9" fontId="2" numFmtId="0" xfId="0" applyFont="1"/>
    <xf borderId="12" fillId="10" fontId="10" numFmtId="0" xfId="0" applyAlignment="1" applyBorder="1" applyFill="1" applyFont="1">
      <alignment horizontal="center" shrinkToFit="0" vertical="center" wrapText="1"/>
    </xf>
    <xf borderId="16" fillId="10" fontId="21" numFmtId="49" xfId="0" applyAlignment="1" applyBorder="1" applyFont="1" applyNumberFormat="1">
      <alignment readingOrder="0" shrinkToFit="0" vertical="bottom" wrapText="1"/>
    </xf>
    <xf borderId="16" fillId="10" fontId="2" numFmtId="0" xfId="0" applyAlignment="1" applyBorder="1" applyFont="1">
      <alignment horizontal="center" readingOrder="0" vertical="center"/>
    </xf>
    <xf borderId="16" fillId="10" fontId="2" numFmtId="4" xfId="0" applyAlignment="1" applyBorder="1" applyFont="1" applyNumberFormat="1">
      <alignment horizontal="right" readingOrder="0" shrinkToFit="0" wrapText="1"/>
    </xf>
    <xf borderId="32" fillId="10" fontId="2" numFmtId="164" xfId="0" applyAlignment="1" applyBorder="1" applyFont="1" applyNumberFormat="1">
      <alignment horizontal="center" shrinkToFit="0" vertical="center" wrapText="1"/>
    </xf>
    <xf borderId="16" fillId="3" fontId="2" numFmtId="0" xfId="0" applyAlignment="1" applyBorder="1" applyFont="1">
      <alignment horizontal="center" vertical="center"/>
    </xf>
    <xf borderId="16" fillId="10" fontId="2" numFmtId="0" xfId="0" applyBorder="1" applyFont="1"/>
    <xf borderId="0" fillId="10" fontId="9" numFmtId="0" xfId="0" applyFont="1"/>
    <xf borderId="0" fillId="10" fontId="2" numFmtId="0" xfId="0" applyFont="1"/>
    <xf borderId="32" fillId="10" fontId="2" numFmtId="164" xfId="0" applyAlignment="1" applyBorder="1" applyFont="1" applyNumberFormat="1">
      <alignment horizontal="center" readingOrder="0" shrinkToFit="0" vertical="center" wrapText="1"/>
    </xf>
    <xf borderId="16" fillId="3" fontId="2" numFmtId="164" xfId="0" applyAlignment="1" applyBorder="1" applyFont="1" applyNumberFormat="1">
      <alignment horizontal="center" vertical="center"/>
    </xf>
    <xf borderId="12" fillId="11" fontId="10" numFmtId="0" xfId="0" applyAlignment="1" applyBorder="1" applyFill="1" applyFont="1">
      <alignment horizontal="center" shrinkToFit="0" vertical="center" wrapText="1"/>
    </xf>
    <xf borderId="16" fillId="11" fontId="21" numFmtId="49" xfId="0" applyAlignment="1" applyBorder="1" applyFont="1" applyNumberFormat="1">
      <alignment readingOrder="0" shrinkToFit="0" vertical="bottom" wrapText="1"/>
    </xf>
    <xf borderId="16" fillId="11" fontId="2" numFmtId="0" xfId="0" applyAlignment="1" applyBorder="1" applyFont="1">
      <alignment horizontal="center" readingOrder="0" vertical="center"/>
    </xf>
    <xf borderId="16" fillId="11" fontId="2" numFmtId="4" xfId="0" applyAlignment="1" applyBorder="1" applyFont="1" applyNumberFormat="1">
      <alignment horizontal="right" readingOrder="0" shrinkToFit="0" wrapText="1"/>
    </xf>
    <xf borderId="32" fillId="11" fontId="2" numFmtId="164" xfId="0" applyAlignment="1" applyBorder="1" applyFont="1" applyNumberFormat="1">
      <alignment horizontal="center" shrinkToFit="0" vertical="center" wrapText="1"/>
    </xf>
    <xf borderId="16" fillId="11" fontId="2" numFmtId="0" xfId="0" applyAlignment="1" applyBorder="1" applyFont="1">
      <alignment horizontal="center" vertical="center"/>
    </xf>
    <xf borderId="16" fillId="11" fontId="2" numFmtId="0" xfId="0" applyBorder="1" applyFont="1"/>
    <xf borderId="0" fillId="11" fontId="9" numFmtId="0" xfId="0" applyFont="1"/>
    <xf borderId="0" fillId="11" fontId="2" numFmtId="0" xfId="0" applyFont="1"/>
    <xf borderId="32" fillId="9" fontId="2" numFmtId="164" xfId="0" applyAlignment="1" applyBorder="1" applyFont="1" applyNumberFormat="1">
      <alignment horizontal="center" readingOrder="0" shrinkToFit="0" vertical="center" wrapText="1"/>
    </xf>
    <xf borderId="12" fillId="12" fontId="10" numFmtId="0" xfId="0" applyAlignment="1" applyBorder="1" applyFill="1" applyFont="1">
      <alignment horizontal="center" shrinkToFit="0" vertical="center" wrapText="1"/>
    </xf>
    <xf borderId="16" fillId="12" fontId="21" numFmtId="49" xfId="0" applyAlignment="1" applyBorder="1" applyFont="1" applyNumberFormat="1">
      <alignment readingOrder="0" shrinkToFit="0" vertical="bottom" wrapText="1"/>
    </xf>
    <xf borderId="16" fillId="12" fontId="2" numFmtId="0" xfId="0" applyAlignment="1" applyBorder="1" applyFont="1">
      <alignment horizontal="center" readingOrder="0" vertical="center"/>
    </xf>
    <xf borderId="16" fillId="12" fontId="2" numFmtId="4" xfId="0" applyAlignment="1" applyBorder="1" applyFont="1" applyNumberFormat="1">
      <alignment horizontal="right" readingOrder="0" shrinkToFit="0" wrapText="1"/>
    </xf>
    <xf borderId="32" fillId="12" fontId="2" numFmtId="164" xfId="0" applyAlignment="1" applyBorder="1" applyFont="1" applyNumberFormat="1">
      <alignment horizontal="center" shrinkToFit="0" vertical="center" wrapText="1"/>
    </xf>
    <xf borderId="16" fillId="12" fontId="2" numFmtId="0" xfId="0" applyAlignment="1" applyBorder="1" applyFont="1">
      <alignment horizontal="center" vertical="center"/>
    </xf>
    <xf borderId="16" fillId="12" fontId="2" numFmtId="0" xfId="0" applyBorder="1" applyFont="1"/>
    <xf borderId="0" fillId="12" fontId="9" numFmtId="0" xfId="0" applyFont="1"/>
    <xf borderId="0" fillId="12" fontId="2" numFmtId="0" xfId="0" applyFont="1"/>
    <xf borderId="0" fillId="12" fontId="23" numFmtId="0" xfId="0" applyAlignment="1" applyFont="1">
      <alignment readingOrder="0"/>
    </xf>
    <xf borderId="0" fillId="12" fontId="2" numFmtId="0" xfId="0" applyAlignment="1" applyFont="1">
      <alignment horizontal="left" readingOrder="0"/>
    </xf>
    <xf borderId="32" fillId="12" fontId="2" numFmtId="16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readingOrder="0" shrinkToFit="0" vertical="bottom" wrapText="1"/>
    </xf>
    <xf borderId="16" fillId="3" fontId="2" numFmtId="0" xfId="0" applyAlignment="1" applyBorder="1" applyFont="1">
      <alignment horizontal="center" readingOrder="0" vertical="center"/>
    </xf>
    <xf borderId="16" fillId="3" fontId="2" numFmtId="4" xfId="0" applyAlignment="1" applyBorder="1" applyFont="1" applyNumberFormat="1">
      <alignment horizontal="right" readingOrder="0" shrinkToFit="0" wrapText="1"/>
    </xf>
    <xf borderId="32" fillId="3" fontId="2" numFmtId="164" xfId="0" applyAlignment="1" applyBorder="1" applyFont="1" applyNumberFormat="1">
      <alignment horizontal="center" readingOrder="0" shrinkToFit="0" vertical="center" wrapText="1"/>
    </xf>
    <xf borderId="16" fillId="11" fontId="21" numFmtId="49" xfId="0" applyAlignment="1" applyBorder="1" applyFont="1" applyNumberFormat="1">
      <alignment readingOrder="0" shrinkToFit="0" vertical="center" wrapText="1"/>
    </xf>
    <xf borderId="16" fillId="11" fontId="2" numFmtId="4" xfId="0" applyAlignment="1" applyBorder="1" applyFont="1" applyNumberFormat="1">
      <alignment horizontal="right" readingOrder="0" shrinkToFit="0" vertical="center" wrapText="1"/>
    </xf>
    <xf borderId="12" fillId="8" fontId="10" numFmtId="0" xfId="0" applyAlignment="1" applyBorder="1" applyFont="1">
      <alignment horizontal="center" shrinkToFit="0" vertical="center" wrapText="1"/>
    </xf>
    <xf borderId="16" fillId="8" fontId="21" numFmtId="49" xfId="0" applyAlignment="1" applyBorder="1" applyFont="1" applyNumberFormat="1">
      <alignment readingOrder="0" shrinkToFit="0" vertical="bottom" wrapText="1"/>
    </xf>
    <xf borderId="17" fillId="8" fontId="2" numFmtId="0" xfId="0" applyAlignment="1" applyBorder="1" applyFont="1">
      <alignment horizontal="center" readingOrder="0" vertical="center"/>
    </xf>
    <xf borderId="16" fillId="8" fontId="2" numFmtId="4" xfId="0" applyAlignment="1" applyBorder="1" applyFont="1" applyNumberFormat="1">
      <alignment horizontal="right" readingOrder="0" shrinkToFit="0" wrapText="1"/>
    </xf>
    <xf borderId="32" fillId="8" fontId="2" numFmtId="164" xfId="0" applyAlignment="1" applyBorder="1" applyFont="1" applyNumberFormat="1">
      <alignment horizontal="center" shrinkToFit="0" vertical="center" wrapText="1"/>
    </xf>
    <xf borderId="17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shrinkToFit="0" vertical="center" wrapText="1"/>
    </xf>
    <xf borderId="16" fillId="8" fontId="21" numFmtId="49" xfId="0" applyAlignment="1" applyBorder="1" applyFont="1" applyNumberFormat="1">
      <alignment vertical="bottom"/>
    </xf>
    <xf borderId="16" fillId="8" fontId="2" numFmtId="4" xfId="0" applyAlignment="1" applyBorder="1" applyFont="1" applyNumberFormat="1">
      <alignment horizontal="right" shrinkToFit="0" wrapText="1"/>
    </xf>
    <xf borderId="16" fillId="8" fontId="2" numFmtId="0" xfId="0" applyBorder="1" applyFont="1"/>
    <xf borderId="0" fillId="8" fontId="9" numFmtId="0" xfId="0" applyFont="1"/>
    <xf borderId="0" fillId="8" fontId="2" numFmtId="0" xfId="0" applyFont="1"/>
    <xf borderId="32" fillId="8" fontId="2" numFmtId="164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16" fillId="0" fontId="2" numFmtId="4" xfId="0" applyAlignment="1" applyBorder="1" applyFont="1" applyNumberFormat="1">
      <alignment horizontal="right" readingOrder="0" shrinkToFit="0" wrapText="1"/>
    </xf>
    <xf borderId="12" fillId="13" fontId="10" numFmtId="0" xfId="0" applyAlignment="1" applyBorder="1" applyFill="1" applyFont="1">
      <alignment horizontal="center" shrinkToFit="0" vertical="center" wrapText="1"/>
    </xf>
    <xf borderId="16" fillId="13" fontId="21" numFmtId="49" xfId="0" applyAlignment="1" applyBorder="1" applyFont="1" applyNumberFormat="1">
      <alignment readingOrder="0" shrinkToFit="0" vertical="bottom" wrapText="1"/>
    </xf>
    <xf borderId="16" fillId="13" fontId="2" numFmtId="0" xfId="0" applyAlignment="1" applyBorder="1" applyFont="1">
      <alignment horizontal="center" readingOrder="0" vertical="center"/>
    </xf>
    <xf borderId="16" fillId="13" fontId="2" numFmtId="4" xfId="0" applyAlignment="1" applyBorder="1" applyFont="1" applyNumberFormat="1">
      <alignment horizontal="right" readingOrder="0" shrinkToFit="0" wrapText="1"/>
    </xf>
    <xf borderId="17" fillId="13" fontId="2" numFmtId="164" xfId="0" applyAlignment="1" applyBorder="1" applyFont="1" applyNumberFormat="1">
      <alignment horizontal="center" shrinkToFit="0" vertical="center" wrapText="1"/>
    </xf>
    <xf borderId="16" fillId="13" fontId="2" numFmtId="0" xfId="0" applyAlignment="1" applyBorder="1" applyFont="1">
      <alignment readingOrder="0"/>
    </xf>
    <xf borderId="29" fillId="13" fontId="9" numFmtId="0" xfId="0" applyAlignment="1" applyBorder="1" applyFont="1">
      <alignment horizontal="center" readingOrder="0" shrinkToFit="0" vertical="center" wrapText="1"/>
    </xf>
    <xf borderId="16" fillId="13" fontId="2" numFmtId="0" xfId="0" applyBorder="1" applyFont="1"/>
    <xf borderId="0" fillId="13" fontId="9" numFmtId="0" xfId="0" applyFont="1"/>
    <xf borderId="0" fillId="13" fontId="2" numFmtId="0" xfId="0" applyFont="1"/>
    <xf borderId="26" fillId="13" fontId="2" numFmtId="0" xfId="0" applyAlignment="1" applyBorder="1" applyFont="1">
      <alignment readingOrder="0"/>
    </xf>
    <xf borderId="12" fillId="9" fontId="10" numFmtId="0" xfId="0" applyAlignment="1" applyBorder="1" applyFont="1">
      <alignment horizontal="center" readingOrder="0" shrinkToFit="0" vertical="center" wrapText="1"/>
    </xf>
    <xf borderId="17" fillId="9" fontId="2" numFmtId="164" xfId="0" applyAlignment="1" applyBorder="1" applyFont="1" applyNumberFormat="1">
      <alignment horizontal="center" shrinkToFit="0" vertical="center" wrapText="1"/>
    </xf>
    <xf borderId="26" fillId="9" fontId="2" numFmtId="0" xfId="0" applyAlignment="1" applyBorder="1" applyFont="1">
      <alignment readingOrder="0"/>
    </xf>
    <xf borderId="16" fillId="9" fontId="2" numFmtId="0" xfId="0" applyAlignment="1" applyBorder="1" applyFont="1">
      <alignment readingOrder="0"/>
    </xf>
    <xf borderId="12" fillId="3" fontId="2" numFmtId="0" xfId="0" applyAlignment="1" applyBorder="1" applyFont="1">
      <alignment horizontal="center" readingOrder="0" shrinkToFit="0" vertical="center" wrapText="1"/>
    </xf>
    <xf borderId="26" fillId="3" fontId="2" numFmtId="0" xfId="0" applyAlignment="1" applyBorder="1" applyFont="1">
      <alignment readingOrder="0"/>
    </xf>
    <xf borderId="16" fillId="3" fontId="2" numFmtId="0" xfId="0" applyAlignment="1" applyBorder="1" applyFont="1">
      <alignment readingOrder="0"/>
    </xf>
    <xf borderId="12" fillId="9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wrapText="1"/>
    </xf>
    <xf borderId="27" fillId="3" fontId="2" numFmtId="164" xfId="0" applyAlignment="1" applyBorder="1" applyFont="1" applyNumberFormat="1">
      <alignment horizontal="center" shrinkToFit="0" wrapText="1"/>
    </xf>
    <xf borderId="26" fillId="0" fontId="2" numFmtId="0" xfId="0" applyAlignment="1" applyBorder="1" applyFont="1">
      <alignment readingOrder="0"/>
    </xf>
    <xf borderId="29" fillId="0" fontId="9" numFmtId="0" xfId="0" applyAlignment="1" applyBorder="1" applyFont="1">
      <alignment horizontal="center" shrinkToFit="0" vertical="center" wrapText="1"/>
    </xf>
    <xf borderId="12" fillId="14" fontId="10" numFmtId="0" xfId="0" applyAlignment="1" applyBorder="1" applyFill="1" applyFont="1">
      <alignment horizontal="center" shrinkToFit="0" vertical="center" wrapText="1"/>
    </xf>
    <xf borderId="16" fillId="14" fontId="2" numFmtId="0" xfId="0" applyAlignment="1" applyBorder="1" applyFont="1">
      <alignment readingOrder="0" shrinkToFit="0" wrapText="1"/>
    </xf>
    <xf borderId="16" fillId="14" fontId="2" numFmtId="0" xfId="0" applyAlignment="1" applyBorder="1" applyFont="1">
      <alignment horizontal="center" readingOrder="0" shrinkToFit="0" wrapText="1"/>
    </xf>
    <xf borderId="16" fillId="14" fontId="2" numFmtId="4" xfId="0" applyAlignment="1" applyBorder="1" applyFont="1" applyNumberFormat="1">
      <alignment horizontal="right" readingOrder="0" shrinkToFit="0" wrapText="1"/>
    </xf>
    <xf borderId="27" fillId="14" fontId="2" numFmtId="164" xfId="0" applyAlignment="1" applyBorder="1" applyFont="1" applyNumberFormat="1">
      <alignment horizontal="center" shrinkToFit="0" wrapText="1"/>
    </xf>
    <xf borderId="26" fillId="14" fontId="2" numFmtId="0" xfId="0" applyAlignment="1" applyBorder="1" applyFont="1">
      <alignment readingOrder="0"/>
    </xf>
    <xf borderId="29" fillId="14" fontId="9" numFmtId="0" xfId="0" applyAlignment="1" applyBorder="1" applyFont="1">
      <alignment horizontal="center" readingOrder="0" shrinkToFit="0" vertical="center" wrapText="1"/>
    </xf>
    <xf borderId="16" fillId="14" fontId="2" numFmtId="0" xfId="0" applyBorder="1" applyFont="1"/>
    <xf borderId="16" fillId="14" fontId="2" numFmtId="0" xfId="0" applyAlignment="1" applyBorder="1" applyFont="1">
      <alignment readingOrder="0"/>
    </xf>
    <xf borderId="0" fillId="14" fontId="9" numFmtId="0" xfId="0" applyFont="1"/>
    <xf borderId="0" fillId="14" fontId="2" numFmtId="0" xfId="0" applyFont="1"/>
    <xf borderId="15" fillId="14" fontId="21" numFmtId="49" xfId="0" applyAlignment="1" applyBorder="1" applyFont="1" applyNumberFormat="1">
      <alignment readingOrder="0" vertical="bottom"/>
    </xf>
    <xf borderId="16" fillId="14" fontId="2" numFmtId="0" xfId="0" applyAlignment="1" applyBorder="1" applyFont="1">
      <alignment horizontal="center" readingOrder="0" shrinkToFit="0" vertical="center" wrapText="1"/>
    </xf>
    <xf borderId="16" fillId="14" fontId="2" numFmtId="4" xfId="0" applyAlignment="1" applyBorder="1" applyFont="1" applyNumberFormat="1">
      <alignment horizontal="right" readingOrder="0" shrinkToFit="0" vertical="center" wrapText="1"/>
    </xf>
    <xf borderId="27" fillId="14" fontId="2" numFmtId="164" xfId="0" applyAlignment="1" applyBorder="1" applyFont="1" applyNumberFormat="1">
      <alignment horizontal="center" shrinkToFit="0" vertical="center" wrapText="1"/>
    </xf>
    <xf borderId="17" fillId="11" fontId="2" numFmtId="164" xfId="0" applyAlignment="1" applyBorder="1" applyFont="1" applyNumberFormat="1">
      <alignment horizontal="center" readingOrder="0" shrinkToFit="0" vertical="center" wrapText="1"/>
    </xf>
    <xf borderId="26" fillId="11" fontId="2" numFmtId="0" xfId="0" applyAlignment="1" applyBorder="1" applyFont="1">
      <alignment readingOrder="0"/>
    </xf>
    <xf borderId="29" fillId="11" fontId="9" numFmtId="0" xfId="0" applyAlignment="1" applyBorder="1" applyFont="1">
      <alignment horizontal="center" shrinkToFit="0" vertical="center" wrapText="1"/>
    </xf>
    <xf borderId="22" fillId="15" fontId="10" numFmtId="0" xfId="0" applyAlignment="1" applyBorder="1" applyFill="1" applyFont="1">
      <alignment readingOrder="0"/>
    </xf>
    <xf borderId="22" fillId="15" fontId="2" numFmtId="0" xfId="0" applyBorder="1" applyFont="1"/>
    <xf borderId="22" fillId="15" fontId="2" numFmtId="4" xfId="0" applyBorder="1" applyFont="1" applyNumberFormat="1"/>
    <xf borderId="22" fillId="15" fontId="2" numFmtId="164" xfId="0" applyBorder="1" applyFont="1" applyNumberFormat="1"/>
    <xf borderId="22" fillId="15" fontId="2" numFmtId="0" xfId="0" applyAlignment="1" applyBorder="1" applyFont="1">
      <alignment vertical="bottom"/>
    </xf>
    <xf borderId="12" fillId="0" fontId="2" numFmtId="0" xfId="0" applyBorder="1" applyFont="1"/>
    <xf borderId="22" fillId="0" fontId="2" numFmtId="49" xfId="0" applyAlignment="1" applyBorder="1" applyFont="1" applyNumberFormat="1">
      <alignment readingOrder="0" shrinkToFit="0" vertical="bottom" wrapText="1"/>
    </xf>
    <xf borderId="26" fillId="0" fontId="2" numFmtId="0" xfId="0" applyAlignment="1" applyBorder="1" applyFont="1">
      <alignment horizontal="center" readingOrder="0" shrinkToFit="0" wrapText="1"/>
    </xf>
    <xf borderId="26" fillId="0" fontId="2" numFmtId="164" xfId="0" applyAlignment="1" applyBorder="1" applyFont="1" applyNumberFormat="1">
      <alignment horizontal="center" shrinkToFit="0" wrapText="1"/>
    </xf>
    <xf borderId="22" fillId="0" fontId="2" numFmtId="0" xfId="0" applyAlignment="1" applyBorder="1" applyFont="1">
      <alignment readingOrder="0" shrinkToFit="0" vertical="bottom" wrapText="1"/>
    </xf>
    <xf borderId="22" fillId="0" fontId="2" numFmtId="0" xfId="0" applyAlignment="1" applyBorder="1" applyFont="1">
      <alignment horizontal="right" readingOrder="0" vertical="bottom"/>
    </xf>
    <xf borderId="22" fillId="0" fontId="2" numFmtId="49" xfId="0" applyAlignment="1" applyBorder="1" applyFont="1" applyNumberFormat="1">
      <alignment shrinkToFit="0" vertical="bottom" wrapText="1"/>
    </xf>
    <xf borderId="26" fillId="0" fontId="2" numFmtId="0" xfId="0" applyAlignment="1" applyBorder="1" applyFont="1">
      <alignment horizontal="center" shrinkToFit="0" wrapText="1"/>
    </xf>
    <xf borderId="26" fillId="0" fontId="2" numFmtId="4" xfId="0" applyAlignment="1" applyBorder="1" applyFont="1" applyNumberFormat="1">
      <alignment horizontal="right" shrinkToFit="0" wrapText="1"/>
    </xf>
    <xf borderId="22" fillId="0" fontId="2" numFmtId="0" xfId="0" applyAlignment="1" applyBorder="1" applyFont="1">
      <alignment horizontal="right" vertical="bottom"/>
    </xf>
    <xf borderId="22" fillId="0" fontId="2" numFmtId="49" xfId="0" applyAlignment="1" applyBorder="1" applyFont="1" applyNumberFormat="1">
      <alignment vertical="bottom"/>
    </xf>
    <xf borderId="22" fillId="0" fontId="2" numFmtId="49" xfId="0" applyAlignment="1" applyBorder="1" applyFont="1" applyNumberFormat="1">
      <alignment readingOrder="0" vertical="bottom"/>
    </xf>
    <xf borderId="28" fillId="0" fontId="23" numFmtId="0" xfId="0" applyAlignment="1" applyBorder="1" applyFont="1">
      <alignment readingOrder="0" shrinkToFit="0" vertical="center" wrapText="1"/>
    </xf>
    <xf borderId="22" fillId="0" fontId="2" numFmtId="0" xfId="0" applyAlignment="1" applyBorder="1" applyFont="1">
      <alignment readingOrder="0" vertical="bottom"/>
    </xf>
    <xf borderId="12" fillId="3" fontId="2" numFmtId="0" xfId="0" applyBorder="1" applyFont="1"/>
    <xf borderId="22" fillId="3" fontId="2" numFmtId="0" xfId="0" applyAlignment="1" applyBorder="1" applyFont="1">
      <alignment readingOrder="0"/>
    </xf>
    <xf borderId="26" fillId="3" fontId="2" numFmtId="4" xfId="0" applyAlignment="1" applyBorder="1" applyFont="1" applyNumberFormat="1">
      <alignment readingOrder="0"/>
    </xf>
    <xf borderId="26" fillId="3" fontId="2" numFmtId="164" xfId="0" applyBorder="1" applyFont="1" applyNumberFormat="1"/>
    <xf borderId="26" fillId="3" fontId="2" numFmtId="0" xfId="0" applyAlignment="1" applyBorder="1" applyFont="1">
      <alignment vertical="bottom"/>
    </xf>
    <xf borderId="2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26" fillId="3" fontId="2" numFmtId="164" xfId="0" applyAlignment="1" applyBorder="1" applyFont="1" applyNumberFormat="1">
      <alignment readingOrder="0"/>
    </xf>
    <xf borderId="22" fillId="0" fontId="2" numFmtId="49" xfId="0" applyAlignment="1" applyBorder="1" applyFont="1" applyNumberFormat="1">
      <alignment readingOrder="0" shrinkToFit="0" wrapText="1"/>
    </xf>
    <xf borderId="22" fillId="0" fontId="2" numFmtId="0" xfId="0" applyAlignment="1" applyBorder="1" applyFont="1">
      <alignment horizontal="center" readingOrder="0" shrinkToFit="0" wrapText="1"/>
    </xf>
    <xf borderId="22" fillId="0" fontId="2" numFmtId="4" xfId="0" applyAlignment="1" applyBorder="1" applyFont="1" applyNumberFormat="1">
      <alignment horizontal="right" readingOrder="0" shrinkToFit="0" wrapText="1"/>
    </xf>
    <xf borderId="22" fillId="3" fontId="2" numFmtId="164" xfId="0" applyAlignment="1" applyBorder="1" applyFont="1" applyNumberFormat="1">
      <alignment horizontal="center" shrinkToFit="0" wrapText="1"/>
    </xf>
    <xf borderId="27" fillId="0" fontId="2" numFmtId="0" xfId="0" applyAlignment="1" applyBorder="1" applyFont="1">
      <alignment horizontal="center" readingOrder="0" shrinkToFit="0" vertical="center" wrapText="1"/>
    </xf>
    <xf borderId="22" fillId="15" fontId="10" numFmtId="0" xfId="0" applyBorder="1" applyFont="1"/>
    <xf borderId="22" fillId="0" fontId="2" numFmtId="0" xfId="0" applyAlignment="1" applyBorder="1" applyFont="1">
      <alignment shrinkToFit="0" wrapText="1"/>
    </xf>
    <xf borderId="22" fillId="0" fontId="2" numFmtId="4" xfId="0" applyAlignment="1" applyBorder="1" applyFont="1" applyNumberFormat="1">
      <alignment horizontal="right" shrinkToFit="0" wrapText="1"/>
    </xf>
    <xf borderId="22" fillId="0" fontId="9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26" fillId="0" fontId="2" numFmtId="0" xfId="0" applyAlignment="1" applyBorder="1" applyFont="1">
      <alignment shrinkToFit="0" wrapText="1"/>
    </xf>
    <xf borderId="26" fillId="3" fontId="2" numFmtId="164" xfId="0" applyAlignment="1" applyBorder="1" applyFont="1" applyNumberFormat="1">
      <alignment horizontal="center" shrinkToFit="0" wrapText="1"/>
    </xf>
    <xf borderId="26" fillId="0" fontId="2" numFmtId="0" xfId="0" applyBorder="1" applyFont="1"/>
    <xf borderId="26" fillId="0" fontId="2" numFmtId="0" xfId="0" applyAlignment="1" applyBorder="1" applyFont="1">
      <alignment horizontal="right" vertical="bottom"/>
    </xf>
    <xf borderId="26" fillId="0" fontId="2" numFmtId="0" xfId="0" applyAlignment="1" applyBorder="1" applyFont="1">
      <alignment vertical="bottom"/>
    </xf>
    <xf borderId="15" fillId="0" fontId="2" numFmtId="0" xfId="0" applyAlignment="1" applyBorder="1" applyFont="1">
      <alignment horizontal="left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right" readingOrder="0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27" fillId="0" fontId="20" numFmtId="4" xfId="0" applyAlignment="1" applyBorder="1" applyFont="1" applyNumberFormat="1">
      <alignment horizontal="right" readingOrder="0"/>
    </xf>
    <xf borderId="16" fillId="3" fontId="2" numFmtId="49" xfId="0" applyAlignment="1" applyBorder="1" applyFont="1" applyNumberFormat="1">
      <alignment readingOrder="0" vertical="bottom"/>
    </xf>
    <xf borderId="16" fillId="3" fontId="2" numFmtId="4" xfId="0" applyAlignment="1" applyBorder="1" applyFont="1" applyNumberFormat="1">
      <alignment horizontal="right" readingOrder="0" vertical="bottom"/>
    </xf>
    <xf borderId="17" fillId="3" fontId="2" numFmtId="4" xfId="0" applyAlignment="1" applyBorder="1" applyFont="1" applyNumberFormat="1">
      <alignment horizontal="right" readingOrder="0" vertical="bottom"/>
    </xf>
    <xf borderId="16" fillId="3" fontId="2" numFmtId="0" xfId="0" applyAlignment="1" applyBorder="1" applyFont="1">
      <alignment vertical="bottom"/>
    </xf>
    <xf borderId="16" fillId="3" fontId="21" numFmtId="49" xfId="0" applyAlignment="1" applyBorder="1" applyFont="1" applyNumberFormat="1">
      <alignment readingOrder="0" vertical="bottom"/>
    </xf>
    <xf borderId="17" fillId="3" fontId="2" numFmtId="4" xfId="0" applyAlignment="1" applyBorder="1" applyFont="1" applyNumberFormat="1">
      <alignment horizontal="right"/>
    </xf>
    <xf borderId="30" fillId="3" fontId="10" numFmtId="0" xfId="0" applyAlignment="1" applyBorder="1" applyFont="1">
      <alignment horizontal="center" shrinkToFit="0" vertical="center" wrapText="1"/>
    </xf>
    <xf borderId="16" fillId="3" fontId="21" numFmtId="49" xfId="0" applyAlignment="1" applyBorder="1" applyFont="1" applyNumberFormat="1">
      <alignment vertical="bottom"/>
    </xf>
    <xf borderId="16" fillId="3" fontId="2" numFmtId="4" xfId="0" applyAlignment="1" applyBorder="1" applyFont="1" applyNumberFormat="1">
      <alignment horizontal="right"/>
    </xf>
    <xf borderId="16" fillId="3" fontId="2" numFmtId="164" xfId="0" applyAlignment="1" applyBorder="1" applyFont="1" applyNumberFormat="1">
      <alignment horizontal="center" shrinkToFit="0" vertical="center" wrapText="1"/>
    </xf>
    <xf borderId="22" fillId="3" fontId="2" numFmtId="0" xfId="0" applyBorder="1" applyFont="1"/>
    <xf borderId="16" fillId="3" fontId="2" numFmtId="4" xfId="0" applyAlignment="1" applyBorder="1" applyFont="1" applyNumberFormat="1">
      <alignment horizontal="right" readingOrder="0"/>
    </xf>
    <xf borderId="16" fillId="3" fontId="21" numFmtId="49" xfId="0" applyAlignment="1" applyBorder="1" applyFont="1" applyNumberFormat="1">
      <alignment shrinkToFit="0" vertical="bottom" wrapText="1"/>
    </xf>
    <xf borderId="16" fillId="3" fontId="2" numFmtId="4" xfId="0" applyAlignment="1" applyBorder="1" applyFont="1" applyNumberFormat="1">
      <alignment horizontal="right" shrinkToFit="0" vertical="center" wrapText="1"/>
    </xf>
    <xf borderId="16" fillId="3" fontId="2" numFmtId="0" xfId="0" applyAlignment="1" applyBorder="1" applyFont="1">
      <alignment horizontal="right" shrinkToFit="0" vertical="center" wrapText="1"/>
    </xf>
    <xf borderId="16" fillId="3" fontId="22" numFmtId="49" xfId="0" applyAlignment="1" applyBorder="1" applyFont="1" applyNumberFormat="1">
      <alignment readingOrder="0" shrinkToFit="0" vertical="bottom" wrapText="1"/>
    </xf>
    <xf borderId="16" fillId="3" fontId="2" numFmtId="0" xfId="0" applyAlignment="1" applyBorder="1" applyFont="1">
      <alignment horizontal="right" readingOrder="0" shrinkToFit="0" vertical="center" wrapText="1"/>
    </xf>
    <xf borderId="22" fillId="3" fontId="2" numFmtId="0" xfId="0" applyAlignment="1" applyBorder="1" applyFont="1">
      <alignment readingOrder="0"/>
    </xf>
    <xf borderId="27" fillId="3" fontId="2" numFmtId="0" xfId="0" applyAlignment="1" applyBorder="1" applyFont="1">
      <alignment horizontal="center" shrinkToFit="0" vertical="center" wrapText="1"/>
    </xf>
    <xf borderId="17" fillId="3" fontId="2" numFmtId="0" xfId="0" applyAlignment="1" applyBorder="1" applyFont="1">
      <alignment horizontal="right" readingOrder="0" shrinkToFit="0" vertical="center" wrapText="1"/>
    </xf>
    <xf borderId="29" fillId="3" fontId="2" numFmtId="0" xfId="0" applyBorder="1" applyFont="1"/>
    <xf borderId="17" fillId="3" fontId="2" numFmtId="4" xfId="0" applyAlignment="1" applyBorder="1" applyFont="1" applyNumberFormat="1">
      <alignment horizontal="right" readingOrder="0" shrinkToFit="0" vertical="center" wrapText="1"/>
    </xf>
    <xf borderId="16" fillId="3" fontId="21" numFmtId="49" xfId="0" applyAlignment="1" applyBorder="1" applyFont="1" applyNumberFormat="1">
      <alignment readingOrder="0" shrinkToFit="0" vertical="bottom" wrapText="0"/>
    </xf>
    <xf borderId="27" fillId="3" fontId="2" numFmtId="0" xfId="0" applyAlignment="1" applyBorder="1" applyFont="1">
      <alignment readingOrder="0"/>
    </xf>
    <xf borderId="30" fillId="3" fontId="2" numFmtId="0" xfId="0" applyBorder="1" applyFont="1"/>
    <xf borderId="16" fillId="3" fontId="2" numFmtId="49" xfId="0" applyAlignment="1" applyBorder="1" applyFont="1" applyNumberFormat="1">
      <alignment shrinkToFit="0" vertical="bottom" wrapText="1"/>
    </xf>
    <xf borderId="27" fillId="3" fontId="2" numFmtId="0" xfId="0" applyAlignment="1" applyBorder="1" applyFont="1">
      <alignment horizontal="center" shrinkToFit="0" wrapText="1"/>
    </xf>
    <xf borderId="17" fillId="3" fontId="2" numFmtId="4" xfId="0" applyAlignment="1" applyBorder="1" applyFont="1" applyNumberFormat="1">
      <alignment horizontal="right" shrinkToFit="0" wrapText="1"/>
    </xf>
    <xf borderId="17" fillId="3" fontId="2" numFmtId="0" xfId="0" applyAlignment="1" applyBorder="1" applyFont="1">
      <alignment horizontal="right" vertical="bottom"/>
    </xf>
    <xf borderId="17" fillId="3" fontId="2" numFmtId="0" xfId="0" applyAlignment="1" applyBorder="1" applyFont="1">
      <alignment vertical="bottom"/>
    </xf>
    <xf borderId="29" fillId="3" fontId="2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16" fillId="3" fontId="2" numFmtId="49" xfId="0" applyAlignment="1" applyBorder="1" applyFont="1" applyNumberFormat="1">
      <alignment readingOrder="0" shrinkToFit="0" vertical="bottom" wrapText="1"/>
    </xf>
    <xf borderId="27" fillId="3" fontId="2" numFmtId="0" xfId="0" applyAlignment="1" applyBorder="1" applyFont="1">
      <alignment horizontal="center" readingOrder="0" shrinkToFit="0" wrapText="1"/>
    </xf>
    <xf borderId="17" fillId="3" fontId="2" numFmtId="4" xfId="0" applyAlignment="1" applyBorder="1" applyFont="1" applyNumberFormat="1">
      <alignment horizontal="right" readingOrder="0" shrinkToFit="0" wrapText="1"/>
    </xf>
    <xf borderId="27" fillId="3" fontId="2" numFmtId="0" xfId="0" applyAlignment="1" applyBorder="1" applyFont="1">
      <alignment readingOrder="0" vertical="bottom"/>
    </xf>
    <xf borderId="17" fillId="3" fontId="2" numFmtId="0" xfId="0" applyAlignment="1" applyBorder="1" applyFont="1">
      <alignment readingOrder="0" vertical="bottom"/>
    </xf>
    <xf borderId="17" fillId="3" fontId="9" numFmtId="0" xfId="0" applyAlignment="1" applyBorder="1" applyFont="1">
      <alignment horizontal="center" shrinkToFit="0" vertical="center" wrapText="1"/>
    </xf>
    <xf borderId="17" fillId="3" fontId="2" numFmtId="0" xfId="0" applyAlignment="1" applyBorder="1" applyFont="1">
      <alignment horizontal="center" shrinkToFit="0" vertical="center" wrapText="1"/>
    </xf>
    <xf borderId="16" fillId="3" fontId="2" numFmtId="4" xfId="0" applyAlignment="1" applyBorder="1" applyFont="1" applyNumberFormat="1">
      <alignment horizontal="right" shrinkToFit="0" wrapText="1"/>
    </xf>
    <xf borderId="15" fillId="3" fontId="2" numFmtId="4" xfId="0" applyAlignment="1" applyBorder="1" applyFont="1" applyNumberFormat="1">
      <alignment horizontal="right" shrinkToFit="0" wrapText="1"/>
    </xf>
    <xf borderId="15" fillId="3" fontId="2" numFmtId="4" xfId="0" applyAlignment="1" applyBorder="1" applyFont="1" applyNumberFormat="1">
      <alignment horizontal="right" readingOrder="0" shrinkToFit="0" wrapText="1"/>
    </xf>
    <xf borderId="26" fillId="3" fontId="2" numFmtId="4" xfId="0" applyAlignment="1" applyBorder="1" applyFont="1" applyNumberFormat="1">
      <alignment horizontal="right" readingOrder="0" shrinkToFit="0" wrapText="1"/>
    </xf>
    <xf borderId="27" fillId="3" fontId="9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32" fillId="3" fontId="2" numFmtId="164" xfId="0" applyAlignment="1" applyBorder="1" applyFont="1" applyNumberFormat="1">
      <alignment horizontal="center" shrinkToFit="0" vertical="center" wrapText="1"/>
    </xf>
    <xf borderId="27" fillId="3" fontId="9" numFmtId="0" xfId="0" applyAlignment="1" applyBorder="1" applyFont="1">
      <alignment horizontal="center" readingOrder="0" shrinkToFit="0" vertical="center" wrapText="1"/>
    </xf>
    <xf borderId="16" fillId="3" fontId="2" numFmtId="0" xfId="0" applyAlignment="1" applyBorder="1" applyFont="1">
      <alignment horizontal="right" vertical="bottom"/>
    </xf>
    <xf borderId="0" fillId="3" fontId="23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16" fillId="3" fontId="21" numFmtId="49" xfId="0" applyAlignment="1" applyBorder="1" applyFont="1" applyNumberFormat="1">
      <alignment readingOrder="0" shrinkToFit="0" vertical="center" wrapText="1"/>
    </xf>
    <xf borderId="16" fillId="3" fontId="2" numFmtId="4" xfId="0" applyAlignment="1" applyBorder="1" applyFont="1" applyNumberFormat="1">
      <alignment horizontal="right" readingOrder="0" shrinkToFit="0" vertical="center" wrapText="1"/>
    </xf>
    <xf borderId="17" fillId="3" fontId="2" numFmtId="0" xfId="0" applyAlignment="1" applyBorder="1" applyFont="1">
      <alignment horizontal="center" readingOrder="0" vertical="center"/>
    </xf>
    <xf borderId="12" fillId="3" fontId="2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center" readingOrder="0" shrinkToFit="0" vertical="center" wrapText="1"/>
    </xf>
    <xf borderId="12" fillId="3" fontId="10" numFmtId="0" xfId="0" applyAlignment="1" applyBorder="1" applyFont="1">
      <alignment horizontal="center" readingOrder="0" shrinkToFit="0" vertical="center" wrapText="1"/>
    </xf>
    <xf borderId="16" fillId="3" fontId="2" numFmtId="0" xfId="0" applyAlignment="1" applyBorder="1" applyFont="1">
      <alignment horizontal="center" readingOrder="0" shrinkToFit="0" wrapText="1"/>
    </xf>
    <xf borderId="29" fillId="3" fontId="9" numFmtId="0" xfId="0" applyAlignment="1" applyBorder="1" applyFont="1">
      <alignment horizontal="center" shrinkToFit="0" vertical="center" wrapText="1"/>
    </xf>
    <xf borderId="16" fillId="3" fontId="2" numFmtId="0" xfId="0" applyAlignment="1" applyBorder="1" applyFont="1">
      <alignment readingOrder="0" shrinkToFit="0" wrapText="1"/>
    </xf>
    <xf borderId="15" fillId="3" fontId="21" numFmtId="49" xfId="0" applyAlignment="1" applyBorder="1" applyFont="1" applyNumberFormat="1">
      <alignment readingOrder="0" vertical="bottom"/>
    </xf>
    <xf borderId="16" fillId="3" fontId="2" numFmtId="0" xfId="0" applyAlignment="1" applyBorder="1" applyFont="1">
      <alignment horizontal="center" readingOrder="0" shrinkToFit="0" vertical="center" wrapText="1"/>
    </xf>
    <xf borderId="17" fillId="3" fontId="2" numFmtId="164" xfId="0" applyAlignment="1" applyBorder="1" applyFont="1" applyNumberFormat="1">
      <alignment horizontal="center" readingOrder="0" shrinkToFit="0" vertical="center" wrapText="1"/>
    </xf>
    <xf borderId="26" fillId="3" fontId="2" numFmtId="0" xfId="0" applyAlignment="1" applyBorder="1" applyFont="1">
      <alignment horizontal="center" readingOrder="0"/>
    </xf>
    <xf borderId="22" fillId="3" fontId="2" numFmtId="0" xfId="0" applyAlignment="1" applyBorder="1" applyFont="1">
      <alignment readingOrder="0" vertical="bottom"/>
    </xf>
    <xf borderId="15" fillId="0" fontId="20" numFmtId="0" xfId="0" applyAlignment="1" applyBorder="1" applyFont="1">
      <alignment shrinkToFit="0" wrapText="0"/>
    </xf>
    <xf borderId="27" fillId="0" fontId="20" numFmtId="0" xfId="0" applyAlignment="1" applyBorder="1" applyFont="1">
      <alignment horizontal="center"/>
    </xf>
    <xf borderId="16" fillId="0" fontId="21" numFmtId="49" xfId="0" applyAlignment="1" applyBorder="1" applyFont="1" applyNumberFormat="1">
      <alignment readingOrder="0" shrinkToFit="0" vertical="bottom" wrapText="0"/>
    </xf>
    <xf borderId="27" fillId="0" fontId="2" numFmtId="0" xfId="0" applyAlignment="1" applyBorder="1" applyFont="1">
      <alignment readingOrder="0"/>
    </xf>
    <xf borderId="16" fillId="0" fontId="2" numFmtId="4" xfId="0" applyAlignment="1" applyBorder="1" applyFont="1" applyNumberFormat="1">
      <alignment horizontal="right" shrinkToFit="0" wrapText="1"/>
    </xf>
    <xf borderId="12" fillId="9" fontId="2" numFmtId="0" xfId="0" applyAlignment="1" applyBorder="1" applyFont="1">
      <alignment horizontal="center" shrinkToFit="0" vertical="center" wrapText="1"/>
    </xf>
    <xf borderId="16" fillId="9" fontId="21" numFmtId="49" xfId="0" applyAlignment="1" applyBorder="1" applyFont="1" applyNumberFormat="1">
      <alignment vertical="bottom"/>
    </xf>
    <xf borderId="16" fillId="9" fontId="2" numFmtId="4" xfId="0" applyAlignment="1" applyBorder="1" applyFont="1" applyNumberFormat="1">
      <alignment horizontal="right" shrinkToFit="0" wrapText="1"/>
    </xf>
    <xf borderId="27" fillId="9" fontId="9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2" fillId="16" fontId="10" numFmtId="0" xfId="0" applyAlignment="1" applyBorder="1" applyFill="1" applyFont="1">
      <alignment horizontal="center" shrinkToFit="0" vertical="center" wrapText="1"/>
    </xf>
    <xf borderId="16" fillId="16" fontId="21" numFmtId="49" xfId="0" applyAlignment="1" applyBorder="1" applyFont="1" applyNumberFormat="1">
      <alignment readingOrder="0" shrinkToFit="0" vertical="bottom" wrapText="1"/>
    </xf>
    <xf borderId="16" fillId="16" fontId="2" numFmtId="0" xfId="0" applyAlignment="1" applyBorder="1" applyFont="1">
      <alignment horizontal="center" readingOrder="0" vertical="center"/>
    </xf>
    <xf borderId="16" fillId="16" fontId="2" numFmtId="4" xfId="0" applyAlignment="1" applyBorder="1" applyFont="1" applyNumberFormat="1">
      <alignment horizontal="right" readingOrder="0" shrinkToFit="0" wrapText="1"/>
    </xf>
    <xf borderId="32" fillId="16" fontId="2" numFmtId="164" xfId="0" applyAlignment="1" applyBorder="1" applyFont="1" applyNumberFormat="1">
      <alignment horizontal="center" shrinkToFit="0" vertical="center" wrapText="1"/>
    </xf>
    <xf borderId="16" fillId="16" fontId="2" numFmtId="0" xfId="0" applyAlignment="1" applyBorder="1" applyFont="1">
      <alignment horizontal="center" vertical="center"/>
    </xf>
    <xf borderId="16" fillId="16" fontId="2" numFmtId="0" xfId="0" applyBorder="1" applyFont="1"/>
    <xf borderId="0" fillId="16" fontId="9" numFmtId="0" xfId="0" applyFont="1"/>
    <xf borderId="0" fillId="16" fontId="2" numFmtId="0" xfId="0" applyFont="1"/>
    <xf borderId="16" fillId="16" fontId="21" numFmtId="49" xfId="0" applyAlignment="1" applyBorder="1" applyFont="1" applyNumberFormat="1">
      <alignment readingOrder="0" shrinkToFit="0" vertical="center" wrapText="1"/>
    </xf>
    <xf borderId="16" fillId="16" fontId="2" numFmtId="4" xfId="0" applyAlignment="1" applyBorder="1" applyFont="1" applyNumberFormat="1">
      <alignment horizontal="right" readingOrder="0" shrinkToFit="0" vertical="center" wrapText="1"/>
    </xf>
    <xf borderId="29" fillId="0" fontId="9" numFmtId="0" xfId="0" applyAlignment="1" applyBorder="1" applyFont="1">
      <alignment horizontal="center" readingOrder="0" shrinkToFit="0" vertical="center" wrapText="1"/>
    </xf>
    <xf borderId="12" fillId="16" fontId="10" numFmtId="0" xfId="0" applyAlignment="1" applyBorder="1" applyFont="1">
      <alignment horizontal="center" readingOrder="0" shrinkToFit="0" vertical="center" wrapText="1"/>
    </xf>
    <xf borderId="17" fillId="16" fontId="2" numFmtId="164" xfId="0" applyAlignment="1" applyBorder="1" applyFont="1" applyNumberFormat="1">
      <alignment horizontal="center" shrinkToFit="0" vertical="center" wrapText="1"/>
    </xf>
    <xf borderId="26" fillId="16" fontId="2" numFmtId="0" xfId="0" applyAlignment="1" applyBorder="1" applyFont="1">
      <alignment readingOrder="0"/>
    </xf>
    <xf borderId="16" fillId="16" fontId="2" numFmtId="0" xfId="0" applyAlignment="1" applyBorder="1" applyFont="1">
      <alignment readingOrder="0"/>
    </xf>
    <xf borderId="12" fillId="16" fontId="2" numFmtId="0" xfId="0" applyAlignment="1" applyBorder="1" applyFont="1">
      <alignment horizontal="center" readingOrder="0" shrinkToFit="0" vertical="center" wrapText="1"/>
    </xf>
    <xf borderId="16" fillId="16" fontId="2" numFmtId="0" xfId="0" applyAlignment="1" applyBorder="1" applyFont="1">
      <alignment readingOrder="0" shrinkToFit="0" wrapText="1"/>
    </xf>
    <xf borderId="16" fillId="16" fontId="2" numFmtId="0" xfId="0" applyAlignment="1" applyBorder="1" applyFont="1">
      <alignment horizontal="center" readingOrder="0" shrinkToFit="0" wrapText="1"/>
    </xf>
    <xf borderId="27" fillId="16" fontId="2" numFmtId="164" xfId="0" applyAlignment="1" applyBorder="1" applyFont="1" applyNumberFormat="1">
      <alignment horizontal="center" shrinkToFit="0" wrapText="1"/>
    </xf>
    <xf borderId="29" fillId="16" fontId="9" numFmtId="0" xfId="0" applyAlignment="1" applyBorder="1" applyFont="1">
      <alignment horizontal="center" readingOrder="0" shrinkToFit="0" vertical="center" wrapText="1"/>
    </xf>
    <xf borderId="15" fillId="16" fontId="21" numFmtId="49" xfId="0" applyAlignment="1" applyBorder="1" applyFont="1" applyNumberFormat="1">
      <alignment readingOrder="0" vertical="bottom"/>
    </xf>
    <xf borderId="16" fillId="16" fontId="2" numFmtId="0" xfId="0" applyAlignment="1" applyBorder="1" applyFont="1">
      <alignment horizontal="center" readingOrder="0" shrinkToFit="0" vertical="center" wrapText="1"/>
    </xf>
    <xf borderId="27" fillId="16" fontId="2" numFmtId="164" xfId="0" applyAlignment="1" applyBorder="1" applyFont="1" applyNumberFormat="1">
      <alignment horizontal="center" shrinkToFit="0" vertical="center" wrapText="1"/>
    </xf>
    <xf borderId="17" fillId="16" fontId="2" numFmtId="164" xfId="0" applyAlignment="1" applyBorder="1" applyFont="1" applyNumberFormat="1">
      <alignment horizontal="center" readingOrder="0" shrinkToFit="0" vertical="center" wrapText="1"/>
    </xf>
    <xf borderId="29" fillId="16" fontId="9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center" shrinkToFit="0" wrapText="1"/>
    </xf>
    <xf borderId="0" fillId="0" fontId="24" numFmtId="164" xfId="0" applyFont="1" applyNumberFormat="1"/>
    <xf borderId="16" fillId="9" fontId="2" numFmtId="0" xfId="0" applyAlignment="1" applyBorder="1" applyFont="1">
      <alignment readingOrder="0" shrinkToFit="0" wrapText="1"/>
    </xf>
    <xf borderId="16" fillId="9" fontId="2" numFmtId="0" xfId="0" applyAlignment="1" applyBorder="1" applyFont="1">
      <alignment horizontal="center" readingOrder="0" shrinkToFit="0" wrapText="1"/>
    </xf>
    <xf borderId="27" fillId="9" fontId="2" numFmtId="164" xfId="0" applyAlignment="1" applyBorder="1" applyFont="1" applyNumberFormat="1">
      <alignment horizontal="center" shrinkToFit="0" wrapText="1"/>
    </xf>
    <xf borderId="15" fillId="9" fontId="21" numFmtId="49" xfId="0" applyAlignment="1" applyBorder="1" applyFont="1" applyNumberFormat="1">
      <alignment readingOrder="0" vertical="bottom"/>
    </xf>
    <xf borderId="16" fillId="9" fontId="2" numFmtId="0" xfId="0" applyAlignment="1" applyBorder="1" applyFont="1">
      <alignment horizontal="center" readingOrder="0" shrinkToFit="0" vertical="center" wrapText="1"/>
    </xf>
    <xf borderId="16" fillId="9" fontId="2" numFmtId="4" xfId="0" applyAlignment="1" applyBorder="1" applyFont="1" applyNumberFormat="1">
      <alignment horizontal="right" readingOrder="0" shrinkToFit="0" vertical="center" wrapText="1"/>
    </xf>
    <xf borderId="27" fillId="9" fontId="2" numFmtId="164" xfId="0" applyAlignment="1" applyBorder="1" applyFont="1" applyNumberFormat="1">
      <alignment horizontal="center" shrinkToFit="0" vertical="center" wrapText="1"/>
    </xf>
    <xf borderId="0" fillId="3" fontId="23" numFmtId="0" xfId="0" applyFont="1"/>
    <xf borderId="15" fillId="3" fontId="21" numFmtId="49" xfId="0" applyAlignment="1" applyBorder="1" applyFont="1" applyNumberFormat="1">
      <alignment readingOrder="0" shrinkToFit="0" vertical="bottom" wrapText="1"/>
    </xf>
    <xf borderId="27" fillId="3" fontId="10" numFmtId="164" xfId="0" applyAlignment="1" applyBorder="1" applyFont="1" applyNumberFormat="1">
      <alignment horizontal="center" readingOrder="0" shrinkToFit="0" vertical="center" wrapText="1"/>
    </xf>
    <xf borderId="17" fillId="9" fontId="2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25</xdr:row>
      <xdr:rowOff>0</xdr:rowOff>
    </xdr:from>
    <xdr:ext cx="1343025" cy="1095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14</xdr:row>
      <xdr:rowOff>200025</xdr:rowOff>
    </xdr:from>
    <xdr:ext cx="6819900" cy="3171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23</xdr:row>
      <xdr:rowOff>0</xdr:rowOff>
    </xdr:from>
    <xdr:ext cx="1343025" cy="1095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 t="s">
        <v>2</v>
      </c>
      <c r="W3" s="2"/>
      <c r="X3" s="2"/>
    </row>
    <row r="4">
      <c r="A4" s="5" t="s">
        <v>3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4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5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 t="s">
        <v>6</v>
      </c>
      <c r="B8" s="13" t="s">
        <v>7</v>
      </c>
      <c r="C8" s="14" t="s">
        <v>8</v>
      </c>
      <c r="D8" s="15" t="s">
        <v>9</v>
      </c>
      <c r="E8" s="16" t="s">
        <v>10</v>
      </c>
      <c r="F8" s="17" t="s">
        <v>11</v>
      </c>
      <c r="G8" s="13" t="s">
        <v>12</v>
      </c>
      <c r="H8" s="18" t="s">
        <v>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</row>
    <row r="9">
      <c r="A9" s="22"/>
      <c r="B9" s="23"/>
      <c r="C9" s="24" t="s">
        <v>14</v>
      </c>
      <c r="D9" s="23"/>
      <c r="E9" s="23"/>
      <c r="F9" s="23"/>
      <c r="G9" s="23"/>
      <c r="H9" s="25" t="s">
        <v>15</v>
      </c>
      <c r="I9" s="25" t="s">
        <v>16</v>
      </c>
      <c r="J9" s="25" t="s">
        <v>17</v>
      </c>
      <c r="K9" s="25" t="s">
        <v>18</v>
      </c>
      <c r="L9" s="25" t="s">
        <v>19</v>
      </c>
      <c r="M9" s="25" t="s">
        <v>20</v>
      </c>
      <c r="N9" s="25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5" t="s">
        <v>27</v>
      </c>
      <c r="U9" s="26" t="str">
        <f>$V$9</f>
        <v>REMARKS</v>
      </c>
      <c r="V9" s="26" t="s">
        <v>28</v>
      </c>
      <c r="W9" s="27"/>
      <c r="X9" s="21"/>
    </row>
    <row r="10">
      <c r="A10" s="28"/>
      <c r="B10" s="29" t="s">
        <v>29</v>
      </c>
      <c r="C10" s="30"/>
      <c r="D10" s="31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21"/>
      <c r="X10" s="21"/>
    </row>
    <row r="11">
      <c r="A11" s="36"/>
      <c r="B11" s="37" t="s">
        <v>30</v>
      </c>
      <c r="C11" s="38" t="s">
        <v>31</v>
      </c>
      <c r="D11" s="39">
        <f>50000/80</f>
        <v>625</v>
      </c>
      <c r="E11" s="39">
        <v>50000.0</v>
      </c>
      <c r="F11" s="40" t="s">
        <v>32</v>
      </c>
      <c r="G11" s="40"/>
      <c r="H11" s="40">
        <v>80.0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21"/>
      <c r="X11" s="21"/>
    </row>
    <row r="12">
      <c r="A12" s="36"/>
      <c r="B12" s="37" t="s">
        <v>33</v>
      </c>
      <c r="C12" s="41" t="s">
        <v>34</v>
      </c>
      <c r="D12" s="42">
        <f>3000/5</f>
        <v>600</v>
      </c>
      <c r="E12" s="42">
        <v>3000.0</v>
      </c>
      <c r="F12" s="40" t="s">
        <v>32</v>
      </c>
      <c r="G12" s="40"/>
      <c r="H12" s="40">
        <v>5.0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21"/>
      <c r="X12" s="21"/>
    </row>
    <row r="13">
      <c r="A13" s="36"/>
      <c r="B13" s="43" t="s">
        <v>35</v>
      </c>
      <c r="C13" s="44" t="s">
        <v>36</v>
      </c>
      <c r="D13" s="45">
        <f>10000/10</f>
        <v>1000</v>
      </c>
      <c r="E13" s="46">
        <v>10000.0</v>
      </c>
      <c r="F13" s="40" t="s">
        <v>32</v>
      </c>
      <c r="G13" s="40"/>
      <c r="H13" s="40">
        <v>10.0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21"/>
      <c r="X13" s="21"/>
    </row>
    <row r="14">
      <c r="A14" s="36"/>
      <c r="B14" s="47" t="s">
        <v>37</v>
      </c>
      <c r="C14" s="44" t="s">
        <v>36</v>
      </c>
      <c r="D14" s="45">
        <f>50000/10</f>
        <v>5000</v>
      </c>
      <c r="E14" s="46">
        <v>50000.0</v>
      </c>
      <c r="F14" s="40" t="s">
        <v>32</v>
      </c>
      <c r="G14" s="40"/>
      <c r="H14" s="40">
        <v>10.0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21"/>
      <c r="X14" s="21"/>
    </row>
    <row r="15">
      <c r="A15" s="36"/>
      <c r="B15" s="47" t="s">
        <v>38</v>
      </c>
      <c r="C15" s="44" t="s">
        <v>34</v>
      </c>
      <c r="D15" s="45">
        <f>2500/5</f>
        <v>500</v>
      </c>
      <c r="E15" s="46">
        <v>2500.0</v>
      </c>
      <c r="F15" s="40" t="s">
        <v>32</v>
      </c>
      <c r="G15" s="40"/>
      <c r="H15" s="40">
        <v>5.0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21"/>
      <c r="X15" s="21"/>
    </row>
    <row r="16">
      <c r="A16" s="36"/>
      <c r="B16" s="43" t="s">
        <v>39</v>
      </c>
      <c r="C16" s="44" t="s">
        <v>40</v>
      </c>
      <c r="D16" s="45">
        <f>500/20</f>
        <v>25</v>
      </c>
      <c r="E16" s="46">
        <v>500.0</v>
      </c>
      <c r="F16" s="40" t="s">
        <v>41</v>
      </c>
      <c r="G16" s="40"/>
      <c r="H16" s="40">
        <v>20.0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21"/>
      <c r="X16" s="21"/>
    </row>
    <row r="17">
      <c r="A17" s="36"/>
      <c r="B17" s="43" t="s">
        <v>42</v>
      </c>
      <c r="C17" s="44" t="s">
        <v>43</v>
      </c>
      <c r="D17" s="45">
        <f>300/15</f>
        <v>20</v>
      </c>
      <c r="E17" s="46">
        <v>300.0</v>
      </c>
      <c r="F17" s="40" t="s">
        <v>41</v>
      </c>
      <c r="G17" s="40"/>
      <c r="H17" s="40">
        <v>15.0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21"/>
      <c r="X17" s="21"/>
    </row>
    <row r="18">
      <c r="A18" s="36"/>
      <c r="B18" s="43" t="s">
        <v>44</v>
      </c>
      <c r="C18" s="44" t="s">
        <v>45</v>
      </c>
      <c r="D18" s="45">
        <f>150/5</f>
        <v>30</v>
      </c>
      <c r="E18" s="46">
        <v>150.0</v>
      </c>
      <c r="F18" s="40" t="s">
        <v>41</v>
      </c>
      <c r="G18" s="40"/>
      <c r="H18" s="40">
        <v>5.0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21"/>
      <c r="X18" s="21"/>
    </row>
    <row r="19">
      <c r="A19" s="36"/>
      <c r="B19" s="47" t="s">
        <v>46</v>
      </c>
      <c r="C19" s="44" t="s">
        <v>47</v>
      </c>
      <c r="D19" s="45">
        <f>300/10</f>
        <v>30</v>
      </c>
      <c r="E19" s="46">
        <v>300.0</v>
      </c>
      <c r="F19" s="40" t="s">
        <v>41</v>
      </c>
      <c r="G19" s="40"/>
      <c r="H19" s="40">
        <v>10.0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21"/>
      <c r="X19" s="21"/>
    </row>
    <row r="20">
      <c r="A20" s="36"/>
      <c r="B20" s="43" t="s">
        <v>48</v>
      </c>
      <c r="C20" s="44" t="s">
        <v>49</v>
      </c>
      <c r="D20" s="45">
        <f>300/30</f>
        <v>10</v>
      </c>
      <c r="E20" s="46">
        <v>300.0</v>
      </c>
      <c r="F20" s="40" t="s">
        <v>41</v>
      </c>
      <c r="G20" s="40"/>
      <c r="H20" s="40">
        <v>30.0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21"/>
      <c r="X20" s="21"/>
    </row>
    <row r="21" ht="15.75" customHeight="1">
      <c r="A21" s="36"/>
      <c r="B21" s="43" t="s">
        <v>50</v>
      </c>
      <c r="C21" s="44" t="s">
        <v>40</v>
      </c>
      <c r="D21" s="48">
        <f>2000/20</f>
        <v>100</v>
      </c>
      <c r="E21" s="46">
        <v>2000.0</v>
      </c>
      <c r="F21" s="40" t="s">
        <v>41</v>
      </c>
      <c r="G21" s="40"/>
      <c r="H21" s="40">
        <v>20.0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21"/>
      <c r="X21" s="21"/>
    </row>
    <row r="22" ht="15.75" customHeight="1">
      <c r="A22" s="36"/>
      <c r="B22" s="47" t="s">
        <v>51</v>
      </c>
      <c r="C22" s="44" t="s">
        <v>34</v>
      </c>
      <c r="D22" s="45">
        <v>15.0</v>
      </c>
      <c r="E22" s="46">
        <v>75.0</v>
      </c>
      <c r="F22" s="40" t="s">
        <v>41</v>
      </c>
      <c r="G22" s="40"/>
      <c r="H22" s="40">
        <v>5.0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21"/>
      <c r="X22" s="21"/>
    </row>
    <row r="23" ht="15.75" customHeight="1">
      <c r="A23" s="36"/>
      <c r="B23" s="47" t="s">
        <v>52</v>
      </c>
      <c r="C23" s="44" t="s">
        <v>47</v>
      </c>
      <c r="D23" s="45">
        <f>300/10</f>
        <v>30</v>
      </c>
      <c r="E23" s="46">
        <v>300.0</v>
      </c>
      <c r="F23" s="40" t="s">
        <v>41</v>
      </c>
      <c r="G23" s="40"/>
      <c r="H23" s="40">
        <v>10.0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21"/>
      <c r="X23" s="21"/>
    </row>
    <row r="24" ht="15.75" customHeight="1">
      <c r="A24" s="36"/>
      <c r="B24" s="43" t="s">
        <v>53</v>
      </c>
      <c r="C24" s="44" t="s">
        <v>54</v>
      </c>
      <c r="D24" s="45">
        <f>1000/50</f>
        <v>20</v>
      </c>
      <c r="E24" s="46">
        <v>1000.0</v>
      </c>
      <c r="F24" s="40" t="s">
        <v>41</v>
      </c>
      <c r="G24" s="40"/>
      <c r="H24" s="40">
        <v>50.0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21"/>
      <c r="X24" s="21"/>
    </row>
    <row r="25" ht="15.75" customHeight="1">
      <c r="A25" s="36"/>
      <c r="B25" s="43" t="s">
        <v>55</v>
      </c>
      <c r="C25" s="44" t="s">
        <v>56</v>
      </c>
      <c r="D25" s="45">
        <f>2000/15</f>
        <v>133.3333333</v>
      </c>
      <c r="E25" s="46">
        <v>2000.0</v>
      </c>
      <c r="F25" s="40" t="s">
        <v>41</v>
      </c>
      <c r="G25" s="40"/>
      <c r="H25" s="40">
        <v>15.0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21"/>
      <c r="X25" s="21"/>
    </row>
    <row r="26" ht="15.75" customHeight="1">
      <c r="A26" s="36"/>
      <c r="B26" s="43" t="s">
        <v>57</v>
      </c>
      <c r="C26" s="44" t="s">
        <v>58</v>
      </c>
      <c r="D26" s="45">
        <f>1000/1</f>
        <v>1000</v>
      </c>
      <c r="E26" s="46">
        <v>1000.0</v>
      </c>
      <c r="F26" s="40" t="s">
        <v>32</v>
      </c>
      <c r="G26" s="40"/>
      <c r="H26" s="40"/>
      <c r="I26" s="40">
        <v>1.0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21"/>
      <c r="X26" s="21"/>
    </row>
    <row r="27" ht="15.75" customHeight="1">
      <c r="A27" s="36"/>
      <c r="B27" s="43" t="s">
        <v>59</v>
      </c>
      <c r="C27" s="44" t="s">
        <v>60</v>
      </c>
      <c r="D27" s="45">
        <f>30000/3</f>
        <v>10000</v>
      </c>
      <c r="E27" s="46">
        <v>30000.0</v>
      </c>
      <c r="F27" s="40" t="s">
        <v>32</v>
      </c>
      <c r="G27" s="40"/>
      <c r="H27" s="40"/>
      <c r="I27" s="40">
        <v>3.0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21"/>
      <c r="X27" s="21"/>
    </row>
    <row r="28" ht="15.75" customHeight="1">
      <c r="A28" s="36"/>
      <c r="B28" s="47" t="s">
        <v>61</v>
      </c>
      <c r="C28" s="44" t="s">
        <v>62</v>
      </c>
      <c r="D28" s="45">
        <f>1000/100</f>
        <v>10</v>
      </c>
      <c r="E28" s="46">
        <v>1000.0</v>
      </c>
      <c r="F28" s="40" t="s">
        <v>41</v>
      </c>
      <c r="G28" s="40"/>
      <c r="H28" s="40"/>
      <c r="I28" s="40">
        <v>100.0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21"/>
      <c r="X28" s="21"/>
    </row>
    <row r="29" ht="15.75" customHeight="1">
      <c r="A29" s="36"/>
      <c r="B29" s="47" t="s">
        <v>63</v>
      </c>
      <c r="C29" s="44" t="s">
        <v>62</v>
      </c>
      <c r="D29" s="45">
        <f>2000/100</f>
        <v>20</v>
      </c>
      <c r="E29" s="46">
        <v>2000.0</v>
      </c>
      <c r="F29" s="40" t="s">
        <v>41</v>
      </c>
      <c r="G29" s="40"/>
      <c r="H29" s="40"/>
      <c r="I29" s="40">
        <v>100.0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21"/>
      <c r="X29" s="21"/>
    </row>
    <row r="30" ht="15.75" customHeight="1">
      <c r="A30" s="36"/>
      <c r="B30" s="43" t="s">
        <v>64</v>
      </c>
      <c r="C30" s="44" t="s">
        <v>65</v>
      </c>
      <c r="D30" s="45">
        <f>250/50</f>
        <v>5</v>
      </c>
      <c r="E30" s="46">
        <v>250.0</v>
      </c>
      <c r="F30" s="40" t="s">
        <v>41</v>
      </c>
      <c r="G30" s="40"/>
      <c r="H30" s="40"/>
      <c r="I30" s="40">
        <v>50.0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21"/>
      <c r="X30" s="21"/>
    </row>
    <row r="31" ht="15.75" customHeight="1">
      <c r="A31" s="36"/>
      <c r="B31" s="43" t="s">
        <v>66</v>
      </c>
      <c r="C31" s="44" t="s">
        <v>60</v>
      </c>
      <c r="D31" s="45">
        <f t="shared" ref="D31:D32" si="1">400/3</f>
        <v>133.3333333</v>
      </c>
      <c r="E31" s="46">
        <v>400.0</v>
      </c>
      <c r="F31" s="40" t="s">
        <v>32</v>
      </c>
      <c r="G31" s="40"/>
      <c r="H31" s="40"/>
      <c r="I31" s="40">
        <v>3.0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21"/>
      <c r="X31" s="21"/>
    </row>
    <row r="32" ht="15.75" customHeight="1">
      <c r="A32" s="36"/>
      <c r="B32" s="43" t="s">
        <v>67</v>
      </c>
      <c r="C32" s="44" t="s">
        <v>60</v>
      </c>
      <c r="D32" s="45">
        <f t="shared" si="1"/>
        <v>133.3333333</v>
      </c>
      <c r="E32" s="46">
        <v>400.0</v>
      </c>
      <c r="F32" s="40" t="s">
        <v>32</v>
      </c>
      <c r="G32" s="40"/>
      <c r="H32" s="40"/>
      <c r="I32" s="40">
        <v>3.0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21"/>
      <c r="X32" s="21"/>
    </row>
    <row r="33" ht="15.75" customHeight="1">
      <c r="A33" s="36"/>
      <c r="B33" s="43" t="s">
        <v>68</v>
      </c>
      <c r="C33" s="44" t="s">
        <v>69</v>
      </c>
      <c r="D33" s="45">
        <f>5500/30</f>
        <v>183.3333333</v>
      </c>
      <c r="E33" s="46">
        <v>5500.0</v>
      </c>
      <c r="F33" s="40" t="s">
        <v>41</v>
      </c>
      <c r="G33" s="40"/>
      <c r="H33" s="40"/>
      <c r="I33" s="40">
        <v>30.0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21"/>
      <c r="X33" s="21"/>
    </row>
    <row r="34" ht="15.75" customHeight="1">
      <c r="A34" s="36"/>
      <c r="B34" s="43" t="s">
        <v>70</v>
      </c>
      <c r="C34" s="44" t="s">
        <v>58</v>
      </c>
      <c r="D34" s="45">
        <v>5000.0</v>
      </c>
      <c r="E34" s="46">
        <v>5000.0</v>
      </c>
      <c r="F34" s="40" t="s">
        <v>32</v>
      </c>
      <c r="G34" s="40"/>
      <c r="H34" s="40"/>
      <c r="I34" s="40">
        <v>1.0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21"/>
      <c r="X34" s="21"/>
    </row>
    <row r="35" ht="15.75" customHeight="1">
      <c r="A35" s="36"/>
      <c r="B35" s="43" t="s">
        <v>71</v>
      </c>
      <c r="C35" s="44" t="s">
        <v>72</v>
      </c>
      <c r="D35" s="45">
        <f t="shared" ref="D35:D36" si="2">3200/8</f>
        <v>400</v>
      </c>
      <c r="E35" s="46">
        <v>3200.0</v>
      </c>
      <c r="F35" s="40" t="s">
        <v>41</v>
      </c>
      <c r="G35" s="40"/>
      <c r="H35" s="40"/>
      <c r="I35" s="40">
        <v>8.0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21"/>
      <c r="X35" s="21"/>
    </row>
    <row r="36" ht="15.75" customHeight="1">
      <c r="A36" s="36"/>
      <c r="B36" s="43" t="s">
        <v>73</v>
      </c>
      <c r="C36" s="44" t="s">
        <v>72</v>
      </c>
      <c r="D36" s="45">
        <f t="shared" si="2"/>
        <v>400</v>
      </c>
      <c r="E36" s="46">
        <v>3200.0</v>
      </c>
      <c r="F36" s="40" t="s">
        <v>41</v>
      </c>
      <c r="G36" s="40"/>
      <c r="H36" s="40"/>
      <c r="I36" s="40">
        <v>8.0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21"/>
      <c r="X36" s="21"/>
    </row>
    <row r="37" ht="15.75" customHeight="1">
      <c r="A37" s="36"/>
      <c r="B37" s="43" t="s">
        <v>74</v>
      </c>
      <c r="C37" s="44" t="s">
        <v>75</v>
      </c>
      <c r="D37" s="45">
        <f>200/3</f>
        <v>66.66666667</v>
      </c>
      <c r="E37" s="46">
        <v>200.0</v>
      </c>
      <c r="F37" s="40" t="s">
        <v>41</v>
      </c>
      <c r="G37" s="40"/>
      <c r="H37" s="40"/>
      <c r="I37" s="40">
        <v>3.0</v>
      </c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21"/>
      <c r="X37" s="21"/>
    </row>
    <row r="38" ht="15.75" customHeight="1">
      <c r="A38" s="36"/>
      <c r="B38" s="43" t="s">
        <v>76</v>
      </c>
      <c r="C38" s="44" t="s">
        <v>40</v>
      </c>
      <c r="D38" s="45">
        <f>1000/20</f>
        <v>50</v>
      </c>
      <c r="E38" s="46">
        <v>1000.0</v>
      </c>
      <c r="F38" s="40" t="s">
        <v>41</v>
      </c>
      <c r="G38" s="40"/>
      <c r="H38" s="40"/>
      <c r="I38" s="40"/>
      <c r="J38" s="40">
        <v>20.0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21"/>
      <c r="X38" s="21"/>
    </row>
    <row r="39" ht="15.75" customHeight="1">
      <c r="A39" s="36"/>
      <c r="B39" s="43" t="s">
        <v>77</v>
      </c>
      <c r="C39" s="44" t="s">
        <v>78</v>
      </c>
      <c r="D39" s="45">
        <f>600/20</f>
        <v>30</v>
      </c>
      <c r="E39" s="46">
        <v>600.0</v>
      </c>
      <c r="F39" s="40" t="s">
        <v>41</v>
      </c>
      <c r="G39" s="40"/>
      <c r="H39" s="40"/>
      <c r="I39" s="40"/>
      <c r="J39" s="40">
        <v>20.0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21"/>
      <c r="X39" s="21"/>
    </row>
    <row r="40" ht="15.75" customHeight="1">
      <c r="A40" s="36"/>
      <c r="B40" s="43" t="s">
        <v>79</v>
      </c>
      <c r="C40" s="44" t="s">
        <v>62</v>
      </c>
      <c r="D40" s="45">
        <f>1000/100</f>
        <v>10</v>
      </c>
      <c r="E40" s="46">
        <v>1000.0</v>
      </c>
      <c r="F40" s="40" t="s">
        <v>41</v>
      </c>
      <c r="G40" s="40"/>
      <c r="H40" s="40"/>
      <c r="I40" s="40"/>
      <c r="J40" s="40">
        <v>100.0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21"/>
      <c r="X40" s="21"/>
    </row>
    <row r="41" ht="15.75" customHeight="1">
      <c r="A41" s="36"/>
      <c r="B41" s="43" t="s">
        <v>80</v>
      </c>
      <c r="C41" s="44" t="s">
        <v>65</v>
      </c>
      <c r="D41" s="45">
        <f>1000/50</f>
        <v>20</v>
      </c>
      <c r="E41" s="46">
        <v>1000.0</v>
      </c>
      <c r="F41" s="40" t="s">
        <v>41</v>
      </c>
      <c r="G41" s="40"/>
      <c r="H41" s="40"/>
      <c r="I41" s="40"/>
      <c r="J41" s="40">
        <v>50.0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21"/>
      <c r="X41" s="21"/>
    </row>
    <row r="42" ht="15.75" customHeight="1">
      <c r="A42" s="36"/>
      <c r="B42" s="43" t="s">
        <v>81</v>
      </c>
      <c r="C42" s="44" t="s">
        <v>78</v>
      </c>
      <c r="D42" s="45">
        <f>400/20</f>
        <v>20</v>
      </c>
      <c r="E42" s="46">
        <v>400.0</v>
      </c>
      <c r="F42" s="40" t="s">
        <v>41</v>
      </c>
      <c r="G42" s="40"/>
      <c r="H42" s="40"/>
      <c r="I42" s="40"/>
      <c r="J42" s="40">
        <v>20.0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21"/>
      <c r="X42" s="21"/>
    </row>
    <row r="43" ht="15.75" customHeight="1">
      <c r="A43" s="36"/>
      <c r="B43" s="43" t="s">
        <v>82</v>
      </c>
      <c r="C43" s="44" t="s">
        <v>83</v>
      </c>
      <c r="D43" s="45">
        <f>300/3</f>
        <v>100</v>
      </c>
      <c r="E43" s="46">
        <v>300.0</v>
      </c>
      <c r="F43" s="40" t="s">
        <v>41</v>
      </c>
      <c r="G43" s="40"/>
      <c r="H43" s="40"/>
      <c r="I43" s="40"/>
      <c r="J43" s="40">
        <v>3.0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21"/>
      <c r="X43" s="21"/>
    </row>
    <row r="44" ht="15.75" customHeight="1">
      <c r="A44" s="36"/>
      <c r="B44" s="43" t="s">
        <v>84</v>
      </c>
      <c r="C44" s="44" t="s">
        <v>85</v>
      </c>
      <c r="D44" s="45">
        <f>500/10</f>
        <v>50</v>
      </c>
      <c r="E44" s="46">
        <v>500.0</v>
      </c>
      <c r="F44" s="40" t="s">
        <v>41</v>
      </c>
      <c r="G44" s="40"/>
      <c r="H44" s="40"/>
      <c r="I44" s="40"/>
      <c r="J44" s="40">
        <v>10.0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21"/>
      <c r="X44" s="21"/>
    </row>
    <row r="45" ht="15.75" customHeight="1">
      <c r="A45" s="36"/>
      <c r="B45" s="43" t="s">
        <v>86</v>
      </c>
      <c r="C45" s="44" t="s">
        <v>36</v>
      </c>
      <c r="D45" s="45">
        <f t="shared" ref="D45:D46" si="3">300/10</f>
        <v>30</v>
      </c>
      <c r="E45" s="46">
        <v>300.0</v>
      </c>
      <c r="F45" s="40" t="s">
        <v>41</v>
      </c>
      <c r="G45" s="40"/>
      <c r="H45" s="40"/>
      <c r="I45" s="40"/>
      <c r="J45" s="40">
        <v>10.0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21"/>
      <c r="X45" s="21"/>
    </row>
    <row r="46" ht="15.75" customHeight="1">
      <c r="A46" s="36"/>
      <c r="B46" s="43" t="s">
        <v>87</v>
      </c>
      <c r="C46" s="44" t="s">
        <v>36</v>
      </c>
      <c r="D46" s="45">
        <f t="shared" si="3"/>
        <v>30</v>
      </c>
      <c r="E46" s="46">
        <v>300.0</v>
      </c>
      <c r="F46" s="40" t="s">
        <v>41</v>
      </c>
      <c r="G46" s="40"/>
      <c r="H46" s="40"/>
      <c r="I46" s="40"/>
      <c r="J46" s="40">
        <v>10.0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21"/>
      <c r="X46" s="21"/>
    </row>
    <row r="47" ht="15.75" customHeight="1">
      <c r="A47" s="36"/>
      <c r="B47" s="43"/>
      <c r="C47" s="44"/>
      <c r="D47" s="45"/>
      <c r="E47" s="46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21"/>
      <c r="X47" s="21"/>
    </row>
    <row r="48" ht="15.75" customHeight="1">
      <c r="A48" s="36"/>
      <c r="B48" s="49" t="s">
        <v>88</v>
      </c>
      <c r="C48" s="50"/>
      <c r="D48" s="51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21"/>
      <c r="X48" s="21"/>
    </row>
    <row r="49" ht="15.75" customHeight="1">
      <c r="A49" s="36"/>
      <c r="B49" s="37" t="s">
        <v>89</v>
      </c>
      <c r="C49" s="38" t="s">
        <v>90</v>
      </c>
      <c r="D49" s="45">
        <f>6560/4</f>
        <v>1640</v>
      </c>
      <c r="E49" s="39">
        <v>6560.0</v>
      </c>
      <c r="F49" s="40" t="s">
        <v>32</v>
      </c>
      <c r="G49" s="40"/>
      <c r="H49" s="40">
        <v>4.0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21"/>
      <c r="X49" s="21"/>
    </row>
    <row r="50" ht="15.75" customHeight="1">
      <c r="A50" s="36"/>
      <c r="B50" s="43" t="s">
        <v>91</v>
      </c>
      <c r="C50" s="44" t="s">
        <v>90</v>
      </c>
      <c r="D50" s="45">
        <f>3440/4</f>
        <v>860</v>
      </c>
      <c r="E50" s="46">
        <v>3440.0</v>
      </c>
      <c r="F50" s="40" t="s">
        <v>32</v>
      </c>
      <c r="G50" s="40"/>
      <c r="H50" s="40">
        <v>4.0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21"/>
      <c r="X50" s="21"/>
    </row>
    <row r="51" ht="15.75" customHeight="1">
      <c r="A51" s="36"/>
      <c r="B51" s="47" t="s">
        <v>92</v>
      </c>
      <c r="C51" s="44" t="s">
        <v>93</v>
      </c>
      <c r="D51" s="45">
        <f>8000/8</f>
        <v>1000</v>
      </c>
      <c r="E51" s="46">
        <v>8000.0</v>
      </c>
      <c r="F51" s="40" t="s">
        <v>32</v>
      </c>
      <c r="G51" s="40"/>
      <c r="H51" s="40">
        <v>8.0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21"/>
      <c r="X51" s="21"/>
    </row>
    <row r="52" ht="15.75" customHeight="1">
      <c r="A52" s="36"/>
      <c r="B52" s="37" t="s">
        <v>94</v>
      </c>
      <c r="C52" s="44" t="s">
        <v>95</v>
      </c>
      <c r="D52" s="45">
        <f>15000/300</f>
        <v>50</v>
      </c>
      <c r="E52" s="46">
        <v>15000.0</v>
      </c>
      <c r="F52" s="40" t="s">
        <v>32</v>
      </c>
      <c r="G52" s="40"/>
      <c r="H52" s="40">
        <v>300.0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21"/>
      <c r="X52" s="21"/>
    </row>
    <row r="53" ht="15.75" customHeight="1">
      <c r="A53" s="36"/>
      <c r="B53" s="37" t="s">
        <v>96</v>
      </c>
      <c r="C53" s="44" t="s">
        <v>97</v>
      </c>
      <c r="D53" s="45">
        <f>5700/100</f>
        <v>57</v>
      </c>
      <c r="E53" s="46">
        <v>5700.0</v>
      </c>
      <c r="F53" s="40" t="s">
        <v>32</v>
      </c>
      <c r="G53" s="40"/>
      <c r="H53" s="40">
        <v>100.0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21"/>
      <c r="X53" s="21"/>
    </row>
    <row r="54" ht="15.75" customHeight="1">
      <c r="A54" s="36"/>
      <c r="B54" s="37" t="s">
        <v>98</v>
      </c>
      <c r="C54" s="44" t="s">
        <v>90</v>
      </c>
      <c r="D54" s="45">
        <f>5500/4</f>
        <v>1375</v>
      </c>
      <c r="E54" s="46">
        <v>5500.0</v>
      </c>
      <c r="F54" s="40" t="s">
        <v>32</v>
      </c>
      <c r="G54" s="40"/>
      <c r="H54" s="40"/>
      <c r="I54" s="40">
        <v>4.0</v>
      </c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21"/>
      <c r="X54" s="21"/>
    </row>
    <row r="55" ht="15.75" customHeight="1">
      <c r="A55" s="36"/>
      <c r="B55" s="37" t="s">
        <v>99</v>
      </c>
      <c r="C55" s="44" t="s">
        <v>100</v>
      </c>
      <c r="D55" s="45">
        <f>7200/4</f>
        <v>1800</v>
      </c>
      <c r="E55" s="46">
        <v>7200.0</v>
      </c>
      <c r="F55" s="40" t="s">
        <v>32</v>
      </c>
      <c r="G55" s="40"/>
      <c r="H55" s="40"/>
      <c r="I55" s="40">
        <v>4.0</v>
      </c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21"/>
      <c r="X55" s="21"/>
    </row>
    <row r="56" ht="15.75" customHeight="1">
      <c r="A56" s="36"/>
      <c r="B56" s="37" t="s">
        <v>101</v>
      </c>
      <c r="C56" s="44" t="s">
        <v>102</v>
      </c>
      <c r="D56" s="45">
        <f>8000/6</f>
        <v>1333.333333</v>
      </c>
      <c r="E56" s="46">
        <v>8000.0</v>
      </c>
      <c r="F56" s="40" t="s">
        <v>32</v>
      </c>
      <c r="G56" s="40"/>
      <c r="H56" s="40"/>
      <c r="I56" s="40">
        <v>6.0</v>
      </c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21"/>
      <c r="X56" s="21"/>
    </row>
    <row r="57" ht="15.75" customHeight="1">
      <c r="A57" s="36"/>
      <c r="B57" s="37" t="s">
        <v>103</v>
      </c>
      <c r="C57" s="44" t="s">
        <v>104</v>
      </c>
      <c r="D57" s="45">
        <f>280/10</f>
        <v>28</v>
      </c>
      <c r="E57" s="46">
        <v>280.0</v>
      </c>
      <c r="F57" s="40" t="s">
        <v>32</v>
      </c>
      <c r="G57" s="40"/>
      <c r="H57" s="40"/>
      <c r="I57" s="40">
        <v>10.0</v>
      </c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21"/>
      <c r="X57" s="21"/>
    </row>
    <row r="58" ht="15.75" customHeight="1">
      <c r="A58" s="36"/>
      <c r="B58" s="37" t="s">
        <v>105</v>
      </c>
      <c r="C58" s="44" t="s">
        <v>106</v>
      </c>
      <c r="D58" s="45">
        <f>2100/6</f>
        <v>350</v>
      </c>
      <c r="E58" s="46">
        <v>2100.0</v>
      </c>
      <c r="F58" s="40" t="s">
        <v>32</v>
      </c>
      <c r="G58" s="40"/>
      <c r="H58" s="40"/>
      <c r="I58" s="40"/>
      <c r="J58" s="40">
        <v>6.0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21"/>
      <c r="X58" s="21"/>
    </row>
    <row r="59" ht="15.75" customHeight="1">
      <c r="A59" s="36"/>
      <c r="B59" s="37" t="s">
        <v>107</v>
      </c>
      <c r="C59" s="44" t="s">
        <v>85</v>
      </c>
      <c r="D59" s="45">
        <f>3000/10</f>
        <v>300</v>
      </c>
      <c r="E59" s="46">
        <v>3000.0</v>
      </c>
      <c r="F59" s="40" t="s">
        <v>32</v>
      </c>
      <c r="G59" s="40"/>
      <c r="H59" s="40"/>
      <c r="I59" s="40"/>
      <c r="J59" s="40">
        <v>10.0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1"/>
      <c r="X59" s="21"/>
    </row>
    <row r="60" ht="15.75" customHeight="1">
      <c r="A60" s="36"/>
      <c r="B60" s="37" t="s">
        <v>108</v>
      </c>
      <c r="C60" s="44" t="s">
        <v>106</v>
      </c>
      <c r="D60" s="45">
        <f>2400/6</f>
        <v>400</v>
      </c>
      <c r="E60" s="46">
        <v>2400.0</v>
      </c>
      <c r="F60" s="40" t="s">
        <v>32</v>
      </c>
      <c r="G60" s="40"/>
      <c r="H60" s="40"/>
      <c r="I60" s="40"/>
      <c r="J60" s="40">
        <v>6.0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1"/>
      <c r="X60" s="21"/>
    </row>
    <row r="61" ht="15.75" hidden="1" customHeight="1">
      <c r="A61" s="36"/>
      <c r="B61" s="37"/>
      <c r="C61" s="44"/>
      <c r="D61" s="45"/>
      <c r="E61" s="46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1"/>
      <c r="X61" s="21"/>
    </row>
    <row r="62" ht="15.75" hidden="1" customHeight="1">
      <c r="A62" s="36"/>
      <c r="B62" s="37"/>
      <c r="C62" s="44"/>
      <c r="D62" s="45"/>
      <c r="E62" s="46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1"/>
      <c r="X62" s="21"/>
    </row>
    <row r="63" ht="15.75" hidden="1" customHeight="1">
      <c r="A63" s="36"/>
      <c r="B63" s="37"/>
      <c r="C63" s="44"/>
      <c r="D63" s="45"/>
      <c r="E63" s="46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1"/>
      <c r="X63" s="21"/>
    </row>
    <row r="64" ht="15.75" hidden="1" customHeight="1">
      <c r="A64" s="36"/>
      <c r="B64" s="37"/>
      <c r="C64" s="44"/>
      <c r="D64" s="45"/>
      <c r="E64" s="46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1"/>
      <c r="X64" s="21"/>
    </row>
    <row r="65" ht="15.75" hidden="1" customHeight="1">
      <c r="A65" s="36"/>
      <c r="B65" s="37"/>
      <c r="C65" s="44"/>
      <c r="D65" s="45"/>
      <c r="E65" s="46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1"/>
      <c r="X65" s="21"/>
    </row>
    <row r="66" ht="15.75" hidden="1" customHeight="1">
      <c r="A66" s="36"/>
      <c r="B66" s="37"/>
      <c r="C66" s="44"/>
      <c r="D66" s="45"/>
      <c r="E66" s="46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1"/>
      <c r="X66" s="21"/>
    </row>
    <row r="67" ht="15.75" hidden="1" customHeight="1">
      <c r="A67" s="52"/>
      <c r="B67" s="53"/>
      <c r="C67" s="54"/>
      <c r="D67" s="55"/>
      <c r="E67" s="56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1"/>
      <c r="X67" s="21"/>
    </row>
    <row r="68" ht="15.75" hidden="1" customHeight="1">
      <c r="A68" s="36"/>
      <c r="B68" s="49" t="s">
        <v>109</v>
      </c>
      <c r="C68" s="50"/>
      <c r="D68" s="51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21"/>
      <c r="X68" s="21"/>
    </row>
    <row r="69" ht="15.75" hidden="1" customHeight="1">
      <c r="A69" s="36"/>
      <c r="B69" s="37"/>
      <c r="C69" s="44"/>
      <c r="D69" s="45"/>
      <c r="E69" s="46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1"/>
      <c r="X69" s="21"/>
    </row>
    <row r="70" ht="15.75" hidden="1" customHeight="1">
      <c r="A70" s="36"/>
      <c r="B70" s="37"/>
      <c r="C70" s="44"/>
      <c r="D70" s="45"/>
      <c r="E70" s="46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1"/>
      <c r="X70" s="21"/>
    </row>
    <row r="71" ht="15.75" hidden="1" customHeight="1">
      <c r="A71" s="36"/>
      <c r="B71" s="37"/>
      <c r="C71" s="44"/>
      <c r="D71" s="45"/>
      <c r="E71" s="46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1"/>
      <c r="X71" s="21"/>
    </row>
    <row r="72" ht="15.75" hidden="1" customHeight="1">
      <c r="A72" s="36"/>
      <c r="B72" s="37"/>
      <c r="C72" s="44"/>
      <c r="D72" s="45"/>
      <c r="E72" s="46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1"/>
      <c r="X72" s="21"/>
    </row>
    <row r="73" ht="15.75" hidden="1" customHeight="1">
      <c r="A73" s="36"/>
      <c r="B73" s="49" t="s">
        <v>110</v>
      </c>
      <c r="C73" s="50"/>
      <c r="D73" s="51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21"/>
      <c r="X73" s="21"/>
    </row>
    <row r="74" ht="15.75" hidden="1" customHeight="1">
      <c r="A74" s="36"/>
      <c r="B74" s="37"/>
      <c r="C74" s="44"/>
      <c r="D74" s="45"/>
      <c r="E74" s="46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1"/>
      <c r="X74" s="21"/>
    </row>
    <row r="75" ht="15.75" hidden="1" customHeight="1">
      <c r="A75" s="36"/>
      <c r="B75" s="37"/>
      <c r="C75" s="44"/>
      <c r="D75" s="45"/>
      <c r="E75" s="46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21"/>
      <c r="X75" s="21"/>
    </row>
    <row r="76" ht="15.75" hidden="1" customHeight="1">
      <c r="A76" s="36"/>
      <c r="B76" s="37"/>
      <c r="C76" s="44"/>
      <c r="D76" s="45"/>
      <c r="E76" s="46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1"/>
      <c r="X76" s="21"/>
    </row>
    <row r="77" ht="15.75" customHeight="1">
      <c r="A77" s="52"/>
      <c r="B77" s="57" t="s">
        <v>111</v>
      </c>
      <c r="C77" s="58"/>
      <c r="D77" s="58"/>
      <c r="E77" s="58"/>
      <c r="F77" s="58"/>
      <c r="G77" s="58"/>
      <c r="H77" s="58"/>
      <c r="I77" s="59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21"/>
      <c r="X77" s="21"/>
    </row>
    <row r="78" ht="15.75" customHeight="1">
      <c r="A78" s="60"/>
      <c r="B78" s="61"/>
      <c r="C78" s="2"/>
      <c r="D78" s="9"/>
      <c r="E78" s="62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63" t="s">
        <v>112</v>
      </c>
      <c r="B79" s="6"/>
      <c r="C79" s="64">
        <v>247155.0</v>
      </c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65" t="s">
        <v>113</v>
      </c>
      <c r="B80" s="66"/>
      <c r="C80" s="67">
        <f>PRODUCT(C79,0.1)</f>
        <v>24715.5</v>
      </c>
      <c r="D80" s="68"/>
      <c r="E80" s="69"/>
      <c r="F80" s="11"/>
      <c r="G80" s="11"/>
      <c r="H80" s="70"/>
      <c r="J80" s="70"/>
      <c r="U80" s="70"/>
      <c r="V80" s="2"/>
      <c r="W80" s="2"/>
      <c r="X80" s="2"/>
    </row>
    <row r="81" ht="15.75" hidden="1" customHeight="1">
      <c r="A81" s="71" t="s">
        <v>114</v>
      </c>
      <c r="B81" s="72"/>
      <c r="C81" s="73">
        <f>PRODUCT(C79,0.1)</f>
        <v>24715.5</v>
      </c>
      <c r="D81" s="58"/>
      <c r="E81" s="59"/>
      <c r="F81" s="11"/>
      <c r="G81" s="11"/>
      <c r="H81" s="74"/>
      <c r="I81" s="74"/>
      <c r="J81" s="75"/>
      <c r="U81" s="75"/>
      <c r="V81" s="2"/>
      <c r="W81" s="2"/>
      <c r="X81" s="2"/>
    </row>
    <row r="82" ht="15.75" hidden="1" customHeight="1">
      <c r="A82" s="71" t="s">
        <v>115</v>
      </c>
      <c r="B82" s="72"/>
      <c r="C82" s="73">
        <f>SUM(C79:E81)</f>
        <v>296586</v>
      </c>
      <c r="D82" s="58"/>
      <c r="E82" s="59"/>
      <c r="F82" s="11"/>
      <c r="G82" s="11"/>
      <c r="H82" s="74"/>
      <c r="I82" s="74"/>
      <c r="J82" s="75"/>
      <c r="U82" s="75"/>
      <c r="V82" s="2"/>
      <c r="W82" s="2"/>
      <c r="X82" s="2"/>
    </row>
    <row r="83" ht="15.75" customHeight="1">
      <c r="A83" s="76"/>
      <c r="B83" s="6"/>
      <c r="C83" s="2"/>
      <c r="D83" s="9"/>
      <c r="E83" s="10"/>
      <c r="F83" s="11"/>
      <c r="G83" s="11"/>
      <c r="H83" s="74"/>
      <c r="I83" s="74"/>
      <c r="J83" s="75"/>
      <c r="U83" s="75"/>
      <c r="V83" s="2"/>
      <c r="W83" s="2"/>
      <c r="X83" s="2"/>
    </row>
    <row r="84" ht="15.75" customHeight="1">
      <c r="A84" s="77" t="s">
        <v>116</v>
      </c>
      <c r="B84" s="6"/>
      <c r="C84" s="2"/>
      <c r="D84" s="9"/>
      <c r="E84" s="10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78"/>
      <c r="B85" s="6"/>
      <c r="C85" s="2"/>
      <c r="D85" s="9"/>
      <c r="E85" s="10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79" t="s">
        <v>117</v>
      </c>
      <c r="B86" s="61"/>
      <c r="C86" s="80" t="s">
        <v>118</v>
      </c>
      <c r="F86" s="74"/>
      <c r="G86" s="74"/>
      <c r="H86" s="2"/>
      <c r="I86" s="80" t="s">
        <v>119</v>
      </c>
      <c r="O86" s="2"/>
      <c r="P86" s="2"/>
      <c r="Q86" s="80" t="s">
        <v>120</v>
      </c>
      <c r="U86" s="2"/>
      <c r="V86" s="2"/>
      <c r="X86" s="74"/>
    </row>
    <row r="87" ht="15.75" customHeight="1">
      <c r="A87" s="79"/>
      <c r="B87" s="61"/>
      <c r="C87" s="80"/>
      <c r="D87" s="81"/>
      <c r="E87" s="80"/>
      <c r="F87" s="74"/>
      <c r="G87" s="74"/>
      <c r="H87" s="2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74"/>
      <c r="X87" s="74"/>
    </row>
    <row r="88" ht="15.75" customHeight="1">
      <c r="A88" s="61"/>
      <c r="B88" s="61"/>
      <c r="C88" s="74"/>
      <c r="D88" s="82"/>
      <c r="E88" s="83"/>
      <c r="F88" s="74"/>
      <c r="G88" s="74"/>
      <c r="H88" s="2"/>
      <c r="I88" s="74"/>
      <c r="J88" s="83"/>
      <c r="K88" s="83"/>
      <c r="L88" s="83"/>
      <c r="M88" s="83"/>
      <c r="N88" s="83"/>
      <c r="O88" s="83"/>
      <c r="P88" s="83"/>
      <c r="Q88" s="74"/>
      <c r="R88" s="83"/>
      <c r="S88" s="74"/>
      <c r="T88" s="74"/>
      <c r="U88" s="74"/>
      <c r="V88" s="74"/>
      <c r="W88" s="74"/>
      <c r="X88" s="74"/>
    </row>
    <row r="89" ht="15.75" customHeight="1">
      <c r="A89" s="84" t="s">
        <v>121</v>
      </c>
      <c r="C89" s="85" t="s">
        <v>122</v>
      </c>
      <c r="G89" s="2"/>
      <c r="H89" s="2"/>
      <c r="I89" s="85" t="s">
        <v>123</v>
      </c>
      <c r="O89" s="2"/>
      <c r="P89" s="2"/>
      <c r="Q89" s="85" t="s">
        <v>124</v>
      </c>
      <c r="U89" s="2"/>
      <c r="V89" s="2"/>
    </row>
    <row r="90" ht="15.0" customHeight="1">
      <c r="A90" s="86" t="s">
        <v>125</v>
      </c>
      <c r="C90" s="87" t="s">
        <v>126</v>
      </c>
      <c r="G90" s="88"/>
      <c r="H90" s="2"/>
      <c r="I90" s="89" t="s">
        <v>127</v>
      </c>
      <c r="O90" s="2"/>
      <c r="P90" s="2"/>
      <c r="Q90" s="87" t="s">
        <v>128</v>
      </c>
      <c r="U90" s="2"/>
      <c r="V90" s="2"/>
      <c r="W90" s="74"/>
      <c r="X90" s="74"/>
    </row>
    <row r="91" ht="15.75" customHeight="1">
      <c r="A91" s="2"/>
      <c r="B91" s="2"/>
      <c r="C91" s="2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129</v>
      </c>
      <c r="B92" s="2"/>
      <c r="C92" s="2" t="s">
        <v>129</v>
      </c>
      <c r="D92" s="9"/>
      <c r="E92" s="2"/>
      <c r="F92" s="2"/>
      <c r="G92" s="2"/>
      <c r="H92" s="2"/>
      <c r="I92" s="2" t="s">
        <v>129</v>
      </c>
      <c r="J92" s="2"/>
      <c r="K92" s="2"/>
      <c r="L92" s="2"/>
      <c r="M92" s="2"/>
      <c r="N92" s="2"/>
      <c r="O92" s="2"/>
      <c r="P92" s="2"/>
      <c r="Q92" s="2" t="s">
        <v>129</v>
      </c>
      <c r="R92" s="2"/>
      <c r="S92" s="2"/>
      <c r="T92" s="2"/>
      <c r="U92" s="2"/>
      <c r="V92" s="2"/>
      <c r="W92" s="2"/>
      <c r="X92" s="2"/>
    </row>
    <row r="93" ht="15.75" customHeight="1">
      <c r="D93" s="90"/>
      <c r="H93" s="91"/>
    </row>
    <row r="94" ht="15.75" customHeight="1">
      <c r="D94" s="90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ht="15.75" customHeight="1">
      <c r="D95" s="90"/>
      <c r="H95" s="92"/>
      <c r="I95" s="93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</row>
    <row r="96" ht="15.75" customHeight="1">
      <c r="D96" s="90"/>
      <c r="H96" s="95"/>
    </row>
    <row r="97" ht="15.75" customHeight="1">
      <c r="D97" s="90"/>
      <c r="H97" s="96"/>
    </row>
    <row r="98" ht="15.75" customHeight="1">
      <c r="D98" s="90"/>
    </row>
    <row r="99" ht="15.75" customHeight="1">
      <c r="D99" s="90"/>
    </row>
    <row r="100" ht="15.75" customHeight="1">
      <c r="D100" s="90"/>
    </row>
    <row r="101" ht="15.75" customHeight="1">
      <c r="D101" s="90"/>
    </row>
    <row r="102" ht="15.75" customHeight="1">
      <c r="D102" s="90"/>
    </row>
    <row r="103" ht="15.75" customHeight="1">
      <c r="D103" s="90"/>
    </row>
    <row r="104" ht="15.75" customHeight="1">
      <c r="D104" s="90"/>
    </row>
    <row r="105" ht="15.75" customHeight="1">
      <c r="D105" s="90"/>
    </row>
    <row r="106" ht="15.75" customHeight="1">
      <c r="D106" s="90"/>
    </row>
    <row r="107" ht="15.75" customHeight="1">
      <c r="D107" s="90"/>
    </row>
    <row r="108" ht="15.75" customHeight="1">
      <c r="D108" s="90"/>
    </row>
    <row r="109" ht="15.75" customHeight="1">
      <c r="D109" s="90"/>
    </row>
    <row r="110" ht="15.75" customHeight="1">
      <c r="D110" s="90"/>
    </row>
    <row r="111" ht="15.75" customHeight="1">
      <c r="D111" s="90"/>
    </row>
    <row r="112" ht="15.75" customHeight="1">
      <c r="D112" s="90"/>
    </row>
    <row r="113" ht="15.75" customHeight="1">
      <c r="D113" s="90"/>
    </row>
    <row r="114" ht="15.75" customHeight="1">
      <c r="D114" s="90"/>
    </row>
    <row r="115" ht="15.75" customHeight="1">
      <c r="D115" s="90"/>
    </row>
    <row r="116" ht="15.75" customHeight="1">
      <c r="D116" s="90"/>
    </row>
    <row r="117" ht="15.75" customHeight="1">
      <c r="D117" s="90"/>
    </row>
    <row r="118" ht="15.75" customHeight="1">
      <c r="D118" s="90"/>
    </row>
    <row r="119" ht="15.75" customHeight="1">
      <c r="D119" s="90"/>
    </row>
    <row r="120" ht="15.75" customHeight="1">
      <c r="D120" s="90"/>
    </row>
    <row r="121" ht="15.75" customHeight="1">
      <c r="D121" s="90"/>
    </row>
    <row r="122" ht="15.75" customHeight="1">
      <c r="D122" s="90"/>
    </row>
    <row r="123" ht="15.75" customHeight="1">
      <c r="D123" s="90"/>
    </row>
    <row r="124" ht="15.75" customHeight="1">
      <c r="D124" s="90"/>
    </row>
    <row r="125" ht="15.75" customHeight="1">
      <c r="D125" s="90"/>
    </row>
    <row r="126" ht="15.75" customHeight="1">
      <c r="D126" s="90"/>
    </row>
    <row r="127" ht="15.75" customHeight="1">
      <c r="D127" s="90"/>
    </row>
    <row r="128" ht="15.75" customHeight="1">
      <c r="D128" s="90"/>
    </row>
    <row r="129" ht="15.75" customHeight="1">
      <c r="D129" s="90"/>
    </row>
    <row r="130" ht="15.75" customHeight="1">
      <c r="D130" s="90"/>
    </row>
    <row r="131" ht="15.75" customHeight="1">
      <c r="D131" s="90"/>
    </row>
    <row r="132" ht="15.75" customHeight="1">
      <c r="D132" s="90"/>
    </row>
    <row r="133" ht="15.75" customHeight="1">
      <c r="D133" s="90"/>
    </row>
    <row r="134" ht="15.75" customHeight="1">
      <c r="D134" s="90"/>
    </row>
    <row r="135" ht="15.75" customHeight="1">
      <c r="D135" s="90"/>
    </row>
    <row r="136" ht="15.75" customHeight="1">
      <c r="D136" s="90"/>
    </row>
    <row r="137" ht="15.75" customHeight="1">
      <c r="D137" s="90"/>
    </row>
    <row r="138" ht="15.75" customHeight="1">
      <c r="D138" s="90"/>
    </row>
    <row r="139" ht="15.75" customHeight="1">
      <c r="D139" s="90"/>
    </row>
    <row r="140" ht="15.75" customHeight="1">
      <c r="D140" s="90"/>
    </row>
    <row r="141" ht="15.75" customHeight="1">
      <c r="D141" s="90"/>
    </row>
    <row r="142" ht="15.75" customHeight="1">
      <c r="D142" s="90"/>
    </row>
    <row r="143" ht="15.75" customHeight="1">
      <c r="D143" s="90"/>
    </row>
    <row r="144" ht="15.75" customHeight="1">
      <c r="D144" s="90"/>
    </row>
    <row r="145" ht="15.75" customHeight="1">
      <c r="D145" s="90"/>
    </row>
    <row r="146" ht="15.75" customHeight="1">
      <c r="D146" s="90"/>
    </row>
    <row r="147" ht="15.75" customHeight="1">
      <c r="D147" s="90"/>
    </row>
    <row r="148" ht="15.75" customHeight="1">
      <c r="D148" s="90"/>
    </row>
    <row r="149" ht="15.75" customHeight="1">
      <c r="D149" s="90"/>
    </row>
    <row r="150" ht="15.75" customHeight="1">
      <c r="D150" s="90"/>
    </row>
    <row r="151" ht="15.75" customHeight="1">
      <c r="D151" s="90"/>
    </row>
    <row r="152" ht="15.75" customHeight="1">
      <c r="D152" s="90"/>
    </row>
    <row r="153" ht="15.75" customHeight="1">
      <c r="D153" s="90"/>
    </row>
    <row r="154" ht="15.75" customHeight="1">
      <c r="D154" s="90"/>
    </row>
    <row r="155" ht="15.75" customHeight="1">
      <c r="D155" s="90"/>
    </row>
    <row r="156" ht="15.75" customHeight="1">
      <c r="D156" s="90"/>
    </row>
    <row r="157" ht="15.75" customHeight="1">
      <c r="D157" s="90"/>
    </row>
    <row r="158" ht="15.75" customHeight="1">
      <c r="D158" s="90"/>
    </row>
    <row r="159" ht="15.75" customHeight="1">
      <c r="D159" s="90"/>
    </row>
    <row r="160" ht="15.75" customHeight="1">
      <c r="D160" s="90"/>
    </row>
    <row r="161" ht="15.75" customHeight="1">
      <c r="D161" s="90"/>
    </row>
    <row r="162" ht="15.75" customHeight="1">
      <c r="D162" s="90"/>
    </row>
    <row r="163" ht="15.75" customHeight="1">
      <c r="D163" s="90"/>
    </row>
    <row r="164" ht="15.75" customHeight="1">
      <c r="D164" s="90"/>
    </row>
    <row r="165" ht="15.75" customHeight="1">
      <c r="D165" s="90"/>
    </row>
    <row r="166" ht="15.75" customHeight="1">
      <c r="D166" s="90"/>
    </row>
    <row r="167" ht="15.75" customHeight="1">
      <c r="D167" s="90"/>
    </row>
    <row r="168" ht="15.75" customHeight="1">
      <c r="D168" s="90"/>
    </row>
    <row r="169" ht="15.75" customHeight="1">
      <c r="D169" s="90"/>
    </row>
    <row r="170" ht="15.75" customHeight="1">
      <c r="D170" s="90"/>
    </row>
    <row r="171" ht="15.75" customHeight="1">
      <c r="D171" s="90"/>
    </row>
    <row r="172" ht="15.75" customHeight="1">
      <c r="D172" s="90"/>
    </row>
    <row r="173" ht="15.75" customHeight="1">
      <c r="D173" s="90"/>
    </row>
    <row r="174" ht="15.75" customHeight="1">
      <c r="D174" s="90"/>
    </row>
    <row r="175" ht="15.75" customHeight="1">
      <c r="D175" s="90"/>
    </row>
    <row r="176" ht="15.75" customHeight="1">
      <c r="D176" s="90"/>
    </row>
    <row r="177" ht="15.75" customHeight="1">
      <c r="D177" s="90"/>
    </row>
    <row r="178" ht="15.75" customHeight="1">
      <c r="D178" s="90"/>
    </row>
    <row r="179" ht="15.75" customHeight="1">
      <c r="D179" s="90"/>
    </row>
    <row r="180" ht="15.75" customHeight="1">
      <c r="D180" s="90"/>
    </row>
    <row r="181" ht="15.75" customHeight="1">
      <c r="D181" s="90"/>
    </row>
    <row r="182" ht="15.75" customHeight="1">
      <c r="D182" s="90"/>
    </row>
    <row r="183" ht="15.75" customHeight="1">
      <c r="D183" s="90"/>
    </row>
    <row r="184" ht="15.75" customHeight="1">
      <c r="D184" s="90"/>
    </row>
    <row r="185" ht="15.75" customHeight="1">
      <c r="D185" s="90"/>
    </row>
    <row r="186" ht="15.75" customHeight="1">
      <c r="D186" s="90"/>
    </row>
    <row r="187" ht="15.75" customHeight="1">
      <c r="D187" s="90"/>
    </row>
    <row r="188" ht="15.75" customHeight="1">
      <c r="D188" s="90"/>
    </row>
    <row r="189" ht="15.75" customHeight="1">
      <c r="D189" s="90"/>
    </row>
    <row r="190" ht="15.75" customHeight="1">
      <c r="D190" s="90"/>
    </row>
    <row r="191" ht="15.75" customHeight="1">
      <c r="D191" s="90"/>
    </row>
    <row r="192" ht="15.75" customHeight="1">
      <c r="D192" s="90"/>
    </row>
    <row r="193" ht="15.75" customHeight="1">
      <c r="D193" s="90"/>
    </row>
    <row r="194" ht="15.75" customHeight="1">
      <c r="D194" s="90"/>
    </row>
    <row r="195" ht="15.75" customHeight="1">
      <c r="D195" s="90"/>
    </row>
    <row r="196" ht="15.75" customHeight="1">
      <c r="D196" s="90"/>
    </row>
    <row r="197" ht="15.75" customHeight="1">
      <c r="D197" s="90"/>
    </row>
    <row r="198" ht="15.75" customHeight="1">
      <c r="D198" s="90"/>
    </row>
    <row r="199" ht="15.75" customHeight="1">
      <c r="D199" s="90"/>
    </row>
    <row r="200" ht="15.75" customHeight="1">
      <c r="D200" s="90"/>
    </row>
    <row r="201" ht="15.75" customHeight="1">
      <c r="D201" s="90"/>
    </row>
    <row r="202" ht="15.75" customHeight="1">
      <c r="D202" s="90"/>
    </row>
    <row r="203" ht="15.75" customHeight="1">
      <c r="D203" s="90"/>
    </row>
    <row r="204" ht="15.75" customHeight="1">
      <c r="D204" s="90"/>
    </row>
    <row r="205" ht="15.75" customHeight="1">
      <c r="D205" s="90"/>
    </row>
    <row r="206" ht="15.75" customHeight="1">
      <c r="D206" s="90"/>
    </row>
    <row r="207" ht="15.75" customHeight="1">
      <c r="D207" s="90"/>
    </row>
    <row r="208" ht="15.75" customHeight="1">
      <c r="D208" s="90"/>
    </row>
    <row r="209" ht="15.75" customHeight="1">
      <c r="D209" s="90"/>
    </row>
    <row r="210" ht="15.75" customHeight="1">
      <c r="D210" s="90"/>
    </row>
    <row r="211" ht="15.75" customHeight="1">
      <c r="D211" s="90"/>
    </row>
    <row r="212" ht="15.75" customHeight="1">
      <c r="D212" s="90"/>
    </row>
    <row r="213" ht="15.75" customHeight="1">
      <c r="D213" s="90"/>
    </row>
    <row r="214" ht="15.75" customHeight="1">
      <c r="D214" s="90"/>
    </row>
    <row r="215" ht="15.75" customHeight="1">
      <c r="D215" s="90"/>
    </row>
    <row r="216" ht="15.75" customHeight="1">
      <c r="D216" s="90"/>
    </row>
    <row r="217" ht="15.75" customHeight="1">
      <c r="D217" s="90"/>
    </row>
    <row r="218" ht="15.75" customHeight="1">
      <c r="D218" s="90"/>
    </row>
    <row r="219" ht="15.75" customHeight="1">
      <c r="D219" s="90"/>
    </row>
    <row r="220" ht="15.75" customHeight="1">
      <c r="D220" s="90"/>
    </row>
    <row r="221" ht="15.75" customHeight="1">
      <c r="D221" s="90"/>
    </row>
    <row r="222" ht="15.75" customHeight="1">
      <c r="D222" s="90"/>
    </row>
    <row r="223" ht="15.75" customHeight="1">
      <c r="D223" s="90"/>
    </row>
    <row r="224" ht="15.75" customHeight="1">
      <c r="D224" s="90"/>
    </row>
    <row r="225" ht="15.75" customHeight="1">
      <c r="D225" s="90"/>
    </row>
    <row r="226" ht="15.75" customHeight="1">
      <c r="D226" s="90"/>
    </row>
    <row r="227" ht="15.75" customHeight="1">
      <c r="D227" s="90"/>
    </row>
    <row r="228" ht="15.75" customHeight="1">
      <c r="D228" s="90"/>
    </row>
    <row r="229" ht="15.75" customHeight="1">
      <c r="D229" s="90"/>
    </row>
    <row r="230" ht="15.75" customHeight="1">
      <c r="D230" s="90"/>
    </row>
    <row r="231" ht="15.75" customHeight="1">
      <c r="D231" s="90"/>
    </row>
    <row r="232" ht="15.75" customHeight="1">
      <c r="D232" s="90"/>
    </row>
    <row r="233" ht="15.75" customHeight="1">
      <c r="D233" s="90"/>
    </row>
    <row r="234" ht="15.75" customHeight="1">
      <c r="D234" s="90"/>
    </row>
    <row r="235" ht="15.75" customHeight="1">
      <c r="D235" s="90"/>
    </row>
    <row r="236" ht="15.75" customHeight="1">
      <c r="D236" s="90"/>
    </row>
    <row r="237" ht="15.75" customHeight="1">
      <c r="D237" s="90"/>
    </row>
    <row r="238" ht="15.75" customHeight="1">
      <c r="D238" s="90"/>
    </row>
    <row r="239" ht="15.75" customHeight="1">
      <c r="D239" s="90"/>
    </row>
    <row r="240" ht="15.75" customHeight="1">
      <c r="D240" s="90"/>
    </row>
    <row r="241" ht="15.75" customHeight="1">
      <c r="D241" s="90"/>
    </row>
    <row r="242" ht="15.75" customHeight="1">
      <c r="D242" s="90"/>
    </row>
    <row r="243" ht="15.75" customHeight="1">
      <c r="D243" s="90"/>
    </row>
    <row r="244" ht="15.75" customHeight="1">
      <c r="D244" s="90"/>
    </row>
    <row r="245" ht="15.75" customHeight="1">
      <c r="D245" s="90"/>
    </row>
    <row r="246" ht="15.75" customHeight="1">
      <c r="D246" s="90"/>
    </row>
    <row r="247" ht="15.75" customHeight="1">
      <c r="D247" s="90"/>
    </row>
    <row r="248" ht="15.75" customHeight="1">
      <c r="D248" s="90"/>
    </row>
    <row r="249" ht="15.75" customHeight="1">
      <c r="D249" s="90"/>
    </row>
    <row r="250" ht="15.75" customHeight="1">
      <c r="D250" s="90"/>
    </row>
    <row r="251" ht="15.75" customHeight="1">
      <c r="D251" s="90"/>
    </row>
    <row r="252" ht="15.75" customHeight="1">
      <c r="D252" s="90"/>
    </row>
    <row r="253" ht="15.75" customHeight="1">
      <c r="D253" s="90"/>
    </row>
    <row r="254" ht="15.75" customHeight="1">
      <c r="D254" s="90"/>
    </row>
    <row r="255" ht="15.75" customHeight="1">
      <c r="D255" s="90"/>
    </row>
    <row r="256" ht="15.75" customHeight="1">
      <c r="D256" s="90"/>
    </row>
    <row r="257" ht="15.75" customHeight="1">
      <c r="D257" s="90"/>
    </row>
    <row r="258" ht="15.75" customHeight="1">
      <c r="D258" s="90"/>
    </row>
    <row r="259" ht="15.75" customHeight="1">
      <c r="D259" s="90"/>
    </row>
    <row r="260" ht="15.75" customHeight="1">
      <c r="D260" s="90"/>
    </row>
    <row r="261" ht="15.75" customHeight="1">
      <c r="D261" s="90"/>
    </row>
    <row r="262" ht="15.75" customHeight="1">
      <c r="D262" s="90"/>
    </row>
    <row r="263" ht="15.75" customHeight="1">
      <c r="D263" s="90"/>
    </row>
    <row r="264" ht="15.75" customHeight="1">
      <c r="D264" s="90"/>
    </row>
    <row r="265" ht="15.75" customHeight="1">
      <c r="D265" s="90"/>
    </row>
    <row r="266" ht="15.75" customHeight="1">
      <c r="D266" s="90"/>
    </row>
    <row r="267" ht="15.75" customHeight="1">
      <c r="D267" s="90"/>
    </row>
    <row r="268" ht="15.75" customHeight="1">
      <c r="D268" s="90"/>
    </row>
    <row r="269" ht="15.75" customHeight="1">
      <c r="D269" s="90"/>
    </row>
    <row r="270" ht="15.75" customHeight="1">
      <c r="D270" s="90"/>
    </row>
    <row r="271" ht="15.75" customHeight="1">
      <c r="D271" s="90"/>
    </row>
    <row r="272" ht="15.75" customHeight="1">
      <c r="D272" s="90"/>
    </row>
    <row r="273" ht="15.75" customHeight="1">
      <c r="D273" s="90"/>
    </row>
    <row r="274" ht="15.75" customHeight="1">
      <c r="D274" s="90"/>
    </row>
    <row r="275" ht="15.75" customHeight="1">
      <c r="D275" s="90"/>
    </row>
    <row r="276" ht="15.75" customHeight="1">
      <c r="D276" s="90"/>
    </row>
    <row r="277" ht="15.75" customHeight="1">
      <c r="D277" s="90"/>
    </row>
    <row r="278" ht="15.75" customHeight="1">
      <c r="D278" s="90"/>
    </row>
    <row r="279" ht="15.75" customHeight="1">
      <c r="D279" s="90"/>
    </row>
    <row r="280" ht="15.75" customHeight="1">
      <c r="D280" s="90"/>
    </row>
    <row r="281" ht="15.75" customHeight="1">
      <c r="D281" s="90"/>
    </row>
    <row r="282" ht="15.75" customHeight="1">
      <c r="D282" s="90"/>
    </row>
    <row r="283" ht="15.75" customHeight="1">
      <c r="D283" s="90"/>
    </row>
    <row r="284" ht="15.75" customHeight="1">
      <c r="D284" s="90"/>
    </row>
    <row r="285" ht="15.75" customHeight="1">
      <c r="D285" s="90"/>
    </row>
    <row r="286" ht="15.75" customHeight="1">
      <c r="D286" s="90"/>
    </row>
    <row r="287" ht="15.75" customHeight="1">
      <c r="D287" s="90"/>
    </row>
    <row r="288" ht="15.75" customHeight="1">
      <c r="D288" s="90"/>
    </row>
    <row r="289" ht="15.75" customHeight="1">
      <c r="D289" s="90"/>
    </row>
    <row r="290" ht="15.75" customHeight="1">
      <c r="D290" s="90"/>
    </row>
    <row r="291" ht="15.75" customHeight="1">
      <c r="D291" s="90"/>
    </row>
    <row r="292" ht="15.75" customHeight="1">
      <c r="D292" s="90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63"/>
    <col customWidth="1" min="2" max="2" width="63.5"/>
    <col customWidth="1" min="3" max="3" width="11.63"/>
    <col customWidth="1" min="5" max="5" width="13.25"/>
    <col customWidth="1" min="6" max="6" width="42.13"/>
    <col customWidth="1" min="7" max="7" width="11.5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"/>
      <c r="X1" s="2"/>
      <c r="Y1" s="2"/>
      <c r="Z1" s="2"/>
    </row>
    <row r="2">
      <c r="A2" s="97" t="s">
        <v>130</v>
      </c>
      <c r="W2" s="2"/>
      <c r="X2" s="2"/>
      <c r="Y2" s="2"/>
      <c r="Z2" s="2"/>
    </row>
    <row r="3">
      <c r="A3" s="98" t="s">
        <v>131</v>
      </c>
      <c r="W3" s="2"/>
      <c r="X3" s="2"/>
      <c r="Y3" s="2"/>
      <c r="Z3" s="2"/>
    </row>
    <row r="4">
      <c r="A4" s="4"/>
      <c r="W4" s="2"/>
      <c r="X4" s="2"/>
      <c r="Y4" s="2"/>
      <c r="Z4" s="2"/>
    </row>
    <row r="5">
      <c r="A5" s="5" t="s">
        <v>3</v>
      </c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</row>
    <row r="6">
      <c r="A6" s="8"/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132</v>
      </c>
      <c r="W7" s="2"/>
      <c r="X7" s="2"/>
      <c r="Y7" s="2"/>
      <c r="Z7" s="2"/>
    </row>
    <row r="8">
      <c r="A8" s="8" t="s">
        <v>5</v>
      </c>
      <c r="B8" s="6"/>
      <c r="C8" s="2"/>
      <c r="D8" s="9"/>
      <c r="E8" s="10"/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2" t="s">
        <v>6</v>
      </c>
      <c r="B9" s="13" t="s">
        <v>7</v>
      </c>
      <c r="C9" s="14" t="s">
        <v>8</v>
      </c>
      <c r="D9" s="15" t="s">
        <v>9</v>
      </c>
      <c r="E9" s="16" t="s">
        <v>10</v>
      </c>
      <c r="F9" s="17" t="s">
        <v>11</v>
      </c>
      <c r="G9" s="13" t="s">
        <v>12</v>
      </c>
      <c r="H9" s="18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W9" s="21"/>
      <c r="X9" s="21"/>
      <c r="Y9" s="2"/>
      <c r="Z9" s="2"/>
    </row>
    <row r="10">
      <c r="A10" s="22"/>
      <c r="B10" s="23"/>
      <c r="C10" s="24" t="s">
        <v>14</v>
      </c>
      <c r="D10" s="23"/>
      <c r="E10" s="23"/>
      <c r="F10" s="23"/>
      <c r="G10" s="23"/>
      <c r="H10" s="25" t="s">
        <v>15</v>
      </c>
      <c r="I10" s="25" t="s">
        <v>16</v>
      </c>
      <c r="J10" s="25" t="s">
        <v>17</v>
      </c>
      <c r="K10" s="25" t="s">
        <v>18</v>
      </c>
      <c r="L10" s="25" t="s">
        <v>19</v>
      </c>
      <c r="M10" s="25" t="s">
        <v>20</v>
      </c>
      <c r="N10" s="25" t="s">
        <v>21</v>
      </c>
      <c r="O10" s="25" t="s">
        <v>22</v>
      </c>
      <c r="P10" s="25" t="s">
        <v>23</v>
      </c>
      <c r="Q10" s="25" t="s">
        <v>24</v>
      </c>
      <c r="R10" s="25" t="s">
        <v>25</v>
      </c>
      <c r="S10" s="25" t="s">
        <v>26</v>
      </c>
      <c r="T10" s="25" t="s">
        <v>27</v>
      </c>
      <c r="U10" s="26" t="str">
        <f>$V$10</f>
        <v>REMARKS</v>
      </c>
      <c r="V10" s="26" t="s">
        <v>28</v>
      </c>
      <c r="W10" s="27"/>
      <c r="X10" s="21"/>
      <c r="Y10" s="2"/>
      <c r="Z10" s="2"/>
    </row>
    <row r="11">
      <c r="A11" s="28"/>
      <c r="B11" s="99" t="s">
        <v>29</v>
      </c>
      <c r="C11" s="30"/>
      <c r="D11" s="31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21"/>
      <c r="X11" s="21"/>
      <c r="Y11" s="2"/>
      <c r="Z11" s="2"/>
    </row>
    <row r="12" ht="15.75" customHeight="1">
      <c r="A12" s="36"/>
      <c r="B12" s="100" t="s">
        <v>133</v>
      </c>
      <c r="C12" s="101">
        <v>4.0</v>
      </c>
      <c r="D12" s="102"/>
      <c r="E12" s="103"/>
      <c r="F12" s="40"/>
      <c r="G12" s="104"/>
      <c r="H12" s="105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40"/>
      <c r="V12" s="107"/>
      <c r="W12" s="21"/>
      <c r="X12" s="21"/>
      <c r="Y12" s="2"/>
      <c r="Z12" s="2"/>
    </row>
    <row r="13">
      <c r="A13" s="108"/>
      <c r="B13" s="109" t="s">
        <v>134</v>
      </c>
      <c r="C13" s="110">
        <v>4.0</v>
      </c>
      <c r="D13" s="111">
        <v>4500.0</v>
      </c>
      <c r="E13" s="112">
        <f t="shared" ref="E13:E14" si="1">D13*C13</f>
        <v>18000</v>
      </c>
      <c r="F13" s="113"/>
      <c r="G13" s="114"/>
      <c r="H13" s="105"/>
      <c r="I13" s="11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13"/>
      <c r="V13" s="116"/>
      <c r="W13" s="117"/>
      <c r="X13" s="117"/>
      <c r="Y13" s="118"/>
      <c r="Z13" s="118"/>
    </row>
    <row r="14">
      <c r="A14" s="108"/>
      <c r="B14" s="109" t="s">
        <v>135</v>
      </c>
      <c r="C14" s="110">
        <v>5.0</v>
      </c>
      <c r="D14" s="111">
        <v>1000.0</v>
      </c>
      <c r="E14" s="112">
        <f t="shared" si="1"/>
        <v>5000</v>
      </c>
      <c r="F14" s="113"/>
      <c r="G14" s="114"/>
      <c r="H14" s="105"/>
      <c r="I14" s="11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13"/>
      <c r="V14" s="116"/>
      <c r="W14" s="117"/>
      <c r="X14" s="117"/>
      <c r="Y14" s="118"/>
      <c r="Z14" s="118"/>
    </row>
    <row r="15">
      <c r="A15" s="119"/>
      <c r="B15" s="120" t="s">
        <v>136</v>
      </c>
      <c r="C15" s="121" t="s">
        <v>137</v>
      </c>
      <c r="D15" s="122">
        <v>350.0</v>
      </c>
      <c r="E15" s="123">
        <f t="shared" ref="E15:E17" si="2">D15*3</f>
        <v>1050</v>
      </c>
      <c r="F15" s="124" t="s">
        <v>41</v>
      </c>
      <c r="G15" s="125" t="s">
        <v>138</v>
      </c>
      <c r="H15" s="126"/>
      <c r="I15" s="127">
        <v>5.0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4"/>
      <c r="V15" s="128"/>
      <c r="W15" s="129"/>
      <c r="X15" s="129"/>
      <c r="Y15" s="130"/>
      <c r="Z15" s="130"/>
    </row>
    <row r="16">
      <c r="A16" s="119"/>
      <c r="B16" s="120" t="s">
        <v>139</v>
      </c>
      <c r="C16" s="131"/>
      <c r="D16" s="122">
        <v>350.0</v>
      </c>
      <c r="E16" s="123">
        <f t="shared" si="2"/>
        <v>1050</v>
      </c>
      <c r="F16" s="124" t="s">
        <v>41</v>
      </c>
      <c r="G16" s="132"/>
      <c r="H16" s="126"/>
      <c r="I16" s="127">
        <v>5.0</v>
      </c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4"/>
      <c r="V16" s="128"/>
      <c r="W16" s="129"/>
      <c r="X16" s="129"/>
      <c r="Y16" s="130"/>
      <c r="Z16" s="130"/>
    </row>
    <row r="17">
      <c r="A17" s="119"/>
      <c r="B17" s="120" t="s">
        <v>140</v>
      </c>
      <c r="C17" s="131"/>
      <c r="D17" s="133">
        <v>350.0</v>
      </c>
      <c r="E17" s="134">
        <f t="shared" si="2"/>
        <v>1050</v>
      </c>
      <c r="F17" s="135" t="s">
        <v>41</v>
      </c>
      <c r="G17" s="132"/>
      <c r="H17" s="126"/>
      <c r="I17" s="127">
        <v>5.0</v>
      </c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4"/>
      <c r="V17" s="128"/>
      <c r="W17" s="129"/>
      <c r="X17" s="129"/>
      <c r="Y17" s="130"/>
      <c r="Z17" s="130"/>
    </row>
    <row r="18">
      <c r="A18" s="119"/>
      <c r="B18" s="136" t="s">
        <v>141</v>
      </c>
      <c r="C18" s="131"/>
      <c r="D18" s="137">
        <v>380.0</v>
      </c>
      <c r="E18" s="138">
        <f>15*D18</f>
        <v>5700</v>
      </c>
      <c r="F18" s="124" t="s">
        <v>41</v>
      </c>
      <c r="G18" s="132"/>
      <c r="H18" s="124"/>
      <c r="I18" s="124">
        <v>15.0</v>
      </c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9"/>
      <c r="X18" s="129"/>
      <c r="Y18" s="130"/>
      <c r="Z18" s="130"/>
    </row>
    <row r="19">
      <c r="A19" s="119"/>
      <c r="B19" s="136" t="s">
        <v>142</v>
      </c>
      <c r="C19" s="131"/>
      <c r="D19" s="137">
        <v>150.0</v>
      </c>
      <c r="E19" s="138">
        <f>10*D19</f>
        <v>1500</v>
      </c>
      <c r="F19" s="124" t="s">
        <v>41</v>
      </c>
      <c r="G19" s="132"/>
      <c r="H19" s="124"/>
      <c r="I19" s="124">
        <v>10.0</v>
      </c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9"/>
      <c r="X19" s="129"/>
      <c r="Y19" s="130"/>
      <c r="Z19" s="130"/>
    </row>
    <row r="20">
      <c r="A20" s="139"/>
      <c r="B20" s="140" t="s">
        <v>143</v>
      </c>
      <c r="C20" s="131"/>
      <c r="D20" s="141">
        <v>50.0</v>
      </c>
      <c r="E20" s="142">
        <f t="shared" ref="E20:E21" si="3">15*D20</f>
        <v>750</v>
      </c>
      <c r="F20" s="143" t="s">
        <v>41</v>
      </c>
      <c r="G20" s="132"/>
      <c r="H20" s="124"/>
      <c r="I20" s="124">
        <v>15.0</v>
      </c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9"/>
      <c r="X20" s="129"/>
      <c r="Y20" s="130"/>
      <c r="Z20" s="130"/>
    </row>
    <row r="21" ht="15.75" customHeight="1">
      <c r="A21" s="139"/>
      <c r="B21" s="140" t="s">
        <v>144</v>
      </c>
      <c r="C21" s="131"/>
      <c r="D21" s="141">
        <v>50.0</v>
      </c>
      <c r="E21" s="142">
        <f t="shared" si="3"/>
        <v>750</v>
      </c>
      <c r="F21" s="143" t="s">
        <v>41</v>
      </c>
      <c r="G21" s="132"/>
      <c r="H21" s="124"/>
      <c r="I21" s="124">
        <v>15.0</v>
      </c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9"/>
      <c r="X21" s="129"/>
      <c r="Y21" s="130"/>
      <c r="Z21" s="130"/>
    </row>
    <row r="22" ht="15.75" customHeight="1">
      <c r="A22" s="119"/>
      <c r="B22" s="140" t="s">
        <v>145</v>
      </c>
      <c r="C22" s="131"/>
      <c r="D22" s="144">
        <v>4000.0</v>
      </c>
      <c r="E22" s="142">
        <f>1*D22</f>
        <v>4000</v>
      </c>
      <c r="F22" s="143" t="s">
        <v>41</v>
      </c>
      <c r="G22" s="132"/>
      <c r="H22" s="124"/>
      <c r="I22" s="124">
        <v>1.0</v>
      </c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9"/>
      <c r="X22" s="129"/>
      <c r="Y22" s="130"/>
      <c r="Z22" s="130"/>
    </row>
    <row r="23" ht="15.75" customHeight="1">
      <c r="A23" s="139"/>
      <c r="B23" s="145" t="s">
        <v>146</v>
      </c>
      <c r="C23" s="131"/>
      <c r="D23" s="141">
        <v>120.0</v>
      </c>
      <c r="E23" s="142">
        <f>5*D23</f>
        <v>600</v>
      </c>
      <c r="F23" s="143" t="s">
        <v>41</v>
      </c>
      <c r="G23" s="132"/>
      <c r="H23" s="124"/>
      <c r="I23" s="124">
        <v>5.0</v>
      </c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9"/>
      <c r="X23" s="129"/>
      <c r="Y23" s="130"/>
      <c r="Z23" s="130"/>
    </row>
    <row r="24" ht="15.75" customHeight="1">
      <c r="A24" s="139"/>
      <c r="B24" s="145" t="s">
        <v>147</v>
      </c>
      <c r="C24" s="131"/>
      <c r="D24" s="141">
        <v>100.0</v>
      </c>
      <c r="E24" s="141">
        <f>5*100</f>
        <v>500</v>
      </c>
      <c r="F24" s="143" t="s">
        <v>41</v>
      </c>
      <c r="G24" s="132"/>
      <c r="H24" s="124"/>
      <c r="I24" s="124">
        <v>5.0</v>
      </c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9"/>
      <c r="X24" s="129"/>
      <c r="Y24" s="130"/>
      <c r="Z24" s="130"/>
    </row>
    <row r="25" ht="15.75" customHeight="1">
      <c r="A25" s="139"/>
      <c r="B25" s="140" t="s">
        <v>148</v>
      </c>
      <c r="C25" s="131"/>
      <c r="D25" s="146">
        <v>100.0</v>
      </c>
      <c r="E25" s="142">
        <f>100*30</f>
        <v>3000</v>
      </c>
      <c r="F25" s="143" t="s">
        <v>41</v>
      </c>
      <c r="G25" s="132"/>
      <c r="H25" s="124"/>
      <c r="I25" s="124">
        <v>30.0</v>
      </c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9"/>
      <c r="X25" s="129"/>
      <c r="Y25" s="130"/>
      <c r="Z25" s="130"/>
    </row>
    <row r="26" ht="15.75" customHeight="1">
      <c r="A26" s="139"/>
      <c r="B26" s="140" t="s">
        <v>149</v>
      </c>
      <c r="C26" s="131"/>
      <c r="D26" s="146">
        <v>80.0</v>
      </c>
      <c r="E26" s="142">
        <f>30*80</f>
        <v>2400</v>
      </c>
      <c r="F26" s="143" t="s">
        <v>41</v>
      </c>
      <c r="G26" s="132"/>
      <c r="H26" s="124"/>
      <c r="I26" s="124">
        <v>30.0</v>
      </c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9"/>
      <c r="X26" s="129"/>
      <c r="Y26" s="130"/>
      <c r="Z26" s="130"/>
    </row>
    <row r="27" ht="15.75" customHeight="1">
      <c r="A27" s="139"/>
      <c r="B27" s="147" t="s">
        <v>150</v>
      </c>
      <c r="C27" s="131"/>
      <c r="D27" s="137">
        <v>50.0</v>
      </c>
      <c r="E27" s="138">
        <f>50*D27</f>
        <v>2500</v>
      </c>
      <c r="F27" s="124" t="s">
        <v>41</v>
      </c>
      <c r="G27" s="132"/>
      <c r="H27" s="124"/>
      <c r="I27" s="124">
        <v>30.0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9"/>
      <c r="X27" s="129"/>
      <c r="Y27" s="130"/>
      <c r="Z27" s="130"/>
    </row>
    <row r="28" ht="15.75" customHeight="1">
      <c r="A28" s="139"/>
      <c r="B28" s="145" t="s">
        <v>151</v>
      </c>
      <c r="C28" s="131"/>
      <c r="D28" s="148">
        <v>150.0</v>
      </c>
      <c r="E28" s="142">
        <f>10*150</f>
        <v>1500</v>
      </c>
      <c r="F28" s="143" t="s">
        <v>41</v>
      </c>
      <c r="G28" s="132"/>
      <c r="H28" s="124"/>
      <c r="I28" s="124">
        <v>10.0</v>
      </c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9"/>
      <c r="X28" s="129"/>
      <c r="Y28" s="130"/>
      <c r="Z28" s="130"/>
    </row>
    <row r="29" ht="15.75" customHeight="1">
      <c r="A29" s="139"/>
      <c r="B29" s="145" t="s">
        <v>152</v>
      </c>
      <c r="C29" s="131"/>
      <c r="D29" s="148">
        <v>60.0</v>
      </c>
      <c r="E29" s="142">
        <f>10*60</f>
        <v>600</v>
      </c>
      <c r="F29" s="143" t="s">
        <v>41</v>
      </c>
      <c r="G29" s="132"/>
      <c r="H29" s="124"/>
      <c r="I29" s="124">
        <v>10.0</v>
      </c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9"/>
      <c r="X29" s="129"/>
      <c r="Y29" s="130"/>
      <c r="Z29" s="130"/>
    </row>
    <row r="30" ht="15.75" customHeight="1">
      <c r="A30" s="139"/>
      <c r="B30" s="149" t="s">
        <v>153</v>
      </c>
      <c r="C30" s="131"/>
      <c r="D30" s="150">
        <v>300.0</v>
      </c>
      <c r="E30" s="142">
        <f>5*300</f>
        <v>1500</v>
      </c>
      <c r="F30" s="151" t="s">
        <v>41</v>
      </c>
      <c r="G30" s="132"/>
      <c r="H30" s="124"/>
      <c r="I30" s="152">
        <v>5.0</v>
      </c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9"/>
      <c r="X30" s="129"/>
      <c r="Y30" s="130"/>
      <c r="Z30" s="130"/>
    </row>
    <row r="31" ht="15.75" customHeight="1">
      <c r="A31" s="139"/>
      <c r="B31" s="149" t="s">
        <v>154</v>
      </c>
      <c r="C31" s="131"/>
      <c r="D31" s="150">
        <f>350</f>
        <v>350</v>
      </c>
      <c r="E31" s="142">
        <f>D31*5</f>
        <v>1750</v>
      </c>
      <c r="F31" s="151" t="s">
        <v>41</v>
      </c>
      <c r="G31" s="132"/>
      <c r="H31" s="124"/>
      <c r="I31" s="152">
        <v>5.0</v>
      </c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9"/>
      <c r="X31" s="129"/>
      <c r="Y31" s="130"/>
      <c r="Z31" s="130"/>
    </row>
    <row r="32" ht="15.75" customHeight="1">
      <c r="A32" s="139"/>
      <c r="B32" s="149" t="s">
        <v>155</v>
      </c>
      <c r="C32" s="131"/>
      <c r="D32" s="150">
        <v>50.0</v>
      </c>
      <c r="E32" s="142">
        <f>D32*20</f>
        <v>1000</v>
      </c>
      <c r="F32" s="151" t="s">
        <v>41</v>
      </c>
      <c r="G32" s="132"/>
      <c r="H32" s="124"/>
      <c r="I32" s="152">
        <v>20.0</v>
      </c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9"/>
      <c r="X32" s="129"/>
      <c r="Y32" s="130"/>
      <c r="Z32" s="130"/>
    </row>
    <row r="33" ht="15.75" customHeight="1">
      <c r="A33" s="139"/>
      <c r="B33" s="145" t="s">
        <v>156</v>
      </c>
      <c r="C33" s="131"/>
      <c r="D33" s="148">
        <v>150.0</v>
      </c>
      <c r="E33" s="142">
        <f t="shared" ref="E33:E34" si="4">10*150</f>
        <v>1500</v>
      </c>
      <c r="F33" s="143" t="s">
        <v>41</v>
      </c>
      <c r="G33" s="132"/>
      <c r="H33" s="124"/>
      <c r="I33" s="124">
        <v>10.0</v>
      </c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9"/>
      <c r="X33" s="129"/>
      <c r="Y33" s="130"/>
      <c r="Z33" s="130"/>
    </row>
    <row r="34" ht="15.75" customHeight="1">
      <c r="A34" s="139"/>
      <c r="B34" s="145" t="s">
        <v>157</v>
      </c>
      <c r="C34" s="131"/>
      <c r="D34" s="148">
        <v>150.0</v>
      </c>
      <c r="E34" s="142">
        <f t="shared" si="4"/>
        <v>1500</v>
      </c>
      <c r="F34" s="143" t="s">
        <v>41</v>
      </c>
      <c r="G34" s="132"/>
      <c r="H34" s="124"/>
      <c r="I34" s="124">
        <v>10.0</v>
      </c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9"/>
      <c r="X34" s="129"/>
      <c r="Y34" s="130"/>
      <c r="Z34" s="130"/>
    </row>
    <row r="35" ht="15.75" customHeight="1">
      <c r="A35" s="153"/>
      <c r="B35" s="154" t="s">
        <v>158</v>
      </c>
      <c r="C35" s="155"/>
      <c r="D35" s="156">
        <v>400.0</v>
      </c>
      <c r="E35" s="157">
        <f>D35*25</f>
        <v>10000</v>
      </c>
      <c r="F35" s="158" t="s">
        <v>41</v>
      </c>
      <c r="G35" s="132"/>
      <c r="H35" s="106"/>
      <c r="I35" s="159">
        <v>25.0</v>
      </c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60"/>
      <c r="V35" s="107"/>
      <c r="W35" s="21"/>
      <c r="X35" s="21"/>
      <c r="Y35" s="2"/>
      <c r="Z35" s="2"/>
    </row>
    <row r="36" ht="15.75" customHeight="1">
      <c r="A36" s="161"/>
      <c r="B36" s="162" t="s">
        <v>159</v>
      </c>
      <c r="C36" s="131"/>
      <c r="D36" s="163">
        <v>80.0</v>
      </c>
      <c r="E36" s="164">
        <f>D36*30</f>
        <v>2400</v>
      </c>
      <c r="F36" s="165" t="s">
        <v>41</v>
      </c>
      <c r="G36" s="132"/>
      <c r="H36" s="166"/>
      <c r="I36" s="167">
        <v>30.0</v>
      </c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8"/>
      <c r="V36" s="169"/>
      <c r="W36" s="170"/>
      <c r="X36" s="170"/>
      <c r="Y36" s="171"/>
      <c r="Z36" s="171"/>
    </row>
    <row r="37" ht="15.75" customHeight="1">
      <c r="A37" s="161"/>
      <c r="B37" s="172" t="s">
        <v>160</v>
      </c>
      <c r="C37" s="131"/>
      <c r="D37" s="173">
        <v>300.0</v>
      </c>
      <c r="E37" s="164">
        <f>300*30</f>
        <v>9000</v>
      </c>
      <c r="F37" s="174" t="s">
        <v>41</v>
      </c>
      <c r="G37" s="132"/>
      <c r="H37" s="166"/>
      <c r="I37" s="167">
        <v>30.0</v>
      </c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8"/>
      <c r="V37" s="169"/>
      <c r="W37" s="170"/>
      <c r="X37" s="170"/>
      <c r="Y37" s="171"/>
      <c r="Z37" s="171"/>
    </row>
    <row r="38" ht="15.75" customHeight="1">
      <c r="A38" s="175"/>
      <c r="B38" s="176" t="s">
        <v>161</v>
      </c>
      <c r="C38" s="177" t="s">
        <v>162</v>
      </c>
      <c r="D38" s="178">
        <v>10000.0</v>
      </c>
      <c r="E38" s="179">
        <f>D38*5</f>
        <v>50000</v>
      </c>
      <c r="F38" s="180" t="s">
        <v>41</v>
      </c>
      <c r="G38" s="132"/>
      <c r="H38" s="181"/>
      <c r="I38" s="182">
        <v>5.0</v>
      </c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3"/>
      <c r="V38" s="184"/>
      <c r="W38" s="185"/>
      <c r="X38" s="185"/>
      <c r="Y38" s="185"/>
      <c r="Z38" s="185"/>
    </row>
    <row r="39" ht="15.75" customHeight="1">
      <c r="A39" s="175"/>
      <c r="B39" s="186" t="s">
        <v>163</v>
      </c>
      <c r="C39" s="187" t="s">
        <v>164</v>
      </c>
      <c r="D39" s="188">
        <v>6000.0</v>
      </c>
      <c r="E39" s="179">
        <f>6000*2</f>
        <v>12000</v>
      </c>
      <c r="F39" s="189" t="s">
        <v>41</v>
      </c>
      <c r="G39" s="106"/>
      <c r="H39" s="181"/>
      <c r="I39" s="182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3"/>
      <c r="V39" s="184"/>
      <c r="W39" s="185"/>
      <c r="X39" s="185"/>
      <c r="Y39" s="185"/>
      <c r="Z39" s="185"/>
    </row>
    <row r="40" ht="15.75" customHeight="1">
      <c r="A40" s="190"/>
      <c r="B40" s="191" t="s">
        <v>165</v>
      </c>
      <c r="C40" s="192"/>
      <c r="D40" s="31"/>
      <c r="E40" s="3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21"/>
      <c r="X40" s="21"/>
      <c r="Y40" s="2"/>
      <c r="Z40" s="2"/>
    </row>
    <row r="41" ht="15.75" customHeight="1">
      <c r="A41" s="193"/>
      <c r="B41" s="194" t="s">
        <v>166</v>
      </c>
      <c r="C41" s="195" t="s">
        <v>167</v>
      </c>
      <c r="D41" s="196"/>
      <c r="E41" s="197">
        <f>1*D41</f>
        <v>0</v>
      </c>
      <c r="F41" s="198"/>
      <c r="G41" s="199"/>
      <c r="H41" s="200"/>
      <c r="I41" s="201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2"/>
      <c r="V41" s="203"/>
      <c r="W41" s="204"/>
      <c r="X41" s="204"/>
      <c r="Y41" s="205"/>
      <c r="Z41" s="205"/>
    </row>
    <row r="42" ht="15.75" customHeight="1">
      <c r="A42" s="206"/>
      <c r="B42" s="207" t="s">
        <v>168</v>
      </c>
      <c r="C42" s="208" t="s">
        <v>137</v>
      </c>
      <c r="D42" s="209">
        <v>250.0</v>
      </c>
      <c r="E42" s="210">
        <f>D42*50</f>
        <v>12500</v>
      </c>
      <c r="F42" s="211" t="s">
        <v>41</v>
      </c>
      <c r="G42" s="212" t="s">
        <v>169</v>
      </c>
      <c r="H42" s="213"/>
      <c r="I42" s="214">
        <v>50.0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5"/>
      <c r="X42" s="215"/>
      <c r="Y42" s="216"/>
      <c r="Z42" s="216"/>
    </row>
    <row r="43" ht="15.75" customHeight="1">
      <c r="A43" s="139"/>
      <c r="B43" s="147" t="s">
        <v>170</v>
      </c>
      <c r="C43" s="132"/>
      <c r="D43" s="217">
        <v>280.0</v>
      </c>
      <c r="E43" s="138">
        <f>280*30</f>
        <v>8400</v>
      </c>
      <c r="F43" s="143" t="s">
        <v>41</v>
      </c>
      <c r="G43" s="132"/>
      <c r="H43" s="124"/>
      <c r="I43" s="152">
        <v>30.0</v>
      </c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9"/>
      <c r="X43" s="129"/>
      <c r="Y43" s="130"/>
      <c r="Z43" s="130"/>
    </row>
    <row r="44" ht="15.75" customHeight="1">
      <c r="A44" s="139"/>
      <c r="B44" s="147" t="s">
        <v>171</v>
      </c>
      <c r="C44" s="132"/>
      <c r="D44" s="218">
        <v>600.0</v>
      </c>
      <c r="E44" s="138">
        <f>12*D44</f>
        <v>7200</v>
      </c>
      <c r="F44" s="143" t="s">
        <v>41</v>
      </c>
      <c r="G44" s="132"/>
      <c r="H44" s="124"/>
      <c r="I44" s="124">
        <v>10.0</v>
      </c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9"/>
      <c r="X44" s="129"/>
      <c r="Y44" s="130"/>
      <c r="Z44" s="130"/>
    </row>
    <row r="45" ht="15.75" customHeight="1">
      <c r="A45" s="153"/>
      <c r="B45" s="154" t="s">
        <v>172</v>
      </c>
      <c r="C45" s="132"/>
      <c r="D45" s="219">
        <v>230.0</v>
      </c>
      <c r="E45" s="157"/>
      <c r="F45" s="158" t="s">
        <v>41</v>
      </c>
      <c r="G45" s="132"/>
      <c r="H45" s="40"/>
      <c r="I45" s="220">
        <v>10.0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21"/>
      <c r="X45" s="21"/>
      <c r="Y45" s="2"/>
      <c r="Z45" s="2"/>
    </row>
    <row r="46" ht="15.75" customHeight="1">
      <c r="A46" s="153"/>
      <c r="B46" s="221" t="s">
        <v>173</v>
      </c>
      <c r="C46" s="132"/>
      <c r="D46" s="219">
        <v>350.0</v>
      </c>
      <c r="E46" s="157"/>
      <c r="F46" s="158" t="s">
        <v>41</v>
      </c>
      <c r="G46" s="132"/>
      <c r="H46" s="40"/>
      <c r="I46" s="40">
        <v>10.0</v>
      </c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21"/>
      <c r="X46" s="21"/>
      <c r="Y46" s="2"/>
      <c r="Z46" s="2"/>
    </row>
    <row r="47">
      <c r="A47" s="139"/>
      <c r="B47" s="147" t="s">
        <v>174</v>
      </c>
      <c r="C47" s="132"/>
      <c r="D47" s="222">
        <v>1000.0</v>
      </c>
      <c r="E47" s="123">
        <f>D47*12</f>
        <v>12000</v>
      </c>
      <c r="F47" s="143" t="s">
        <v>41</v>
      </c>
      <c r="G47" s="223"/>
      <c r="H47" s="143"/>
      <c r="I47" s="151">
        <v>5.0</v>
      </c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29"/>
      <c r="X47" s="129"/>
      <c r="Y47" s="130"/>
      <c r="Z47" s="130"/>
    </row>
    <row r="48" ht="15.75" customHeight="1">
      <c r="A48" s="139"/>
      <c r="B48" s="147" t="s">
        <v>175</v>
      </c>
      <c r="C48" s="132"/>
      <c r="D48" s="222">
        <v>500.0</v>
      </c>
      <c r="E48" s="134">
        <f>D48*24</f>
        <v>12000</v>
      </c>
      <c r="F48" s="143"/>
      <c r="G48" s="223"/>
      <c r="H48" s="143"/>
      <c r="I48" s="15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29"/>
      <c r="X48" s="129"/>
      <c r="Y48" s="130"/>
      <c r="Z48" s="130"/>
    </row>
    <row r="49" ht="15.75" customHeight="1">
      <c r="A49" s="153"/>
      <c r="B49" s="154" t="s">
        <v>176</v>
      </c>
      <c r="C49" s="224"/>
      <c r="D49" s="225">
        <v>1000.0</v>
      </c>
      <c r="E49" s="226">
        <f t="shared" ref="E49:E53" si="5">D49*5</f>
        <v>5000</v>
      </c>
      <c r="F49" s="158" t="s">
        <v>41</v>
      </c>
      <c r="G49" s="227"/>
      <c r="H49" s="158"/>
      <c r="I49" s="22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21"/>
      <c r="X49" s="21"/>
      <c r="Y49" s="2"/>
      <c r="Z49" s="2"/>
    </row>
    <row r="50" ht="15.75" customHeight="1">
      <c r="A50" s="229"/>
      <c r="B50" s="147" t="s">
        <v>177</v>
      </c>
      <c r="C50" s="121" t="s">
        <v>137</v>
      </c>
      <c r="D50" s="222">
        <v>2500.0</v>
      </c>
      <c r="E50" s="123">
        <f t="shared" si="5"/>
        <v>12500</v>
      </c>
      <c r="F50" s="143" t="s">
        <v>41</v>
      </c>
      <c r="G50" s="223"/>
      <c r="H50" s="143"/>
      <c r="I50" s="15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29"/>
      <c r="X50" s="129"/>
      <c r="Y50" s="130"/>
      <c r="Z50" s="130"/>
    </row>
    <row r="51" ht="15.75" customHeight="1">
      <c r="A51" s="139"/>
      <c r="B51" s="147" t="s">
        <v>178</v>
      </c>
      <c r="C51" s="131"/>
      <c r="D51" s="222">
        <v>2500.0</v>
      </c>
      <c r="E51" s="123">
        <f t="shared" si="5"/>
        <v>12500</v>
      </c>
      <c r="F51" s="143" t="s">
        <v>41</v>
      </c>
      <c r="G51" s="223"/>
      <c r="H51" s="143"/>
      <c r="I51" s="151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29"/>
      <c r="X51" s="129"/>
      <c r="Y51" s="130"/>
      <c r="Z51" s="130"/>
    </row>
    <row r="52" ht="15.75" customHeight="1">
      <c r="A52" s="139"/>
      <c r="B52" s="147" t="s">
        <v>179</v>
      </c>
      <c r="C52" s="131"/>
      <c r="D52" s="222">
        <v>2500.0</v>
      </c>
      <c r="E52" s="123">
        <f t="shared" si="5"/>
        <v>12500</v>
      </c>
      <c r="F52" s="143" t="s">
        <v>41</v>
      </c>
      <c r="G52" s="223"/>
      <c r="H52" s="143"/>
      <c r="I52" s="151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29"/>
      <c r="X52" s="129"/>
      <c r="Y52" s="130"/>
      <c r="Z52" s="130"/>
    </row>
    <row r="53" ht="15.75" customHeight="1">
      <c r="A53" s="139"/>
      <c r="B53" s="147" t="s">
        <v>180</v>
      </c>
      <c r="C53" s="69"/>
      <c r="D53" s="222">
        <v>2500.0</v>
      </c>
      <c r="E53" s="123">
        <f t="shared" si="5"/>
        <v>12500</v>
      </c>
      <c r="F53" s="143" t="s">
        <v>41</v>
      </c>
      <c r="G53" s="223"/>
      <c r="H53" s="143"/>
      <c r="I53" s="151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29"/>
      <c r="X53" s="129"/>
      <c r="Y53" s="130"/>
      <c r="Z53" s="130"/>
    </row>
    <row r="54" ht="15.75" customHeight="1">
      <c r="A54" s="230"/>
      <c r="B54" s="231" t="s">
        <v>88</v>
      </c>
      <c r="C54" s="232"/>
      <c r="D54" s="233"/>
      <c r="E54" s="234"/>
      <c r="F54" s="235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185"/>
      <c r="X54" s="185"/>
      <c r="Y54" s="185"/>
      <c r="Z54" s="185"/>
    </row>
    <row r="55" ht="15.75" customHeight="1">
      <c r="A55" s="119"/>
      <c r="B55" s="147" t="s">
        <v>181</v>
      </c>
      <c r="C55" s="236"/>
      <c r="D55" s="237">
        <v>350.0</v>
      </c>
      <c r="E55" s="238">
        <f>D55*20</f>
        <v>7000</v>
      </c>
      <c r="F55" s="239"/>
      <c r="G55" s="240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9"/>
      <c r="X55" s="129"/>
      <c r="Y55" s="130"/>
      <c r="Z55" s="130"/>
    </row>
    <row r="56" ht="15.75" customHeight="1">
      <c r="A56" s="241"/>
      <c r="B56" s="242" t="s">
        <v>182</v>
      </c>
      <c r="C56" s="243" t="s">
        <v>183</v>
      </c>
      <c r="D56" s="244">
        <v>3000.0</v>
      </c>
      <c r="E56" s="245">
        <f>D56*2</f>
        <v>6000</v>
      </c>
      <c r="F56" s="246"/>
      <c r="G56" s="131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8"/>
      <c r="X56" s="248"/>
      <c r="Y56" s="249"/>
      <c r="Z56" s="249"/>
    </row>
    <row r="57">
      <c r="A57" s="250"/>
      <c r="B57" s="251" t="s">
        <v>184</v>
      </c>
      <c r="C57" s="252" t="s">
        <v>185</v>
      </c>
      <c r="D57" s="253">
        <v>2000.0</v>
      </c>
      <c r="E57" s="254">
        <f>3*D57</f>
        <v>6000</v>
      </c>
      <c r="F57" s="255"/>
      <c r="G57" s="131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7"/>
      <c r="X57" s="257"/>
      <c r="Y57" s="258"/>
      <c r="Z57" s="258"/>
    </row>
    <row r="58">
      <c r="A58" s="250"/>
      <c r="B58" s="251" t="s">
        <v>186</v>
      </c>
      <c r="C58" s="252">
        <v>1.0</v>
      </c>
      <c r="D58" s="253">
        <v>3000.0</v>
      </c>
      <c r="E58" s="259">
        <v>3000.0</v>
      </c>
      <c r="F58" s="260">
        <f>E43+E44+E47+E55+F59</f>
        <v>42100</v>
      </c>
      <c r="G58" s="131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7"/>
      <c r="X58" s="257"/>
      <c r="Y58" s="258"/>
      <c r="Z58" s="258"/>
    </row>
    <row r="59">
      <c r="A59" s="250"/>
      <c r="B59" s="251" t="s">
        <v>187</v>
      </c>
      <c r="C59" s="252" t="s">
        <v>164</v>
      </c>
      <c r="D59" s="253">
        <v>2500.0</v>
      </c>
      <c r="E59" s="259">
        <f t="shared" ref="E59:E60" si="6">D59*2</f>
        <v>5000</v>
      </c>
      <c r="F59" s="255">
        <f>30*250</f>
        <v>7500</v>
      </c>
      <c r="G59" s="131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7"/>
      <c r="Y59" s="258"/>
      <c r="Z59" s="258"/>
    </row>
    <row r="60">
      <c r="A60" s="250"/>
      <c r="B60" s="251" t="s">
        <v>188</v>
      </c>
      <c r="C60" s="252" t="s">
        <v>164</v>
      </c>
      <c r="D60" s="253">
        <v>2000.0</v>
      </c>
      <c r="E60" s="259">
        <f t="shared" si="6"/>
        <v>4000</v>
      </c>
      <c r="F60" s="255"/>
      <c r="G60" s="131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7"/>
      <c r="X60" s="257"/>
      <c r="Y60" s="258"/>
      <c r="Z60" s="258"/>
    </row>
    <row r="61" ht="15.75" customHeight="1">
      <c r="A61" s="261"/>
      <c r="B61" s="262" t="s">
        <v>189</v>
      </c>
      <c r="C61" s="263" t="s">
        <v>190</v>
      </c>
      <c r="D61" s="264">
        <v>3500.0</v>
      </c>
      <c r="E61" s="265">
        <f>20*D61</f>
        <v>70000</v>
      </c>
      <c r="F61" s="266"/>
      <c r="G61" s="131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8"/>
      <c r="X61" s="268"/>
      <c r="Y61" s="269"/>
      <c r="Z61" s="269"/>
    </row>
    <row r="62">
      <c r="A62" s="241"/>
      <c r="B62" s="242" t="s">
        <v>191</v>
      </c>
      <c r="C62" s="243" t="s">
        <v>185</v>
      </c>
      <c r="D62" s="244">
        <v>2000.0</v>
      </c>
      <c r="E62" s="270">
        <f>D62*3</f>
        <v>6000</v>
      </c>
      <c r="F62" s="255"/>
      <c r="G62" s="131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8"/>
      <c r="X62" s="248"/>
      <c r="Y62" s="249"/>
      <c r="Z62" s="249"/>
    </row>
    <row r="63" ht="15.75" customHeight="1">
      <c r="A63" s="271"/>
      <c r="B63" s="272"/>
      <c r="C63" s="273"/>
      <c r="D63" s="274"/>
      <c r="E63" s="275"/>
      <c r="F63" s="276"/>
      <c r="G63" s="131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8"/>
      <c r="X63" s="278"/>
      <c r="Y63" s="279"/>
      <c r="Z63" s="279"/>
    </row>
    <row r="64" ht="15.75" customHeight="1">
      <c r="A64" s="271"/>
      <c r="B64" s="272" t="s">
        <v>192</v>
      </c>
      <c r="C64" s="273" t="s">
        <v>162</v>
      </c>
      <c r="D64" s="274">
        <v>1000.0</v>
      </c>
      <c r="E64" s="275">
        <f t="shared" ref="E64:E67" si="7">D64*5</f>
        <v>5000</v>
      </c>
      <c r="F64" s="276"/>
      <c r="G64" s="131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8"/>
      <c r="X64" s="278"/>
      <c r="Y64" s="279"/>
      <c r="Z64" s="279"/>
    </row>
    <row r="65" ht="15.75" customHeight="1">
      <c r="A65" s="271"/>
      <c r="B65" s="272" t="s">
        <v>193</v>
      </c>
      <c r="C65" s="273" t="s">
        <v>162</v>
      </c>
      <c r="D65" s="274">
        <v>1500.0</v>
      </c>
      <c r="E65" s="275">
        <f t="shared" si="7"/>
        <v>7500</v>
      </c>
      <c r="F65" s="276"/>
      <c r="G65" s="131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8"/>
      <c r="X65" s="278"/>
      <c r="Y65" s="279"/>
      <c r="Z65" s="279"/>
    </row>
    <row r="66" ht="15.75" customHeight="1">
      <c r="A66" s="271"/>
      <c r="B66" s="280" t="s">
        <v>194</v>
      </c>
      <c r="C66" s="273" t="s">
        <v>162</v>
      </c>
      <c r="D66" s="274">
        <v>2000.0</v>
      </c>
      <c r="E66" s="275">
        <f t="shared" si="7"/>
        <v>10000</v>
      </c>
      <c r="F66" s="276"/>
      <c r="G66" s="131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8"/>
      <c r="X66" s="278"/>
      <c r="Y66" s="279"/>
      <c r="Z66" s="279"/>
    </row>
    <row r="67" ht="15.75" customHeight="1">
      <c r="A67" s="271"/>
      <c r="B67" s="272" t="s">
        <v>195</v>
      </c>
      <c r="C67" s="273" t="s">
        <v>162</v>
      </c>
      <c r="D67" s="274">
        <v>3000.0</v>
      </c>
      <c r="E67" s="275">
        <f t="shared" si="7"/>
        <v>15000</v>
      </c>
      <c r="F67" s="276"/>
      <c r="G67" s="131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8"/>
      <c r="X67" s="278"/>
      <c r="Y67" s="279"/>
      <c r="Z67" s="279"/>
    </row>
    <row r="68" ht="15.75" customHeight="1">
      <c r="A68" s="271"/>
      <c r="B68" s="272" t="s">
        <v>196</v>
      </c>
      <c r="C68" s="273" t="s">
        <v>197</v>
      </c>
      <c r="D68" s="274">
        <v>2000.0</v>
      </c>
      <c r="E68" s="275">
        <f>500*10</f>
        <v>5000</v>
      </c>
      <c r="F68" s="276"/>
      <c r="G68" s="131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8"/>
      <c r="X68" s="278"/>
      <c r="Y68" s="279"/>
      <c r="Z68" s="279"/>
    </row>
    <row r="69" ht="15.75" customHeight="1">
      <c r="A69" s="271"/>
      <c r="B69" s="272" t="s">
        <v>198</v>
      </c>
      <c r="C69" s="273" t="s">
        <v>197</v>
      </c>
      <c r="D69" s="274">
        <v>2000.0</v>
      </c>
      <c r="E69" s="275">
        <f>D69*10</f>
        <v>20000</v>
      </c>
      <c r="F69" s="276"/>
      <c r="G69" s="131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8"/>
      <c r="X69" s="278"/>
      <c r="Y69" s="279"/>
      <c r="Z69" s="279"/>
    </row>
    <row r="70" ht="15.75" customHeight="1">
      <c r="A70" s="271"/>
      <c r="B70" s="272" t="s">
        <v>199</v>
      </c>
      <c r="C70" s="273" t="s">
        <v>200</v>
      </c>
      <c r="D70" s="274">
        <v>1000.0</v>
      </c>
      <c r="E70" s="275">
        <f>D70*5</f>
        <v>5000</v>
      </c>
      <c r="F70" s="276"/>
      <c r="G70" s="131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8"/>
      <c r="X70" s="278"/>
      <c r="Y70" s="279"/>
      <c r="Z70" s="279"/>
    </row>
    <row r="71" ht="15.75" customHeight="1">
      <c r="A71" s="271"/>
      <c r="B71" s="281" t="s">
        <v>201</v>
      </c>
      <c r="C71" s="273" t="s">
        <v>185</v>
      </c>
      <c r="D71" s="274">
        <v>1000.0</v>
      </c>
      <c r="E71" s="275">
        <f>D71*3</f>
        <v>3000</v>
      </c>
      <c r="F71" s="276"/>
      <c r="G71" s="131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8"/>
      <c r="X71" s="278"/>
      <c r="Y71" s="279"/>
      <c r="Z71" s="279"/>
    </row>
    <row r="72" ht="15.75" customHeight="1">
      <c r="A72" s="271"/>
      <c r="B72" s="272" t="s">
        <v>202</v>
      </c>
      <c r="C72" s="273" t="s">
        <v>200</v>
      </c>
      <c r="D72" s="274">
        <v>3000.0</v>
      </c>
      <c r="E72" s="275">
        <f t="shared" ref="E72:E73" si="8">D72*5</f>
        <v>15000</v>
      </c>
      <c r="F72" s="276"/>
      <c r="G72" s="131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8"/>
      <c r="X72" s="278"/>
      <c r="Y72" s="279"/>
      <c r="Z72" s="279"/>
    </row>
    <row r="73" ht="15.75" customHeight="1">
      <c r="A73" s="271"/>
      <c r="B73" s="272" t="s">
        <v>203</v>
      </c>
      <c r="C73" s="273" t="s">
        <v>200</v>
      </c>
      <c r="D73" s="274">
        <v>5000.0</v>
      </c>
      <c r="E73" s="275">
        <f t="shared" si="8"/>
        <v>25000</v>
      </c>
      <c r="F73" s="276"/>
      <c r="G73" s="131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8"/>
      <c r="X73" s="278"/>
      <c r="Y73" s="279"/>
      <c r="Z73" s="279"/>
    </row>
    <row r="74" ht="15.75" customHeight="1">
      <c r="A74" s="271"/>
      <c r="B74" s="272" t="s">
        <v>204</v>
      </c>
      <c r="C74" s="273" t="s">
        <v>205</v>
      </c>
      <c r="D74" s="274">
        <v>1000.0</v>
      </c>
      <c r="E74" s="275">
        <f>D74*18</f>
        <v>18000</v>
      </c>
      <c r="F74" s="276"/>
      <c r="G74" s="131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8"/>
      <c r="X74" s="278"/>
      <c r="Y74" s="279"/>
      <c r="Z74" s="279"/>
    </row>
    <row r="75" ht="15.75" customHeight="1">
      <c r="A75" s="271"/>
      <c r="B75" s="272" t="s">
        <v>206</v>
      </c>
      <c r="C75" s="273" t="s">
        <v>207</v>
      </c>
      <c r="D75" s="274">
        <v>5000.0</v>
      </c>
      <c r="E75" s="282">
        <v>5000.0</v>
      </c>
      <c r="F75" s="276"/>
      <c r="G75" s="131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8"/>
      <c r="X75" s="278"/>
      <c r="Y75" s="279"/>
      <c r="Z75" s="279"/>
    </row>
    <row r="76" ht="15.75" customHeight="1">
      <c r="A76" s="108"/>
      <c r="B76" s="283" t="s">
        <v>208</v>
      </c>
      <c r="C76" s="284" t="s">
        <v>207</v>
      </c>
      <c r="D76" s="285">
        <v>10000.0</v>
      </c>
      <c r="E76" s="286">
        <v>10000.0</v>
      </c>
      <c r="F76" s="255"/>
      <c r="G76" s="131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7"/>
      <c r="X76" s="117"/>
      <c r="Y76" s="118"/>
      <c r="Z76" s="118"/>
    </row>
    <row r="77" ht="15.75" customHeight="1">
      <c r="A77" s="108"/>
      <c r="B77" s="283" t="s">
        <v>209</v>
      </c>
      <c r="C77" s="284" t="s">
        <v>210</v>
      </c>
      <c r="D77" s="285">
        <v>250.0</v>
      </c>
      <c r="E77" s="286">
        <f t="shared" ref="E77:E78" si="9">D77*10</f>
        <v>2500</v>
      </c>
      <c r="F77" s="255"/>
      <c r="G77" s="131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7"/>
      <c r="X77" s="117"/>
      <c r="Y77" s="118"/>
      <c r="Z77" s="118"/>
    </row>
    <row r="78" ht="15.75" customHeight="1">
      <c r="A78" s="271"/>
      <c r="B78" s="283" t="s">
        <v>211</v>
      </c>
      <c r="C78" s="284" t="s">
        <v>210</v>
      </c>
      <c r="D78" s="285">
        <v>250.0</v>
      </c>
      <c r="E78" s="286">
        <f t="shared" si="9"/>
        <v>2500</v>
      </c>
      <c r="F78" s="276"/>
      <c r="G78" s="131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8"/>
      <c r="X78" s="278"/>
      <c r="Y78" s="279"/>
      <c r="Z78" s="279"/>
    </row>
    <row r="79" ht="15.75" customHeight="1">
      <c r="A79" s="271"/>
      <c r="B79" s="272" t="s">
        <v>212</v>
      </c>
      <c r="C79" s="273" t="s">
        <v>213</v>
      </c>
      <c r="D79" s="274">
        <v>5000.0</v>
      </c>
      <c r="E79" s="275">
        <f>5000</f>
        <v>5000</v>
      </c>
      <c r="F79" s="276"/>
      <c r="G79" s="131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8"/>
      <c r="X79" s="278"/>
      <c r="Y79" s="279"/>
      <c r="Z79" s="279"/>
    </row>
    <row r="80" ht="15.75" customHeight="1">
      <c r="A80" s="261"/>
      <c r="B80" s="262" t="s">
        <v>214</v>
      </c>
      <c r="C80" s="263" t="s">
        <v>215</v>
      </c>
      <c r="D80" s="264">
        <v>20000.0</v>
      </c>
      <c r="E80" s="265">
        <f>D80*2</f>
        <v>40000</v>
      </c>
      <c r="F80" s="266"/>
      <c r="G80" s="131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8"/>
      <c r="X80" s="268"/>
      <c r="Y80" s="269"/>
      <c r="Z80" s="269"/>
    </row>
    <row r="81" ht="15.75" customHeight="1">
      <c r="A81" s="241"/>
      <c r="B81" s="242" t="s">
        <v>216</v>
      </c>
      <c r="C81" s="243" t="s">
        <v>162</v>
      </c>
      <c r="D81" s="244">
        <v>1000.0</v>
      </c>
      <c r="E81" s="245">
        <f>D81*5</f>
        <v>5000</v>
      </c>
      <c r="F81" s="255"/>
      <c r="G81" s="131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8"/>
      <c r="X81" s="248"/>
      <c r="Y81" s="249"/>
      <c r="Z81" s="249"/>
    </row>
    <row r="82" ht="15.75" customHeight="1">
      <c r="A82" s="271"/>
      <c r="B82" s="272" t="s">
        <v>217</v>
      </c>
      <c r="C82" s="273" t="s">
        <v>185</v>
      </c>
      <c r="D82" s="274">
        <v>1000.0</v>
      </c>
      <c r="E82" s="275">
        <f>D82*3</f>
        <v>3000</v>
      </c>
      <c r="F82" s="276"/>
      <c r="G82" s="131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8"/>
      <c r="X82" s="278"/>
      <c r="Y82" s="279"/>
      <c r="Z82" s="279"/>
    </row>
    <row r="83" ht="15.75" customHeight="1">
      <c r="A83" s="271"/>
      <c r="B83" s="272" t="s">
        <v>218</v>
      </c>
      <c r="C83" s="273" t="s">
        <v>162</v>
      </c>
      <c r="D83" s="274">
        <v>500.0</v>
      </c>
      <c r="E83" s="275">
        <f t="shared" ref="E83:E85" si="10">D83*5</f>
        <v>2500</v>
      </c>
      <c r="F83" s="276"/>
      <c r="G83" s="131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8"/>
      <c r="X83" s="278"/>
      <c r="Y83" s="279"/>
      <c r="Z83" s="279"/>
    </row>
    <row r="84" ht="15.75" customHeight="1">
      <c r="A84" s="271"/>
      <c r="B84" s="272" t="s">
        <v>219</v>
      </c>
      <c r="C84" s="273" t="s">
        <v>162</v>
      </c>
      <c r="D84" s="274">
        <v>800.0</v>
      </c>
      <c r="E84" s="275">
        <f t="shared" si="10"/>
        <v>4000</v>
      </c>
      <c r="F84" s="276"/>
      <c r="G84" s="131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8"/>
      <c r="X84" s="278"/>
      <c r="Y84" s="279"/>
      <c r="Z84" s="279"/>
    </row>
    <row r="85" ht="15.75" customHeight="1">
      <c r="A85" s="271"/>
      <c r="B85" s="272" t="s">
        <v>220</v>
      </c>
      <c r="C85" s="273" t="s">
        <v>162</v>
      </c>
      <c r="D85" s="274">
        <v>1000.0</v>
      </c>
      <c r="E85" s="275">
        <f t="shared" si="10"/>
        <v>5000</v>
      </c>
      <c r="F85" s="276"/>
      <c r="G85" s="131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8"/>
      <c r="X85" s="278"/>
      <c r="Y85" s="279"/>
      <c r="Z85" s="279"/>
    </row>
    <row r="86" ht="43.5" customHeight="1">
      <c r="A86" s="261"/>
      <c r="B86" s="287" t="s">
        <v>221</v>
      </c>
      <c r="C86" s="263" t="s">
        <v>185</v>
      </c>
      <c r="D86" s="288">
        <v>20000.0</v>
      </c>
      <c r="E86" s="265">
        <f>D86*3</f>
        <v>60000</v>
      </c>
      <c r="F86" s="266"/>
      <c r="G86" s="131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8"/>
      <c r="X86" s="268"/>
      <c r="Y86" s="269"/>
      <c r="Z86" s="269"/>
    </row>
    <row r="87" ht="15.75" customHeight="1">
      <c r="A87" s="289"/>
      <c r="B87" s="290" t="s">
        <v>222</v>
      </c>
      <c r="C87" s="291" t="s">
        <v>137</v>
      </c>
      <c r="D87" s="292">
        <v>400.0</v>
      </c>
      <c r="E87" s="293">
        <f>400*20</f>
        <v>8000</v>
      </c>
      <c r="F87" s="294" t="s">
        <v>41</v>
      </c>
      <c r="G87" s="131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21"/>
      <c r="X87" s="21"/>
      <c r="Y87" s="2"/>
      <c r="Z87" s="2"/>
    </row>
    <row r="88" ht="15.75" customHeight="1">
      <c r="A88" s="295"/>
      <c r="B88" s="296" t="s">
        <v>223</v>
      </c>
      <c r="C88" s="132"/>
      <c r="D88" s="297">
        <v>300.0</v>
      </c>
      <c r="E88" s="293">
        <f>300*30</f>
        <v>9000</v>
      </c>
      <c r="F88" s="132"/>
      <c r="G88" s="131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21"/>
      <c r="X88" s="21"/>
      <c r="Y88" s="2"/>
      <c r="Z88" s="2"/>
    </row>
    <row r="89" ht="15.75" customHeight="1">
      <c r="A89" s="289"/>
      <c r="B89" s="290" t="s">
        <v>224</v>
      </c>
      <c r="C89" s="132"/>
      <c r="D89" s="292">
        <v>150.0</v>
      </c>
      <c r="E89" s="293">
        <f>D89*10</f>
        <v>1500</v>
      </c>
      <c r="F89" s="132"/>
      <c r="G89" s="131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21"/>
      <c r="X89" s="21"/>
      <c r="Y89" s="2"/>
      <c r="Z89" s="2"/>
    </row>
    <row r="90" ht="15.75" customHeight="1">
      <c r="A90" s="289"/>
      <c r="B90" s="290" t="s">
        <v>225</v>
      </c>
      <c r="C90" s="132"/>
      <c r="D90" s="292">
        <v>3000.0</v>
      </c>
      <c r="E90" s="293">
        <f>D90*5</f>
        <v>15000</v>
      </c>
      <c r="F90" s="132"/>
      <c r="G90" s="131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9"/>
      <c r="X90" s="299"/>
      <c r="Y90" s="300"/>
      <c r="Z90" s="300"/>
    </row>
    <row r="91" ht="15.75" customHeight="1">
      <c r="A91" s="289"/>
      <c r="B91" s="290" t="s">
        <v>226</v>
      </c>
      <c r="C91" s="224"/>
      <c r="D91" s="292">
        <v>600.0</v>
      </c>
      <c r="E91" s="301">
        <f>5*D91</f>
        <v>3000</v>
      </c>
      <c r="F91" s="224"/>
      <c r="G91" s="131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9"/>
      <c r="X91" s="299"/>
      <c r="Y91" s="300"/>
      <c r="Z91" s="300"/>
    </row>
    <row r="92" ht="15.75" customHeight="1">
      <c r="A92" s="36"/>
      <c r="B92" s="154" t="s">
        <v>227</v>
      </c>
      <c r="C92" s="302" t="s">
        <v>167</v>
      </c>
      <c r="D92" s="303">
        <v>50000.0</v>
      </c>
      <c r="E92" s="286">
        <v>50000.0</v>
      </c>
      <c r="F92" s="255"/>
      <c r="G92" s="131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21"/>
      <c r="X92" s="21"/>
      <c r="Y92" s="2"/>
      <c r="Z92" s="2"/>
    </row>
    <row r="93" ht="42.75" customHeight="1">
      <c r="A93" s="304"/>
      <c r="B93" s="305" t="s">
        <v>228</v>
      </c>
      <c r="C93" s="306" t="s">
        <v>229</v>
      </c>
      <c r="D93" s="307">
        <v>3800.0</v>
      </c>
      <c r="E93" s="308">
        <f t="shared" ref="E93:E94" si="11">D93*10</f>
        <v>38000</v>
      </c>
      <c r="F93" s="309" t="s">
        <v>32</v>
      </c>
      <c r="G93" s="310" t="s">
        <v>230</v>
      </c>
      <c r="H93" s="311"/>
      <c r="I93" s="309">
        <v>10.0</v>
      </c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2"/>
      <c r="X93" s="312"/>
      <c r="Y93" s="313"/>
      <c r="Z93" s="313"/>
    </row>
    <row r="94">
      <c r="A94" s="304"/>
      <c r="B94" s="305" t="s">
        <v>231</v>
      </c>
      <c r="C94" s="306" t="s">
        <v>232</v>
      </c>
      <c r="D94" s="307">
        <v>3000.0</v>
      </c>
      <c r="E94" s="308">
        <f t="shared" si="11"/>
        <v>30000</v>
      </c>
      <c r="F94" s="314" t="s">
        <v>32</v>
      </c>
      <c r="G94" s="132"/>
      <c r="H94" s="311"/>
      <c r="I94" s="309">
        <v>100.0</v>
      </c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2"/>
      <c r="X94" s="312"/>
      <c r="Y94" s="313"/>
      <c r="Z94" s="313"/>
    </row>
    <row r="95">
      <c r="A95" s="315">
        <v>12.0</v>
      </c>
      <c r="B95" s="242" t="s">
        <v>233</v>
      </c>
      <c r="C95" s="243" t="s">
        <v>234</v>
      </c>
      <c r="D95" s="244">
        <v>3500.0</v>
      </c>
      <c r="E95" s="316">
        <f t="shared" ref="E95:E96" si="12">D95*12</f>
        <v>42000</v>
      </c>
      <c r="F95" s="317" t="s">
        <v>32</v>
      </c>
      <c r="G95" s="132"/>
      <c r="H95" s="247"/>
      <c r="I95" s="318">
        <v>12.0</v>
      </c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8"/>
      <c r="X95" s="248"/>
      <c r="Y95" s="249"/>
      <c r="Z95" s="249"/>
    </row>
    <row r="96">
      <c r="A96" s="304"/>
      <c r="B96" s="305" t="s">
        <v>235</v>
      </c>
      <c r="C96" s="306" t="s">
        <v>234</v>
      </c>
      <c r="D96" s="307">
        <v>5000.0</v>
      </c>
      <c r="E96" s="308">
        <f t="shared" si="12"/>
        <v>60000</v>
      </c>
      <c r="F96" s="314" t="s">
        <v>32</v>
      </c>
      <c r="G96" s="132"/>
      <c r="H96" s="311"/>
      <c r="I96" s="309">
        <v>12.0</v>
      </c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2"/>
      <c r="X96" s="312"/>
      <c r="Y96" s="313"/>
      <c r="Z96" s="313"/>
    </row>
    <row r="97">
      <c r="A97" s="304"/>
      <c r="B97" s="305" t="s">
        <v>236</v>
      </c>
      <c r="C97" s="306" t="s">
        <v>229</v>
      </c>
      <c r="D97" s="307">
        <v>5000.0</v>
      </c>
      <c r="E97" s="308">
        <f>D97*10</f>
        <v>50000</v>
      </c>
      <c r="F97" s="314" t="s">
        <v>32</v>
      </c>
      <c r="G97" s="132"/>
      <c r="H97" s="311"/>
      <c r="I97" s="309">
        <v>10.0</v>
      </c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2"/>
      <c r="X97" s="312"/>
      <c r="Y97" s="313"/>
      <c r="Z97" s="313"/>
    </row>
    <row r="98">
      <c r="A98" s="304"/>
      <c r="B98" s="305" t="s">
        <v>237</v>
      </c>
      <c r="C98" s="306" t="s">
        <v>238</v>
      </c>
      <c r="D98" s="307">
        <v>8000.0</v>
      </c>
      <c r="E98" s="308">
        <f>D98*5</f>
        <v>40000</v>
      </c>
      <c r="F98" s="314" t="s">
        <v>32</v>
      </c>
      <c r="G98" s="132"/>
      <c r="H98" s="311"/>
      <c r="I98" s="309">
        <v>5.0</v>
      </c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2"/>
      <c r="X98" s="312"/>
      <c r="Y98" s="313"/>
      <c r="Z98" s="313"/>
    </row>
    <row r="99">
      <c r="A99" s="319"/>
      <c r="B99" s="283" t="s">
        <v>239</v>
      </c>
      <c r="C99" s="284"/>
      <c r="D99" s="285"/>
      <c r="E99" s="157"/>
      <c r="F99" s="320"/>
      <c r="G99" s="132"/>
      <c r="H99" s="113"/>
      <c r="I99" s="321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7"/>
      <c r="X99" s="117"/>
      <c r="Y99" s="118"/>
      <c r="Z99" s="118"/>
    </row>
    <row r="100">
      <c r="A100" s="322">
        <v>5.0</v>
      </c>
      <c r="B100" s="242" t="s">
        <v>240</v>
      </c>
      <c r="C100" s="243" t="s">
        <v>241</v>
      </c>
      <c r="D100" s="244">
        <v>2000.0</v>
      </c>
      <c r="E100" s="316">
        <f>D100*5</f>
        <v>10000</v>
      </c>
      <c r="F100" s="317" t="s">
        <v>32</v>
      </c>
      <c r="G100" s="132"/>
      <c r="H100" s="247"/>
      <c r="I100" s="318">
        <v>5.0</v>
      </c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8"/>
      <c r="X100" s="248"/>
      <c r="Y100" s="249"/>
      <c r="Z100" s="249"/>
    </row>
    <row r="101">
      <c r="A101" s="315">
        <v>12.0</v>
      </c>
      <c r="B101" s="242" t="s">
        <v>242</v>
      </c>
      <c r="C101" s="243" t="s">
        <v>234</v>
      </c>
      <c r="D101" s="244">
        <v>4000.0</v>
      </c>
      <c r="E101" s="316">
        <f>12*4000</f>
        <v>48000</v>
      </c>
      <c r="F101" s="317" t="s">
        <v>32</v>
      </c>
      <c r="G101" s="132"/>
      <c r="H101" s="247"/>
      <c r="I101" s="318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8"/>
      <c r="X101" s="248"/>
      <c r="Y101" s="249"/>
      <c r="Z101" s="249"/>
    </row>
    <row r="102">
      <c r="A102" s="304"/>
      <c r="B102" s="305" t="s">
        <v>243</v>
      </c>
      <c r="C102" s="306" t="s">
        <v>241</v>
      </c>
      <c r="D102" s="307">
        <v>1000.0</v>
      </c>
      <c r="E102" s="308">
        <f t="shared" ref="E102:E103" si="13">D102*5</f>
        <v>5000</v>
      </c>
      <c r="F102" s="314" t="s">
        <v>32</v>
      </c>
      <c r="G102" s="132"/>
      <c r="H102" s="311"/>
      <c r="I102" s="309">
        <v>5.0</v>
      </c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2"/>
      <c r="X102" s="312"/>
      <c r="Y102" s="313"/>
      <c r="Z102" s="313"/>
    </row>
    <row r="103">
      <c r="A103" s="304"/>
      <c r="B103" s="305" t="s">
        <v>244</v>
      </c>
      <c r="C103" s="306" t="s">
        <v>238</v>
      </c>
      <c r="D103" s="307">
        <v>1000.0</v>
      </c>
      <c r="E103" s="308">
        <f t="shared" si="13"/>
        <v>5000</v>
      </c>
      <c r="F103" s="314" t="s">
        <v>32</v>
      </c>
      <c r="G103" s="132"/>
      <c r="H103" s="311"/>
      <c r="I103" s="309">
        <v>5.0</v>
      </c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2"/>
      <c r="X103" s="312"/>
      <c r="Y103" s="313"/>
      <c r="Z103" s="313"/>
    </row>
    <row r="104">
      <c r="A104" s="36"/>
      <c r="B104" s="40" t="s">
        <v>245</v>
      </c>
      <c r="C104" s="323"/>
      <c r="D104" s="303"/>
      <c r="E104" s="324"/>
      <c r="F104" s="325" t="s">
        <v>32</v>
      </c>
      <c r="G104" s="326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21"/>
      <c r="X104" s="21"/>
      <c r="Y104" s="2"/>
      <c r="Z104" s="2"/>
    </row>
    <row r="105">
      <c r="A105" s="327"/>
      <c r="B105" s="328" t="s">
        <v>246</v>
      </c>
      <c r="C105" s="329" t="s">
        <v>247</v>
      </c>
      <c r="D105" s="330">
        <v>5000.0</v>
      </c>
      <c r="E105" s="331">
        <f>10*D105</f>
        <v>50000</v>
      </c>
      <c r="F105" s="332" t="s">
        <v>32</v>
      </c>
      <c r="G105" s="333" t="s">
        <v>248</v>
      </c>
      <c r="H105" s="334"/>
      <c r="I105" s="335">
        <v>5.0</v>
      </c>
      <c r="J105" s="335">
        <v>5.0</v>
      </c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6"/>
      <c r="X105" s="336"/>
      <c r="Y105" s="337"/>
      <c r="Z105" s="337"/>
    </row>
    <row r="106">
      <c r="A106" s="327"/>
      <c r="B106" s="338" t="s">
        <v>249</v>
      </c>
      <c r="C106" s="339" t="s">
        <v>247</v>
      </c>
      <c r="D106" s="340">
        <v>5000.0</v>
      </c>
      <c r="E106" s="341">
        <f>D106*10</f>
        <v>50000</v>
      </c>
      <c r="F106" s="332" t="s">
        <v>32</v>
      </c>
      <c r="G106" s="132"/>
      <c r="H106" s="334"/>
      <c r="I106" s="335">
        <v>5.0</v>
      </c>
      <c r="J106" s="335">
        <v>5.0</v>
      </c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6"/>
      <c r="X106" s="336"/>
      <c r="Y106" s="337"/>
      <c r="Z106" s="337"/>
    </row>
    <row r="107">
      <c r="A107" s="261"/>
      <c r="B107" s="262" t="s">
        <v>250</v>
      </c>
      <c r="C107" s="263" t="s">
        <v>241</v>
      </c>
      <c r="D107" s="288">
        <f>120000</f>
        <v>120000</v>
      </c>
      <c r="E107" s="342">
        <f>D107*5</f>
        <v>600000</v>
      </c>
      <c r="F107" s="343" t="s">
        <v>32</v>
      </c>
      <c r="G107" s="344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8"/>
      <c r="X107" s="268"/>
      <c r="Y107" s="269"/>
      <c r="Z107" s="269"/>
    </row>
    <row r="108" ht="15.75" customHeight="1">
      <c r="A108" s="230"/>
      <c r="B108" s="345" t="s">
        <v>251</v>
      </c>
      <c r="C108" s="346"/>
      <c r="D108" s="347"/>
      <c r="E108" s="348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185"/>
      <c r="X108" s="185"/>
      <c r="Y108" s="185"/>
      <c r="Z108" s="185"/>
    </row>
    <row r="109" ht="32.25" customHeight="1">
      <c r="A109" s="350"/>
      <c r="B109" s="351" t="s">
        <v>252</v>
      </c>
      <c r="C109" s="352" t="s">
        <v>253</v>
      </c>
      <c r="D109" s="225">
        <v>500.0</v>
      </c>
      <c r="E109" s="353">
        <f>D109*60</f>
        <v>30000</v>
      </c>
      <c r="F109" s="158" t="s">
        <v>41</v>
      </c>
      <c r="G109" s="354" t="s">
        <v>254</v>
      </c>
      <c r="H109" s="180"/>
      <c r="I109" s="355">
        <v>60.0</v>
      </c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5"/>
      <c r="X109" s="185"/>
      <c r="Y109" s="185"/>
      <c r="Z109" s="185"/>
    </row>
    <row r="110" ht="15.75" customHeight="1">
      <c r="A110" s="350"/>
      <c r="B110" s="356"/>
      <c r="C110" s="357"/>
      <c r="D110" s="358"/>
      <c r="E110" s="353"/>
      <c r="F110" s="158"/>
      <c r="G110" s="180"/>
      <c r="H110" s="180"/>
      <c r="I110" s="359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5"/>
      <c r="X110" s="185"/>
      <c r="Y110" s="185"/>
      <c r="Z110" s="185"/>
    </row>
    <row r="111" ht="15.75" customHeight="1">
      <c r="A111" s="350"/>
      <c r="B111" s="360"/>
      <c r="C111" s="357"/>
      <c r="D111" s="358"/>
      <c r="E111" s="353"/>
      <c r="F111" s="158"/>
      <c r="G111" s="180"/>
      <c r="H111" s="180"/>
      <c r="I111" s="359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5"/>
      <c r="X111" s="185"/>
      <c r="Y111" s="185"/>
      <c r="Z111" s="185"/>
    </row>
    <row r="112" ht="15.75" customHeight="1">
      <c r="A112" s="230"/>
      <c r="B112" s="345" t="s">
        <v>255</v>
      </c>
      <c r="C112" s="346"/>
      <c r="D112" s="347"/>
      <c r="E112" s="348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185"/>
      <c r="X112" s="185"/>
      <c r="Y112" s="185"/>
      <c r="Z112" s="185"/>
    </row>
    <row r="113" ht="15.75" customHeight="1">
      <c r="A113" s="350"/>
      <c r="B113" s="361" t="s">
        <v>256</v>
      </c>
      <c r="C113" s="352" t="s">
        <v>257</v>
      </c>
      <c r="D113" s="225">
        <v>1000.0</v>
      </c>
      <c r="E113" s="353">
        <f t="shared" ref="E113:E128" si="14">D113*1</f>
        <v>1000</v>
      </c>
      <c r="F113" s="228" t="s">
        <v>255</v>
      </c>
      <c r="G113" s="362" t="s">
        <v>258</v>
      </c>
      <c r="H113" s="180"/>
      <c r="I113" s="355"/>
      <c r="J113" s="363">
        <v>1.0</v>
      </c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5"/>
      <c r="X113" s="185"/>
      <c r="Y113" s="185"/>
      <c r="Z113" s="185"/>
    </row>
    <row r="114" ht="15.75" customHeight="1">
      <c r="A114" s="350"/>
      <c r="B114" s="361" t="s">
        <v>259</v>
      </c>
      <c r="C114" s="352" t="s">
        <v>257</v>
      </c>
      <c r="D114" s="225">
        <v>1000.0</v>
      </c>
      <c r="E114" s="353">
        <f t="shared" si="14"/>
        <v>1000</v>
      </c>
      <c r="F114" s="228" t="s">
        <v>255</v>
      </c>
      <c r="G114" s="131"/>
      <c r="H114" s="180"/>
      <c r="I114" s="355"/>
      <c r="J114" s="363">
        <v>1.0</v>
      </c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5"/>
      <c r="X114" s="185"/>
      <c r="Y114" s="185"/>
      <c r="Z114" s="185"/>
    </row>
    <row r="115" ht="15.75" customHeight="1">
      <c r="A115" s="350"/>
      <c r="B115" s="361" t="s">
        <v>260</v>
      </c>
      <c r="C115" s="352" t="s">
        <v>257</v>
      </c>
      <c r="D115" s="225">
        <v>1000.0</v>
      </c>
      <c r="E115" s="353">
        <f t="shared" si="14"/>
        <v>1000</v>
      </c>
      <c r="F115" s="228" t="s">
        <v>255</v>
      </c>
      <c r="G115" s="131"/>
      <c r="H115" s="180"/>
      <c r="I115" s="359"/>
      <c r="J115" s="363">
        <v>1.0</v>
      </c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5"/>
      <c r="X115" s="185"/>
      <c r="Y115" s="185"/>
      <c r="Z115" s="185"/>
    </row>
    <row r="116" ht="15.75" customHeight="1">
      <c r="A116" s="350"/>
      <c r="B116" s="361" t="s">
        <v>261</v>
      </c>
      <c r="C116" s="352" t="s">
        <v>257</v>
      </c>
      <c r="D116" s="225">
        <v>1000.0</v>
      </c>
      <c r="E116" s="353">
        <f t="shared" si="14"/>
        <v>1000</v>
      </c>
      <c r="F116" s="228" t="s">
        <v>255</v>
      </c>
      <c r="G116" s="131"/>
      <c r="H116" s="180"/>
      <c r="I116" s="359"/>
      <c r="J116" s="363">
        <v>1.0</v>
      </c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5"/>
      <c r="X116" s="185"/>
      <c r="Y116" s="185"/>
      <c r="Z116" s="185"/>
    </row>
    <row r="117" ht="15.75" customHeight="1">
      <c r="A117" s="350"/>
      <c r="B117" s="361" t="s">
        <v>262</v>
      </c>
      <c r="C117" s="352" t="s">
        <v>257</v>
      </c>
      <c r="D117" s="225">
        <v>1000.0</v>
      </c>
      <c r="E117" s="353">
        <f t="shared" si="14"/>
        <v>1000</v>
      </c>
      <c r="F117" s="228" t="s">
        <v>255</v>
      </c>
      <c r="G117" s="131"/>
      <c r="H117" s="180"/>
      <c r="I117" s="359"/>
      <c r="J117" s="363">
        <v>1.0</v>
      </c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5"/>
      <c r="X117" s="185"/>
      <c r="Y117" s="185"/>
      <c r="Z117" s="185"/>
    </row>
    <row r="118" ht="15.75" customHeight="1">
      <c r="A118" s="350"/>
      <c r="B118" s="361" t="s">
        <v>263</v>
      </c>
      <c r="C118" s="352" t="s">
        <v>257</v>
      </c>
      <c r="D118" s="225">
        <v>1000.0</v>
      </c>
      <c r="E118" s="353">
        <f t="shared" si="14"/>
        <v>1000</v>
      </c>
      <c r="F118" s="228" t="s">
        <v>255</v>
      </c>
      <c r="G118" s="131"/>
      <c r="H118" s="180"/>
      <c r="I118" s="359"/>
      <c r="J118" s="363">
        <v>1.0</v>
      </c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5"/>
      <c r="X118" s="185"/>
      <c r="Y118" s="185"/>
      <c r="Z118" s="185"/>
    </row>
    <row r="119" ht="15.75" customHeight="1">
      <c r="A119" s="350"/>
      <c r="B119" s="361" t="s">
        <v>264</v>
      </c>
      <c r="C119" s="352" t="s">
        <v>257</v>
      </c>
      <c r="D119" s="225">
        <v>1000.0</v>
      </c>
      <c r="E119" s="353">
        <f t="shared" si="14"/>
        <v>1000</v>
      </c>
      <c r="F119" s="228" t="s">
        <v>255</v>
      </c>
      <c r="G119" s="131"/>
      <c r="H119" s="180"/>
      <c r="I119" s="359"/>
      <c r="J119" s="363">
        <v>1.0</v>
      </c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5"/>
      <c r="X119" s="185"/>
      <c r="Y119" s="185"/>
      <c r="Z119" s="185"/>
    </row>
    <row r="120" ht="15.75" customHeight="1">
      <c r="A120" s="350"/>
      <c r="B120" s="361" t="s">
        <v>265</v>
      </c>
      <c r="C120" s="352" t="s">
        <v>257</v>
      </c>
      <c r="D120" s="225">
        <v>1000.0</v>
      </c>
      <c r="E120" s="353">
        <f t="shared" si="14"/>
        <v>1000</v>
      </c>
      <c r="F120" s="228" t="s">
        <v>255</v>
      </c>
      <c r="G120" s="131"/>
      <c r="H120" s="180"/>
      <c r="I120" s="359"/>
      <c r="J120" s="363">
        <v>1.0</v>
      </c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5"/>
      <c r="X120" s="185"/>
      <c r="Y120" s="185"/>
      <c r="Z120" s="185"/>
    </row>
    <row r="121" ht="15.75" customHeight="1">
      <c r="A121" s="350"/>
      <c r="B121" s="361" t="s">
        <v>266</v>
      </c>
      <c r="C121" s="352" t="s">
        <v>257</v>
      </c>
      <c r="D121" s="225">
        <v>1000.0</v>
      </c>
      <c r="E121" s="353">
        <f t="shared" si="14"/>
        <v>1000</v>
      </c>
      <c r="F121" s="228" t="s">
        <v>255</v>
      </c>
      <c r="G121" s="131"/>
      <c r="H121" s="180"/>
      <c r="I121" s="359"/>
      <c r="J121" s="363">
        <v>1.0</v>
      </c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5"/>
      <c r="X121" s="185"/>
      <c r="Y121" s="185"/>
      <c r="Z121" s="185"/>
    </row>
    <row r="122" ht="15.75" customHeight="1">
      <c r="A122" s="350"/>
      <c r="B122" s="361" t="s">
        <v>267</v>
      </c>
      <c r="C122" s="352" t="s">
        <v>257</v>
      </c>
      <c r="D122" s="225">
        <v>1000.0</v>
      </c>
      <c r="E122" s="353">
        <f t="shared" si="14"/>
        <v>1000</v>
      </c>
      <c r="F122" s="228" t="s">
        <v>255</v>
      </c>
      <c r="G122" s="131"/>
      <c r="H122" s="180"/>
      <c r="I122" s="359"/>
      <c r="J122" s="363">
        <v>1.0</v>
      </c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5"/>
      <c r="X122" s="185"/>
      <c r="Y122" s="185"/>
      <c r="Z122" s="185"/>
    </row>
    <row r="123" ht="15.75" customHeight="1">
      <c r="A123" s="350"/>
      <c r="B123" s="361" t="s">
        <v>268</v>
      </c>
      <c r="C123" s="352" t="s">
        <v>257</v>
      </c>
      <c r="D123" s="225">
        <v>1000.0</v>
      </c>
      <c r="E123" s="353">
        <f t="shared" si="14"/>
        <v>1000</v>
      </c>
      <c r="F123" s="228" t="s">
        <v>255</v>
      </c>
      <c r="G123" s="131"/>
      <c r="H123" s="180"/>
      <c r="I123" s="359"/>
      <c r="J123" s="363">
        <v>1.0</v>
      </c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5"/>
      <c r="X123" s="185"/>
      <c r="Y123" s="185"/>
      <c r="Z123" s="185"/>
    </row>
    <row r="124" ht="15.75" customHeight="1">
      <c r="A124" s="350"/>
      <c r="B124" s="361" t="s">
        <v>269</v>
      </c>
      <c r="C124" s="352" t="s">
        <v>257</v>
      </c>
      <c r="D124" s="225">
        <v>1000.0</v>
      </c>
      <c r="E124" s="353">
        <f t="shared" si="14"/>
        <v>1000</v>
      </c>
      <c r="F124" s="228" t="s">
        <v>255</v>
      </c>
      <c r="G124" s="131"/>
      <c r="H124" s="180"/>
      <c r="I124" s="359"/>
      <c r="J124" s="363">
        <v>1.0</v>
      </c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5"/>
      <c r="X124" s="185"/>
      <c r="Y124" s="185"/>
      <c r="Z124" s="185"/>
    </row>
    <row r="125" ht="15.75" customHeight="1">
      <c r="A125" s="350"/>
      <c r="B125" s="361" t="s">
        <v>270</v>
      </c>
      <c r="C125" s="352" t="s">
        <v>257</v>
      </c>
      <c r="D125" s="225">
        <v>1000.0</v>
      </c>
      <c r="E125" s="353">
        <f t="shared" si="14"/>
        <v>1000</v>
      </c>
      <c r="F125" s="228" t="s">
        <v>255</v>
      </c>
      <c r="G125" s="131"/>
      <c r="H125" s="180"/>
      <c r="I125" s="359"/>
      <c r="J125" s="363">
        <v>1.0</v>
      </c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5"/>
      <c r="X125" s="185"/>
      <c r="Y125" s="185"/>
      <c r="Z125" s="185"/>
    </row>
    <row r="126" ht="15.75" customHeight="1">
      <c r="A126" s="350"/>
      <c r="B126" s="361" t="s">
        <v>271</v>
      </c>
      <c r="C126" s="352" t="s">
        <v>257</v>
      </c>
      <c r="D126" s="225">
        <v>1000.0</v>
      </c>
      <c r="E126" s="353">
        <f t="shared" si="14"/>
        <v>1000</v>
      </c>
      <c r="F126" s="228" t="s">
        <v>255</v>
      </c>
      <c r="G126" s="131"/>
      <c r="H126" s="180"/>
      <c r="I126" s="359"/>
      <c r="J126" s="363">
        <v>1.0</v>
      </c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5"/>
      <c r="X126" s="185"/>
      <c r="Y126" s="185"/>
      <c r="Z126" s="185"/>
    </row>
    <row r="127" ht="15.75" customHeight="1">
      <c r="A127" s="350"/>
      <c r="B127" s="361" t="s">
        <v>272</v>
      </c>
      <c r="C127" s="352" t="s">
        <v>257</v>
      </c>
      <c r="D127" s="225">
        <v>1000.0</v>
      </c>
      <c r="E127" s="353">
        <f t="shared" si="14"/>
        <v>1000</v>
      </c>
      <c r="F127" s="228" t="s">
        <v>255</v>
      </c>
      <c r="G127" s="131"/>
      <c r="H127" s="180"/>
      <c r="I127" s="359"/>
      <c r="J127" s="363">
        <v>1.0</v>
      </c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5"/>
      <c r="X127" s="185"/>
      <c r="Y127" s="185"/>
      <c r="Z127" s="185"/>
    </row>
    <row r="128" ht="15.75" customHeight="1">
      <c r="A128" s="350"/>
      <c r="B128" s="361" t="s">
        <v>273</v>
      </c>
      <c r="C128" s="352" t="s">
        <v>257</v>
      </c>
      <c r="D128" s="225">
        <v>1000.0</v>
      </c>
      <c r="E128" s="353">
        <f t="shared" si="14"/>
        <v>1000</v>
      </c>
      <c r="F128" s="228" t="s">
        <v>255</v>
      </c>
      <c r="G128" s="69"/>
      <c r="H128" s="180"/>
      <c r="I128" s="359"/>
      <c r="J128" s="363">
        <v>1.0</v>
      </c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5"/>
      <c r="X128" s="185"/>
      <c r="Y128" s="185"/>
      <c r="Z128" s="185"/>
    </row>
    <row r="129" ht="15.75" customHeight="1">
      <c r="A129" s="364"/>
      <c r="B129" s="365" t="s">
        <v>274</v>
      </c>
      <c r="C129" s="320" t="s">
        <v>275</v>
      </c>
      <c r="D129" s="366">
        <v>500.0</v>
      </c>
      <c r="E129" s="367">
        <f>D129*2</f>
        <v>1000</v>
      </c>
      <c r="F129" s="228" t="s">
        <v>255</v>
      </c>
      <c r="G129" s="368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70"/>
      <c r="X129" s="370"/>
      <c r="Y129" s="370"/>
      <c r="Z129" s="370"/>
    </row>
    <row r="130" ht="15.75" customHeight="1">
      <c r="A130" s="364"/>
      <c r="B130" s="365" t="s">
        <v>276</v>
      </c>
      <c r="C130" s="320" t="s">
        <v>257</v>
      </c>
      <c r="D130" s="366">
        <v>500.0</v>
      </c>
      <c r="E130" s="371">
        <v>500.0</v>
      </c>
      <c r="F130" s="228" t="s">
        <v>255</v>
      </c>
      <c r="G130" s="368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70"/>
      <c r="X130" s="370"/>
      <c r="Y130" s="370"/>
      <c r="Z130" s="370"/>
    </row>
    <row r="131" ht="15.75" customHeight="1">
      <c r="A131" s="230"/>
      <c r="B131" s="345" t="s">
        <v>277</v>
      </c>
      <c r="C131" s="346"/>
      <c r="D131" s="347"/>
      <c r="E131" s="348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185"/>
      <c r="X131" s="185"/>
      <c r="Y131" s="185"/>
      <c r="Z131" s="185"/>
    </row>
    <row r="132" ht="15.75" customHeight="1">
      <c r="A132" s="230"/>
      <c r="B132" s="372" t="s">
        <v>278</v>
      </c>
      <c r="C132" s="373" t="s">
        <v>137</v>
      </c>
      <c r="D132" s="374">
        <v>1200000.0</v>
      </c>
      <c r="E132" s="375">
        <f t="shared" ref="E132:E135" si="15">D132</f>
        <v>1200000</v>
      </c>
      <c r="F132" s="228" t="s">
        <v>279</v>
      </c>
      <c r="G132" s="376" t="s">
        <v>248</v>
      </c>
      <c r="H132" s="180"/>
      <c r="I132" s="355">
        <v>1.0</v>
      </c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5"/>
      <c r="X132" s="185"/>
      <c r="Y132" s="185"/>
      <c r="Z132" s="185"/>
    </row>
    <row r="133" ht="15.75" customHeight="1">
      <c r="A133" s="230"/>
      <c r="B133" s="372" t="s">
        <v>280</v>
      </c>
      <c r="C133" s="373" t="s">
        <v>137</v>
      </c>
      <c r="D133" s="374">
        <v>1266666.67</v>
      </c>
      <c r="E133" s="375">
        <f t="shared" si="15"/>
        <v>1266666.67</v>
      </c>
      <c r="F133" s="228" t="s">
        <v>279</v>
      </c>
      <c r="G133" s="131"/>
      <c r="H133" s="180"/>
      <c r="I133" s="355">
        <v>1.0</v>
      </c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5"/>
      <c r="X133" s="185"/>
      <c r="Y133" s="185"/>
      <c r="Z133" s="185"/>
    </row>
    <row r="134" ht="15.75" customHeight="1">
      <c r="A134" s="230"/>
      <c r="B134" s="372" t="s">
        <v>281</v>
      </c>
      <c r="C134" s="373" t="s">
        <v>137</v>
      </c>
      <c r="D134" s="374">
        <v>1266666.67</v>
      </c>
      <c r="E134" s="375">
        <f t="shared" si="15"/>
        <v>1266666.67</v>
      </c>
      <c r="F134" s="228" t="s">
        <v>279</v>
      </c>
      <c r="G134" s="131"/>
      <c r="H134" s="180"/>
      <c r="I134" s="355">
        <v>1.0</v>
      </c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5"/>
      <c r="X134" s="185"/>
      <c r="Y134" s="185"/>
      <c r="Z134" s="185"/>
    </row>
    <row r="135" ht="15.75" customHeight="1">
      <c r="A135" s="230"/>
      <c r="B135" s="372" t="s">
        <v>282</v>
      </c>
      <c r="C135" s="373" t="s">
        <v>137</v>
      </c>
      <c r="D135" s="374">
        <v>1266666.67</v>
      </c>
      <c r="E135" s="375">
        <f t="shared" si="15"/>
        <v>1266666.67</v>
      </c>
      <c r="F135" s="228" t="s">
        <v>279</v>
      </c>
      <c r="G135" s="69"/>
      <c r="H135" s="180"/>
      <c r="I135" s="355">
        <v>1.0</v>
      </c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5"/>
      <c r="X135" s="185"/>
      <c r="Y135" s="185"/>
      <c r="Z135" s="185"/>
    </row>
    <row r="136" ht="15.75" customHeight="1">
      <c r="A136" s="230"/>
      <c r="B136" s="377" t="s">
        <v>283</v>
      </c>
      <c r="C136" s="346"/>
      <c r="D136" s="347"/>
      <c r="E136" s="348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185"/>
      <c r="X136" s="185"/>
      <c r="Y136" s="185"/>
      <c r="Z136" s="185"/>
    </row>
    <row r="137" ht="54.75" customHeight="1">
      <c r="A137" s="230"/>
      <c r="B137" s="378" t="s">
        <v>284</v>
      </c>
      <c r="C137" s="373" t="s">
        <v>285</v>
      </c>
      <c r="D137" s="379">
        <v>9000.0</v>
      </c>
      <c r="E137" s="375">
        <f>20*9000</f>
        <v>180000</v>
      </c>
      <c r="F137" s="158" t="s">
        <v>286</v>
      </c>
      <c r="G137" s="380" t="s">
        <v>258</v>
      </c>
      <c r="H137" s="359"/>
      <c r="I137" s="180">
        <v>20.0</v>
      </c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5"/>
      <c r="X137" s="185"/>
      <c r="Y137" s="185"/>
      <c r="Z137" s="185"/>
    </row>
    <row r="138" ht="66.75" customHeight="1">
      <c r="A138" s="381"/>
      <c r="B138" s="382" t="s">
        <v>287</v>
      </c>
      <c r="C138" s="357" t="s">
        <v>288</v>
      </c>
      <c r="D138" s="358">
        <v>2500.0</v>
      </c>
      <c r="E138" s="383">
        <f>20*2500</f>
        <v>50000</v>
      </c>
      <c r="F138" s="384" t="s">
        <v>286</v>
      </c>
      <c r="G138" s="380" t="s">
        <v>258</v>
      </c>
      <c r="H138" s="385"/>
      <c r="I138" s="386">
        <v>20.0</v>
      </c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185"/>
      <c r="X138" s="185"/>
      <c r="Y138" s="185"/>
      <c r="Z138" s="185"/>
    </row>
    <row r="139" ht="15.75" customHeight="1">
      <c r="A139" s="230"/>
      <c r="B139" s="377" t="s">
        <v>289</v>
      </c>
      <c r="C139" s="346"/>
      <c r="D139" s="347"/>
      <c r="E139" s="348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185"/>
      <c r="X139" s="185"/>
      <c r="Y139" s="185"/>
      <c r="Z139" s="185"/>
    </row>
    <row r="140" ht="15.75" customHeight="1">
      <c r="A140" s="36"/>
      <c r="B140" s="37" t="s">
        <v>290</v>
      </c>
      <c r="C140" s="44" t="s">
        <v>291</v>
      </c>
      <c r="D140" s="45">
        <v>250000.0</v>
      </c>
      <c r="E140" s="157">
        <f>6*D140</f>
        <v>1500000</v>
      </c>
      <c r="F140" s="107" t="s">
        <v>292</v>
      </c>
      <c r="G140" s="40"/>
      <c r="H140" s="40">
        <v>6.0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21"/>
      <c r="X140" s="21"/>
      <c r="Y140" s="2"/>
      <c r="Z140" s="2"/>
    </row>
    <row r="141" ht="15.75" customHeight="1">
      <c r="A141" s="36"/>
      <c r="B141" s="37" t="s">
        <v>293</v>
      </c>
      <c r="C141" s="44" t="s">
        <v>294</v>
      </c>
      <c r="D141" s="45">
        <v>1500000.0</v>
      </c>
      <c r="E141" s="157">
        <f>D141*3</f>
        <v>4500000</v>
      </c>
      <c r="F141" s="107" t="s">
        <v>292</v>
      </c>
      <c r="G141" s="40"/>
      <c r="H141" s="40">
        <v>3.0</v>
      </c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21"/>
      <c r="X141" s="21"/>
      <c r="Y141" s="2"/>
      <c r="Z141" s="2"/>
    </row>
    <row r="142" ht="15.75" customHeight="1">
      <c r="A142" s="36"/>
      <c r="B142" s="37" t="s">
        <v>295</v>
      </c>
      <c r="C142" s="44" t="s">
        <v>291</v>
      </c>
      <c r="D142" s="45">
        <v>600000.0</v>
      </c>
      <c r="E142" s="157">
        <f>D142*6</f>
        <v>3600000</v>
      </c>
      <c r="F142" s="107" t="s">
        <v>292</v>
      </c>
      <c r="G142" s="40"/>
      <c r="H142" s="40">
        <v>6.0</v>
      </c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21"/>
      <c r="X142" s="21"/>
      <c r="Y142" s="2"/>
      <c r="Z142" s="2"/>
    </row>
    <row r="143" ht="15.75" customHeight="1">
      <c r="A143" s="36"/>
      <c r="B143" s="37" t="s">
        <v>296</v>
      </c>
      <c r="C143" s="44" t="s">
        <v>294</v>
      </c>
      <c r="D143" s="45">
        <v>800000.0</v>
      </c>
      <c r="E143" s="157">
        <f t="shared" ref="E143:E144" si="16">D143*3</f>
        <v>2400000</v>
      </c>
      <c r="F143" s="107" t="s">
        <v>292</v>
      </c>
      <c r="G143" s="40"/>
      <c r="H143" s="40">
        <v>3.0</v>
      </c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21"/>
      <c r="X143" s="21"/>
      <c r="Y143" s="2"/>
      <c r="Z143" s="2"/>
    </row>
    <row r="144" ht="15.75" customHeight="1">
      <c r="A144" s="36"/>
      <c r="B144" s="37" t="s">
        <v>297</v>
      </c>
      <c r="C144" s="44" t="s">
        <v>294</v>
      </c>
      <c r="D144" s="45">
        <v>800000.0</v>
      </c>
      <c r="E144" s="157">
        <f t="shared" si="16"/>
        <v>2400000</v>
      </c>
      <c r="F144" s="107" t="s">
        <v>292</v>
      </c>
      <c r="G144" s="40"/>
      <c r="H144" s="40">
        <v>3.0</v>
      </c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21"/>
      <c r="X144" s="21"/>
      <c r="Y144" s="2"/>
      <c r="Z144" s="2"/>
    </row>
    <row r="145" ht="15.75" hidden="1" customHeight="1">
      <c r="A145" s="36"/>
      <c r="B145" s="37"/>
      <c r="C145" s="44"/>
      <c r="D145" s="45"/>
      <c r="E145" s="46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21"/>
      <c r="X145" s="21"/>
      <c r="Y145" s="2"/>
      <c r="Z145" s="2"/>
    </row>
    <row r="146" ht="15.75" hidden="1" customHeight="1">
      <c r="A146" s="36"/>
      <c r="B146" s="37"/>
      <c r="C146" s="44"/>
      <c r="D146" s="45"/>
      <c r="E146" s="46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21"/>
      <c r="X146" s="21"/>
      <c r="Y146" s="2"/>
      <c r="Z146" s="2"/>
    </row>
    <row r="147" ht="15.75" hidden="1" customHeight="1">
      <c r="A147" s="36"/>
      <c r="B147" s="37"/>
      <c r="C147" s="44"/>
      <c r="D147" s="45"/>
      <c r="E147" s="46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21"/>
      <c r="X147" s="21"/>
      <c r="Y147" s="2"/>
      <c r="Z147" s="2"/>
    </row>
    <row r="148" ht="15.75" hidden="1" customHeight="1">
      <c r="A148" s="36"/>
      <c r="B148" s="37"/>
      <c r="C148" s="44"/>
      <c r="D148" s="45"/>
      <c r="E148" s="46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21"/>
      <c r="X148" s="21"/>
      <c r="Y148" s="2"/>
      <c r="Z148" s="2"/>
    </row>
    <row r="149" ht="15.75" hidden="1" customHeight="1">
      <c r="A149" s="36"/>
      <c r="B149" s="37"/>
      <c r="C149" s="44"/>
      <c r="D149" s="45"/>
      <c r="E149" s="46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21"/>
      <c r="X149" s="21"/>
      <c r="Y149" s="2"/>
      <c r="Z149" s="2"/>
    </row>
    <row r="150" ht="15.75" hidden="1" customHeight="1">
      <c r="A150" s="36"/>
      <c r="B150" s="37"/>
      <c r="C150" s="44"/>
      <c r="D150" s="45"/>
      <c r="E150" s="46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21"/>
      <c r="X150" s="21"/>
      <c r="Y150" s="2"/>
      <c r="Z150" s="2"/>
    </row>
    <row r="151" ht="15.75" hidden="1" customHeight="1">
      <c r="A151" s="52"/>
      <c r="B151" s="53"/>
      <c r="C151" s="54"/>
      <c r="D151" s="55"/>
      <c r="E151" s="56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21"/>
      <c r="X151" s="21"/>
      <c r="Y151" s="2"/>
      <c r="Z151" s="2"/>
    </row>
    <row r="152" ht="15.75" hidden="1" customHeight="1">
      <c r="A152" s="36"/>
      <c r="B152" s="49" t="s">
        <v>109</v>
      </c>
      <c r="C152" s="50"/>
      <c r="D152" s="51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21"/>
      <c r="X152" s="21"/>
      <c r="Y152" s="2"/>
      <c r="Z152" s="2"/>
    </row>
    <row r="153" ht="15.75" hidden="1" customHeight="1">
      <c r="A153" s="36"/>
      <c r="B153" s="37"/>
      <c r="C153" s="44"/>
      <c r="D153" s="45"/>
      <c r="E153" s="46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21"/>
      <c r="X153" s="21"/>
      <c r="Y153" s="2"/>
      <c r="Z153" s="2"/>
    </row>
    <row r="154" ht="15.75" hidden="1" customHeight="1">
      <c r="A154" s="36"/>
      <c r="B154" s="37"/>
      <c r="C154" s="44"/>
      <c r="D154" s="45"/>
      <c r="E154" s="46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21"/>
      <c r="X154" s="21"/>
      <c r="Y154" s="2"/>
      <c r="Z154" s="2"/>
    </row>
    <row r="155" ht="15.75" hidden="1" customHeight="1">
      <c r="A155" s="36"/>
      <c r="B155" s="37"/>
      <c r="C155" s="44"/>
      <c r="D155" s="45"/>
      <c r="E155" s="46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21"/>
      <c r="X155" s="21"/>
      <c r="Y155" s="2"/>
      <c r="Z155" s="2"/>
    </row>
    <row r="156" ht="15.75" hidden="1" customHeight="1">
      <c r="A156" s="36"/>
      <c r="B156" s="37"/>
      <c r="C156" s="44"/>
      <c r="D156" s="45"/>
      <c r="E156" s="46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21"/>
      <c r="X156" s="21"/>
      <c r="Y156" s="2"/>
      <c r="Z156" s="2"/>
    </row>
    <row r="157" ht="15.75" hidden="1" customHeight="1">
      <c r="A157" s="36"/>
      <c r="B157" s="49" t="s">
        <v>110</v>
      </c>
      <c r="C157" s="50"/>
      <c r="D157" s="51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21"/>
      <c r="X157" s="21"/>
      <c r="Y157" s="2"/>
      <c r="Z157" s="2"/>
    </row>
    <row r="158" ht="15.75" hidden="1" customHeight="1">
      <c r="A158" s="36"/>
      <c r="B158" s="37"/>
      <c r="C158" s="44"/>
      <c r="D158" s="45"/>
      <c r="E158" s="46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21"/>
      <c r="X158" s="21"/>
      <c r="Y158" s="2"/>
      <c r="Z158" s="2"/>
    </row>
    <row r="159" ht="15.75" hidden="1" customHeight="1">
      <c r="A159" s="36"/>
      <c r="B159" s="37"/>
      <c r="C159" s="44"/>
      <c r="D159" s="45"/>
      <c r="E159" s="46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21"/>
      <c r="X159" s="21"/>
      <c r="Y159" s="2"/>
      <c r="Z159" s="2"/>
    </row>
    <row r="160" ht="15.75" hidden="1" customHeight="1">
      <c r="A160" s="36"/>
      <c r="B160" s="37"/>
      <c r="C160" s="44"/>
      <c r="D160" s="45"/>
      <c r="E160" s="46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21"/>
      <c r="X160" s="21"/>
      <c r="Y160" s="2"/>
      <c r="Z160" s="2"/>
    </row>
    <row r="161" ht="15.75" customHeight="1">
      <c r="A161" s="36"/>
      <c r="B161" s="387" t="s">
        <v>298</v>
      </c>
      <c r="C161" s="388" t="s">
        <v>294</v>
      </c>
      <c r="D161" s="389">
        <v>105000.0</v>
      </c>
      <c r="E161" s="45">
        <f>D161*3</f>
        <v>315000</v>
      </c>
      <c r="F161" s="107" t="s">
        <v>292</v>
      </c>
      <c r="G161" s="390"/>
      <c r="H161" s="390"/>
      <c r="I161" s="391"/>
      <c r="J161" s="220">
        <v>3.0</v>
      </c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21"/>
      <c r="X161" s="21"/>
      <c r="Y161" s="2"/>
      <c r="Z161" s="2"/>
    </row>
    <row r="162" ht="15.75" customHeight="1">
      <c r="A162" s="52"/>
      <c r="B162" s="57" t="s">
        <v>111</v>
      </c>
      <c r="C162" s="58"/>
      <c r="D162" s="58"/>
      <c r="E162" s="58"/>
      <c r="F162" s="58"/>
      <c r="G162" s="58"/>
      <c r="H162" s="58"/>
      <c r="I162" s="59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21"/>
      <c r="X162" s="21"/>
      <c r="Y162" s="2"/>
      <c r="Z162" s="2"/>
    </row>
    <row r="163" ht="15.75" customHeight="1">
      <c r="A163" s="60"/>
      <c r="B163" s="61"/>
      <c r="C163" s="2"/>
      <c r="D163" s="9"/>
      <c r="E163" s="62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3" t="s">
        <v>112</v>
      </c>
      <c r="B164" s="6"/>
      <c r="C164" s="64">
        <f>sum(E12:E144)</f>
        <v>21419700.01</v>
      </c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65" t="s">
        <v>113</v>
      </c>
      <c r="B165" s="66"/>
      <c r="C165" s="67">
        <f>PRODUCT(C164,0.1)</f>
        <v>2141970.001</v>
      </c>
      <c r="D165" s="68"/>
      <c r="E165" s="69"/>
      <c r="F165" s="11"/>
      <c r="G165" s="11"/>
      <c r="H165" s="70"/>
      <c r="J165" s="70"/>
      <c r="U165" s="70"/>
      <c r="V165" s="2"/>
      <c r="W165" s="2"/>
      <c r="X165" s="2"/>
      <c r="Y165" s="2"/>
      <c r="Z165" s="2"/>
    </row>
    <row r="166" ht="15.75" hidden="1" customHeight="1">
      <c r="A166" s="71" t="s">
        <v>114</v>
      </c>
      <c r="B166" s="72"/>
      <c r="C166" s="73">
        <f>PRODUCT(C164,0.1)</f>
        <v>2141970.001</v>
      </c>
      <c r="D166" s="58"/>
      <c r="E166" s="59"/>
      <c r="F166" s="11"/>
      <c r="G166" s="11"/>
      <c r="H166" s="74"/>
      <c r="I166" s="74"/>
      <c r="J166" s="75"/>
      <c r="U166" s="75"/>
      <c r="V166" s="2"/>
      <c r="W166" s="2"/>
      <c r="X166" s="2"/>
      <c r="Y166" s="2"/>
      <c r="Z166" s="2"/>
    </row>
    <row r="167" ht="15.75" hidden="1" customHeight="1">
      <c r="A167" s="71" t="s">
        <v>115</v>
      </c>
      <c r="B167" s="72"/>
      <c r="C167" s="73">
        <f>SUM(C164:E166)</f>
        <v>25703640.01</v>
      </c>
      <c r="D167" s="58"/>
      <c r="E167" s="59"/>
      <c r="F167" s="11"/>
      <c r="G167" s="11"/>
      <c r="H167" s="74"/>
      <c r="I167" s="74"/>
      <c r="J167" s="75"/>
      <c r="U167" s="75"/>
      <c r="V167" s="2"/>
      <c r="W167" s="2"/>
      <c r="X167" s="2"/>
      <c r="Y167" s="2"/>
      <c r="Z167" s="2"/>
    </row>
    <row r="168" ht="15.75" customHeight="1">
      <c r="A168" s="76"/>
      <c r="B168" s="6"/>
      <c r="C168" s="2"/>
      <c r="D168" s="9"/>
      <c r="E168" s="10"/>
      <c r="F168" s="11"/>
      <c r="G168" s="11"/>
      <c r="H168" s="74"/>
      <c r="I168" s="74"/>
      <c r="J168" s="75"/>
      <c r="U168" s="75"/>
      <c r="V168" s="2"/>
      <c r="W168" s="2"/>
      <c r="X168" s="2"/>
      <c r="Y168" s="2"/>
      <c r="Z168" s="2"/>
    </row>
    <row r="169" ht="15.75" customHeight="1">
      <c r="A169" s="77" t="s">
        <v>116</v>
      </c>
      <c r="B169" s="6"/>
      <c r="C169" s="2"/>
      <c r="D169" s="9"/>
      <c r="E169" s="10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8"/>
      <c r="B170" s="6"/>
      <c r="C170" s="2"/>
      <c r="D170" s="9"/>
      <c r="E170" s="10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9" t="s">
        <v>117</v>
      </c>
      <c r="B171" s="61"/>
      <c r="C171" s="80" t="s">
        <v>118</v>
      </c>
      <c r="F171" s="74"/>
      <c r="G171" s="74"/>
      <c r="H171" s="2"/>
      <c r="I171" s="80" t="s">
        <v>119</v>
      </c>
      <c r="O171" s="2"/>
      <c r="P171" s="2"/>
      <c r="Q171" s="80" t="s">
        <v>120</v>
      </c>
      <c r="U171" s="2"/>
      <c r="V171" s="2"/>
      <c r="X171" s="74"/>
      <c r="Y171" s="2"/>
      <c r="Z171" s="2"/>
    </row>
    <row r="172" ht="15.75" customHeight="1">
      <c r="A172" s="79"/>
      <c r="B172" s="61"/>
      <c r="C172" s="80"/>
      <c r="D172" s="81"/>
      <c r="E172" s="80"/>
      <c r="F172" s="74"/>
      <c r="G172" s="74"/>
      <c r="H172" s="2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74"/>
      <c r="X172" s="74"/>
      <c r="Y172" s="2"/>
      <c r="Z172" s="2"/>
    </row>
    <row r="173" ht="15.75" customHeight="1">
      <c r="A173" s="61"/>
      <c r="B173" s="61"/>
      <c r="C173" s="74"/>
      <c r="D173" s="82"/>
      <c r="E173" s="83"/>
      <c r="F173" s="74"/>
      <c r="G173" s="74"/>
      <c r="H173" s="2"/>
      <c r="I173" s="74"/>
      <c r="J173" s="83"/>
      <c r="K173" s="83"/>
      <c r="L173" s="83"/>
      <c r="M173" s="83"/>
      <c r="N173" s="83"/>
      <c r="O173" s="83"/>
      <c r="P173" s="83"/>
      <c r="Q173" s="74"/>
      <c r="R173" s="83"/>
      <c r="S173" s="74"/>
      <c r="T173" s="74"/>
      <c r="U173" s="74"/>
      <c r="V173" s="74"/>
      <c r="W173" s="74"/>
      <c r="X173" s="74"/>
      <c r="Y173" s="2"/>
      <c r="Z173" s="2"/>
    </row>
    <row r="174" ht="15.75" customHeight="1">
      <c r="A174" s="84" t="s">
        <v>299</v>
      </c>
      <c r="C174" s="85" t="s">
        <v>122</v>
      </c>
      <c r="G174" s="2"/>
      <c r="H174" s="2"/>
      <c r="I174" s="85" t="s">
        <v>123</v>
      </c>
      <c r="O174" s="2"/>
      <c r="P174" s="2"/>
      <c r="Q174" s="85" t="s">
        <v>124</v>
      </c>
      <c r="U174" s="2"/>
      <c r="V174" s="2"/>
      <c r="Y174" s="2"/>
      <c r="Z174" s="2"/>
    </row>
    <row r="175" ht="15.0" customHeight="1">
      <c r="A175" s="86" t="s">
        <v>125</v>
      </c>
      <c r="C175" s="87" t="s">
        <v>126</v>
      </c>
      <c r="G175" s="88"/>
      <c r="H175" s="2"/>
      <c r="I175" s="89" t="s">
        <v>127</v>
      </c>
      <c r="O175" s="2"/>
      <c r="P175" s="2"/>
      <c r="Q175" s="87" t="s">
        <v>128</v>
      </c>
      <c r="U175" s="2"/>
      <c r="V175" s="2"/>
      <c r="W175" s="74"/>
      <c r="X175" s="74"/>
      <c r="Y175" s="2"/>
      <c r="Z175" s="2"/>
    </row>
    <row r="176" ht="15.75" customHeight="1">
      <c r="A176" s="2"/>
      <c r="B176" s="2"/>
      <c r="C176" s="2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129</v>
      </c>
      <c r="B177" s="2"/>
      <c r="C177" s="2" t="s">
        <v>129</v>
      </c>
      <c r="D177" s="9"/>
      <c r="E177" s="2"/>
      <c r="F177" s="2"/>
      <c r="G177" s="2"/>
      <c r="H177" s="2"/>
      <c r="I177" s="2" t="s">
        <v>129</v>
      </c>
      <c r="J177" s="2"/>
      <c r="K177" s="2"/>
      <c r="L177" s="2"/>
      <c r="M177" s="2"/>
      <c r="N177" s="2"/>
      <c r="O177" s="2"/>
      <c r="P177" s="2"/>
      <c r="Q177" s="2" t="s">
        <v>129</v>
      </c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90"/>
      <c r="E178" s="2"/>
      <c r="F178" s="2"/>
      <c r="G178" s="2"/>
      <c r="H178" s="91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90"/>
      <c r="E179" s="2"/>
      <c r="F179" s="2"/>
      <c r="G179" s="2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90"/>
      <c r="E180" s="2"/>
      <c r="F180" s="2"/>
      <c r="G180" s="2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90"/>
      <c r="E181" s="2"/>
      <c r="F181" s="2"/>
      <c r="G181" s="2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90"/>
      <c r="E182" s="2"/>
      <c r="F182" s="2"/>
      <c r="G182" s="2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90"/>
      <c r="E183" s="2"/>
      <c r="F183" s="2"/>
      <c r="G183" s="2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90"/>
      <c r="E184" s="2"/>
      <c r="F184" s="2"/>
      <c r="G184" s="2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90"/>
      <c r="E185" s="2"/>
      <c r="F185" s="2"/>
      <c r="G185" s="2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90"/>
      <c r="E186" s="2"/>
      <c r="F186" s="2"/>
      <c r="G186" s="2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90"/>
      <c r="E187" s="2"/>
      <c r="F187" s="2"/>
      <c r="G187" s="2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90"/>
      <c r="E188" s="2"/>
      <c r="F188" s="2"/>
      <c r="G188" s="2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90"/>
      <c r="E189" s="2"/>
      <c r="F189" s="2"/>
      <c r="G189" s="2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90"/>
      <c r="E190" s="2"/>
      <c r="F190" s="2"/>
      <c r="G190" s="2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90"/>
      <c r="E191" s="2"/>
      <c r="F191" s="2"/>
      <c r="G191" s="2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90"/>
      <c r="E192" s="2"/>
      <c r="F192" s="2"/>
      <c r="G192" s="2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90"/>
      <c r="E193" s="2"/>
      <c r="F193" s="2"/>
      <c r="G193" s="2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90"/>
      <c r="E194" s="2"/>
      <c r="F194" s="2"/>
      <c r="G194" s="2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90"/>
      <c r="E195" s="2"/>
      <c r="F195" s="2"/>
      <c r="G195" s="2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90"/>
      <c r="E196" s="2"/>
      <c r="F196" s="2"/>
      <c r="G196" s="2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90"/>
      <c r="E197" s="2"/>
      <c r="F197" s="2"/>
      <c r="G197" s="2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90"/>
      <c r="E198" s="2"/>
      <c r="F198" s="2"/>
      <c r="G198" s="2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90"/>
      <c r="E199" s="2"/>
      <c r="F199" s="2"/>
      <c r="G199" s="2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90"/>
      <c r="E200" s="2"/>
      <c r="F200" s="2"/>
      <c r="G200" s="2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90"/>
      <c r="E201" s="2"/>
      <c r="F201" s="2"/>
      <c r="G201" s="2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90"/>
      <c r="E202" s="2"/>
      <c r="F202" s="2"/>
      <c r="G202" s="2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90"/>
      <c r="E203" s="2"/>
      <c r="F203" s="2"/>
      <c r="G203" s="2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90"/>
      <c r="E204" s="2"/>
      <c r="F204" s="2"/>
      <c r="G204" s="2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90"/>
      <c r="E205" s="2"/>
      <c r="F205" s="2"/>
      <c r="G205" s="2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90"/>
      <c r="E206" s="2"/>
      <c r="F206" s="2"/>
      <c r="G206" s="2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90"/>
      <c r="E207" s="2"/>
      <c r="F207" s="2"/>
      <c r="G207" s="2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90"/>
      <c r="E208" s="2"/>
      <c r="F208" s="2"/>
      <c r="G208" s="2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90"/>
      <c r="E209" s="2"/>
      <c r="F209" s="2"/>
      <c r="G209" s="2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90"/>
      <c r="E210" s="2"/>
      <c r="F210" s="2"/>
      <c r="G210" s="2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90"/>
      <c r="E211" s="2"/>
      <c r="F211" s="2"/>
      <c r="G211" s="2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90"/>
      <c r="E212" s="2"/>
      <c r="F212" s="2"/>
      <c r="G212" s="2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90"/>
      <c r="E213" s="2"/>
      <c r="F213" s="2"/>
      <c r="G213" s="2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90"/>
      <c r="E214" s="2"/>
      <c r="F214" s="2"/>
      <c r="G214" s="2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90"/>
      <c r="E215" s="2"/>
      <c r="F215" s="2"/>
      <c r="G215" s="2"/>
      <c r="H215" s="92"/>
      <c r="I215" s="93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90"/>
      <c r="E216" s="2"/>
      <c r="F216" s="2"/>
      <c r="G216" s="2"/>
      <c r="H216" s="95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90"/>
      <c r="E217" s="2"/>
      <c r="F217" s="2"/>
      <c r="G217" s="2"/>
      <c r="H217" s="96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9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9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9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9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9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9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9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9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9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9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9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9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9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9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9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9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9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9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9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9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9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9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9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9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9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9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9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9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9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9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9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9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9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9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9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9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9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9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9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9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9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9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9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9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9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9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9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9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9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9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9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9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9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9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9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9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9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9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9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9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9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9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9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9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9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9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9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9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9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9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9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9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9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9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9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9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9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9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9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9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9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9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9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9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9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9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9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9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9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9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9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9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9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9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9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9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9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9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9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9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9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9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9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9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9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9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9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9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9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9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9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9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9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9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9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9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9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9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9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9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90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9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9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9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9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9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9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9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90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90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90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9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9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9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9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9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9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9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9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90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9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9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9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90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9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9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9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9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9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9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9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9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9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9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9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9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9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9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9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9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9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9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9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9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9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9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90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9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9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9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9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9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9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9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9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90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9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9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9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9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9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9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9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9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9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9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90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90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90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90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90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90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90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90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90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</sheetData>
  <mergeCells count="50">
    <mergeCell ref="G9:G10"/>
    <mergeCell ref="H9:V9"/>
    <mergeCell ref="A2:V2"/>
    <mergeCell ref="A3:V3"/>
    <mergeCell ref="A4:V4"/>
    <mergeCell ref="A7:V7"/>
    <mergeCell ref="A9:A10"/>
    <mergeCell ref="B9:B10"/>
    <mergeCell ref="D9:D10"/>
    <mergeCell ref="G42:G46"/>
    <mergeCell ref="G55:G92"/>
    <mergeCell ref="G93:G103"/>
    <mergeCell ref="G105:G106"/>
    <mergeCell ref="G113:G128"/>
    <mergeCell ref="G132:G135"/>
    <mergeCell ref="E9:E10"/>
    <mergeCell ref="F9:F10"/>
    <mergeCell ref="C15:C34"/>
    <mergeCell ref="G15:G38"/>
    <mergeCell ref="C35:C37"/>
    <mergeCell ref="C42:C49"/>
    <mergeCell ref="C50:C53"/>
    <mergeCell ref="C167:E167"/>
    <mergeCell ref="C171:E171"/>
    <mergeCell ref="A174:B174"/>
    <mergeCell ref="C174:F174"/>
    <mergeCell ref="A175:B175"/>
    <mergeCell ref="C175:F175"/>
    <mergeCell ref="C87:C91"/>
    <mergeCell ref="F87:F91"/>
    <mergeCell ref="B162:I162"/>
    <mergeCell ref="C164:E164"/>
    <mergeCell ref="C165:E165"/>
    <mergeCell ref="H165:I165"/>
    <mergeCell ref="C166:E166"/>
    <mergeCell ref="I174:N174"/>
    <mergeCell ref="Q174:T174"/>
    <mergeCell ref="V174:X174"/>
    <mergeCell ref="I175:N175"/>
    <mergeCell ref="Q175:T175"/>
    <mergeCell ref="H178:T178"/>
    <mergeCell ref="H216:T216"/>
    <mergeCell ref="H217:T217"/>
    <mergeCell ref="J165:T165"/>
    <mergeCell ref="J166:T166"/>
    <mergeCell ref="J167:T167"/>
    <mergeCell ref="J168:T168"/>
    <mergeCell ref="I171:N171"/>
    <mergeCell ref="Q171:T171"/>
    <mergeCell ref="V171:W171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63"/>
    <col customWidth="1" min="2" max="2" width="63.5"/>
    <col customWidth="1" min="3" max="3" width="11.63"/>
    <col customWidth="1" min="5" max="5" width="13.25"/>
    <col customWidth="1" min="6" max="6" width="42.13"/>
    <col customWidth="1" min="7" max="7" width="11.5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"/>
      <c r="X1" s="2"/>
      <c r="Y1" s="2"/>
      <c r="Z1" s="2"/>
    </row>
    <row r="2">
      <c r="A2" s="97" t="s">
        <v>130</v>
      </c>
      <c r="W2" s="2"/>
      <c r="X2" s="2"/>
      <c r="Y2" s="2"/>
      <c r="Z2" s="2"/>
    </row>
    <row r="3">
      <c r="A3" s="98" t="s">
        <v>131</v>
      </c>
      <c r="W3" s="2"/>
      <c r="X3" s="2"/>
      <c r="Y3" s="2"/>
      <c r="Z3" s="2"/>
    </row>
    <row r="4">
      <c r="A4" s="4"/>
      <c r="W4" s="2"/>
      <c r="X4" s="2"/>
      <c r="Y4" s="2"/>
      <c r="Z4" s="2"/>
    </row>
    <row r="5">
      <c r="A5" s="5" t="s">
        <v>3</v>
      </c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</row>
    <row r="6">
      <c r="A6" s="8"/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132</v>
      </c>
      <c r="W7" s="2"/>
      <c r="X7" s="2"/>
      <c r="Y7" s="2"/>
      <c r="Z7" s="2"/>
    </row>
    <row r="8">
      <c r="A8" s="8" t="s">
        <v>5</v>
      </c>
      <c r="B8" s="6"/>
      <c r="C8" s="2"/>
      <c r="D8" s="9"/>
      <c r="E8" s="10"/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2" t="s">
        <v>6</v>
      </c>
      <c r="B9" s="13" t="s">
        <v>7</v>
      </c>
      <c r="C9" s="14" t="s">
        <v>8</v>
      </c>
      <c r="D9" s="15" t="s">
        <v>9</v>
      </c>
      <c r="E9" s="16" t="s">
        <v>10</v>
      </c>
      <c r="F9" s="17" t="s">
        <v>11</v>
      </c>
      <c r="G9" s="13" t="s">
        <v>12</v>
      </c>
      <c r="H9" s="18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W9" s="21"/>
      <c r="X9" s="21"/>
      <c r="Y9" s="2"/>
      <c r="Z9" s="2"/>
    </row>
    <row r="10">
      <c r="A10" s="22"/>
      <c r="B10" s="23"/>
      <c r="C10" s="24" t="s">
        <v>14</v>
      </c>
      <c r="D10" s="23"/>
      <c r="E10" s="23"/>
      <c r="F10" s="23"/>
      <c r="G10" s="23"/>
      <c r="H10" s="392" t="s">
        <v>300</v>
      </c>
      <c r="I10" s="392" t="s">
        <v>301</v>
      </c>
      <c r="J10" s="392" t="s">
        <v>302</v>
      </c>
      <c r="K10" s="25" t="s">
        <v>18</v>
      </c>
      <c r="L10" s="25" t="s">
        <v>19</v>
      </c>
      <c r="M10" s="25" t="s">
        <v>20</v>
      </c>
      <c r="N10" s="25" t="s">
        <v>21</v>
      </c>
      <c r="O10" s="25" t="s">
        <v>22</v>
      </c>
      <c r="P10" s="25" t="s">
        <v>23</v>
      </c>
      <c r="Q10" s="25" t="s">
        <v>24</v>
      </c>
      <c r="R10" s="25" t="s">
        <v>25</v>
      </c>
      <c r="S10" s="25" t="s">
        <v>26</v>
      </c>
      <c r="T10" s="25" t="s">
        <v>27</v>
      </c>
      <c r="U10" s="26" t="str">
        <f>$V$10</f>
        <v>REMARKS</v>
      </c>
      <c r="V10" s="26" t="s">
        <v>28</v>
      </c>
      <c r="W10" s="27"/>
      <c r="X10" s="21"/>
      <c r="Y10" s="2"/>
      <c r="Z10" s="2"/>
    </row>
    <row r="11">
      <c r="A11" s="28"/>
      <c r="B11" s="99" t="s">
        <v>29</v>
      </c>
      <c r="C11" s="30"/>
      <c r="D11" s="31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21"/>
      <c r="X11" s="21"/>
      <c r="Y11" s="2"/>
      <c r="Z11" s="2"/>
    </row>
    <row r="12" ht="15.75" customHeight="1">
      <c r="A12" s="36"/>
      <c r="B12" s="100" t="s">
        <v>133</v>
      </c>
      <c r="C12" s="101">
        <v>4.0</v>
      </c>
      <c r="D12" s="393">
        <v>49999.0</v>
      </c>
      <c r="E12" s="103">
        <f>D12*4</f>
        <v>199996</v>
      </c>
      <c r="F12" s="220" t="s">
        <v>303</v>
      </c>
      <c r="G12" s="104"/>
      <c r="H12" s="159">
        <v>4.0</v>
      </c>
      <c r="I12" s="106"/>
      <c r="J12" s="159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40"/>
      <c r="V12" s="107"/>
      <c r="W12" s="21"/>
      <c r="X12" s="21"/>
      <c r="Y12" s="2"/>
      <c r="Z12" s="2"/>
    </row>
    <row r="13">
      <c r="A13" s="108"/>
      <c r="B13" s="109" t="s">
        <v>134</v>
      </c>
      <c r="C13" s="110">
        <v>4.0</v>
      </c>
      <c r="D13" s="111">
        <v>4500.0</v>
      </c>
      <c r="E13" s="112">
        <f t="shared" ref="E13:E14" si="1">D13*C13</f>
        <v>18000</v>
      </c>
      <c r="F13" s="113" t="s">
        <v>41</v>
      </c>
      <c r="G13" s="114"/>
      <c r="H13" s="115">
        <v>4.0</v>
      </c>
      <c r="I13" s="115"/>
      <c r="J13" s="11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13"/>
      <c r="V13" s="116"/>
      <c r="W13" s="117"/>
      <c r="X13" s="117"/>
      <c r="Y13" s="118"/>
      <c r="Z13" s="118"/>
    </row>
    <row r="14">
      <c r="A14" s="108"/>
      <c r="B14" s="109" t="s">
        <v>135</v>
      </c>
      <c r="C14" s="110">
        <v>5.0</v>
      </c>
      <c r="D14" s="111">
        <v>1000.0</v>
      </c>
      <c r="E14" s="112">
        <f t="shared" si="1"/>
        <v>5000</v>
      </c>
      <c r="F14" s="113" t="s">
        <v>41</v>
      </c>
      <c r="G14" s="114"/>
      <c r="H14" s="115">
        <v>5.0</v>
      </c>
      <c r="I14" s="115"/>
      <c r="J14" s="11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13"/>
      <c r="V14" s="116"/>
      <c r="W14" s="117"/>
      <c r="X14" s="117"/>
      <c r="Y14" s="118"/>
      <c r="Z14" s="118"/>
    </row>
    <row r="15">
      <c r="A15" s="108"/>
      <c r="B15" s="394" t="s">
        <v>136</v>
      </c>
      <c r="C15" s="110" t="s">
        <v>137</v>
      </c>
      <c r="D15" s="395">
        <v>350.0</v>
      </c>
      <c r="E15" s="112">
        <f t="shared" ref="E15:E17" si="2">D15*3</f>
        <v>1050</v>
      </c>
      <c r="F15" s="113" t="s">
        <v>41</v>
      </c>
      <c r="G15" s="114" t="s">
        <v>138</v>
      </c>
      <c r="H15" s="115">
        <v>5.0</v>
      </c>
      <c r="I15" s="115"/>
      <c r="J15" s="11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13"/>
      <c r="V15" s="116"/>
      <c r="W15" s="117"/>
      <c r="X15" s="117"/>
      <c r="Y15" s="118"/>
      <c r="Z15" s="118"/>
    </row>
    <row r="16">
      <c r="A16" s="108"/>
      <c r="B16" s="394" t="s">
        <v>139</v>
      </c>
      <c r="C16" s="131"/>
      <c r="D16" s="395">
        <v>350.0</v>
      </c>
      <c r="E16" s="112">
        <f t="shared" si="2"/>
        <v>1050</v>
      </c>
      <c r="F16" s="113" t="s">
        <v>41</v>
      </c>
      <c r="G16" s="132"/>
      <c r="H16" s="115">
        <v>5.0</v>
      </c>
      <c r="I16" s="115"/>
      <c r="J16" s="11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13"/>
      <c r="V16" s="116"/>
      <c r="W16" s="117"/>
      <c r="X16" s="117"/>
      <c r="Y16" s="118"/>
      <c r="Z16" s="118"/>
    </row>
    <row r="17">
      <c r="A17" s="108"/>
      <c r="B17" s="394" t="s">
        <v>140</v>
      </c>
      <c r="C17" s="131"/>
      <c r="D17" s="396">
        <v>350.0</v>
      </c>
      <c r="E17" s="226">
        <f t="shared" si="2"/>
        <v>1050</v>
      </c>
      <c r="F17" s="397" t="s">
        <v>41</v>
      </c>
      <c r="G17" s="132"/>
      <c r="H17" s="115">
        <v>5.0</v>
      </c>
      <c r="I17" s="115"/>
      <c r="J17" s="11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13"/>
      <c r="V17" s="116"/>
      <c r="W17" s="117"/>
      <c r="X17" s="117"/>
      <c r="Y17" s="118"/>
      <c r="Z17" s="118"/>
    </row>
    <row r="18">
      <c r="A18" s="108"/>
      <c r="B18" s="398" t="s">
        <v>141</v>
      </c>
      <c r="C18" s="131"/>
      <c r="D18" s="399">
        <v>380.0</v>
      </c>
      <c r="E18" s="157">
        <f>15*D18</f>
        <v>5700</v>
      </c>
      <c r="F18" s="113" t="s">
        <v>41</v>
      </c>
      <c r="G18" s="132"/>
      <c r="H18" s="113">
        <v>15.0</v>
      </c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7"/>
      <c r="X18" s="117"/>
      <c r="Y18" s="118"/>
      <c r="Z18" s="118"/>
    </row>
    <row r="19">
      <c r="A19" s="108"/>
      <c r="B19" s="398" t="s">
        <v>142</v>
      </c>
      <c r="C19" s="131"/>
      <c r="D19" s="399">
        <v>150.0</v>
      </c>
      <c r="E19" s="157">
        <f>10*D19</f>
        <v>1500</v>
      </c>
      <c r="F19" s="113" t="s">
        <v>41</v>
      </c>
      <c r="G19" s="132"/>
      <c r="H19" s="113">
        <v>10.0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7"/>
      <c r="X19" s="117"/>
      <c r="Y19" s="118"/>
      <c r="Z19" s="118"/>
    </row>
    <row r="20">
      <c r="A20" s="400"/>
      <c r="B20" s="401" t="s">
        <v>143</v>
      </c>
      <c r="C20" s="131"/>
      <c r="D20" s="402">
        <v>50.0</v>
      </c>
      <c r="E20" s="403">
        <f t="shared" ref="E20:E21" si="3">15*D20</f>
        <v>750</v>
      </c>
      <c r="F20" s="404" t="s">
        <v>41</v>
      </c>
      <c r="G20" s="132"/>
      <c r="H20" s="113">
        <v>15.0</v>
      </c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7"/>
      <c r="X20" s="117"/>
      <c r="Y20" s="118"/>
      <c r="Z20" s="118"/>
    </row>
    <row r="21" ht="15.75" customHeight="1">
      <c r="A21" s="400"/>
      <c r="B21" s="401" t="s">
        <v>144</v>
      </c>
      <c r="C21" s="131"/>
      <c r="D21" s="402">
        <v>50.0</v>
      </c>
      <c r="E21" s="403">
        <f t="shared" si="3"/>
        <v>750</v>
      </c>
      <c r="F21" s="404" t="s">
        <v>41</v>
      </c>
      <c r="G21" s="132"/>
      <c r="H21" s="113">
        <v>15.0</v>
      </c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7"/>
      <c r="X21" s="117"/>
      <c r="Y21" s="118"/>
      <c r="Z21" s="118"/>
    </row>
    <row r="22" ht="15.75" customHeight="1">
      <c r="A22" s="108"/>
      <c r="B22" s="401" t="s">
        <v>145</v>
      </c>
      <c r="C22" s="131"/>
      <c r="D22" s="405">
        <v>4000.0</v>
      </c>
      <c r="E22" s="403">
        <f>1*D22</f>
        <v>4000</v>
      </c>
      <c r="F22" s="404" t="s">
        <v>41</v>
      </c>
      <c r="G22" s="132"/>
      <c r="H22" s="113">
        <v>1.0</v>
      </c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7"/>
      <c r="X22" s="117"/>
      <c r="Y22" s="118"/>
      <c r="Z22" s="118"/>
    </row>
    <row r="23" ht="15.75" customHeight="1">
      <c r="A23" s="400"/>
      <c r="B23" s="406" t="s">
        <v>146</v>
      </c>
      <c r="C23" s="131"/>
      <c r="D23" s="402">
        <v>120.0</v>
      </c>
      <c r="E23" s="403">
        <f>5*D23</f>
        <v>600</v>
      </c>
      <c r="F23" s="404" t="s">
        <v>41</v>
      </c>
      <c r="G23" s="132"/>
      <c r="H23" s="113">
        <v>5.0</v>
      </c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7"/>
      <c r="X23" s="117"/>
      <c r="Y23" s="118"/>
      <c r="Z23" s="118"/>
    </row>
    <row r="24" ht="15.75" customHeight="1">
      <c r="A24" s="400"/>
      <c r="B24" s="406" t="s">
        <v>147</v>
      </c>
      <c r="C24" s="131"/>
      <c r="D24" s="402">
        <v>100.0</v>
      </c>
      <c r="E24" s="402">
        <f>5*100</f>
        <v>500</v>
      </c>
      <c r="F24" s="404" t="s">
        <v>41</v>
      </c>
      <c r="G24" s="132"/>
      <c r="H24" s="113">
        <v>5.0</v>
      </c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7"/>
      <c r="X24" s="117"/>
      <c r="Y24" s="118"/>
      <c r="Z24" s="118"/>
    </row>
    <row r="25" ht="15.75" customHeight="1">
      <c r="A25" s="400"/>
      <c r="B25" s="401" t="s">
        <v>148</v>
      </c>
      <c r="C25" s="131"/>
      <c r="D25" s="407">
        <v>100.0</v>
      </c>
      <c r="E25" s="403">
        <f>100*30</f>
        <v>3000</v>
      </c>
      <c r="F25" s="404" t="s">
        <v>41</v>
      </c>
      <c r="G25" s="132"/>
      <c r="H25" s="113">
        <v>30.0</v>
      </c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7"/>
      <c r="X25" s="117"/>
      <c r="Y25" s="118"/>
      <c r="Z25" s="118"/>
    </row>
    <row r="26" ht="15.75" customHeight="1">
      <c r="A26" s="400"/>
      <c r="B26" s="401" t="s">
        <v>149</v>
      </c>
      <c r="C26" s="131"/>
      <c r="D26" s="407">
        <v>80.0</v>
      </c>
      <c r="E26" s="403">
        <f>30*80</f>
        <v>2400</v>
      </c>
      <c r="F26" s="404" t="s">
        <v>41</v>
      </c>
      <c r="G26" s="132"/>
      <c r="H26" s="113">
        <v>30.0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7"/>
      <c r="X26" s="117"/>
      <c r="Y26" s="118"/>
      <c r="Z26" s="118"/>
    </row>
    <row r="27" ht="15.75" customHeight="1">
      <c r="A27" s="400"/>
      <c r="B27" s="283" t="s">
        <v>150</v>
      </c>
      <c r="C27" s="131"/>
      <c r="D27" s="399">
        <v>50.0</v>
      </c>
      <c r="E27" s="157">
        <f>50*D27</f>
        <v>2500</v>
      </c>
      <c r="F27" s="113" t="s">
        <v>41</v>
      </c>
      <c r="G27" s="132"/>
      <c r="H27" s="113">
        <v>30.0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7"/>
      <c r="X27" s="117"/>
      <c r="Y27" s="118"/>
      <c r="Z27" s="118"/>
    </row>
    <row r="28" ht="15.75" customHeight="1">
      <c r="A28" s="400"/>
      <c r="B28" s="406" t="s">
        <v>151</v>
      </c>
      <c r="C28" s="131"/>
      <c r="D28" s="408">
        <v>150.0</v>
      </c>
      <c r="E28" s="403">
        <f>10*150</f>
        <v>1500</v>
      </c>
      <c r="F28" s="404" t="s">
        <v>41</v>
      </c>
      <c r="G28" s="132"/>
      <c r="H28" s="113">
        <v>10.0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7"/>
      <c r="X28" s="117"/>
      <c r="Y28" s="118"/>
      <c r="Z28" s="118"/>
    </row>
    <row r="29" ht="15.75" customHeight="1">
      <c r="A29" s="400"/>
      <c r="B29" s="406" t="s">
        <v>152</v>
      </c>
      <c r="C29" s="131"/>
      <c r="D29" s="408">
        <v>60.0</v>
      </c>
      <c r="E29" s="403">
        <f>10*60</f>
        <v>600</v>
      </c>
      <c r="F29" s="404" t="s">
        <v>41</v>
      </c>
      <c r="G29" s="132"/>
      <c r="H29" s="113">
        <v>10.0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7"/>
      <c r="X29" s="117"/>
      <c r="Y29" s="118"/>
      <c r="Z29" s="118"/>
    </row>
    <row r="30" ht="15.75" customHeight="1">
      <c r="A30" s="400"/>
      <c r="B30" s="409" t="s">
        <v>153</v>
      </c>
      <c r="C30" s="131"/>
      <c r="D30" s="410">
        <v>300.0</v>
      </c>
      <c r="E30" s="403">
        <f>5*300</f>
        <v>1500</v>
      </c>
      <c r="F30" s="411" t="s">
        <v>41</v>
      </c>
      <c r="G30" s="132"/>
      <c r="H30" s="321">
        <v>5.0</v>
      </c>
      <c r="I30" s="321"/>
      <c r="J30" s="321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7"/>
      <c r="X30" s="117"/>
      <c r="Y30" s="118"/>
      <c r="Z30" s="118"/>
    </row>
    <row r="31" ht="15.75" customHeight="1">
      <c r="A31" s="400"/>
      <c r="B31" s="409" t="s">
        <v>154</v>
      </c>
      <c r="C31" s="131"/>
      <c r="D31" s="410">
        <f>350</f>
        <v>350</v>
      </c>
      <c r="E31" s="403">
        <f>D31*5</f>
        <v>1750</v>
      </c>
      <c r="F31" s="411" t="s">
        <v>41</v>
      </c>
      <c r="G31" s="132"/>
      <c r="H31" s="321">
        <v>5.0</v>
      </c>
      <c r="I31" s="321"/>
      <c r="J31" s="321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7"/>
      <c r="X31" s="117"/>
      <c r="Y31" s="118"/>
      <c r="Z31" s="118"/>
    </row>
    <row r="32" ht="15.75" customHeight="1">
      <c r="A32" s="400"/>
      <c r="B32" s="409" t="s">
        <v>155</v>
      </c>
      <c r="C32" s="131"/>
      <c r="D32" s="410">
        <v>50.0</v>
      </c>
      <c r="E32" s="403">
        <f>D32*20</f>
        <v>1000</v>
      </c>
      <c r="F32" s="411" t="s">
        <v>41</v>
      </c>
      <c r="G32" s="132"/>
      <c r="H32" s="321">
        <v>20.0</v>
      </c>
      <c r="I32" s="321"/>
      <c r="J32" s="321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7"/>
      <c r="X32" s="117"/>
      <c r="Y32" s="118"/>
      <c r="Z32" s="118"/>
    </row>
    <row r="33" ht="15.75" customHeight="1">
      <c r="A33" s="400"/>
      <c r="B33" s="406" t="s">
        <v>156</v>
      </c>
      <c r="C33" s="131"/>
      <c r="D33" s="408">
        <v>150.0</v>
      </c>
      <c r="E33" s="403">
        <f t="shared" ref="E33:E34" si="4">10*150</f>
        <v>1500</v>
      </c>
      <c r="F33" s="404" t="s">
        <v>41</v>
      </c>
      <c r="G33" s="132"/>
      <c r="H33" s="113">
        <v>10.0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7"/>
      <c r="X33" s="117"/>
      <c r="Y33" s="118"/>
      <c r="Z33" s="118"/>
    </row>
    <row r="34" ht="15.75" customHeight="1">
      <c r="A34" s="400"/>
      <c r="B34" s="406" t="s">
        <v>157</v>
      </c>
      <c r="C34" s="131"/>
      <c r="D34" s="408">
        <v>150.0</v>
      </c>
      <c r="E34" s="403">
        <f t="shared" si="4"/>
        <v>1500</v>
      </c>
      <c r="F34" s="404" t="s">
        <v>41</v>
      </c>
      <c r="G34" s="132"/>
      <c r="H34" s="113">
        <v>10.0</v>
      </c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7"/>
      <c r="X34" s="117"/>
      <c r="Y34" s="118"/>
      <c r="Z34" s="118"/>
    </row>
    <row r="35" ht="15.75" customHeight="1">
      <c r="A35" s="400"/>
      <c r="B35" s="283" t="s">
        <v>158</v>
      </c>
      <c r="C35" s="412"/>
      <c r="D35" s="413">
        <v>400.0</v>
      </c>
      <c r="E35" s="157">
        <f>D35*25</f>
        <v>10000</v>
      </c>
      <c r="F35" s="404" t="s">
        <v>41</v>
      </c>
      <c r="G35" s="132"/>
      <c r="H35" s="115">
        <v>25.0</v>
      </c>
      <c r="I35" s="115"/>
      <c r="J35" s="11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414"/>
      <c r="V35" s="116"/>
      <c r="W35" s="117"/>
      <c r="X35" s="117"/>
      <c r="Y35" s="118"/>
      <c r="Z35" s="118"/>
    </row>
    <row r="36" ht="15.75" customHeight="1">
      <c r="A36" s="400"/>
      <c r="B36" s="283" t="s">
        <v>159</v>
      </c>
      <c r="C36" s="131"/>
      <c r="D36" s="415">
        <v>80.0</v>
      </c>
      <c r="E36" s="157">
        <f>D36*30</f>
        <v>2400</v>
      </c>
      <c r="F36" s="411" t="s">
        <v>41</v>
      </c>
      <c r="G36" s="132"/>
      <c r="H36" s="115">
        <v>30.0</v>
      </c>
      <c r="I36" s="115"/>
      <c r="J36" s="11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414"/>
      <c r="V36" s="116"/>
      <c r="W36" s="117"/>
      <c r="X36" s="117"/>
      <c r="Y36" s="118"/>
      <c r="Z36" s="118"/>
    </row>
    <row r="37" ht="15.75" customHeight="1">
      <c r="A37" s="400"/>
      <c r="B37" s="416" t="s">
        <v>160</v>
      </c>
      <c r="C37" s="131"/>
      <c r="D37" s="413">
        <v>300.0</v>
      </c>
      <c r="E37" s="157">
        <f>300*30</f>
        <v>9000</v>
      </c>
      <c r="F37" s="417" t="s">
        <v>41</v>
      </c>
      <c r="G37" s="132"/>
      <c r="H37" s="115">
        <v>30.0</v>
      </c>
      <c r="I37" s="115"/>
      <c r="J37" s="11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414"/>
      <c r="V37" s="116"/>
      <c r="W37" s="117"/>
      <c r="X37" s="117"/>
      <c r="Y37" s="118"/>
      <c r="Z37" s="118"/>
    </row>
    <row r="38" ht="15.75" customHeight="1">
      <c r="A38" s="418"/>
      <c r="B38" s="419" t="s">
        <v>161</v>
      </c>
      <c r="C38" s="420" t="s">
        <v>162</v>
      </c>
      <c r="D38" s="421">
        <v>10000.0</v>
      </c>
      <c r="E38" s="179">
        <f>D38*5</f>
        <v>50000</v>
      </c>
      <c r="F38" s="369" t="s">
        <v>41</v>
      </c>
      <c r="G38" s="132"/>
      <c r="H38" s="422">
        <v>5.0</v>
      </c>
      <c r="I38" s="422"/>
      <c r="J38" s="422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4"/>
      <c r="V38" s="425"/>
      <c r="W38" s="370"/>
      <c r="X38" s="370"/>
      <c r="Y38" s="370"/>
      <c r="Z38" s="370"/>
    </row>
    <row r="39" ht="15.75" customHeight="1">
      <c r="A39" s="418"/>
      <c r="B39" s="426" t="s">
        <v>163</v>
      </c>
      <c r="C39" s="427" t="s">
        <v>164</v>
      </c>
      <c r="D39" s="428">
        <v>6000.0</v>
      </c>
      <c r="E39" s="179">
        <f>6000*2</f>
        <v>12000</v>
      </c>
      <c r="F39" s="429" t="s">
        <v>41</v>
      </c>
      <c r="G39" s="105"/>
      <c r="H39" s="430">
        <v>2.0</v>
      </c>
      <c r="I39" s="422"/>
      <c r="J39" s="430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4"/>
      <c r="V39" s="425"/>
      <c r="W39" s="370"/>
      <c r="X39" s="370"/>
      <c r="Y39" s="370"/>
      <c r="Z39" s="370"/>
    </row>
    <row r="40" ht="15.75" customHeight="1">
      <c r="A40" s="190"/>
      <c r="B40" s="191" t="s">
        <v>165</v>
      </c>
      <c r="C40" s="192"/>
      <c r="D40" s="31"/>
      <c r="E40" s="3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21"/>
      <c r="X40" s="21"/>
      <c r="Y40" s="2"/>
      <c r="Z40" s="2"/>
    </row>
    <row r="41" ht="15.75" customHeight="1">
      <c r="A41" s="400"/>
      <c r="B41" s="283" t="s">
        <v>166</v>
      </c>
      <c r="C41" s="110" t="s">
        <v>167</v>
      </c>
      <c r="D41" s="428">
        <v>49990.0</v>
      </c>
      <c r="E41" s="157">
        <f>1*D41</f>
        <v>49990</v>
      </c>
      <c r="F41" s="417" t="s">
        <v>41</v>
      </c>
      <c r="G41" s="431"/>
      <c r="H41" s="115">
        <v>1.0</v>
      </c>
      <c r="I41" s="115"/>
      <c r="J41" s="11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414"/>
      <c r="V41" s="116"/>
      <c r="W41" s="117"/>
      <c r="X41" s="117"/>
      <c r="Y41" s="118"/>
      <c r="Z41" s="118"/>
    </row>
    <row r="42" ht="15.75" customHeight="1">
      <c r="A42" s="400"/>
      <c r="B42" s="283" t="s">
        <v>168</v>
      </c>
      <c r="C42" s="432" t="s">
        <v>137</v>
      </c>
      <c r="D42" s="433">
        <v>250.0</v>
      </c>
      <c r="E42" s="157">
        <f>D42*50</f>
        <v>12500</v>
      </c>
      <c r="F42" s="404" t="s">
        <v>41</v>
      </c>
      <c r="G42" s="431" t="s">
        <v>169</v>
      </c>
      <c r="H42" s="321">
        <v>50.0</v>
      </c>
      <c r="I42" s="321"/>
      <c r="J42" s="321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7"/>
      <c r="X42" s="117"/>
      <c r="Y42" s="118"/>
      <c r="Z42" s="118"/>
    </row>
    <row r="43" ht="15.75" customHeight="1">
      <c r="A43" s="400"/>
      <c r="B43" s="283" t="s">
        <v>170</v>
      </c>
      <c r="C43" s="132"/>
      <c r="D43" s="434">
        <v>280.0</v>
      </c>
      <c r="E43" s="157">
        <f>280*30</f>
        <v>8400</v>
      </c>
      <c r="F43" s="404" t="s">
        <v>41</v>
      </c>
      <c r="G43" s="132"/>
      <c r="H43" s="321">
        <v>30.0</v>
      </c>
      <c r="I43" s="321"/>
      <c r="J43" s="321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7"/>
      <c r="X43" s="117"/>
      <c r="Y43" s="118"/>
      <c r="Z43" s="118"/>
    </row>
    <row r="44" ht="15.75" customHeight="1">
      <c r="A44" s="400"/>
      <c r="B44" s="283" t="s">
        <v>171</v>
      </c>
      <c r="C44" s="132"/>
      <c r="D44" s="435">
        <v>600.0</v>
      </c>
      <c r="E44" s="157">
        <f>12*D44</f>
        <v>7200</v>
      </c>
      <c r="F44" s="404" t="s">
        <v>41</v>
      </c>
      <c r="G44" s="132"/>
      <c r="H44" s="113">
        <v>10.0</v>
      </c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7"/>
      <c r="X44" s="117"/>
      <c r="Y44" s="118"/>
      <c r="Z44" s="118"/>
    </row>
    <row r="45" ht="15.75" customHeight="1">
      <c r="A45" s="400"/>
      <c r="B45" s="283" t="s">
        <v>172</v>
      </c>
      <c r="C45" s="132"/>
      <c r="D45" s="434">
        <v>230.0</v>
      </c>
      <c r="E45" s="157"/>
      <c r="F45" s="404" t="s">
        <v>41</v>
      </c>
      <c r="G45" s="132"/>
      <c r="H45" s="321">
        <v>10.0</v>
      </c>
      <c r="I45" s="321"/>
      <c r="J45" s="321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7"/>
      <c r="X45" s="117"/>
      <c r="Y45" s="118"/>
      <c r="Z45" s="118"/>
    </row>
    <row r="46" ht="15.75" customHeight="1">
      <c r="A46" s="400"/>
      <c r="B46" s="406" t="s">
        <v>173</v>
      </c>
      <c r="C46" s="132"/>
      <c r="D46" s="434">
        <v>350.0</v>
      </c>
      <c r="E46" s="157"/>
      <c r="F46" s="404" t="s">
        <v>41</v>
      </c>
      <c r="G46" s="132"/>
      <c r="H46" s="113">
        <v>10.0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7"/>
      <c r="X46" s="117"/>
      <c r="Y46" s="118"/>
      <c r="Z46" s="118"/>
    </row>
    <row r="47">
      <c r="A47" s="400"/>
      <c r="B47" s="283" t="s">
        <v>174</v>
      </c>
      <c r="C47" s="132"/>
      <c r="D47" s="436">
        <v>1000.0</v>
      </c>
      <c r="E47" s="112">
        <f>D47*12</f>
        <v>12000</v>
      </c>
      <c r="F47" s="404" t="s">
        <v>41</v>
      </c>
      <c r="G47" s="437"/>
      <c r="H47" s="411">
        <v>5.0</v>
      </c>
      <c r="I47" s="411"/>
      <c r="J47" s="411"/>
      <c r="K47" s="404"/>
      <c r="L47" s="404"/>
      <c r="M47" s="404"/>
      <c r="N47" s="404"/>
      <c r="O47" s="404"/>
      <c r="P47" s="404"/>
      <c r="Q47" s="404"/>
      <c r="R47" s="404"/>
      <c r="S47" s="404"/>
      <c r="T47" s="404"/>
      <c r="U47" s="404"/>
      <c r="V47" s="404"/>
      <c r="W47" s="117"/>
      <c r="X47" s="117"/>
      <c r="Y47" s="118"/>
      <c r="Z47" s="118"/>
    </row>
    <row r="48" ht="15.75" customHeight="1">
      <c r="A48" s="400"/>
      <c r="B48" s="283" t="s">
        <v>175</v>
      </c>
      <c r="C48" s="132"/>
      <c r="D48" s="436">
        <v>500.0</v>
      </c>
      <c r="E48" s="226">
        <f>D48*24</f>
        <v>12000</v>
      </c>
      <c r="F48" s="404"/>
      <c r="G48" s="437"/>
      <c r="H48" s="411">
        <v>24.0</v>
      </c>
      <c r="I48" s="411"/>
      <c r="J48" s="411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117"/>
      <c r="X48" s="117"/>
      <c r="Y48" s="118"/>
      <c r="Z48" s="118"/>
    </row>
    <row r="49" ht="15.75" customHeight="1">
      <c r="A49" s="400"/>
      <c r="B49" s="283" t="s">
        <v>176</v>
      </c>
      <c r="C49" s="224"/>
      <c r="D49" s="436">
        <v>1000.0</v>
      </c>
      <c r="E49" s="226">
        <f t="shared" ref="E49:E53" si="5">D49*5</f>
        <v>5000</v>
      </c>
      <c r="F49" s="404" t="s">
        <v>41</v>
      </c>
      <c r="G49" s="437"/>
      <c r="H49" s="411">
        <v>5.0</v>
      </c>
      <c r="I49" s="411"/>
      <c r="J49" s="411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117"/>
      <c r="X49" s="117"/>
      <c r="Y49" s="118"/>
      <c r="Z49" s="118"/>
    </row>
    <row r="50" ht="15.75" customHeight="1">
      <c r="A50" s="438"/>
      <c r="B50" s="283" t="s">
        <v>177</v>
      </c>
      <c r="C50" s="110" t="s">
        <v>137</v>
      </c>
      <c r="D50" s="436">
        <v>1500.0</v>
      </c>
      <c r="E50" s="112">
        <f t="shared" si="5"/>
        <v>7500</v>
      </c>
      <c r="F50" s="404" t="s">
        <v>41</v>
      </c>
      <c r="G50" s="437"/>
      <c r="H50" s="411">
        <v>5.0</v>
      </c>
      <c r="I50" s="411"/>
      <c r="J50" s="411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117"/>
      <c r="X50" s="117"/>
      <c r="Y50" s="118"/>
      <c r="Z50" s="118"/>
    </row>
    <row r="51" ht="15.75" customHeight="1">
      <c r="A51" s="400"/>
      <c r="B51" s="283" t="s">
        <v>178</v>
      </c>
      <c r="C51" s="131"/>
      <c r="D51" s="436">
        <v>1500.0</v>
      </c>
      <c r="E51" s="112">
        <f t="shared" si="5"/>
        <v>7500</v>
      </c>
      <c r="F51" s="404" t="s">
        <v>41</v>
      </c>
      <c r="G51" s="437"/>
      <c r="H51" s="411">
        <v>5.0</v>
      </c>
      <c r="I51" s="411"/>
      <c r="J51" s="411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117"/>
      <c r="X51" s="117"/>
      <c r="Y51" s="118"/>
      <c r="Z51" s="118"/>
    </row>
    <row r="52" ht="15.75" customHeight="1">
      <c r="A52" s="400"/>
      <c r="B52" s="283" t="s">
        <v>179</v>
      </c>
      <c r="C52" s="131"/>
      <c r="D52" s="436">
        <v>1500.0</v>
      </c>
      <c r="E52" s="112">
        <f t="shared" si="5"/>
        <v>7500</v>
      </c>
      <c r="F52" s="404" t="s">
        <v>41</v>
      </c>
      <c r="G52" s="437"/>
      <c r="H52" s="411">
        <v>5.0</v>
      </c>
      <c r="I52" s="411"/>
      <c r="J52" s="411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117"/>
      <c r="X52" s="117"/>
      <c r="Y52" s="118"/>
      <c r="Z52" s="118"/>
    </row>
    <row r="53" ht="15.75" customHeight="1">
      <c r="A53" s="400"/>
      <c r="B53" s="283" t="s">
        <v>180</v>
      </c>
      <c r="C53" s="69"/>
      <c r="D53" s="436">
        <v>2000.0</v>
      </c>
      <c r="E53" s="112">
        <f t="shared" si="5"/>
        <v>10000</v>
      </c>
      <c r="F53" s="404" t="s">
        <v>41</v>
      </c>
      <c r="G53" s="437"/>
      <c r="H53" s="411">
        <v>5.0</v>
      </c>
      <c r="I53" s="411"/>
      <c r="J53" s="411"/>
      <c r="K53" s="404"/>
      <c r="L53" s="404"/>
      <c r="M53" s="404"/>
      <c r="N53" s="404"/>
      <c r="O53" s="404"/>
      <c r="P53" s="404"/>
      <c r="Q53" s="404"/>
      <c r="R53" s="404"/>
      <c r="S53" s="404"/>
      <c r="T53" s="404"/>
      <c r="U53" s="404"/>
      <c r="V53" s="404"/>
      <c r="W53" s="117"/>
      <c r="X53" s="117"/>
      <c r="Y53" s="118"/>
      <c r="Z53" s="118"/>
    </row>
    <row r="54" ht="15.75" customHeight="1">
      <c r="A54" s="230"/>
      <c r="B54" s="231" t="s">
        <v>88</v>
      </c>
      <c r="C54" s="232"/>
      <c r="D54" s="233"/>
      <c r="E54" s="234"/>
      <c r="F54" s="235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185"/>
      <c r="X54" s="185"/>
      <c r="Y54" s="185"/>
      <c r="Z54" s="185"/>
    </row>
    <row r="55" ht="15.75" customHeight="1">
      <c r="A55" s="108"/>
      <c r="B55" s="283" t="s">
        <v>181</v>
      </c>
      <c r="C55" s="284">
        <v>20.0</v>
      </c>
      <c r="D55" s="285">
        <v>350.0</v>
      </c>
      <c r="E55" s="439">
        <f>D55*20</f>
        <v>7000</v>
      </c>
      <c r="F55" s="284" t="s">
        <v>41</v>
      </c>
      <c r="G55" s="440"/>
      <c r="H55" s="441">
        <v>20.0</v>
      </c>
      <c r="I55" s="113"/>
      <c r="J55" s="321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7"/>
      <c r="X55" s="117"/>
      <c r="Y55" s="118"/>
      <c r="Z55" s="118"/>
    </row>
    <row r="56" ht="15.75" customHeight="1">
      <c r="A56" s="108"/>
      <c r="B56" s="283" t="s">
        <v>182</v>
      </c>
      <c r="C56" s="284" t="s">
        <v>183</v>
      </c>
      <c r="D56" s="285">
        <v>3000.0</v>
      </c>
      <c r="E56" s="439">
        <f>D56*2</f>
        <v>6000</v>
      </c>
      <c r="F56" s="284" t="s">
        <v>41</v>
      </c>
      <c r="G56" s="131"/>
      <c r="H56" s="441">
        <v>2.0</v>
      </c>
      <c r="I56" s="113"/>
      <c r="J56" s="321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7"/>
      <c r="X56" s="117"/>
      <c r="Y56" s="118"/>
      <c r="Z56" s="118"/>
    </row>
    <row r="57">
      <c r="A57" s="108"/>
      <c r="B57" s="283" t="s">
        <v>184</v>
      </c>
      <c r="C57" s="284" t="s">
        <v>185</v>
      </c>
      <c r="D57" s="285">
        <v>2000.0</v>
      </c>
      <c r="E57" s="439">
        <f>3*D57</f>
        <v>6000</v>
      </c>
      <c r="F57" s="284" t="s">
        <v>41</v>
      </c>
      <c r="G57" s="131"/>
      <c r="H57" s="441">
        <v>3.0</v>
      </c>
      <c r="I57" s="113"/>
      <c r="J57" s="321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7"/>
      <c r="X57" s="117"/>
      <c r="Y57" s="118"/>
      <c r="Z57" s="118"/>
    </row>
    <row r="58">
      <c r="A58" s="108"/>
      <c r="B58" s="283" t="s">
        <v>186</v>
      </c>
      <c r="C58" s="284">
        <v>1.0</v>
      </c>
      <c r="D58" s="285">
        <v>3000.0</v>
      </c>
      <c r="E58" s="286">
        <v>3000.0</v>
      </c>
      <c r="F58" s="284" t="s">
        <v>41</v>
      </c>
      <c r="G58" s="131"/>
      <c r="H58" s="441">
        <v>1.0</v>
      </c>
      <c r="I58" s="113"/>
      <c r="J58" s="321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7"/>
      <c r="X58" s="117"/>
      <c r="Y58" s="118"/>
      <c r="Z58" s="118"/>
    </row>
    <row r="59">
      <c r="A59" s="108"/>
      <c r="B59" s="283" t="s">
        <v>187</v>
      </c>
      <c r="C59" s="284" t="s">
        <v>164</v>
      </c>
      <c r="D59" s="285">
        <v>2500.0</v>
      </c>
      <c r="E59" s="286">
        <f t="shared" ref="E59:E60" si="6">D59*2</f>
        <v>5000</v>
      </c>
      <c r="F59" s="284" t="s">
        <v>41</v>
      </c>
      <c r="G59" s="131"/>
      <c r="H59" s="441">
        <v>2.0</v>
      </c>
      <c r="I59" s="113"/>
      <c r="J59" s="321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7"/>
      <c r="X59" s="117"/>
      <c r="Y59" s="118"/>
      <c r="Z59" s="118"/>
    </row>
    <row r="60">
      <c r="A60" s="108"/>
      <c r="B60" s="283" t="s">
        <v>188</v>
      </c>
      <c r="C60" s="284" t="s">
        <v>164</v>
      </c>
      <c r="D60" s="285">
        <v>2000.0</v>
      </c>
      <c r="E60" s="286">
        <f t="shared" si="6"/>
        <v>4000</v>
      </c>
      <c r="F60" s="284" t="s">
        <v>41</v>
      </c>
      <c r="G60" s="131"/>
      <c r="H60" s="441">
        <v>2.0</v>
      </c>
      <c r="I60" s="113"/>
      <c r="J60" s="321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7"/>
      <c r="X60" s="117"/>
      <c r="Y60" s="118"/>
      <c r="Z60" s="118"/>
    </row>
    <row r="61" ht="15.75" customHeight="1">
      <c r="A61" s="108"/>
      <c r="B61" s="283" t="s">
        <v>189</v>
      </c>
      <c r="C61" s="284" t="s">
        <v>190</v>
      </c>
      <c r="D61" s="285">
        <v>3500.0</v>
      </c>
      <c r="E61" s="439">
        <f>20*D61</f>
        <v>70000</v>
      </c>
      <c r="F61" s="284" t="s">
        <v>304</v>
      </c>
      <c r="G61" s="131"/>
      <c r="H61" s="441">
        <v>20.0</v>
      </c>
      <c r="I61" s="113"/>
      <c r="J61" s="321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7"/>
      <c r="X61" s="117"/>
      <c r="Y61" s="118"/>
      <c r="Z61" s="118"/>
    </row>
    <row r="62">
      <c r="A62" s="108"/>
      <c r="B62" s="283" t="s">
        <v>191</v>
      </c>
      <c r="C62" s="284" t="s">
        <v>185</v>
      </c>
      <c r="D62" s="285">
        <v>2000.0</v>
      </c>
      <c r="E62" s="286">
        <f>D62*3</f>
        <v>6000</v>
      </c>
      <c r="F62" s="284" t="s">
        <v>41</v>
      </c>
      <c r="G62" s="131"/>
      <c r="H62" s="441">
        <v>3.0</v>
      </c>
      <c r="I62" s="113"/>
      <c r="J62" s="321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7"/>
      <c r="X62" s="117"/>
      <c r="Y62" s="118"/>
      <c r="Z62" s="118"/>
    </row>
    <row r="63" ht="15.75" customHeight="1">
      <c r="A63" s="108"/>
      <c r="B63" s="283" t="s">
        <v>192</v>
      </c>
      <c r="C63" s="284" t="s">
        <v>162</v>
      </c>
      <c r="D63" s="285">
        <v>1000.0</v>
      </c>
      <c r="E63" s="439">
        <f t="shared" ref="E63:E66" si="7">D63*5</f>
        <v>5000</v>
      </c>
      <c r="F63" s="284" t="s">
        <v>41</v>
      </c>
      <c r="G63" s="131"/>
      <c r="H63" s="441">
        <v>5.0</v>
      </c>
      <c r="I63" s="113"/>
      <c r="J63" s="321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7"/>
      <c r="X63" s="117"/>
      <c r="Y63" s="118"/>
      <c r="Z63" s="118"/>
    </row>
    <row r="64" ht="15.75" customHeight="1">
      <c r="A64" s="108"/>
      <c r="B64" s="283" t="s">
        <v>193</v>
      </c>
      <c r="C64" s="284" t="s">
        <v>162</v>
      </c>
      <c r="D64" s="285">
        <v>1500.0</v>
      </c>
      <c r="E64" s="439">
        <f t="shared" si="7"/>
        <v>7500</v>
      </c>
      <c r="F64" s="284" t="s">
        <v>41</v>
      </c>
      <c r="G64" s="131"/>
      <c r="H64" s="441">
        <v>5.0</v>
      </c>
      <c r="I64" s="113"/>
      <c r="J64" s="321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7"/>
      <c r="X64" s="117"/>
      <c r="Y64" s="118"/>
      <c r="Z64" s="118"/>
    </row>
    <row r="65" ht="15.75" customHeight="1">
      <c r="A65" s="108"/>
      <c r="B65" s="442" t="s">
        <v>194</v>
      </c>
      <c r="C65" s="284" t="s">
        <v>162</v>
      </c>
      <c r="D65" s="285">
        <v>2000.0</v>
      </c>
      <c r="E65" s="439">
        <f t="shared" si="7"/>
        <v>10000</v>
      </c>
      <c r="F65" s="284" t="s">
        <v>41</v>
      </c>
      <c r="G65" s="131"/>
      <c r="H65" s="441">
        <v>5.0</v>
      </c>
      <c r="I65" s="113"/>
      <c r="J65" s="321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7"/>
      <c r="X65" s="117"/>
      <c r="Y65" s="118"/>
      <c r="Z65" s="118"/>
    </row>
    <row r="66" ht="15.75" customHeight="1">
      <c r="A66" s="108"/>
      <c r="B66" s="283" t="s">
        <v>195</v>
      </c>
      <c r="C66" s="284" t="s">
        <v>162</v>
      </c>
      <c r="D66" s="285">
        <v>3000.0</v>
      </c>
      <c r="E66" s="439">
        <f t="shared" si="7"/>
        <v>15000</v>
      </c>
      <c r="F66" s="284" t="s">
        <v>41</v>
      </c>
      <c r="G66" s="131"/>
      <c r="H66" s="441">
        <v>5.0</v>
      </c>
      <c r="I66" s="113"/>
      <c r="J66" s="321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7"/>
      <c r="X66" s="117"/>
      <c r="Y66" s="118"/>
      <c r="Z66" s="118"/>
    </row>
    <row r="67" ht="15.75" customHeight="1">
      <c r="A67" s="108"/>
      <c r="B67" s="283" t="s">
        <v>196</v>
      </c>
      <c r="C67" s="284" t="s">
        <v>197</v>
      </c>
      <c r="D67" s="285">
        <v>2000.0</v>
      </c>
      <c r="E67" s="439">
        <f>500*10</f>
        <v>5000</v>
      </c>
      <c r="F67" s="284" t="s">
        <v>41</v>
      </c>
      <c r="G67" s="131"/>
      <c r="H67" s="441">
        <v>10.0</v>
      </c>
      <c r="I67" s="113"/>
      <c r="J67" s="321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7"/>
      <c r="X67" s="117"/>
      <c r="Y67" s="118"/>
      <c r="Z67" s="118"/>
    </row>
    <row r="68" ht="15.75" customHeight="1">
      <c r="A68" s="108"/>
      <c r="B68" s="283" t="s">
        <v>198</v>
      </c>
      <c r="C68" s="284" t="s">
        <v>197</v>
      </c>
      <c r="D68" s="285">
        <v>2000.0</v>
      </c>
      <c r="E68" s="439">
        <f>D68*10</f>
        <v>20000</v>
      </c>
      <c r="F68" s="284" t="s">
        <v>41</v>
      </c>
      <c r="G68" s="131"/>
      <c r="H68" s="441">
        <v>10.0</v>
      </c>
      <c r="I68" s="113"/>
      <c r="J68" s="321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7"/>
      <c r="X68" s="117"/>
      <c r="Y68" s="118"/>
      <c r="Z68" s="118"/>
    </row>
    <row r="69" ht="15.75" customHeight="1">
      <c r="A69" s="108"/>
      <c r="B69" s="283" t="s">
        <v>199</v>
      </c>
      <c r="C69" s="284" t="s">
        <v>200</v>
      </c>
      <c r="D69" s="285">
        <v>1000.0</v>
      </c>
      <c r="E69" s="439">
        <f>D69*5</f>
        <v>5000</v>
      </c>
      <c r="F69" s="284" t="s">
        <v>41</v>
      </c>
      <c r="G69" s="131"/>
      <c r="H69" s="441">
        <v>5.0</v>
      </c>
      <c r="I69" s="113"/>
      <c r="J69" s="321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7"/>
      <c r="X69" s="117"/>
      <c r="Y69" s="118"/>
      <c r="Z69" s="118"/>
    </row>
    <row r="70" ht="15.75" customHeight="1">
      <c r="A70" s="108"/>
      <c r="B70" s="443" t="s">
        <v>201</v>
      </c>
      <c r="C70" s="284" t="s">
        <v>185</v>
      </c>
      <c r="D70" s="285">
        <v>1000.0</v>
      </c>
      <c r="E70" s="439">
        <f>D70*3</f>
        <v>3000</v>
      </c>
      <c r="F70" s="284" t="s">
        <v>41</v>
      </c>
      <c r="G70" s="131"/>
      <c r="H70" s="441">
        <v>3.0</v>
      </c>
      <c r="I70" s="113"/>
      <c r="J70" s="321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7"/>
      <c r="X70" s="117"/>
      <c r="Y70" s="118"/>
      <c r="Z70" s="118"/>
    </row>
    <row r="71" ht="15.75" customHeight="1">
      <c r="A71" s="108"/>
      <c r="B71" s="283" t="s">
        <v>202</v>
      </c>
      <c r="C71" s="284" t="s">
        <v>200</v>
      </c>
      <c r="D71" s="285">
        <v>3000.0</v>
      </c>
      <c r="E71" s="439">
        <f t="shared" ref="E71:E72" si="8">D71*5</f>
        <v>15000</v>
      </c>
      <c r="F71" s="284" t="s">
        <v>41</v>
      </c>
      <c r="G71" s="131"/>
      <c r="H71" s="441">
        <v>5.0</v>
      </c>
      <c r="I71" s="113"/>
      <c r="J71" s="321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7"/>
      <c r="X71" s="117"/>
      <c r="Y71" s="118"/>
      <c r="Z71" s="118"/>
    </row>
    <row r="72" ht="15.75" customHeight="1">
      <c r="A72" s="108"/>
      <c r="B72" s="283" t="s">
        <v>203</v>
      </c>
      <c r="C72" s="284" t="s">
        <v>200</v>
      </c>
      <c r="D72" s="285">
        <v>5000.0</v>
      </c>
      <c r="E72" s="439">
        <f t="shared" si="8"/>
        <v>25000</v>
      </c>
      <c r="F72" s="284" t="s">
        <v>41</v>
      </c>
      <c r="G72" s="131"/>
      <c r="H72" s="441">
        <v>5.0</v>
      </c>
      <c r="I72" s="113"/>
      <c r="J72" s="321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7"/>
      <c r="X72" s="117"/>
      <c r="Y72" s="118"/>
      <c r="Z72" s="118"/>
    </row>
    <row r="73" ht="15.75" customHeight="1">
      <c r="A73" s="108"/>
      <c r="B73" s="283" t="s">
        <v>204</v>
      </c>
      <c r="C73" s="284" t="s">
        <v>205</v>
      </c>
      <c r="D73" s="285">
        <v>1000.0</v>
      </c>
      <c r="E73" s="439">
        <f>D73*18</f>
        <v>18000</v>
      </c>
      <c r="F73" s="284" t="s">
        <v>41</v>
      </c>
      <c r="G73" s="131"/>
      <c r="H73" s="441">
        <v>18.0</v>
      </c>
      <c r="I73" s="113"/>
      <c r="J73" s="321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7"/>
      <c r="X73" s="117"/>
      <c r="Y73" s="118"/>
      <c r="Z73" s="118"/>
    </row>
    <row r="74" ht="15.75" customHeight="1">
      <c r="A74" s="108"/>
      <c r="B74" s="283" t="s">
        <v>206</v>
      </c>
      <c r="C74" s="284" t="s">
        <v>207</v>
      </c>
      <c r="D74" s="285">
        <v>5000.0</v>
      </c>
      <c r="E74" s="286">
        <v>5000.0</v>
      </c>
      <c r="F74" s="284" t="s">
        <v>41</v>
      </c>
      <c r="G74" s="131"/>
      <c r="H74" s="441">
        <v>1.0</v>
      </c>
      <c r="I74" s="113"/>
      <c r="J74" s="321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7"/>
      <c r="X74" s="117"/>
      <c r="Y74" s="118"/>
      <c r="Z74" s="118"/>
    </row>
    <row r="75" ht="15.75" customHeight="1">
      <c r="A75" s="108"/>
      <c r="B75" s="283" t="s">
        <v>208</v>
      </c>
      <c r="C75" s="284" t="s">
        <v>207</v>
      </c>
      <c r="D75" s="285">
        <v>10000.0</v>
      </c>
      <c r="E75" s="286">
        <v>10000.0</v>
      </c>
      <c r="F75" s="284" t="s">
        <v>41</v>
      </c>
      <c r="G75" s="131"/>
      <c r="H75" s="441">
        <v>1.0</v>
      </c>
      <c r="I75" s="113"/>
      <c r="J75" s="321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7"/>
      <c r="X75" s="117"/>
      <c r="Y75" s="118"/>
      <c r="Z75" s="118"/>
    </row>
    <row r="76" ht="15.75" customHeight="1">
      <c r="A76" s="108"/>
      <c r="B76" s="283" t="s">
        <v>209</v>
      </c>
      <c r="C76" s="284" t="s">
        <v>210</v>
      </c>
      <c r="D76" s="285">
        <v>250.0</v>
      </c>
      <c r="E76" s="286">
        <f t="shared" ref="E76:E77" si="9">D76*10</f>
        <v>2500</v>
      </c>
      <c r="F76" s="284" t="s">
        <v>41</v>
      </c>
      <c r="G76" s="131"/>
      <c r="H76" s="441">
        <v>10.0</v>
      </c>
      <c r="I76" s="113"/>
      <c r="J76" s="321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7"/>
      <c r="X76" s="117"/>
      <c r="Y76" s="118"/>
      <c r="Z76" s="118"/>
    </row>
    <row r="77" ht="15.75" customHeight="1">
      <c r="A77" s="108"/>
      <c r="B77" s="283" t="s">
        <v>211</v>
      </c>
      <c r="C77" s="284" t="s">
        <v>210</v>
      </c>
      <c r="D77" s="285">
        <v>250.0</v>
      </c>
      <c r="E77" s="286">
        <f t="shared" si="9"/>
        <v>2500</v>
      </c>
      <c r="F77" s="284" t="s">
        <v>41</v>
      </c>
      <c r="G77" s="131"/>
      <c r="H77" s="441">
        <v>10.0</v>
      </c>
      <c r="I77" s="113"/>
      <c r="J77" s="321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7"/>
      <c r="X77" s="117"/>
      <c r="Y77" s="118"/>
      <c r="Z77" s="118"/>
    </row>
    <row r="78" ht="15.75" customHeight="1">
      <c r="A78" s="108"/>
      <c r="B78" s="283" t="s">
        <v>212</v>
      </c>
      <c r="C78" s="284" t="s">
        <v>213</v>
      </c>
      <c r="D78" s="285">
        <v>5000.0</v>
      </c>
      <c r="E78" s="439">
        <f>5000</f>
        <v>5000</v>
      </c>
      <c r="F78" s="284" t="s">
        <v>41</v>
      </c>
      <c r="G78" s="131"/>
      <c r="H78" s="441">
        <v>1.0</v>
      </c>
      <c r="I78" s="113"/>
      <c r="J78" s="321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7"/>
      <c r="X78" s="117"/>
      <c r="Y78" s="118"/>
      <c r="Z78" s="118"/>
    </row>
    <row r="79" ht="15.75" customHeight="1">
      <c r="A79" s="108"/>
      <c r="B79" s="283" t="s">
        <v>214</v>
      </c>
      <c r="C79" s="284" t="s">
        <v>215</v>
      </c>
      <c r="D79" s="285">
        <v>20000.0</v>
      </c>
      <c r="E79" s="439">
        <f>D79*2</f>
        <v>40000</v>
      </c>
      <c r="F79" s="284" t="s">
        <v>41</v>
      </c>
      <c r="G79" s="131"/>
      <c r="H79" s="441">
        <v>2.0</v>
      </c>
      <c r="I79" s="113"/>
      <c r="J79" s="321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7"/>
      <c r="X79" s="117"/>
      <c r="Y79" s="118"/>
      <c r="Z79" s="118"/>
    </row>
    <row r="80" ht="15.75" customHeight="1">
      <c r="A80" s="108"/>
      <c r="B80" s="283" t="s">
        <v>216</v>
      </c>
      <c r="C80" s="284" t="s">
        <v>162</v>
      </c>
      <c r="D80" s="285">
        <v>1000.0</v>
      </c>
      <c r="E80" s="439">
        <f>D80*5</f>
        <v>5000</v>
      </c>
      <c r="F80" s="284" t="s">
        <v>41</v>
      </c>
      <c r="G80" s="131"/>
      <c r="H80" s="441">
        <v>5.0</v>
      </c>
      <c r="I80" s="113"/>
      <c r="J80" s="321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7"/>
      <c r="X80" s="117"/>
      <c r="Y80" s="118"/>
      <c r="Z80" s="118"/>
    </row>
    <row r="81" ht="15.75" customHeight="1">
      <c r="A81" s="108"/>
      <c r="B81" s="283" t="s">
        <v>217</v>
      </c>
      <c r="C81" s="284" t="s">
        <v>185</v>
      </c>
      <c r="D81" s="285">
        <v>1000.0</v>
      </c>
      <c r="E81" s="439">
        <f>D81*3</f>
        <v>3000</v>
      </c>
      <c r="F81" s="284" t="s">
        <v>41</v>
      </c>
      <c r="G81" s="131"/>
      <c r="H81" s="441">
        <v>3.0</v>
      </c>
      <c r="I81" s="113"/>
      <c r="J81" s="321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7"/>
      <c r="X81" s="117"/>
      <c r="Y81" s="118"/>
      <c r="Z81" s="118"/>
    </row>
    <row r="82" ht="15.75" customHeight="1">
      <c r="A82" s="108"/>
      <c r="B82" s="283" t="s">
        <v>218</v>
      </c>
      <c r="C82" s="284" t="s">
        <v>162</v>
      </c>
      <c r="D82" s="285">
        <v>500.0</v>
      </c>
      <c r="E82" s="439">
        <f t="shared" ref="E82:E84" si="10">D82*5</f>
        <v>2500</v>
      </c>
      <c r="F82" s="284" t="s">
        <v>41</v>
      </c>
      <c r="G82" s="131"/>
      <c r="H82" s="441">
        <v>5.0</v>
      </c>
      <c r="I82" s="113"/>
      <c r="J82" s="321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7"/>
      <c r="X82" s="117"/>
      <c r="Y82" s="118"/>
      <c r="Z82" s="118"/>
    </row>
    <row r="83" ht="15.75" customHeight="1">
      <c r="A83" s="108"/>
      <c r="B83" s="283" t="s">
        <v>219</v>
      </c>
      <c r="C83" s="284" t="s">
        <v>162</v>
      </c>
      <c r="D83" s="285">
        <v>800.0</v>
      </c>
      <c r="E83" s="439">
        <f t="shared" si="10"/>
        <v>4000</v>
      </c>
      <c r="F83" s="284" t="s">
        <v>41</v>
      </c>
      <c r="G83" s="131"/>
      <c r="H83" s="441">
        <v>5.0</v>
      </c>
      <c r="I83" s="113"/>
      <c r="J83" s="321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7"/>
      <c r="X83" s="117"/>
      <c r="Y83" s="118"/>
      <c r="Z83" s="118"/>
    </row>
    <row r="84" ht="15.75" customHeight="1">
      <c r="A84" s="108"/>
      <c r="B84" s="283" t="s">
        <v>220</v>
      </c>
      <c r="C84" s="284" t="s">
        <v>162</v>
      </c>
      <c r="D84" s="285">
        <v>1000.0</v>
      </c>
      <c r="E84" s="439">
        <f t="shared" si="10"/>
        <v>5000</v>
      </c>
      <c r="F84" s="284" t="s">
        <v>41</v>
      </c>
      <c r="G84" s="131"/>
      <c r="H84" s="441">
        <v>5.0</v>
      </c>
      <c r="I84" s="113"/>
      <c r="J84" s="321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7"/>
      <c r="X84" s="117"/>
      <c r="Y84" s="118"/>
      <c r="Z84" s="118"/>
    </row>
    <row r="85" ht="43.5" customHeight="1">
      <c r="A85" s="108"/>
      <c r="B85" s="444" t="s">
        <v>221</v>
      </c>
      <c r="C85" s="284" t="s">
        <v>185</v>
      </c>
      <c r="D85" s="445">
        <v>20000.0</v>
      </c>
      <c r="E85" s="439">
        <f>D85*3</f>
        <v>60000</v>
      </c>
      <c r="F85" s="284" t="s">
        <v>304</v>
      </c>
      <c r="G85" s="131"/>
      <c r="H85" s="441">
        <v>3.0</v>
      </c>
      <c r="I85" s="113"/>
      <c r="J85" s="321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7"/>
      <c r="X85" s="117"/>
      <c r="Y85" s="118"/>
      <c r="Z85" s="118"/>
    </row>
    <row r="86" ht="15.75" customHeight="1">
      <c r="A86" s="108"/>
      <c r="B86" s="283" t="s">
        <v>222</v>
      </c>
      <c r="C86" s="446" t="s">
        <v>137</v>
      </c>
      <c r="D86" s="285">
        <v>400.0</v>
      </c>
      <c r="E86" s="439">
        <f>400*20</f>
        <v>8000</v>
      </c>
      <c r="F86" s="284" t="s">
        <v>41</v>
      </c>
      <c r="G86" s="131"/>
      <c r="H86" s="441">
        <v>20.0</v>
      </c>
      <c r="I86" s="113"/>
      <c r="J86" s="321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7"/>
      <c r="X86" s="117"/>
      <c r="Y86" s="118"/>
      <c r="Z86" s="118"/>
    </row>
    <row r="87" ht="15.75" customHeight="1">
      <c r="A87" s="447"/>
      <c r="B87" s="401" t="s">
        <v>223</v>
      </c>
      <c r="C87" s="132"/>
      <c r="D87" s="433">
        <v>300.0</v>
      </c>
      <c r="E87" s="439">
        <f>300*30</f>
        <v>9000</v>
      </c>
      <c r="F87" s="284" t="s">
        <v>41</v>
      </c>
      <c r="G87" s="131"/>
      <c r="H87" s="441">
        <v>30.0</v>
      </c>
      <c r="I87" s="113"/>
      <c r="J87" s="321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7"/>
      <c r="X87" s="117"/>
      <c r="Y87" s="118"/>
      <c r="Z87" s="118"/>
    </row>
    <row r="88" ht="15.75" customHeight="1">
      <c r="A88" s="108"/>
      <c r="B88" s="283" t="s">
        <v>224</v>
      </c>
      <c r="C88" s="132"/>
      <c r="D88" s="285">
        <v>150.0</v>
      </c>
      <c r="E88" s="439">
        <f>D88*10</f>
        <v>1500</v>
      </c>
      <c r="F88" s="284" t="s">
        <v>41</v>
      </c>
      <c r="G88" s="131"/>
      <c r="H88" s="441">
        <v>10.0</v>
      </c>
      <c r="I88" s="113"/>
      <c r="J88" s="321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7"/>
      <c r="X88" s="117"/>
      <c r="Y88" s="118"/>
      <c r="Z88" s="118"/>
    </row>
    <row r="89" ht="15.75" customHeight="1">
      <c r="A89" s="108"/>
      <c r="B89" s="283" t="s">
        <v>225</v>
      </c>
      <c r="C89" s="132"/>
      <c r="D89" s="285">
        <v>3000.0</v>
      </c>
      <c r="E89" s="439">
        <f>D89*5</f>
        <v>15000</v>
      </c>
      <c r="F89" s="284" t="s">
        <v>41</v>
      </c>
      <c r="G89" s="131"/>
      <c r="H89" s="441">
        <v>5.0</v>
      </c>
      <c r="I89" s="113"/>
      <c r="J89" s="321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7"/>
      <c r="X89" s="117"/>
      <c r="Y89" s="118"/>
      <c r="Z89" s="118"/>
    </row>
    <row r="90" ht="15.75" customHeight="1">
      <c r="A90" s="108"/>
      <c r="B90" s="283" t="s">
        <v>226</v>
      </c>
      <c r="C90" s="224"/>
      <c r="D90" s="285">
        <v>600.0</v>
      </c>
      <c r="E90" s="286">
        <f>5*D90</f>
        <v>3000</v>
      </c>
      <c r="F90" s="284" t="s">
        <v>41</v>
      </c>
      <c r="G90" s="131"/>
      <c r="H90" s="441">
        <v>5.0</v>
      </c>
      <c r="I90" s="113"/>
      <c r="J90" s="321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7"/>
      <c r="X90" s="117"/>
      <c r="Y90" s="118"/>
      <c r="Z90" s="118"/>
    </row>
    <row r="91" ht="15.75" customHeight="1">
      <c r="A91" s="108"/>
      <c r="B91" s="283" t="s">
        <v>227</v>
      </c>
      <c r="C91" s="284" t="s">
        <v>167</v>
      </c>
      <c r="D91" s="285">
        <v>50000.0</v>
      </c>
      <c r="E91" s="286">
        <v>50000.0</v>
      </c>
      <c r="F91" s="284" t="s">
        <v>304</v>
      </c>
      <c r="G91" s="131"/>
      <c r="H91" s="441">
        <v>1.0</v>
      </c>
      <c r="I91" s="113"/>
      <c r="J91" s="321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7"/>
      <c r="X91" s="117"/>
      <c r="Y91" s="118"/>
      <c r="Z91" s="118"/>
    </row>
    <row r="92" ht="42.75" customHeight="1">
      <c r="A92" s="108"/>
      <c r="B92" s="283" t="s">
        <v>228</v>
      </c>
      <c r="C92" s="284" t="s">
        <v>229</v>
      </c>
      <c r="D92" s="285">
        <v>3800.0</v>
      </c>
      <c r="E92" s="157">
        <f t="shared" ref="E92:E93" si="11">D92*10</f>
        <v>38000</v>
      </c>
      <c r="F92" s="321" t="s">
        <v>32</v>
      </c>
      <c r="G92" s="448" t="s">
        <v>230</v>
      </c>
      <c r="H92" s="441">
        <v>10.0</v>
      </c>
      <c r="I92" s="321"/>
      <c r="J92" s="321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7"/>
      <c r="X92" s="117"/>
      <c r="Y92" s="118"/>
      <c r="Z92" s="118"/>
    </row>
    <row r="93">
      <c r="A93" s="108"/>
      <c r="B93" s="283" t="s">
        <v>231</v>
      </c>
      <c r="C93" s="284" t="s">
        <v>232</v>
      </c>
      <c r="D93" s="285">
        <v>3000.0</v>
      </c>
      <c r="E93" s="157">
        <f t="shared" si="11"/>
        <v>30000</v>
      </c>
      <c r="F93" s="320" t="s">
        <v>32</v>
      </c>
      <c r="G93" s="132"/>
      <c r="H93" s="441">
        <v>100.0</v>
      </c>
      <c r="I93" s="321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7"/>
      <c r="X93" s="117"/>
      <c r="Y93" s="118"/>
      <c r="Z93" s="118"/>
    </row>
    <row r="94">
      <c r="A94" s="449"/>
      <c r="B94" s="283" t="s">
        <v>233</v>
      </c>
      <c r="C94" s="284" t="s">
        <v>234</v>
      </c>
      <c r="D94" s="285">
        <v>3500.0</v>
      </c>
      <c r="E94" s="157">
        <f t="shared" ref="E94:E95" si="12">D94*12</f>
        <v>42000</v>
      </c>
      <c r="F94" s="320" t="s">
        <v>32</v>
      </c>
      <c r="G94" s="132"/>
      <c r="H94" s="441">
        <v>12.0</v>
      </c>
      <c r="I94" s="321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7"/>
      <c r="X94" s="117"/>
      <c r="Y94" s="118"/>
      <c r="Z94" s="118"/>
    </row>
    <row r="95">
      <c r="A95" s="108"/>
      <c r="B95" s="283" t="s">
        <v>235</v>
      </c>
      <c r="C95" s="284" t="s">
        <v>234</v>
      </c>
      <c r="D95" s="285">
        <v>5000.0</v>
      </c>
      <c r="E95" s="157">
        <f t="shared" si="12"/>
        <v>60000</v>
      </c>
      <c r="F95" s="320" t="s">
        <v>32</v>
      </c>
      <c r="G95" s="132"/>
      <c r="H95" s="441">
        <v>12.0</v>
      </c>
      <c r="I95" s="321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7"/>
      <c r="X95" s="117"/>
      <c r="Y95" s="118"/>
      <c r="Z95" s="118"/>
    </row>
    <row r="96">
      <c r="A96" s="108"/>
      <c r="B96" s="283" t="s">
        <v>236</v>
      </c>
      <c r="C96" s="284" t="s">
        <v>229</v>
      </c>
      <c r="D96" s="285">
        <v>5000.0</v>
      </c>
      <c r="E96" s="157">
        <f>D96*10</f>
        <v>50000</v>
      </c>
      <c r="F96" s="320" t="s">
        <v>32</v>
      </c>
      <c r="G96" s="132"/>
      <c r="H96" s="441">
        <v>10.0</v>
      </c>
      <c r="I96" s="321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7"/>
      <c r="X96" s="117"/>
      <c r="Y96" s="118"/>
      <c r="Z96" s="118"/>
    </row>
    <row r="97">
      <c r="A97" s="108"/>
      <c r="B97" s="283" t="s">
        <v>237</v>
      </c>
      <c r="C97" s="284" t="s">
        <v>238</v>
      </c>
      <c r="D97" s="285">
        <v>8000.0</v>
      </c>
      <c r="E97" s="157">
        <f>D97*5</f>
        <v>40000</v>
      </c>
      <c r="F97" s="320" t="s">
        <v>32</v>
      </c>
      <c r="G97" s="132"/>
      <c r="H97" s="441">
        <v>5.0</v>
      </c>
      <c r="I97" s="321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7"/>
      <c r="X97" s="117"/>
      <c r="Y97" s="118"/>
      <c r="Z97" s="118"/>
    </row>
    <row r="98">
      <c r="A98" s="319"/>
      <c r="B98" s="283" t="s">
        <v>239</v>
      </c>
      <c r="C98" s="284"/>
      <c r="D98" s="285"/>
      <c r="E98" s="157"/>
      <c r="F98" s="320"/>
      <c r="G98" s="132"/>
      <c r="H98" s="397"/>
      <c r="I98" s="321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7"/>
      <c r="X98" s="117"/>
      <c r="Y98" s="118"/>
      <c r="Z98" s="118"/>
    </row>
    <row r="99">
      <c r="A99" s="319"/>
      <c r="B99" s="283" t="s">
        <v>240</v>
      </c>
      <c r="C99" s="284" t="s">
        <v>241</v>
      </c>
      <c r="D99" s="285">
        <v>2000.0</v>
      </c>
      <c r="E99" s="157">
        <f>D99*5</f>
        <v>10000</v>
      </c>
      <c r="F99" s="320" t="s">
        <v>32</v>
      </c>
      <c r="G99" s="132"/>
      <c r="H99" s="441">
        <v>5.0</v>
      </c>
      <c r="I99" s="321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7"/>
      <c r="X99" s="117"/>
      <c r="Y99" s="118"/>
      <c r="Z99" s="118"/>
    </row>
    <row r="100">
      <c r="A100" s="449"/>
      <c r="B100" s="283" t="s">
        <v>242</v>
      </c>
      <c r="C100" s="284" t="s">
        <v>234</v>
      </c>
      <c r="D100" s="285">
        <v>4000.0</v>
      </c>
      <c r="E100" s="157">
        <f>12*4000</f>
        <v>48000</v>
      </c>
      <c r="F100" s="320" t="s">
        <v>32</v>
      </c>
      <c r="G100" s="132"/>
      <c r="H100" s="397"/>
      <c r="I100" s="321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7"/>
      <c r="X100" s="117"/>
      <c r="Y100" s="118"/>
      <c r="Z100" s="118"/>
    </row>
    <row r="101">
      <c r="A101" s="108"/>
      <c r="B101" s="283" t="s">
        <v>243</v>
      </c>
      <c r="C101" s="284" t="s">
        <v>241</v>
      </c>
      <c r="D101" s="285">
        <v>1000.0</v>
      </c>
      <c r="E101" s="157">
        <f t="shared" ref="E101:E102" si="13">D101*5</f>
        <v>5000</v>
      </c>
      <c r="F101" s="320" t="s">
        <v>32</v>
      </c>
      <c r="G101" s="132"/>
      <c r="H101" s="441">
        <v>5.0</v>
      </c>
      <c r="I101" s="321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7"/>
      <c r="X101" s="117"/>
      <c r="Y101" s="118"/>
      <c r="Z101" s="118"/>
    </row>
    <row r="102">
      <c r="A102" s="108"/>
      <c r="B102" s="283" t="s">
        <v>244</v>
      </c>
      <c r="C102" s="284" t="s">
        <v>238</v>
      </c>
      <c r="D102" s="285">
        <v>1000.0</v>
      </c>
      <c r="E102" s="157">
        <f t="shared" si="13"/>
        <v>5000</v>
      </c>
      <c r="F102" s="320" t="s">
        <v>32</v>
      </c>
      <c r="G102" s="132"/>
      <c r="H102" s="441">
        <v>5.0</v>
      </c>
      <c r="I102" s="321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7"/>
      <c r="X102" s="117"/>
      <c r="Y102" s="118"/>
      <c r="Z102" s="118"/>
    </row>
    <row r="103">
      <c r="A103" s="108"/>
      <c r="B103" s="113" t="s">
        <v>245</v>
      </c>
      <c r="C103" s="450"/>
      <c r="D103" s="285"/>
      <c r="E103" s="324"/>
      <c r="F103" s="320" t="s">
        <v>32</v>
      </c>
      <c r="G103" s="451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7"/>
      <c r="X103" s="117"/>
      <c r="Y103" s="118"/>
      <c r="Z103" s="118"/>
    </row>
    <row r="104">
      <c r="A104" s="108"/>
      <c r="B104" s="452" t="s">
        <v>246</v>
      </c>
      <c r="C104" s="450" t="s">
        <v>247</v>
      </c>
      <c r="D104" s="285">
        <v>5000.0</v>
      </c>
      <c r="E104" s="324">
        <f>10*D104</f>
        <v>50000</v>
      </c>
      <c r="F104" s="320" t="s">
        <v>32</v>
      </c>
      <c r="G104" s="448" t="s">
        <v>248</v>
      </c>
      <c r="H104" s="321">
        <v>10.0</v>
      </c>
      <c r="I104" s="321"/>
      <c r="J104" s="321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7"/>
      <c r="X104" s="117"/>
      <c r="Y104" s="118"/>
      <c r="Z104" s="118"/>
    </row>
    <row r="105">
      <c r="A105" s="108"/>
      <c r="B105" s="453" t="s">
        <v>249</v>
      </c>
      <c r="C105" s="454" t="s">
        <v>247</v>
      </c>
      <c r="D105" s="445">
        <v>5000.0</v>
      </c>
      <c r="E105" s="112">
        <f>D105*10</f>
        <v>50000</v>
      </c>
      <c r="F105" s="320" t="s">
        <v>32</v>
      </c>
      <c r="G105" s="132"/>
      <c r="H105" s="321">
        <v>10.0</v>
      </c>
      <c r="I105" s="321"/>
      <c r="J105" s="321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7"/>
      <c r="X105" s="117"/>
      <c r="Y105" s="118"/>
      <c r="Z105" s="118"/>
    </row>
    <row r="106">
      <c r="A106" s="108"/>
      <c r="B106" s="283" t="s">
        <v>250</v>
      </c>
      <c r="C106" s="284" t="s">
        <v>241</v>
      </c>
      <c r="D106" s="445">
        <f>120000</f>
        <v>120000</v>
      </c>
      <c r="E106" s="455">
        <f>D106*5</f>
        <v>600000</v>
      </c>
      <c r="F106" s="320" t="s">
        <v>32</v>
      </c>
      <c r="G106" s="451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7"/>
      <c r="X106" s="117"/>
      <c r="Y106" s="118"/>
      <c r="Z106" s="118"/>
    </row>
    <row r="107" ht="15.75" customHeight="1">
      <c r="A107" s="230"/>
      <c r="B107" s="345" t="s">
        <v>251</v>
      </c>
      <c r="C107" s="346"/>
      <c r="D107" s="347"/>
      <c r="E107" s="348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185"/>
      <c r="X107" s="185"/>
      <c r="Y107" s="185"/>
      <c r="Z107" s="185"/>
    </row>
    <row r="108" ht="32.25" customHeight="1">
      <c r="A108" s="350"/>
      <c r="B108" s="351" t="s">
        <v>252</v>
      </c>
      <c r="C108" s="352" t="s">
        <v>253</v>
      </c>
      <c r="D108" s="225">
        <v>500.0</v>
      </c>
      <c r="E108" s="353">
        <f>D108*60</f>
        <v>30000</v>
      </c>
      <c r="F108" s="158" t="s">
        <v>41</v>
      </c>
      <c r="G108" s="354" t="s">
        <v>254</v>
      </c>
      <c r="H108" s="363">
        <v>60.0</v>
      </c>
      <c r="I108" s="355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5"/>
      <c r="X108" s="185"/>
      <c r="Y108" s="185"/>
      <c r="Z108" s="185"/>
    </row>
    <row r="109">
      <c r="A109" s="350"/>
      <c r="B109" s="351" t="s">
        <v>305</v>
      </c>
      <c r="C109" s="352" t="s">
        <v>306</v>
      </c>
      <c r="D109" s="225">
        <v>600.0</v>
      </c>
      <c r="E109" s="353">
        <f>600*60</f>
        <v>36000</v>
      </c>
      <c r="F109" s="228" t="s">
        <v>41</v>
      </c>
      <c r="G109" s="354" t="s">
        <v>307</v>
      </c>
      <c r="H109" s="363">
        <v>60.0</v>
      </c>
      <c r="I109" s="355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5"/>
      <c r="X109" s="185"/>
      <c r="Y109" s="185"/>
      <c r="Z109" s="185"/>
    </row>
    <row r="110">
      <c r="A110" s="350"/>
      <c r="B110" s="351" t="s">
        <v>308</v>
      </c>
      <c r="C110" s="352" t="s">
        <v>306</v>
      </c>
      <c r="D110" s="225">
        <v>350.0</v>
      </c>
      <c r="E110" s="353">
        <f>350*60</f>
        <v>21000</v>
      </c>
      <c r="F110" s="228" t="s">
        <v>41</v>
      </c>
      <c r="G110" s="354" t="s">
        <v>309</v>
      </c>
      <c r="H110" s="363">
        <v>60.0</v>
      </c>
      <c r="I110" s="355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5"/>
      <c r="X110" s="185"/>
      <c r="Y110" s="185"/>
      <c r="Z110" s="185"/>
    </row>
    <row r="111" ht="15.75" customHeight="1">
      <c r="A111" s="230"/>
      <c r="B111" s="345" t="s">
        <v>255</v>
      </c>
      <c r="C111" s="346"/>
      <c r="D111" s="347"/>
      <c r="E111" s="348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185"/>
      <c r="X111" s="185"/>
      <c r="Y111" s="185"/>
      <c r="Z111" s="185"/>
    </row>
    <row r="112" ht="15.75" customHeight="1">
      <c r="A112" s="350"/>
      <c r="B112" s="361" t="s">
        <v>256</v>
      </c>
      <c r="C112" s="352" t="s">
        <v>257</v>
      </c>
      <c r="D112" s="225">
        <v>1000.0</v>
      </c>
      <c r="E112" s="353">
        <f t="shared" ref="E112:E127" si="14">D112*1</f>
        <v>1000</v>
      </c>
      <c r="F112" s="228" t="s">
        <v>255</v>
      </c>
      <c r="G112" s="362" t="s">
        <v>258</v>
      </c>
      <c r="H112" s="180"/>
      <c r="I112" s="355"/>
      <c r="J112" s="363">
        <v>1.0</v>
      </c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5"/>
      <c r="X112" s="185"/>
      <c r="Y112" s="185"/>
      <c r="Z112" s="185"/>
    </row>
    <row r="113" ht="15.75" customHeight="1">
      <c r="A113" s="350"/>
      <c r="B113" s="361" t="s">
        <v>259</v>
      </c>
      <c r="C113" s="352" t="s">
        <v>257</v>
      </c>
      <c r="D113" s="225">
        <v>1000.0</v>
      </c>
      <c r="E113" s="353">
        <f t="shared" si="14"/>
        <v>1000</v>
      </c>
      <c r="F113" s="228" t="s">
        <v>255</v>
      </c>
      <c r="G113" s="131"/>
      <c r="H113" s="180"/>
      <c r="I113" s="355"/>
      <c r="J113" s="363">
        <v>1.0</v>
      </c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5"/>
      <c r="X113" s="185"/>
      <c r="Y113" s="185"/>
      <c r="Z113" s="185"/>
    </row>
    <row r="114" ht="15.75" customHeight="1">
      <c r="A114" s="350"/>
      <c r="B114" s="361" t="s">
        <v>260</v>
      </c>
      <c r="C114" s="352" t="s">
        <v>257</v>
      </c>
      <c r="D114" s="225">
        <v>1000.0</v>
      </c>
      <c r="E114" s="353">
        <f t="shared" si="14"/>
        <v>1000</v>
      </c>
      <c r="F114" s="228" t="s">
        <v>255</v>
      </c>
      <c r="G114" s="131"/>
      <c r="H114" s="180"/>
      <c r="I114" s="359"/>
      <c r="J114" s="363">
        <v>1.0</v>
      </c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5"/>
      <c r="X114" s="185"/>
      <c r="Y114" s="185"/>
      <c r="Z114" s="185"/>
    </row>
    <row r="115" ht="15.75" customHeight="1">
      <c r="A115" s="350"/>
      <c r="B115" s="361" t="s">
        <v>261</v>
      </c>
      <c r="C115" s="352" t="s">
        <v>257</v>
      </c>
      <c r="D115" s="225">
        <v>1000.0</v>
      </c>
      <c r="E115" s="353">
        <f t="shared" si="14"/>
        <v>1000</v>
      </c>
      <c r="F115" s="228" t="s">
        <v>255</v>
      </c>
      <c r="G115" s="131"/>
      <c r="H115" s="180"/>
      <c r="I115" s="359"/>
      <c r="J115" s="363">
        <v>1.0</v>
      </c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5"/>
      <c r="X115" s="185"/>
      <c r="Y115" s="185"/>
      <c r="Z115" s="185"/>
    </row>
    <row r="116" ht="15.75" customHeight="1">
      <c r="A116" s="350"/>
      <c r="B116" s="361" t="s">
        <v>262</v>
      </c>
      <c r="C116" s="352" t="s">
        <v>257</v>
      </c>
      <c r="D116" s="225">
        <v>1000.0</v>
      </c>
      <c r="E116" s="353">
        <f t="shared" si="14"/>
        <v>1000</v>
      </c>
      <c r="F116" s="228" t="s">
        <v>255</v>
      </c>
      <c r="G116" s="131"/>
      <c r="H116" s="180"/>
      <c r="I116" s="359"/>
      <c r="J116" s="363">
        <v>1.0</v>
      </c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5"/>
      <c r="X116" s="185"/>
      <c r="Y116" s="185"/>
      <c r="Z116" s="185"/>
    </row>
    <row r="117" ht="15.75" customHeight="1">
      <c r="A117" s="350"/>
      <c r="B117" s="361" t="s">
        <v>263</v>
      </c>
      <c r="C117" s="352" t="s">
        <v>257</v>
      </c>
      <c r="D117" s="225">
        <v>1000.0</v>
      </c>
      <c r="E117" s="353">
        <f t="shared" si="14"/>
        <v>1000</v>
      </c>
      <c r="F117" s="228" t="s">
        <v>255</v>
      </c>
      <c r="G117" s="131"/>
      <c r="H117" s="180"/>
      <c r="I117" s="359"/>
      <c r="J117" s="363">
        <v>1.0</v>
      </c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5"/>
      <c r="X117" s="185"/>
      <c r="Y117" s="185"/>
      <c r="Z117" s="185"/>
    </row>
    <row r="118" ht="15.75" customHeight="1">
      <c r="A118" s="350"/>
      <c r="B118" s="361" t="s">
        <v>264</v>
      </c>
      <c r="C118" s="352" t="s">
        <v>257</v>
      </c>
      <c r="D118" s="225">
        <v>1000.0</v>
      </c>
      <c r="E118" s="353">
        <f t="shared" si="14"/>
        <v>1000</v>
      </c>
      <c r="F118" s="228" t="s">
        <v>255</v>
      </c>
      <c r="G118" s="131"/>
      <c r="H118" s="180"/>
      <c r="I118" s="359"/>
      <c r="J118" s="363">
        <v>1.0</v>
      </c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5"/>
      <c r="X118" s="185"/>
      <c r="Y118" s="185"/>
      <c r="Z118" s="185"/>
    </row>
    <row r="119" ht="15.75" customHeight="1">
      <c r="A119" s="350"/>
      <c r="B119" s="361" t="s">
        <v>265</v>
      </c>
      <c r="C119" s="352" t="s">
        <v>257</v>
      </c>
      <c r="D119" s="225">
        <v>1000.0</v>
      </c>
      <c r="E119" s="353">
        <f t="shared" si="14"/>
        <v>1000</v>
      </c>
      <c r="F119" s="228" t="s">
        <v>255</v>
      </c>
      <c r="G119" s="131"/>
      <c r="H119" s="180"/>
      <c r="I119" s="359"/>
      <c r="J119" s="363">
        <v>1.0</v>
      </c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5"/>
      <c r="X119" s="185"/>
      <c r="Y119" s="185"/>
      <c r="Z119" s="185"/>
    </row>
    <row r="120" ht="15.75" customHeight="1">
      <c r="A120" s="350"/>
      <c r="B120" s="361" t="s">
        <v>266</v>
      </c>
      <c r="C120" s="352" t="s">
        <v>257</v>
      </c>
      <c r="D120" s="225">
        <v>1000.0</v>
      </c>
      <c r="E120" s="353">
        <f t="shared" si="14"/>
        <v>1000</v>
      </c>
      <c r="F120" s="228" t="s">
        <v>255</v>
      </c>
      <c r="G120" s="131"/>
      <c r="H120" s="180"/>
      <c r="I120" s="359"/>
      <c r="J120" s="363">
        <v>1.0</v>
      </c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5"/>
      <c r="X120" s="185"/>
      <c r="Y120" s="185"/>
      <c r="Z120" s="185"/>
    </row>
    <row r="121" ht="15.75" customHeight="1">
      <c r="A121" s="350"/>
      <c r="B121" s="361" t="s">
        <v>267</v>
      </c>
      <c r="C121" s="352" t="s">
        <v>257</v>
      </c>
      <c r="D121" s="225">
        <v>1000.0</v>
      </c>
      <c r="E121" s="353">
        <f t="shared" si="14"/>
        <v>1000</v>
      </c>
      <c r="F121" s="228" t="s">
        <v>255</v>
      </c>
      <c r="G121" s="131"/>
      <c r="H121" s="180"/>
      <c r="I121" s="359"/>
      <c r="J121" s="363">
        <v>1.0</v>
      </c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5"/>
      <c r="X121" s="185"/>
      <c r="Y121" s="185"/>
      <c r="Z121" s="185"/>
    </row>
    <row r="122" ht="15.75" customHeight="1">
      <c r="A122" s="350"/>
      <c r="B122" s="361" t="s">
        <v>268</v>
      </c>
      <c r="C122" s="352" t="s">
        <v>257</v>
      </c>
      <c r="D122" s="225">
        <v>1000.0</v>
      </c>
      <c r="E122" s="353">
        <f t="shared" si="14"/>
        <v>1000</v>
      </c>
      <c r="F122" s="228" t="s">
        <v>255</v>
      </c>
      <c r="G122" s="131"/>
      <c r="H122" s="180"/>
      <c r="I122" s="359"/>
      <c r="J122" s="363">
        <v>1.0</v>
      </c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5"/>
      <c r="X122" s="185"/>
      <c r="Y122" s="185"/>
      <c r="Z122" s="185"/>
    </row>
    <row r="123" ht="15.75" customHeight="1">
      <c r="A123" s="350"/>
      <c r="B123" s="361" t="s">
        <v>269</v>
      </c>
      <c r="C123" s="352" t="s">
        <v>257</v>
      </c>
      <c r="D123" s="225">
        <v>1000.0</v>
      </c>
      <c r="E123" s="353">
        <f t="shared" si="14"/>
        <v>1000</v>
      </c>
      <c r="F123" s="228" t="s">
        <v>255</v>
      </c>
      <c r="G123" s="131"/>
      <c r="H123" s="180"/>
      <c r="I123" s="359"/>
      <c r="J123" s="363">
        <v>1.0</v>
      </c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5"/>
      <c r="X123" s="185"/>
      <c r="Y123" s="185"/>
      <c r="Z123" s="185"/>
    </row>
    <row r="124" ht="15.75" customHeight="1">
      <c r="A124" s="350"/>
      <c r="B124" s="361" t="s">
        <v>270</v>
      </c>
      <c r="C124" s="352" t="s">
        <v>257</v>
      </c>
      <c r="D124" s="225">
        <v>1000.0</v>
      </c>
      <c r="E124" s="353">
        <f t="shared" si="14"/>
        <v>1000</v>
      </c>
      <c r="F124" s="228" t="s">
        <v>255</v>
      </c>
      <c r="G124" s="131"/>
      <c r="H124" s="180"/>
      <c r="I124" s="359"/>
      <c r="J124" s="363">
        <v>1.0</v>
      </c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5"/>
      <c r="X124" s="185"/>
      <c r="Y124" s="185"/>
      <c r="Z124" s="185"/>
    </row>
    <row r="125" ht="15.75" customHeight="1">
      <c r="A125" s="350"/>
      <c r="B125" s="361" t="s">
        <v>271</v>
      </c>
      <c r="C125" s="352" t="s">
        <v>257</v>
      </c>
      <c r="D125" s="225">
        <v>1000.0</v>
      </c>
      <c r="E125" s="353">
        <f t="shared" si="14"/>
        <v>1000</v>
      </c>
      <c r="F125" s="228" t="s">
        <v>255</v>
      </c>
      <c r="G125" s="131"/>
      <c r="H125" s="180"/>
      <c r="I125" s="359"/>
      <c r="J125" s="363">
        <v>1.0</v>
      </c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5"/>
      <c r="X125" s="185"/>
      <c r="Y125" s="185"/>
      <c r="Z125" s="185"/>
    </row>
    <row r="126" ht="15.75" customHeight="1">
      <c r="A126" s="350"/>
      <c r="B126" s="361" t="s">
        <v>272</v>
      </c>
      <c r="C126" s="352" t="s">
        <v>257</v>
      </c>
      <c r="D126" s="225">
        <v>1000.0</v>
      </c>
      <c r="E126" s="353">
        <f t="shared" si="14"/>
        <v>1000</v>
      </c>
      <c r="F126" s="228" t="s">
        <v>255</v>
      </c>
      <c r="G126" s="131"/>
      <c r="H126" s="180"/>
      <c r="I126" s="359"/>
      <c r="J126" s="363">
        <v>1.0</v>
      </c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5"/>
      <c r="X126" s="185"/>
      <c r="Y126" s="185"/>
      <c r="Z126" s="185"/>
    </row>
    <row r="127" ht="15.75" customHeight="1">
      <c r="A127" s="350"/>
      <c r="B127" s="361" t="s">
        <v>273</v>
      </c>
      <c r="C127" s="352" t="s">
        <v>257</v>
      </c>
      <c r="D127" s="225">
        <v>1000.0</v>
      </c>
      <c r="E127" s="353">
        <f t="shared" si="14"/>
        <v>1000</v>
      </c>
      <c r="F127" s="228" t="s">
        <v>255</v>
      </c>
      <c r="G127" s="69"/>
      <c r="H127" s="180"/>
      <c r="I127" s="359"/>
      <c r="J127" s="363">
        <v>1.0</v>
      </c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5"/>
      <c r="X127" s="185"/>
      <c r="Y127" s="185"/>
      <c r="Z127" s="185"/>
    </row>
    <row r="128" ht="15.75" customHeight="1">
      <c r="A128" s="364"/>
      <c r="B128" s="365" t="s">
        <v>274</v>
      </c>
      <c r="C128" s="456" t="s">
        <v>275</v>
      </c>
      <c r="D128" s="366">
        <v>500.0</v>
      </c>
      <c r="E128" s="367">
        <f>D128*2</f>
        <v>1000</v>
      </c>
      <c r="F128" s="228" t="s">
        <v>255</v>
      </c>
      <c r="G128" s="368"/>
      <c r="H128" s="369"/>
      <c r="I128" s="369"/>
      <c r="J128" s="457">
        <v>2.0</v>
      </c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70"/>
      <c r="X128" s="370"/>
      <c r="Y128" s="370"/>
      <c r="Z128" s="370"/>
    </row>
    <row r="129" ht="15.75" customHeight="1">
      <c r="A129" s="364"/>
      <c r="B129" s="365" t="s">
        <v>276</v>
      </c>
      <c r="C129" s="456" t="s">
        <v>257</v>
      </c>
      <c r="D129" s="366">
        <v>500.0</v>
      </c>
      <c r="E129" s="371">
        <v>500.0</v>
      </c>
      <c r="F129" s="228" t="s">
        <v>255</v>
      </c>
      <c r="G129" s="368"/>
      <c r="H129" s="369"/>
      <c r="I129" s="369"/>
      <c r="J129" s="457">
        <v>1.0</v>
      </c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70"/>
      <c r="X129" s="370"/>
      <c r="Y129" s="370"/>
      <c r="Z129" s="370"/>
    </row>
    <row r="130" ht="15.75" customHeight="1">
      <c r="A130" s="364"/>
      <c r="B130" s="365" t="s">
        <v>310</v>
      </c>
      <c r="C130" s="456" t="s">
        <v>275</v>
      </c>
      <c r="D130" s="366">
        <v>500.0</v>
      </c>
      <c r="E130" s="371">
        <f>D130*2</f>
        <v>1000</v>
      </c>
      <c r="F130" s="228" t="s">
        <v>255</v>
      </c>
      <c r="G130" s="368"/>
      <c r="H130" s="369"/>
      <c r="I130" s="369"/>
      <c r="J130" s="457">
        <v>2.0</v>
      </c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70"/>
      <c r="X130" s="370"/>
      <c r="Y130" s="370"/>
      <c r="Z130" s="370"/>
    </row>
    <row r="131" ht="15.75" customHeight="1">
      <c r="A131" s="230"/>
      <c r="B131" s="345" t="s">
        <v>277</v>
      </c>
      <c r="C131" s="346"/>
      <c r="D131" s="347"/>
      <c r="E131" s="348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185"/>
      <c r="X131" s="185"/>
      <c r="Y131" s="185"/>
      <c r="Z131" s="185"/>
    </row>
    <row r="132" ht="15.75" customHeight="1">
      <c r="A132" s="230"/>
      <c r="B132" s="372" t="s">
        <v>278</v>
      </c>
      <c r="C132" s="373" t="s">
        <v>137</v>
      </c>
      <c r="D132" s="374">
        <v>1200000.0</v>
      </c>
      <c r="E132" s="375">
        <f t="shared" ref="E132:E135" si="15">D132</f>
        <v>1200000</v>
      </c>
      <c r="F132" s="228" t="s">
        <v>279</v>
      </c>
      <c r="G132" s="376" t="s">
        <v>248</v>
      </c>
      <c r="H132" s="180"/>
      <c r="I132" s="355">
        <v>1.0</v>
      </c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5"/>
      <c r="X132" s="185"/>
      <c r="Y132" s="185"/>
      <c r="Z132" s="185"/>
    </row>
    <row r="133" ht="15.75" customHeight="1">
      <c r="A133" s="230"/>
      <c r="B133" s="372" t="s">
        <v>280</v>
      </c>
      <c r="C133" s="373" t="s">
        <v>137</v>
      </c>
      <c r="D133" s="374">
        <v>1266666.67</v>
      </c>
      <c r="E133" s="375">
        <f t="shared" si="15"/>
        <v>1266666.67</v>
      </c>
      <c r="F133" s="228" t="s">
        <v>279</v>
      </c>
      <c r="G133" s="131"/>
      <c r="H133" s="180"/>
      <c r="I133" s="355">
        <v>1.0</v>
      </c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5"/>
      <c r="X133" s="185"/>
      <c r="Y133" s="185"/>
      <c r="Z133" s="185"/>
    </row>
    <row r="134" ht="15.75" customHeight="1">
      <c r="A134" s="230"/>
      <c r="B134" s="372" t="s">
        <v>281</v>
      </c>
      <c r="C134" s="373" t="s">
        <v>137</v>
      </c>
      <c r="D134" s="374">
        <v>1266666.67</v>
      </c>
      <c r="E134" s="375">
        <f t="shared" si="15"/>
        <v>1266666.67</v>
      </c>
      <c r="F134" s="228" t="s">
        <v>279</v>
      </c>
      <c r="G134" s="131"/>
      <c r="H134" s="180"/>
      <c r="I134" s="355">
        <v>1.0</v>
      </c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5"/>
      <c r="X134" s="185"/>
      <c r="Y134" s="185"/>
      <c r="Z134" s="185"/>
    </row>
    <row r="135" ht="15.75" customHeight="1">
      <c r="A135" s="230"/>
      <c r="B135" s="372" t="s">
        <v>282</v>
      </c>
      <c r="C135" s="373" t="s">
        <v>137</v>
      </c>
      <c r="D135" s="374">
        <v>1266666.67</v>
      </c>
      <c r="E135" s="375">
        <f t="shared" si="15"/>
        <v>1266666.67</v>
      </c>
      <c r="F135" s="228" t="s">
        <v>279</v>
      </c>
      <c r="G135" s="69"/>
      <c r="H135" s="180"/>
      <c r="I135" s="355">
        <v>1.0</v>
      </c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5"/>
      <c r="X135" s="185"/>
      <c r="Y135" s="185"/>
      <c r="Z135" s="185"/>
    </row>
    <row r="136" ht="15.75" customHeight="1">
      <c r="A136" s="230"/>
      <c r="B136" s="377" t="s">
        <v>283</v>
      </c>
      <c r="C136" s="346"/>
      <c r="D136" s="347"/>
      <c r="E136" s="348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185"/>
      <c r="X136" s="185"/>
      <c r="Y136" s="185"/>
      <c r="Z136" s="185"/>
    </row>
    <row r="137" ht="54.75" customHeight="1">
      <c r="A137" s="230"/>
      <c r="B137" s="378" t="s">
        <v>284</v>
      </c>
      <c r="C137" s="373" t="s">
        <v>285</v>
      </c>
      <c r="D137" s="379">
        <v>9000.0</v>
      </c>
      <c r="E137" s="375">
        <f>20*9000</f>
        <v>180000</v>
      </c>
      <c r="F137" s="158" t="s">
        <v>286</v>
      </c>
      <c r="G137" s="380" t="s">
        <v>258</v>
      </c>
      <c r="H137" s="359"/>
      <c r="I137" s="180">
        <v>20.0</v>
      </c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5"/>
      <c r="X137" s="185"/>
      <c r="Y137" s="185"/>
      <c r="Z137" s="185"/>
    </row>
    <row r="138" ht="66.75" customHeight="1">
      <c r="A138" s="381"/>
      <c r="B138" s="382" t="s">
        <v>287</v>
      </c>
      <c r="C138" s="357" t="s">
        <v>288</v>
      </c>
      <c r="D138" s="358">
        <v>2500.0</v>
      </c>
      <c r="E138" s="383">
        <f>20*2500</f>
        <v>50000</v>
      </c>
      <c r="F138" s="384" t="s">
        <v>286</v>
      </c>
      <c r="G138" s="380" t="s">
        <v>258</v>
      </c>
      <c r="H138" s="385"/>
      <c r="I138" s="386">
        <v>20.0</v>
      </c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185"/>
      <c r="X138" s="185"/>
      <c r="Y138" s="185"/>
      <c r="Z138" s="185"/>
    </row>
    <row r="139" ht="15.75" customHeight="1">
      <c r="A139" s="230"/>
      <c r="B139" s="377" t="s">
        <v>289</v>
      </c>
      <c r="C139" s="346"/>
      <c r="D139" s="347"/>
      <c r="E139" s="348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185"/>
      <c r="X139" s="185"/>
      <c r="Y139" s="185"/>
      <c r="Z139" s="185"/>
    </row>
    <row r="140" ht="15.75" customHeight="1">
      <c r="A140" s="36"/>
      <c r="B140" s="37" t="s">
        <v>290</v>
      </c>
      <c r="C140" s="44" t="s">
        <v>291</v>
      </c>
      <c r="D140" s="45">
        <v>250000.0</v>
      </c>
      <c r="E140" s="157">
        <f>6*D140</f>
        <v>1500000</v>
      </c>
      <c r="F140" s="107" t="s">
        <v>292</v>
      </c>
      <c r="G140" s="40"/>
      <c r="H140" s="40">
        <v>6.0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21"/>
      <c r="X140" s="21"/>
      <c r="Y140" s="2"/>
      <c r="Z140" s="2"/>
    </row>
    <row r="141" ht="15.75" customHeight="1">
      <c r="A141" s="36"/>
      <c r="B141" s="37" t="s">
        <v>293</v>
      </c>
      <c r="C141" s="44" t="s">
        <v>294</v>
      </c>
      <c r="D141" s="45">
        <v>1500000.0</v>
      </c>
      <c r="E141" s="157">
        <f>D141*3</f>
        <v>4500000</v>
      </c>
      <c r="F141" s="107" t="s">
        <v>292</v>
      </c>
      <c r="G141" s="40"/>
      <c r="H141" s="40">
        <v>3.0</v>
      </c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21"/>
      <c r="X141" s="21"/>
      <c r="Y141" s="2"/>
      <c r="Z141" s="2"/>
    </row>
    <row r="142" ht="15.75" customHeight="1">
      <c r="A142" s="36"/>
      <c r="B142" s="37" t="s">
        <v>295</v>
      </c>
      <c r="C142" s="44" t="s">
        <v>291</v>
      </c>
      <c r="D142" s="45">
        <v>600000.0</v>
      </c>
      <c r="E142" s="157">
        <f>D142*6</f>
        <v>3600000</v>
      </c>
      <c r="F142" s="107" t="s">
        <v>292</v>
      </c>
      <c r="G142" s="40"/>
      <c r="H142" s="40">
        <v>6.0</v>
      </c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21"/>
      <c r="X142" s="21"/>
      <c r="Y142" s="2"/>
      <c r="Z142" s="2"/>
    </row>
    <row r="143" ht="15.75" customHeight="1">
      <c r="A143" s="36"/>
      <c r="B143" s="37" t="s">
        <v>296</v>
      </c>
      <c r="C143" s="44" t="s">
        <v>294</v>
      </c>
      <c r="D143" s="45">
        <v>800000.0</v>
      </c>
      <c r="E143" s="157">
        <f t="shared" ref="E143:E144" si="16">D143*3</f>
        <v>2400000</v>
      </c>
      <c r="F143" s="107" t="s">
        <v>292</v>
      </c>
      <c r="G143" s="40"/>
      <c r="H143" s="40">
        <v>3.0</v>
      </c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21"/>
      <c r="X143" s="21"/>
      <c r="Y143" s="2"/>
      <c r="Z143" s="2"/>
    </row>
    <row r="144" ht="15.75" customHeight="1">
      <c r="A144" s="36"/>
      <c r="B144" s="37" t="s">
        <v>297</v>
      </c>
      <c r="C144" s="44" t="s">
        <v>294</v>
      </c>
      <c r="D144" s="45">
        <v>800000.0</v>
      </c>
      <c r="E144" s="157">
        <f t="shared" si="16"/>
        <v>2400000</v>
      </c>
      <c r="F144" s="107" t="s">
        <v>292</v>
      </c>
      <c r="G144" s="40"/>
      <c r="H144" s="40">
        <v>3.0</v>
      </c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21"/>
      <c r="X144" s="21"/>
      <c r="Y144" s="2"/>
      <c r="Z144" s="2"/>
    </row>
    <row r="145" ht="15.75" hidden="1" customHeight="1">
      <c r="A145" s="36"/>
      <c r="B145" s="37"/>
      <c r="C145" s="44"/>
      <c r="D145" s="45"/>
      <c r="E145" s="46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21"/>
      <c r="X145" s="21"/>
      <c r="Y145" s="2"/>
      <c r="Z145" s="2"/>
    </row>
    <row r="146" ht="15.75" hidden="1" customHeight="1">
      <c r="A146" s="36"/>
      <c r="B146" s="37"/>
      <c r="C146" s="44"/>
      <c r="D146" s="45"/>
      <c r="E146" s="46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21"/>
      <c r="X146" s="21"/>
      <c r="Y146" s="2"/>
      <c r="Z146" s="2"/>
    </row>
    <row r="147" ht="15.75" hidden="1" customHeight="1">
      <c r="A147" s="36"/>
      <c r="B147" s="37"/>
      <c r="C147" s="44"/>
      <c r="D147" s="45"/>
      <c r="E147" s="46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21"/>
      <c r="X147" s="21"/>
      <c r="Y147" s="2"/>
      <c r="Z147" s="2"/>
    </row>
    <row r="148" ht="15.75" hidden="1" customHeight="1">
      <c r="A148" s="36"/>
      <c r="B148" s="37"/>
      <c r="C148" s="44"/>
      <c r="D148" s="45"/>
      <c r="E148" s="46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21"/>
      <c r="X148" s="21"/>
      <c r="Y148" s="2"/>
      <c r="Z148" s="2"/>
    </row>
    <row r="149" ht="15.75" hidden="1" customHeight="1">
      <c r="A149" s="36"/>
      <c r="B149" s="37"/>
      <c r="C149" s="44"/>
      <c r="D149" s="45"/>
      <c r="E149" s="46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21"/>
      <c r="X149" s="21"/>
      <c r="Y149" s="2"/>
      <c r="Z149" s="2"/>
    </row>
    <row r="150" ht="15.75" hidden="1" customHeight="1">
      <c r="A150" s="36"/>
      <c r="B150" s="37"/>
      <c r="C150" s="44"/>
      <c r="D150" s="45"/>
      <c r="E150" s="46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21"/>
      <c r="X150" s="21"/>
      <c r="Y150" s="2"/>
      <c r="Z150" s="2"/>
    </row>
    <row r="151" ht="15.75" hidden="1" customHeight="1">
      <c r="A151" s="52"/>
      <c r="B151" s="53"/>
      <c r="C151" s="54"/>
      <c r="D151" s="55"/>
      <c r="E151" s="56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21"/>
      <c r="X151" s="21"/>
      <c r="Y151" s="2"/>
      <c r="Z151" s="2"/>
    </row>
    <row r="152" ht="15.75" hidden="1" customHeight="1">
      <c r="A152" s="36"/>
      <c r="B152" s="49" t="s">
        <v>109</v>
      </c>
      <c r="C152" s="50"/>
      <c r="D152" s="51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21"/>
      <c r="X152" s="21"/>
      <c r="Y152" s="2"/>
      <c r="Z152" s="2"/>
    </row>
    <row r="153" ht="15.75" hidden="1" customHeight="1">
      <c r="A153" s="36"/>
      <c r="B153" s="37"/>
      <c r="C153" s="44"/>
      <c r="D153" s="45"/>
      <c r="E153" s="46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21"/>
      <c r="X153" s="21"/>
      <c r="Y153" s="2"/>
      <c r="Z153" s="2"/>
    </row>
    <row r="154" ht="15.75" hidden="1" customHeight="1">
      <c r="A154" s="36"/>
      <c r="B154" s="37"/>
      <c r="C154" s="44"/>
      <c r="D154" s="45"/>
      <c r="E154" s="46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21"/>
      <c r="X154" s="21"/>
      <c r="Y154" s="2"/>
      <c r="Z154" s="2"/>
    </row>
    <row r="155" ht="15.75" hidden="1" customHeight="1">
      <c r="A155" s="36"/>
      <c r="B155" s="37"/>
      <c r="C155" s="44"/>
      <c r="D155" s="45"/>
      <c r="E155" s="46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21"/>
      <c r="X155" s="21"/>
      <c r="Y155" s="2"/>
      <c r="Z155" s="2"/>
    </row>
    <row r="156" ht="15.75" hidden="1" customHeight="1">
      <c r="A156" s="36"/>
      <c r="B156" s="37"/>
      <c r="C156" s="44"/>
      <c r="D156" s="45"/>
      <c r="E156" s="46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21"/>
      <c r="X156" s="21"/>
      <c r="Y156" s="2"/>
      <c r="Z156" s="2"/>
    </row>
    <row r="157" ht="15.75" hidden="1" customHeight="1">
      <c r="A157" s="36"/>
      <c r="B157" s="49" t="s">
        <v>110</v>
      </c>
      <c r="C157" s="50"/>
      <c r="D157" s="51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21"/>
      <c r="X157" s="21"/>
      <c r="Y157" s="2"/>
      <c r="Z157" s="2"/>
    </row>
    <row r="158" ht="15.75" hidden="1" customHeight="1">
      <c r="A158" s="36"/>
      <c r="B158" s="37"/>
      <c r="C158" s="44"/>
      <c r="D158" s="45"/>
      <c r="E158" s="46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21"/>
      <c r="X158" s="21"/>
      <c r="Y158" s="2"/>
      <c r="Z158" s="2"/>
    </row>
    <row r="159" ht="15.75" hidden="1" customHeight="1">
      <c r="A159" s="36"/>
      <c r="B159" s="37"/>
      <c r="C159" s="44"/>
      <c r="D159" s="45"/>
      <c r="E159" s="46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21"/>
      <c r="X159" s="21"/>
      <c r="Y159" s="2"/>
      <c r="Z159" s="2"/>
    </row>
    <row r="160" ht="15.75" hidden="1" customHeight="1">
      <c r="A160" s="36"/>
      <c r="B160" s="37"/>
      <c r="C160" s="44"/>
      <c r="D160" s="45"/>
      <c r="E160" s="46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21"/>
      <c r="X160" s="21"/>
      <c r="Y160" s="2"/>
      <c r="Z160" s="2"/>
    </row>
    <row r="161" ht="15.75" customHeight="1">
      <c r="A161" s="36"/>
      <c r="B161" s="387" t="s">
        <v>298</v>
      </c>
      <c r="C161" s="388" t="s">
        <v>294</v>
      </c>
      <c r="D161" s="389">
        <v>105000.0</v>
      </c>
      <c r="E161" s="45">
        <f>D161*3</f>
        <v>315000</v>
      </c>
      <c r="F161" s="107" t="s">
        <v>292</v>
      </c>
      <c r="G161" s="390"/>
      <c r="H161" s="390"/>
      <c r="I161" s="391"/>
      <c r="J161" s="220">
        <v>3.0</v>
      </c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21"/>
      <c r="X161" s="21"/>
      <c r="Y161" s="2"/>
      <c r="Z161" s="2"/>
    </row>
    <row r="162" ht="15.75" customHeight="1">
      <c r="A162" s="52"/>
      <c r="B162" s="57" t="s">
        <v>111</v>
      </c>
      <c r="C162" s="58"/>
      <c r="D162" s="58"/>
      <c r="E162" s="58"/>
      <c r="F162" s="58"/>
      <c r="G162" s="58"/>
      <c r="H162" s="58"/>
      <c r="I162" s="59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21"/>
      <c r="X162" s="21"/>
      <c r="Y162" s="2"/>
      <c r="Z162" s="2"/>
    </row>
    <row r="163" ht="15.75" customHeight="1">
      <c r="A163" s="60"/>
      <c r="B163" s="61"/>
      <c r="C163" s="2"/>
      <c r="D163" s="9"/>
      <c r="E163" s="62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3" t="s">
        <v>112</v>
      </c>
      <c r="B164" s="6"/>
      <c r="C164" s="64">
        <f>sum(E12:E144)</f>
        <v>21710186.01</v>
      </c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65" t="s">
        <v>113</v>
      </c>
      <c r="B165" s="66"/>
      <c r="C165" s="67">
        <f>PRODUCT(C164,0.1)</f>
        <v>2171018.601</v>
      </c>
      <c r="D165" s="68"/>
      <c r="E165" s="69"/>
      <c r="F165" s="11"/>
      <c r="G165" s="11"/>
      <c r="H165" s="70"/>
      <c r="J165" s="70"/>
      <c r="U165" s="70"/>
      <c r="V165" s="2"/>
      <c r="W165" s="2"/>
      <c r="X165" s="2"/>
      <c r="Y165" s="2"/>
      <c r="Z165" s="2"/>
    </row>
    <row r="166" ht="15.75" hidden="1" customHeight="1">
      <c r="A166" s="71" t="s">
        <v>114</v>
      </c>
      <c r="B166" s="72"/>
      <c r="C166" s="73">
        <f>PRODUCT(C164,0.1)</f>
        <v>2171018.601</v>
      </c>
      <c r="D166" s="58"/>
      <c r="E166" s="59"/>
      <c r="F166" s="11"/>
      <c r="G166" s="11"/>
      <c r="H166" s="74"/>
      <c r="I166" s="74"/>
      <c r="J166" s="75"/>
      <c r="U166" s="75"/>
      <c r="V166" s="2"/>
      <c r="W166" s="2"/>
      <c r="X166" s="2"/>
      <c r="Y166" s="2"/>
      <c r="Z166" s="2"/>
    </row>
    <row r="167" ht="15.75" hidden="1" customHeight="1">
      <c r="A167" s="71" t="s">
        <v>115</v>
      </c>
      <c r="B167" s="72"/>
      <c r="C167" s="73">
        <f>SUM(C164:E166)</f>
        <v>26052223.21</v>
      </c>
      <c r="D167" s="58"/>
      <c r="E167" s="59"/>
      <c r="F167" s="11"/>
      <c r="G167" s="11"/>
      <c r="H167" s="74"/>
      <c r="I167" s="74"/>
      <c r="J167" s="75"/>
      <c r="U167" s="75"/>
      <c r="V167" s="2"/>
      <c r="W167" s="2"/>
      <c r="X167" s="2"/>
      <c r="Y167" s="2"/>
      <c r="Z167" s="2"/>
    </row>
    <row r="168" ht="15.75" customHeight="1">
      <c r="A168" s="76"/>
      <c r="B168" s="6"/>
      <c r="C168" s="2"/>
      <c r="D168" s="9"/>
      <c r="E168" s="10"/>
      <c r="F168" s="11"/>
      <c r="G168" s="11"/>
      <c r="H168" s="74"/>
      <c r="I168" s="74"/>
      <c r="J168" s="75"/>
      <c r="U168" s="75"/>
      <c r="V168" s="2"/>
      <c r="W168" s="2"/>
      <c r="X168" s="2"/>
      <c r="Y168" s="2"/>
      <c r="Z168" s="2"/>
    </row>
    <row r="169" ht="15.75" customHeight="1">
      <c r="A169" s="77" t="s">
        <v>116</v>
      </c>
      <c r="B169" s="6"/>
      <c r="C169" s="2"/>
      <c r="D169" s="9"/>
      <c r="E169" s="10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8"/>
      <c r="B170" s="6"/>
      <c r="C170" s="2"/>
      <c r="D170" s="9"/>
      <c r="E170" s="10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9" t="s">
        <v>117</v>
      </c>
      <c r="B171" s="61"/>
      <c r="C171" s="80" t="s">
        <v>118</v>
      </c>
      <c r="F171" s="74"/>
      <c r="G171" s="74"/>
      <c r="H171" s="2"/>
      <c r="I171" s="80" t="s">
        <v>119</v>
      </c>
      <c r="O171" s="2"/>
      <c r="P171" s="2"/>
      <c r="Q171" s="80" t="s">
        <v>120</v>
      </c>
      <c r="U171" s="2"/>
      <c r="V171" s="2"/>
      <c r="X171" s="74"/>
      <c r="Y171" s="2"/>
      <c r="Z171" s="2"/>
    </row>
    <row r="172" ht="15.75" customHeight="1">
      <c r="A172" s="79"/>
      <c r="B172" s="61"/>
      <c r="C172" s="80"/>
      <c r="D172" s="81"/>
      <c r="E172" s="80"/>
      <c r="F172" s="74"/>
      <c r="G172" s="74"/>
      <c r="H172" s="2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74"/>
      <c r="X172" s="74"/>
      <c r="Y172" s="2"/>
      <c r="Z172" s="2"/>
    </row>
    <row r="173" ht="15.75" customHeight="1">
      <c r="A173" s="61"/>
      <c r="B173" s="61"/>
      <c r="C173" s="74"/>
      <c r="D173" s="82"/>
      <c r="E173" s="83"/>
      <c r="F173" s="74"/>
      <c r="G173" s="74"/>
      <c r="H173" s="2"/>
      <c r="I173" s="74"/>
      <c r="J173" s="83"/>
      <c r="K173" s="83"/>
      <c r="L173" s="83"/>
      <c r="M173" s="83"/>
      <c r="N173" s="83"/>
      <c r="O173" s="83"/>
      <c r="P173" s="83"/>
      <c r="Q173" s="74"/>
      <c r="R173" s="83"/>
      <c r="S173" s="74"/>
      <c r="T173" s="74"/>
      <c r="U173" s="74"/>
      <c r="V173" s="74"/>
      <c r="W173" s="74"/>
      <c r="X173" s="74"/>
      <c r="Y173" s="2"/>
      <c r="Z173" s="2"/>
    </row>
    <row r="174" ht="15.75" customHeight="1">
      <c r="A174" s="84" t="s">
        <v>299</v>
      </c>
      <c r="C174" s="85" t="s">
        <v>122</v>
      </c>
      <c r="G174" s="2"/>
      <c r="H174" s="2"/>
      <c r="I174" s="85" t="s">
        <v>123</v>
      </c>
      <c r="O174" s="2"/>
      <c r="P174" s="2"/>
      <c r="Q174" s="85" t="s">
        <v>124</v>
      </c>
      <c r="U174" s="2"/>
      <c r="V174" s="2"/>
      <c r="Y174" s="2"/>
      <c r="Z174" s="2"/>
    </row>
    <row r="175" ht="15.0" customHeight="1">
      <c r="A175" s="86" t="s">
        <v>125</v>
      </c>
      <c r="C175" s="87" t="s">
        <v>126</v>
      </c>
      <c r="G175" s="88"/>
      <c r="H175" s="2"/>
      <c r="I175" s="89" t="s">
        <v>127</v>
      </c>
      <c r="O175" s="2"/>
      <c r="P175" s="2"/>
      <c r="Q175" s="87" t="s">
        <v>128</v>
      </c>
      <c r="U175" s="2"/>
      <c r="V175" s="2"/>
      <c r="W175" s="74"/>
      <c r="X175" s="74"/>
      <c r="Y175" s="2"/>
      <c r="Z175" s="2"/>
    </row>
    <row r="176" ht="15.75" customHeight="1">
      <c r="A176" s="2"/>
      <c r="B176" s="2"/>
      <c r="C176" s="2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129</v>
      </c>
      <c r="B177" s="2"/>
      <c r="C177" s="2" t="s">
        <v>129</v>
      </c>
      <c r="D177" s="9"/>
      <c r="E177" s="2"/>
      <c r="F177" s="2"/>
      <c r="G177" s="2"/>
      <c r="H177" s="2"/>
      <c r="I177" s="2" t="s">
        <v>129</v>
      </c>
      <c r="J177" s="2"/>
      <c r="K177" s="2"/>
      <c r="L177" s="2"/>
      <c r="M177" s="2"/>
      <c r="N177" s="2"/>
      <c r="O177" s="2"/>
      <c r="P177" s="2"/>
      <c r="Q177" s="2" t="s">
        <v>129</v>
      </c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90"/>
      <c r="E178" s="2"/>
      <c r="F178" s="2"/>
      <c r="G178" s="2"/>
      <c r="H178" s="91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90"/>
      <c r="E179" s="2"/>
      <c r="F179" s="2"/>
      <c r="G179" s="2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90"/>
      <c r="E180" s="2"/>
      <c r="F180" s="2"/>
      <c r="G180" s="2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90"/>
      <c r="E181" s="2"/>
      <c r="F181" s="2"/>
      <c r="G181" s="2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90"/>
      <c r="E182" s="2"/>
      <c r="F182" s="2"/>
      <c r="G182" s="2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90"/>
      <c r="E183" s="2"/>
      <c r="F183" s="2"/>
      <c r="G183" s="2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90"/>
      <c r="E184" s="2"/>
      <c r="F184" s="2"/>
      <c r="G184" s="2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90"/>
      <c r="E185" s="2"/>
      <c r="F185" s="2"/>
      <c r="G185" s="2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90"/>
      <c r="E186" s="2"/>
      <c r="F186" s="2"/>
      <c r="G186" s="2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90"/>
      <c r="E187" s="2"/>
      <c r="F187" s="2"/>
      <c r="G187" s="2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90"/>
      <c r="E188" s="2"/>
      <c r="F188" s="2"/>
      <c r="G188" s="2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90"/>
      <c r="E189" s="2"/>
      <c r="F189" s="2"/>
      <c r="G189" s="2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90"/>
      <c r="E190" s="2"/>
      <c r="F190" s="2"/>
      <c r="G190" s="2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90"/>
      <c r="E191" s="2"/>
      <c r="F191" s="2"/>
      <c r="G191" s="2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90"/>
      <c r="E192" s="2"/>
      <c r="F192" s="2"/>
      <c r="G192" s="2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90"/>
      <c r="E193" s="2"/>
      <c r="F193" s="2"/>
      <c r="G193" s="2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90"/>
      <c r="E194" s="2"/>
      <c r="F194" s="2"/>
      <c r="G194" s="2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90"/>
      <c r="E195" s="2"/>
      <c r="F195" s="2"/>
      <c r="G195" s="2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90"/>
      <c r="E196" s="2"/>
      <c r="F196" s="2"/>
      <c r="G196" s="2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90"/>
      <c r="E197" s="2"/>
      <c r="F197" s="2"/>
      <c r="G197" s="2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90"/>
      <c r="E198" s="2"/>
      <c r="F198" s="2"/>
      <c r="G198" s="2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90"/>
      <c r="E199" s="2"/>
      <c r="F199" s="2"/>
      <c r="G199" s="2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90"/>
      <c r="E200" s="2"/>
      <c r="F200" s="2"/>
      <c r="G200" s="2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90"/>
      <c r="E201" s="2"/>
      <c r="F201" s="2"/>
      <c r="G201" s="2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90"/>
      <c r="E202" s="2"/>
      <c r="F202" s="2"/>
      <c r="G202" s="2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90"/>
      <c r="E203" s="2"/>
      <c r="F203" s="2"/>
      <c r="G203" s="2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90"/>
      <c r="E204" s="2"/>
      <c r="F204" s="2"/>
      <c r="G204" s="2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90"/>
      <c r="E205" s="2"/>
      <c r="F205" s="2"/>
      <c r="G205" s="2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90"/>
      <c r="E206" s="2"/>
      <c r="F206" s="2"/>
      <c r="G206" s="2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90"/>
      <c r="E207" s="2"/>
      <c r="F207" s="2"/>
      <c r="G207" s="2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90"/>
      <c r="E208" s="2"/>
      <c r="F208" s="2"/>
      <c r="G208" s="2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90"/>
      <c r="E209" s="2"/>
      <c r="F209" s="2"/>
      <c r="G209" s="2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90"/>
      <c r="E210" s="2"/>
      <c r="F210" s="2"/>
      <c r="G210" s="2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90"/>
      <c r="E211" s="2"/>
      <c r="F211" s="2"/>
      <c r="G211" s="2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90"/>
      <c r="E212" s="2"/>
      <c r="F212" s="2"/>
      <c r="G212" s="2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90"/>
      <c r="E213" s="2"/>
      <c r="F213" s="2"/>
      <c r="G213" s="2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90"/>
      <c r="E214" s="2"/>
      <c r="F214" s="2"/>
      <c r="G214" s="2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90"/>
      <c r="E215" s="2"/>
      <c r="F215" s="2"/>
      <c r="G215" s="2"/>
      <c r="H215" s="92"/>
      <c r="I215" s="93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90"/>
      <c r="E216" s="2"/>
      <c r="F216" s="2"/>
      <c r="G216" s="2"/>
      <c r="H216" s="95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90"/>
      <c r="E217" s="2"/>
      <c r="F217" s="2"/>
      <c r="G217" s="2"/>
      <c r="H217" s="96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9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9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9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9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9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9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9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9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9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9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9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9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9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9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9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9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9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9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9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9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9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9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9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9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9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9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9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9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9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9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9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9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9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9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9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9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9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9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9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9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9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9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9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9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9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9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9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9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9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9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9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9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9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9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9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9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9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9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9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9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9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9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9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9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9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9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9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9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9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9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9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9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9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9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9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9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9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9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9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9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9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9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9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9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9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9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9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9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9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9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9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9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9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9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9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9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9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9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9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9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9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9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9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9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9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9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9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9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9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9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9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9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9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9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9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9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9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9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9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9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90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9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9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9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9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9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9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9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90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90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90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9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9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9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9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9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9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9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9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90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9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9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9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90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9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9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9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9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9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9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9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9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9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9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9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9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9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9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9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9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9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9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9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9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9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9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90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9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9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9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9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9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9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9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9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90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9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9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9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9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9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9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9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9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9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9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90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90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90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90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90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90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90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90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90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</sheetData>
  <mergeCells count="49">
    <mergeCell ref="G9:G10"/>
    <mergeCell ref="H9:V9"/>
    <mergeCell ref="A2:V2"/>
    <mergeCell ref="A3:V3"/>
    <mergeCell ref="A4:V4"/>
    <mergeCell ref="A7:V7"/>
    <mergeCell ref="A9:A10"/>
    <mergeCell ref="B9:B10"/>
    <mergeCell ref="D9:D10"/>
    <mergeCell ref="G42:G46"/>
    <mergeCell ref="G55:G91"/>
    <mergeCell ref="G92:G102"/>
    <mergeCell ref="G104:G105"/>
    <mergeCell ref="G112:G127"/>
    <mergeCell ref="G132:G135"/>
    <mergeCell ref="E9:E10"/>
    <mergeCell ref="F9:F10"/>
    <mergeCell ref="C15:C34"/>
    <mergeCell ref="G15:G38"/>
    <mergeCell ref="C35:C37"/>
    <mergeCell ref="C42:C49"/>
    <mergeCell ref="C50:C53"/>
    <mergeCell ref="C166:E166"/>
    <mergeCell ref="C167:E167"/>
    <mergeCell ref="C171:E171"/>
    <mergeCell ref="A174:B174"/>
    <mergeCell ref="C174:F174"/>
    <mergeCell ref="A175:B175"/>
    <mergeCell ref="C175:F175"/>
    <mergeCell ref="C86:C90"/>
    <mergeCell ref="B162:I162"/>
    <mergeCell ref="C164:E164"/>
    <mergeCell ref="C165:E165"/>
    <mergeCell ref="H165:I165"/>
    <mergeCell ref="J165:T165"/>
    <mergeCell ref="J166:T166"/>
    <mergeCell ref="I174:N174"/>
    <mergeCell ref="I175:N175"/>
    <mergeCell ref="Q175:T175"/>
    <mergeCell ref="H178:T178"/>
    <mergeCell ref="H216:T216"/>
    <mergeCell ref="H217:T217"/>
    <mergeCell ref="J167:T167"/>
    <mergeCell ref="J168:T168"/>
    <mergeCell ref="I171:N171"/>
    <mergeCell ref="Q171:T171"/>
    <mergeCell ref="V171:W171"/>
    <mergeCell ref="Q174:T174"/>
    <mergeCell ref="V174:X174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7.63"/>
    <col customWidth="1" min="2" max="2" width="63.5"/>
    <col customWidth="1" min="3" max="3" width="11.63"/>
    <col customWidth="1" min="5" max="5" width="13.25"/>
    <col customWidth="1" min="6" max="6" width="42.13"/>
    <col customWidth="1" min="7" max="7" width="11.5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"/>
      <c r="X1" s="2"/>
      <c r="Y1" s="2"/>
      <c r="Z1" s="2"/>
    </row>
    <row r="2">
      <c r="A2" s="97" t="s">
        <v>130</v>
      </c>
      <c r="W2" s="2"/>
      <c r="X2" s="2"/>
      <c r="Y2" s="2"/>
      <c r="Z2" s="2"/>
    </row>
    <row r="3">
      <c r="A3" s="98" t="s">
        <v>131</v>
      </c>
      <c r="W3" s="2"/>
      <c r="X3" s="2"/>
      <c r="Y3" s="2"/>
      <c r="Z3" s="2"/>
    </row>
    <row r="4">
      <c r="A4" s="4"/>
      <c r="W4" s="2"/>
      <c r="X4" s="2"/>
      <c r="Y4" s="2"/>
      <c r="Z4" s="2"/>
    </row>
    <row r="5">
      <c r="A5" s="5" t="s">
        <v>3</v>
      </c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</row>
    <row r="6">
      <c r="A6" s="8"/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132</v>
      </c>
      <c r="W7" s="2"/>
      <c r="X7" s="2"/>
      <c r="Y7" s="2"/>
      <c r="Z7" s="2"/>
    </row>
    <row r="8">
      <c r="A8" s="8" t="s">
        <v>5</v>
      </c>
      <c r="B8" s="6"/>
      <c r="C8" s="2"/>
      <c r="D8" s="9"/>
      <c r="E8" s="10"/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2" t="s">
        <v>6</v>
      </c>
      <c r="B9" s="13" t="s">
        <v>7</v>
      </c>
      <c r="C9" s="14" t="s">
        <v>8</v>
      </c>
      <c r="D9" s="15" t="s">
        <v>9</v>
      </c>
      <c r="E9" s="16" t="s">
        <v>10</v>
      </c>
      <c r="F9" s="17" t="s">
        <v>11</v>
      </c>
      <c r="G9" s="13" t="s">
        <v>12</v>
      </c>
      <c r="H9" s="18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W9" s="21"/>
      <c r="X9" s="21"/>
      <c r="Y9" s="2"/>
      <c r="Z9" s="2"/>
    </row>
    <row r="10">
      <c r="A10" s="22"/>
      <c r="B10" s="23"/>
      <c r="C10" s="24" t="s">
        <v>14</v>
      </c>
      <c r="D10" s="23"/>
      <c r="E10" s="23"/>
      <c r="F10" s="23"/>
      <c r="G10" s="23"/>
      <c r="H10" s="25" t="s">
        <v>15</v>
      </c>
      <c r="I10" s="25" t="s">
        <v>16</v>
      </c>
      <c r="J10" s="25" t="s">
        <v>17</v>
      </c>
      <c r="K10" s="25" t="s">
        <v>18</v>
      </c>
      <c r="L10" s="25" t="s">
        <v>19</v>
      </c>
      <c r="M10" s="25" t="s">
        <v>20</v>
      </c>
      <c r="N10" s="25" t="s">
        <v>21</v>
      </c>
      <c r="O10" s="25" t="s">
        <v>22</v>
      </c>
      <c r="P10" s="25" t="s">
        <v>23</v>
      </c>
      <c r="Q10" s="25" t="s">
        <v>24</v>
      </c>
      <c r="R10" s="25" t="s">
        <v>25</v>
      </c>
      <c r="S10" s="25" t="s">
        <v>26</v>
      </c>
      <c r="T10" s="25" t="s">
        <v>27</v>
      </c>
      <c r="U10" s="26" t="str">
        <f>$V$10</f>
        <v>REMARKS</v>
      </c>
      <c r="V10" s="26" t="s">
        <v>28</v>
      </c>
      <c r="W10" s="27"/>
      <c r="X10" s="21"/>
      <c r="Y10" s="2"/>
      <c r="Z10" s="2"/>
    </row>
    <row r="11">
      <c r="A11" s="28"/>
      <c r="B11" s="99" t="s">
        <v>29</v>
      </c>
      <c r="C11" s="30"/>
      <c r="D11" s="31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21"/>
      <c r="X11" s="21"/>
      <c r="Y11" s="2"/>
      <c r="Z11" s="2"/>
    </row>
    <row r="12" ht="15.75" customHeight="1">
      <c r="A12" s="36"/>
      <c r="B12" s="458"/>
      <c r="C12" s="459"/>
      <c r="D12" s="102"/>
      <c r="E12" s="103"/>
      <c r="F12" s="40"/>
      <c r="G12" s="104"/>
      <c r="H12" s="105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40"/>
      <c r="V12" s="107"/>
      <c r="W12" s="21"/>
      <c r="X12" s="21"/>
      <c r="Y12" s="2"/>
      <c r="Z12" s="2"/>
    </row>
    <row r="13">
      <c r="A13" s="119"/>
      <c r="B13" s="120" t="s">
        <v>136</v>
      </c>
      <c r="C13" s="121" t="s">
        <v>137</v>
      </c>
      <c r="D13" s="122">
        <v>350.0</v>
      </c>
      <c r="E13" s="123">
        <f t="shared" ref="E13:E15" si="1">D13*3</f>
        <v>1050</v>
      </c>
      <c r="F13" s="124" t="s">
        <v>41</v>
      </c>
      <c r="G13" s="125" t="s">
        <v>138</v>
      </c>
      <c r="H13" s="126"/>
      <c r="I13" s="127">
        <v>5.0</v>
      </c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4"/>
      <c r="V13" s="128"/>
      <c r="W13" s="129"/>
      <c r="X13" s="129"/>
      <c r="Y13" s="130"/>
      <c r="Z13" s="130"/>
    </row>
    <row r="14">
      <c r="A14" s="119"/>
      <c r="B14" s="120" t="s">
        <v>139</v>
      </c>
      <c r="C14" s="131"/>
      <c r="D14" s="122">
        <v>350.0</v>
      </c>
      <c r="E14" s="123">
        <f t="shared" si="1"/>
        <v>1050</v>
      </c>
      <c r="F14" s="124" t="s">
        <v>41</v>
      </c>
      <c r="G14" s="132"/>
      <c r="H14" s="126"/>
      <c r="I14" s="127">
        <v>5.0</v>
      </c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4"/>
      <c r="V14" s="128"/>
      <c r="W14" s="129"/>
      <c r="X14" s="129"/>
      <c r="Y14" s="130"/>
      <c r="Z14" s="130"/>
    </row>
    <row r="15">
      <c r="A15" s="119"/>
      <c r="B15" s="120" t="s">
        <v>140</v>
      </c>
      <c r="C15" s="131"/>
      <c r="D15" s="133">
        <v>350.0</v>
      </c>
      <c r="E15" s="134">
        <f t="shared" si="1"/>
        <v>1050</v>
      </c>
      <c r="F15" s="135" t="s">
        <v>41</v>
      </c>
      <c r="G15" s="132"/>
      <c r="H15" s="126"/>
      <c r="I15" s="127">
        <v>5.0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4"/>
      <c r="V15" s="128"/>
      <c r="W15" s="129"/>
      <c r="X15" s="129"/>
      <c r="Y15" s="130"/>
      <c r="Z15" s="130"/>
    </row>
    <row r="16">
      <c r="A16" s="119"/>
      <c r="B16" s="136" t="s">
        <v>141</v>
      </c>
      <c r="C16" s="131"/>
      <c r="D16" s="137">
        <v>380.0</v>
      </c>
      <c r="E16" s="138">
        <f>15*D16</f>
        <v>5700</v>
      </c>
      <c r="F16" s="124" t="s">
        <v>41</v>
      </c>
      <c r="G16" s="132"/>
      <c r="H16" s="124"/>
      <c r="I16" s="124">
        <v>15.0</v>
      </c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9"/>
      <c r="X16" s="129"/>
      <c r="Y16" s="130"/>
      <c r="Z16" s="130"/>
    </row>
    <row r="17">
      <c r="A17" s="119"/>
      <c r="B17" s="136" t="s">
        <v>142</v>
      </c>
      <c r="C17" s="131"/>
      <c r="D17" s="137">
        <v>150.0</v>
      </c>
      <c r="E17" s="138">
        <f>10*D17</f>
        <v>1500</v>
      </c>
      <c r="F17" s="124" t="s">
        <v>41</v>
      </c>
      <c r="G17" s="132"/>
      <c r="H17" s="124"/>
      <c r="I17" s="124">
        <v>10.0</v>
      </c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9"/>
      <c r="X17" s="129"/>
      <c r="Y17" s="130"/>
      <c r="Z17" s="130"/>
    </row>
    <row r="18">
      <c r="A18" s="139"/>
      <c r="B18" s="140" t="s">
        <v>143</v>
      </c>
      <c r="C18" s="131"/>
      <c r="D18" s="141">
        <v>50.0</v>
      </c>
      <c r="E18" s="142">
        <f t="shared" ref="E18:E19" si="2">15*D18</f>
        <v>750</v>
      </c>
      <c r="F18" s="143" t="s">
        <v>41</v>
      </c>
      <c r="G18" s="132"/>
      <c r="H18" s="124"/>
      <c r="I18" s="124">
        <v>15.0</v>
      </c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9"/>
      <c r="X18" s="129"/>
      <c r="Y18" s="130"/>
      <c r="Z18" s="130"/>
    </row>
    <row r="19" ht="15.75" customHeight="1">
      <c r="A19" s="139"/>
      <c r="B19" s="140" t="s">
        <v>144</v>
      </c>
      <c r="C19" s="131"/>
      <c r="D19" s="141">
        <v>50.0</v>
      </c>
      <c r="E19" s="142">
        <f t="shared" si="2"/>
        <v>750</v>
      </c>
      <c r="F19" s="143" t="s">
        <v>41</v>
      </c>
      <c r="G19" s="132"/>
      <c r="H19" s="124"/>
      <c r="I19" s="124">
        <v>15.0</v>
      </c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9"/>
      <c r="X19" s="129"/>
      <c r="Y19" s="130"/>
      <c r="Z19" s="130"/>
    </row>
    <row r="20" ht="15.75" customHeight="1">
      <c r="A20" s="119"/>
      <c r="B20" s="140" t="s">
        <v>145</v>
      </c>
      <c r="C20" s="131"/>
      <c r="D20" s="144">
        <v>4000.0</v>
      </c>
      <c r="E20" s="142">
        <f>1*D20</f>
        <v>4000</v>
      </c>
      <c r="F20" s="143" t="s">
        <v>41</v>
      </c>
      <c r="G20" s="132"/>
      <c r="H20" s="124"/>
      <c r="I20" s="124">
        <v>1.0</v>
      </c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9"/>
      <c r="X20" s="129"/>
      <c r="Y20" s="130"/>
      <c r="Z20" s="130"/>
    </row>
    <row r="21" ht="15.75" customHeight="1">
      <c r="A21" s="139"/>
      <c r="B21" s="145" t="s">
        <v>146</v>
      </c>
      <c r="C21" s="131"/>
      <c r="D21" s="141">
        <v>120.0</v>
      </c>
      <c r="E21" s="142">
        <f>5*D21</f>
        <v>600</v>
      </c>
      <c r="F21" s="143" t="s">
        <v>41</v>
      </c>
      <c r="G21" s="132"/>
      <c r="H21" s="124"/>
      <c r="I21" s="124">
        <v>5.0</v>
      </c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9"/>
      <c r="X21" s="129"/>
      <c r="Y21" s="130"/>
      <c r="Z21" s="130"/>
    </row>
    <row r="22" ht="15.75" customHeight="1">
      <c r="A22" s="139"/>
      <c r="B22" s="145" t="s">
        <v>147</v>
      </c>
      <c r="C22" s="131"/>
      <c r="D22" s="141">
        <v>100.0</v>
      </c>
      <c r="E22" s="141">
        <f>5*100</f>
        <v>500</v>
      </c>
      <c r="F22" s="143" t="s">
        <v>41</v>
      </c>
      <c r="G22" s="132"/>
      <c r="H22" s="124"/>
      <c r="I22" s="124">
        <v>5.0</v>
      </c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9"/>
      <c r="X22" s="129"/>
      <c r="Y22" s="130"/>
      <c r="Z22" s="130"/>
    </row>
    <row r="23" ht="15.75" customHeight="1">
      <c r="A23" s="139"/>
      <c r="B23" s="140" t="s">
        <v>148</v>
      </c>
      <c r="C23" s="131"/>
      <c r="D23" s="146">
        <v>100.0</v>
      </c>
      <c r="E23" s="142">
        <f>100*30</f>
        <v>3000</v>
      </c>
      <c r="F23" s="143" t="s">
        <v>41</v>
      </c>
      <c r="G23" s="132"/>
      <c r="H23" s="124"/>
      <c r="I23" s="124">
        <v>30.0</v>
      </c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9"/>
      <c r="X23" s="129"/>
      <c r="Y23" s="130"/>
      <c r="Z23" s="130"/>
    </row>
    <row r="24" ht="15.75" customHeight="1">
      <c r="A24" s="139"/>
      <c r="B24" s="140" t="s">
        <v>149</v>
      </c>
      <c r="C24" s="131"/>
      <c r="D24" s="146">
        <v>80.0</v>
      </c>
      <c r="E24" s="142">
        <f>30*80</f>
        <v>2400</v>
      </c>
      <c r="F24" s="143" t="s">
        <v>41</v>
      </c>
      <c r="G24" s="132"/>
      <c r="H24" s="124"/>
      <c r="I24" s="124">
        <v>30.0</v>
      </c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9"/>
      <c r="X24" s="129"/>
      <c r="Y24" s="130"/>
      <c r="Z24" s="130"/>
    </row>
    <row r="25" ht="15.75" customHeight="1">
      <c r="A25" s="139"/>
      <c r="B25" s="147" t="s">
        <v>150</v>
      </c>
      <c r="C25" s="131"/>
      <c r="D25" s="137">
        <v>50.0</v>
      </c>
      <c r="E25" s="138">
        <f>50*D25</f>
        <v>2500</v>
      </c>
      <c r="F25" s="124" t="s">
        <v>41</v>
      </c>
      <c r="G25" s="132"/>
      <c r="H25" s="124"/>
      <c r="I25" s="124">
        <v>30.0</v>
      </c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9"/>
      <c r="X25" s="129"/>
      <c r="Y25" s="130"/>
      <c r="Z25" s="130"/>
    </row>
    <row r="26" ht="15.75" customHeight="1">
      <c r="A26" s="139"/>
      <c r="B26" s="145" t="s">
        <v>151</v>
      </c>
      <c r="C26" s="131"/>
      <c r="D26" s="148">
        <v>150.0</v>
      </c>
      <c r="E26" s="142">
        <f>10*150</f>
        <v>1500</v>
      </c>
      <c r="F26" s="143" t="s">
        <v>41</v>
      </c>
      <c r="G26" s="132"/>
      <c r="H26" s="124"/>
      <c r="I26" s="124">
        <v>10.0</v>
      </c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9"/>
      <c r="X26" s="129"/>
      <c r="Y26" s="130"/>
      <c r="Z26" s="130"/>
    </row>
    <row r="27" ht="15.75" customHeight="1">
      <c r="A27" s="139"/>
      <c r="B27" s="145" t="s">
        <v>152</v>
      </c>
      <c r="C27" s="131"/>
      <c r="D27" s="148">
        <v>60.0</v>
      </c>
      <c r="E27" s="142">
        <f>10*60</f>
        <v>600</v>
      </c>
      <c r="F27" s="143" t="s">
        <v>41</v>
      </c>
      <c r="G27" s="132"/>
      <c r="H27" s="124"/>
      <c r="I27" s="124">
        <v>10.0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9"/>
      <c r="X27" s="129"/>
      <c r="Y27" s="130"/>
      <c r="Z27" s="130"/>
    </row>
    <row r="28" ht="15.75" customHeight="1">
      <c r="A28" s="139"/>
      <c r="B28" s="149" t="s">
        <v>153</v>
      </c>
      <c r="C28" s="131"/>
      <c r="D28" s="150">
        <v>300.0</v>
      </c>
      <c r="E28" s="142">
        <f>5*300</f>
        <v>1500</v>
      </c>
      <c r="F28" s="151" t="s">
        <v>41</v>
      </c>
      <c r="G28" s="132"/>
      <c r="H28" s="124"/>
      <c r="I28" s="152">
        <v>5.0</v>
      </c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9"/>
      <c r="X28" s="129"/>
      <c r="Y28" s="130"/>
      <c r="Z28" s="130"/>
    </row>
    <row r="29" ht="15.75" customHeight="1">
      <c r="A29" s="139"/>
      <c r="B29" s="149" t="s">
        <v>154</v>
      </c>
      <c r="C29" s="131"/>
      <c r="D29" s="150">
        <f>350</f>
        <v>350</v>
      </c>
      <c r="E29" s="142">
        <f>D29*5</f>
        <v>1750</v>
      </c>
      <c r="F29" s="151" t="s">
        <v>41</v>
      </c>
      <c r="G29" s="132"/>
      <c r="H29" s="124"/>
      <c r="I29" s="152">
        <v>5.0</v>
      </c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9"/>
      <c r="X29" s="129"/>
      <c r="Y29" s="130"/>
      <c r="Z29" s="130"/>
    </row>
    <row r="30" ht="15.75" customHeight="1">
      <c r="A30" s="139"/>
      <c r="B30" s="149" t="s">
        <v>155</v>
      </c>
      <c r="C30" s="131"/>
      <c r="D30" s="150">
        <v>50.0</v>
      </c>
      <c r="E30" s="142">
        <f>D30*20</f>
        <v>1000</v>
      </c>
      <c r="F30" s="151" t="s">
        <v>41</v>
      </c>
      <c r="G30" s="132"/>
      <c r="H30" s="124"/>
      <c r="I30" s="152">
        <v>20.0</v>
      </c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9"/>
      <c r="X30" s="129"/>
      <c r="Y30" s="130"/>
      <c r="Z30" s="130"/>
    </row>
    <row r="31" ht="15.75" customHeight="1">
      <c r="A31" s="139"/>
      <c r="B31" s="145" t="s">
        <v>156</v>
      </c>
      <c r="C31" s="131"/>
      <c r="D31" s="148">
        <v>150.0</v>
      </c>
      <c r="E31" s="142">
        <f t="shared" ref="E31:E32" si="3">10*150</f>
        <v>1500</v>
      </c>
      <c r="F31" s="143" t="s">
        <v>41</v>
      </c>
      <c r="G31" s="132"/>
      <c r="H31" s="124"/>
      <c r="I31" s="124">
        <v>10.0</v>
      </c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9"/>
      <c r="X31" s="129"/>
      <c r="Y31" s="130"/>
      <c r="Z31" s="130"/>
    </row>
    <row r="32" ht="15.75" customHeight="1">
      <c r="A32" s="139"/>
      <c r="B32" s="145" t="s">
        <v>157</v>
      </c>
      <c r="C32" s="131"/>
      <c r="D32" s="148">
        <v>150.0</v>
      </c>
      <c r="E32" s="142">
        <f t="shared" si="3"/>
        <v>1500</v>
      </c>
      <c r="F32" s="143" t="s">
        <v>41</v>
      </c>
      <c r="G32" s="132"/>
      <c r="H32" s="124"/>
      <c r="I32" s="124">
        <v>10.0</v>
      </c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9"/>
      <c r="X32" s="129"/>
      <c r="Y32" s="130"/>
      <c r="Z32" s="130"/>
    </row>
    <row r="33" ht="15.75" customHeight="1">
      <c r="A33" s="153"/>
      <c r="B33" s="154" t="s">
        <v>158</v>
      </c>
      <c r="C33" s="155"/>
      <c r="D33" s="156">
        <v>400.0</v>
      </c>
      <c r="E33" s="157">
        <f>D33*25</f>
        <v>10000</v>
      </c>
      <c r="F33" s="158" t="s">
        <v>41</v>
      </c>
      <c r="G33" s="132"/>
      <c r="H33" s="106"/>
      <c r="I33" s="159">
        <v>25.0</v>
      </c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60"/>
      <c r="V33" s="107"/>
      <c r="W33" s="21"/>
      <c r="X33" s="21"/>
      <c r="Y33" s="2"/>
      <c r="Z33" s="2"/>
    </row>
    <row r="34" ht="15.75" customHeight="1">
      <c r="A34" s="153"/>
      <c r="B34" s="154" t="s">
        <v>159</v>
      </c>
      <c r="C34" s="131"/>
      <c r="D34" s="389">
        <v>80.0</v>
      </c>
      <c r="E34" s="157">
        <f>D34*30</f>
        <v>2400</v>
      </c>
      <c r="F34" s="228" t="s">
        <v>41</v>
      </c>
      <c r="G34" s="132"/>
      <c r="H34" s="106"/>
      <c r="I34" s="159">
        <v>30.0</v>
      </c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60"/>
      <c r="V34" s="107"/>
      <c r="W34" s="21"/>
      <c r="X34" s="21"/>
      <c r="Y34" s="2"/>
      <c r="Z34" s="2"/>
    </row>
    <row r="35" ht="15.75" customHeight="1">
      <c r="A35" s="153"/>
      <c r="B35" s="460" t="s">
        <v>160</v>
      </c>
      <c r="C35" s="131"/>
      <c r="D35" s="156">
        <v>300.0</v>
      </c>
      <c r="E35" s="157">
        <f>300*30</f>
        <v>9000</v>
      </c>
      <c r="F35" s="461" t="s">
        <v>41</v>
      </c>
      <c r="G35" s="132"/>
      <c r="H35" s="106"/>
      <c r="I35" s="159">
        <v>30.0</v>
      </c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60"/>
      <c r="V35" s="107"/>
      <c r="W35" s="21"/>
      <c r="X35" s="21"/>
      <c r="Y35" s="2"/>
      <c r="Z35" s="2"/>
    </row>
    <row r="36" ht="15.75" customHeight="1">
      <c r="A36" s="175"/>
      <c r="B36" s="176" t="s">
        <v>161</v>
      </c>
      <c r="C36" s="177" t="s">
        <v>162</v>
      </c>
      <c r="D36" s="178">
        <v>10000.0</v>
      </c>
      <c r="E36" s="179">
        <f>D36*5</f>
        <v>50000</v>
      </c>
      <c r="F36" s="180" t="s">
        <v>41</v>
      </c>
      <c r="G36" s="132"/>
      <c r="H36" s="181"/>
      <c r="I36" s="182">
        <v>5.0</v>
      </c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3"/>
      <c r="V36" s="184"/>
      <c r="W36" s="185"/>
      <c r="X36" s="185"/>
      <c r="Y36" s="185"/>
      <c r="Z36" s="185"/>
    </row>
    <row r="37" ht="15.75" customHeight="1">
      <c r="A37" s="175"/>
      <c r="B37" s="186" t="s">
        <v>163</v>
      </c>
      <c r="C37" s="187" t="s">
        <v>164</v>
      </c>
      <c r="D37" s="188">
        <v>6000.0</v>
      </c>
      <c r="E37" s="179">
        <f>6000*2</f>
        <v>12000</v>
      </c>
      <c r="F37" s="189" t="s">
        <v>41</v>
      </c>
      <c r="G37" s="106"/>
      <c r="H37" s="181"/>
      <c r="I37" s="182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3"/>
      <c r="V37" s="184"/>
      <c r="W37" s="185"/>
      <c r="X37" s="185"/>
      <c r="Y37" s="185"/>
      <c r="Z37" s="185"/>
    </row>
    <row r="38" ht="15.75" customHeight="1">
      <c r="A38" s="190"/>
      <c r="B38" s="191" t="s">
        <v>165</v>
      </c>
      <c r="C38" s="192"/>
      <c r="D38" s="31"/>
      <c r="E38" s="3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21"/>
      <c r="X38" s="21"/>
      <c r="Y38" s="2"/>
      <c r="Z38" s="2"/>
    </row>
    <row r="39" ht="15.75" customHeight="1">
      <c r="A39" s="153"/>
      <c r="B39" s="154" t="s">
        <v>168</v>
      </c>
      <c r="C39" s="44" t="s">
        <v>137</v>
      </c>
      <c r="D39" s="462">
        <v>250.0</v>
      </c>
      <c r="E39" s="157">
        <f>D39*50</f>
        <v>12500</v>
      </c>
      <c r="F39" s="158" t="s">
        <v>41</v>
      </c>
      <c r="G39" s="104" t="s">
        <v>169</v>
      </c>
      <c r="H39" s="40"/>
      <c r="I39" s="220">
        <v>50.0</v>
      </c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21"/>
      <c r="X39" s="21"/>
      <c r="Y39" s="2"/>
      <c r="Z39" s="2"/>
    </row>
    <row r="40" ht="15.75" customHeight="1">
      <c r="A40" s="139"/>
      <c r="B40" s="147" t="s">
        <v>170</v>
      </c>
      <c r="C40" s="132"/>
      <c r="D40" s="217">
        <v>280.0</v>
      </c>
      <c r="E40" s="138">
        <f>280*30</f>
        <v>8400</v>
      </c>
      <c r="F40" s="143" t="s">
        <v>41</v>
      </c>
      <c r="G40" s="132"/>
      <c r="H40" s="124"/>
      <c r="I40" s="152">
        <v>30.0</v>
      </c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9"/>
      <c r="X40" s="129"/>
      <c r="Y40" s="130"/>
      <c r="Z40" s="130"/>
    </row>
    <row r="41" ht="15.75" customHeight="1">
      <c r="A41" s="139"/>
      <c r="B41" s="147" t="s">
        <v>171</v>
      </c>
      <c r="C41" s="132"/>
      <c r="D41" s="218">
        <v>600.0</v>
      </c>
      <c r="E41" s="138">
        <f>12*D41</f>
        <v>7200</v>
      </c>
      <c r="F41" s="143" t="s">
        <v>41</v>
      </c>
      <c r="G41" s="132"/>
      <c r="H41" s="124"/>
      <c r="I41" s="124">
        <v>10.0</v>
      </c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9"/>
      <c r="X41" s="129"/>
      <c r="Y41" s="130"/>
      <c r="Z41" s="130"/>
    </row>
    <row r="42" ht="15.75" customHeight="1">
      <c r="A42" s="153"/>
      <c r="B42" s="154" t="s">
        <v>172</v>
      </c>
      <c r="C42" s="132"/>
      <c r="D42" s="219">
        <v>230.0</v>
      </c>
      <c r="E42" s="157"/>
      <c r="F42" s="158" t="s">
        <v>41</v>
      </c>
      <c r="G42" s="132"/>
      <c r="H42" s="40"/>
      <c r="I42" s="220">
        <v>10.0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21"/>
      <c r="X42" s="21"/>
      <c r="Y42" s="2"/>
      <c r="Z42" s="2"/>
    </row>
    <row r="43" ht="15.75" customHeight="1">
      <c r="A43" s="153"/>
      <c r="B43" s="221" t="s">
        <v>173</v>
      </c>
      <c r="C43" s="132"/>
      <c r="D43" s="219">
        <v>350.0</v>
      </c>
      <c r="E43" s="157"/>
      <c r="F43" s="158" t="s">
        <v>41</v>
      </c>
      <c r="G43" s="132"/>
      <c r="H43" s="40"/>
      <c r="I43" s="40">
        <v>10.0</v>
      </c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21"/>
      <c r="X43" s="21"/>
      <c r="Y43" s="2"/>
      <c r="Z43" s="2"/>
    </row>
    <row r="44">
      <c r="A44" s="139"/>
      <c r="B44" s="147" t="s">
        <v>174</v>
      </c>
      <c r="C44" s="132"/>
      <c r="D44" s="222">
        <v>1000.0</v>
      </c>
      <c r="E44" s="123">
        <f>D44*12</f>
        <v>12000</v>
      </c>
      <c r="F44" s="143" t="s">
        <v>41</v>
      </c>
      <c r="G44" s="223"/>
      <c r="H44" s="143"/>
      <c r="I44" s="151">
        <v>5.0</v>
      </c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29"/>
      <c r="X44" s="129"/>
      <c r="Y44" s="130"/>
      <c r="Z44" s="130"/>
    </row>
    <row r="45" ht="15.75" customHeight="1">
      <c r="A45" s="139"/>
      <c r="B45" s="147" t="s">
        <v>175</v>
      </c>
      <c r="C45" s="132"/>
      <c r="D45" s="222">
        <v>500.0</v>
      </c>
      <c r="E45" s="134">
        <f>D45*24</f>
        <v>12000</v>
      </c>
      <c r="F45" s="143"/>
      <c r="G45" s="223"/>
      <c r="H45" s="143"/>
      <c r="I45" s="151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29"/>
      <c r="X45" s="129"/>
      <c r="Y45" s="130"/>
      <c r="Z45" s="130"/>
    </row>
    <row r="46" ht="15.75" customHeight="1">
      <c r="A46" s="153"/>
      <c r="B46" s="154" t="s">
        <v>311</v>
      </c>
      <c r="C46" s="224"/>
      <c r="D46" s="225">
        <v>1000.0</v>
      </c>
      <c r="E46" s="226">
        <v>2000.0</v>
      </c>
      <c r="F46" s="158" t="s">
        <v>41</v>
      </c>
      <c r="G46" s="227"/>
      <c r="H46" s="158"/>
      <c r="I46" s="22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21"/>
      <c r="X46" s="21"/>
      <c r="Y46" s="2"/>
      <c r="Z46" s="2"/>
    </row>
    <row r="47" ht="15.75" customHeight="1">
      <c r="A47" s="229"/>
      <c r="B47" s="147" t="s">
        <v>177</v>
      </c>
      <c r="C47" s="121" t="s">
        <v>137</v>
      </c>
      <c r="D47" s="222">
        <v>1500.0</v>
      </c>
      <c r="E47" s="123">
        <f t="shared" ref="E47:E50" si="4">D47*5</f>
        <v>7500</v>
      </c>
      <c r="F47" s="143" t="s">
        <v>41</v>
      </c>
      <c r="G47" s="223"/>
      <c r="H47" s="143"/>
      <c r="I47" s="151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29"/>
      <c r="X47" s="129"/>
      <c r="Y47" s="130"/>
      <c r="Z47" s="130"/>
    </row>
    <row r="48" ht="15.75" customHeight="1">
      <c r="A48" s="139"/>
      <c r="B48" s="147" t="s">
        <v>178</v>
      </c>
      <c r="C48" s="131"/>
      <c r="D48" s="222">
        <v>1500.0</v>
      </c>
      <c r="E48" s="123">
        <f t="shared" si="4"/>
        <v>7500</v>
      </c>
      <c r="F48" s="143" t="s">
        <v>41</v>
      </c>
      <c r="G48" s="223"/>
      <c r="H48" s="143"/>
      <c r="I48" s="15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29"/>
      <c r="X48" s="129"/>
      <c r="Y48" s="130"/>
      <c r="Z48" s="130"/>
    </row>
    <row r="49" ht="15.75" customHeight="1">
      <c r="A49" s="139"/>
      <c r="B49" s="147" t="s">
        <v>179</v>
      </c>
      <c r="C49" s="131"/>
      <c r="D49" s="222">
        <v>1500.0</v>
      </c>
      <c r="E49" s="123">
        <f t="shared" si="4"/>
        <v>7500</v>
      </c>
      <c r="F49" s="143" t="s">
        <v>41</v>
      </c>
      <c r="G49" s="223"/>
      <c r="H49" s="143"/>
      <c r="I49" s="151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29"/>
      <c r="X49" s="129"/>
      <c r="Y49" s="130"/>
      <c r="Z49" s="130"/>
    </row>
    <row r="50" ht="15.75" customHeight="1">
      <c r="A50" s="139"/>
      <c r="B50" s="147" t="s">
        <v>180</v>
      </c>
      <c r="C50" s="69"/>
      <c r="D50" s="222">
        <v>2000.0</v>
      </c>
      <c r="E50" s="123">
        <f t="shared" si="4"/>
        <v>10000</v>
      </c>
      <c r="F50" s="143" t="s">
        <v>41</v>
      </c>
      <c r="G50" s="223"/>
      <c r="H50" s="143"/>
      <c r="I50" s="15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29"/>
      <c r="X50" s="129"/>
      <c r="Y50" s="130"/>
      <c r="Z50" s="130"/>
    </row>
    <row r="51" ht="15.75" customHeight="1">
      <c r="A51" s="230"/>
      <c r="B51" s="231" t="s">
        <v>88</v>
      </c>
      <c r="C51" s="232"/>
      <c r="D51" s="233"/>
      <c r="E51" s="234"/>
      <c r="F51" s="235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185"/>
      <c r="X51" s="185"/>
      <c r="Y51" s="185"/>
      <c r="Z51" s="185"/>
    </row>
    <row r="52" ht="15.75" customHeight="1">
      <c r="A52" s="463"/>
      <c r="B52" s="464" t="s">
        <v>223</v>
      </c>
      <c r="C52" s="246" t="s">
        <v>137</v>
      </c>
      <c r="D52" s="465">
        <v>300.0</v>
      </c>
      <c r="E52" s="245">
        <f>300*30</f>
        <v>9000</v>
      </c>
      <c r="F52" s="255" t="s">
        <v>41</v>
      </c>
      <c r="G52" s="466" t="s">
        <v>138</v>
      </c>
      <c r="H52" s="247"/>
      <c r="I52" s="247">
        <v>30.0</v>
      </c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8"/>
      <c r="X52" s="248"/>
      <c r="Y52" s="249"/>
      <c r="Z52" s="249"/>
    </row>
    <row r="53" ht="15.75" customHeight="1">
      <c r="A53" s="119"/>
      <c r="B53" s="147" t="s">
        <v>181</v>
      </c>
      <c r="C53" s="236"/>
      <c r="D53" s="237">
        <v>350.0</v>
      </c>
      <c r="E53" s="238">
        <f>D53*20</f>
        <v>7000</v>
      </c>
      <c r="F53" s="239"/>
      <c r="G53" s="131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9"/>
      <c r="X53" s="129"/>
      <c r="Y53" s="130"/>
      <c r="Z53" s="130"/>
    </row>
    <row r="54" ht="15.75" customHeight="1">
      <c r="A54" s="36"/>
      <c r="B54" s="154" t="s">
        <v>182</v>
      </c>
      <c r="C54" s="302" t="s">
        <v>183</v>
      </c>
      <c r="D54" s="303">
        <v>3000.0</v>
      </c>
      <c r="E54" s="439"/>
      <c r="F54" s="255"/>
      <c r="G54" s="131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21"/>
      <c r="X54" s="21"/>
      <c r="Y54" s="2"/>
      <c r="Z54" s="2"/>
    </row>
    <row r="55">
      <c r="A55" s="250"/>
      <c r="B55" s="251" t="s">
        <v>312</v>
      </c>
      <c r="C55" s="252" t="s">
        <v>185</v>
      </c>
      <c r="D55" s="253">
        <v>1500.0</v>
      </c>
      <c r="E55" s="254">
        <f>3*D55</f>
        <v>4500</v>
      </c>
      <c r="F55" s="255"/>
      <c r="G55" s="131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7"/>
      <c r="X55" s="257"/>
      <c r="Y55" s="258"/>
      <c r="Z55" s="258"/>
    </row>
    <row r="56">
      <c r="A56" s="250"/>
      <c r="B56" s="251" t="s">
        <v>186</v>
      </c>
      <c r="C56" s="252">
        <v>1.0</v>
      </c>
      <c r="D56" s="253">
        <v>3000.0</v>
      </c>
      <c r="E56" s="259">
        <v>3000.0</v>
      </c>
      <c r="F56" s="255"/>
      <c r="G56" s="131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7"/>
      <c r="X56" s="257"/>
      <c r="Y56" s="258"/>
      <c r="Z56" s="258"/>
    </row>
    <row r="57">
      <c r="A57" s="250"/>
      <c r="B57" s="251" t="s">
        <v>313</v>
      </c>
      <c r="C57" s="252" t="s">
        <v>164</v>
      </c>
      <c r="D57" s="253">
        <v>2000.0</v>
      </c>
      <c r="E57" s="259">
        <v>4000.0</v>
      </c>
      <c r="F57" s="255"/>
      <c r="G57" s="131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7"/>
      <c r="X57" s="257"/>
      <c r="Y57" s="258"/>
      <c r="Z57" s="258"/>
    </row>
    <row r="58">
      <c r="A58" s="250"/>
      <c r="B58" s="251" t="s">
        <v>314</v>
      </c>
      <c r="C58" s="252" t="s">
        <v>164</v>
      </c>
      <c r="D58" s="253">
        <v>2000.0</v>
      </c>
      <c r="E58" s="259">
        <v>4000.0</v>
      </c>
      <c r="F58" s="255"/>
      <c r="G58" s="131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7"/>
      <c r="X58" s="257"/>
      <c r="Y58" s="258"/>
      <c r="Z58" s="258"/>
    </row>
    <row r="59" ht="15.75" customHeight="1">
      <c r="A59" s="250"/>
      <c r="B59" s="251" t="s">
        <v>189</v>
      </c>
      <c r="C59" s="252" t="s">
        <v>190</v>
      </c>
      <c r="D59" s="253">
        <v>3500.0</v>
      </c>
      <c r="E59" s="254">
        <f>20*D59</f>
        <v>70000</v>
      </c>
      <c r="F59" s="255"/>
      <c r="G59" s="131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7"/>
      <c r="Y59" s="258"/>
      <c r="Z59" s="258"/>
    </row>
    <row r="60">
      <c r="A60" s="241"/>
      <c r="B60" s="242" t="s">
        <v>191</v>
      </c>
      <c r="C60" s="243" t="s">
        <v>185</v>
      </c>
      <c r="D60" s="244">
        <v>1000.0</v>
      </c>
      <c r="E60" s="270">
        <v>3000.0</v>
      </c>
      <c r="F60" s="255"/>
      <c r="G60" s="131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8"/>
      <c r="X60" s="248"/>
      <c r="Y60" s="249"/>
      <c r="Z60" s="249"/>
    </row>
    <row r="61" ht="15.75" customHeight="1">
      <c r="A61" s="241"/>
      <c r="B61" s="242" t="s">
        <v>315</v>
      </c>
      <c r="C61" s="243" t="s">
        <v>316</v>
      </c>
      <c r="D61" s="244">
        <v>400.0</v>
      </c>
      <c r="E61" s="245">
        <f>D61*15</f>
        <v>6000</v>
      </c>
      <c r="F61" s="255"/>
      <c r="G61" s="131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8"/>
      <c r="X61" s="248"/>
      <c r="Y61" s="249"/>
      <c r="Z61" s="249"/>
    </row>
    <row r="62" ht="15.75" customHeight="1">
      <c r="A62" s="36"/>
      <c r="B62" s="154" t="s">
        <v>192</v>
      </c>
      <c r="C62" s="302" t="s">
        <v>162</v>
      </c>
      <c r="D62" s="303">
        <v>1000.0</v>
      </c>
      <c r="E62" s="439">
        <f t="shared" ref="E62:E65" si="5">D62*5</f>
        <v>5000</v>
      </c>
      <c r="F62" s="255"/>
      <c r="G62" s="131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1"/>
      <c r="X62" s="21"/>
      <c r="Y62" s="2"/>
      <c r="Z62" s="2"/>
    </row>
    <row r="63" ht="15.75" customHeight="1">
      <c r="A63" s="36"/>
      <c r="B63" s="154" t="s">
        <v>193</v>
      </c>
      <c r="C63" s="302" t="s">
        <v>162</v>
      </c>
      <c r="D63" s="303">
        <v>1500.0</v>
      </c>
      <c r="E63" s="439">
        <f t="shared" si="5"/>
        <v>7500</v>
      </c>
      <c r="F63" s="255"/>
      <c r="G63" s="131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1"/>
      <c r="X63" s="21"/>
      <c r="Y63" s="2"/>
      <c r="Z63" s="2"/>
    </row>
    <row r="64" ht="15.75" customHeight="1">
      <c r="A64" s="36"/>
      <c r="B64" s="467" t="s">
        <v>194</v>
      </c>
      <c r="C64" s="302" t="s">
        <v>162</v>
      </c>
      <c r="D64" s="303">
        <v>2000.0</v>
      </c>
      <c r="E64" s="439">
        <f t="shared" si="5"/>
        <v>10000</v>
      </c>
      <c r="F64" s="255"/>
      <c r="G64" s="131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1"/>
      <c r="X64" s="21"/>
      <c r="Y64" s="2"/>
      <c r="Z64" s="2"/>
    </row>
    <row r="65" ht="15.75" customHeight="1">
      <c r="A65" s="36"/>
      <c r="B65" s="154" t="s">
        <v>195</v>
      </c>
      <c r="C65" s="302" t="s">
        <v>162</v>
      </c>
      <c r="D65" s="303">
        <v>3000.0</v>
      </c>
      <c r="E65" s="439">
        <f t="shared" si="5"/>
        <v>15000</v>
      </c>
      <c r="F65" s="255"/>
      <c r="G65" s="131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1"/>
      <c r="X65" s="21"/>
      <c r="Y65" s="2"/>
      <c r="Z65" s="2"/>
    </row>
    <row r="66" ht="15.75" customHeight="1">
      <c r="A66" s="36"/>
      <c r="B66" s="154" t="s">
        <v>196</v>
      </c>
      <c r="C66" s="302" t="s">
        <v>197</v>
      </c>
      <c r="D66" s="303">
        <v>2000.0</v>
      </c>
      <c r="E66" s="439">
        <f>500*10</f>
        <v>5000</v>
      </c>
      <c r="F66" s="255"/>
      <c r="G66" s="131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1"/>
      <c r="X66" s="21"/>
      <c r="Y66" s="2"/>
      <c r="Z66" s="2"/>
    </row>
    <row r="67" ht="15.75" customHeight="1">
      <c r="A67" s="36"/>
      <c r="B67" s="154" t="s">
        <v>198</v>
      </c>
      <c r="C67" s="302" t="s">
        <v>197</v>
      </c>
      <c r="D67" s="303">
        <v>2000.0</v>
      </c>
      <c r="E67" s="439">
        <f>D67*10</f>
        <v>20000</v>
      </c>
      <c r="F67" s="255"/>
      <c r="G67" s="131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1"/>
      <c r="X67" s="21"/>
      <c r="Y67" s="2"/>
      <c r="Z67" s="2"/>
    </row>
    <row r="68" ht="15.75" customHeight="1">
      <c r="A68" s="36"/>
      <c r="B68" s="154" t="s">
        <v>199</v>
      </c>
      <c r="C68" s="302" t="s">
        <v>200</v>
      </c>
      <c r="D68" s="303">
        <v>1000.0</v>
      </c>
      <c r="E68" s="439">
        <f>D68*5</f>
        <v>5000</v>
      </c>
      <c r="F68" s="255"/>
      <c r="G68" s="131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21"/>
      <c r="X68" s="21"/>
      <c r="Y68" s="2"/>
      <c r="Z68" s="2"/>
    </row>
    <row r="69" ht="15.75" customHeight="1">
      <c r="A69" s="36"/>
      <c r="B69" s="468" t="s">
        <v>201</v>
      </c>
      <c r="C69" s="302" t="s">
        <v>185</v>
      </c>
      <c r="D69" s="303">
        <v>1000.0</v>
      </c>
      <c r="E69" s="439">
        <f>300*3</f>
        <v>900</v>
      </c>
      <c r="F69" s="255"/>
      <c r="G69" s="131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1"/>
      <c r="X69" s="21"/>
      <c r="Y69" s="2"/>
      <c r="Z69" s="2"/>
    </row>
    <row r="70" ht="15.75" customHeight="1">
      <c r="A70" s="36"/>
      <c r="B70" s="154" t="s">
        <v>202</v>
      </c>
      <c r="C70" s="302" t="s">
        <v>200</v>
      </c>
      <c r="D70" s="303">
        <v>1500.0</v>
      </c>
      <c r="E70" s="439">
        <f>D70*5</f>
        <v>7500</v>
      </c>
      <c r="F70" s="255"/>
      <c r="G70" s="131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1"/>
      <c r="X70" s="21"/>
      <c r="Y70" s="2"/>
      <c r="Z70" s="2"/>
    </row>
    <row r="71" ht="15.75" customHeight="1">
      <c r="A71" s="36"/>
      <c r="B71" s="154" t="s">
        <v>204</v>
      </c>
      <c r="C71" s="302" t="s">
        <v>205</v>
      </c>
      <c r="D71" s="303">
        <v>1000.0</v>
      </c>
      <c r="E71" s="439">
        <f>D71*18</f>
        <v>18000</v>
      </c>
      <c r="F71" s="255"/>
      <c r="G71" s="131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1"/>
      <c r="X71" s="21"/>
      <c r="Y71" s="2"/>
      <c r="Z71" s="2"/>
    </row>
    <row r="72" ht="15.75" customHeight="1">
      <c r="A72" s="36"/>
      <c r="B72" s="154" t="s">
        <v>206</v>
      </c>
      <c r="C72" s="302" t="s">
        <v>207</v>
      </c>
      <c r="D72" s="303">
        <v>5000.0</v>
      </c>
      <c r="E72" s="286">
        <v>5000.0</v>
      </c>
      <c r="F72" s="255"/>
      <c r="G72" s="131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1"/>
      <c r="X72" s="21"/>
      <c r="Y72" s="2"/>
      <c r="Z72" s="2"/>
    </row>
    <row r="73" ht="15.75" customHeight="1">
      <c r="A73" s="36"/>
      <c r="B73" s="154" t="s">
        <v>212</v>
      </c>
      <c r="C73" s="302" t="s">
        <v>213</v>
      </c>
      <c r="D73" s="303">
        <v>5000.0</v>
      </c>
      <c r="E73" s="439">
        <f>5000</f>
        <v>5000</v>
      </c>
      <c r="F73" s="255"/>
      <c r="G73" s="131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21"/>
      <c r="X73" s="21"/>
      <c r="Y73" s="2"/>
      <c r="Z73" s="2"/>
    </row>
    <row r="74" ht="15.75" customHeight="1">
      <c r="A74" s="36"/>
      <c r="B74" s="154" t="s">
        <v>214</v>
      </c>
      <c r="C74" s="302" t="s">
        <v>215</v>
      </c>
      <c r="D74" s="303">
        <v>20000.0</v>
      </c>
      <c r="E74" s="439">
        <f>D74*2</f>
        <v>40000</v>
      </c>
      <c r="F74" s="255"/>
      <c r="G74" s="131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1"/>
      <c r="X74" s="21"/>
      <c r="Y74" s="2"/>
      <c r="Z74" s="2"/>
    </row>
    <row r="75" ht="15.75" customHeight="1">
      <c r="A75" s="241"/>
      <c r="B75" s="242" t="s">
        <v>216</v>
      </c>
      <c r="C75" s="243" t="s">
        <v>162</v>
      </c>
      <c r="D75" s="244">
        <v>1000.0</v>
      </c>
      <c r="E75" s="245">
        <f>D75*5</f>
        <v>5000</v>
      </c>
      <c r="F75" s="255"/>
      <c r="G75" s="131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8"/>
      <c r="X75" s="248"/>
      <c r="Y75" s="249"/>
      <c r="Z75" s="249"/>
    </row>
    <row r="76" ht="15.75" customHeight="1">
      <c r="A76" s="36"/>
      <c r="B76" s="154" t="s">
        <v>217</v>
      </c>
      <c r="C76" s="302" t="s">
        <v>185</v>
      </c>
      <c r="D76" s="303">
        <v>1000.0</v>
      </c>
      <c r="E76" s="439">
        <f>D76*3</f>
        <v>3000</v>
      </c>
      <c r="F76" s="255"/>
      <c r="G76" s="131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1"/>
      <c r="X76" s="21"/>
      <c r="Y76" s="2"/>
      <c r="Z76" s="2"/>
    </row>
    <row r="77" ht="15.75" customHeight="1">
      <c r="A77" s="241"/>
      <c r="B77" s="242" t="s">
        <v>317</v>
      </c>
      <c r="C77" s="243" t="s">
        <v>197</v>
      </c>
      <c r="D77" s="244">
        <v>150.0</v>
      </c>
      <c r="E77" s="245">
        <f>D77*10</f>
        <v>1500</v>
      </c>
      <c r="F77" s="255"/>
      <c r="G77" s="131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8"/>
      <c r="X77" s="248"/>
      <c r="Y77" s="249"/>
      <c r="Z77" s="249"/>
    </row>
    <row r="78" ht="15.75" customHeight="1">
      <c r="A78" s="36"/>
      <c r="B78" s="154" t="s">
        <v>218</v>
      </c>
      <c r="C78" s="302" t="s">
        <v>162</v>
      </c>
      <c r="D78" s="303">
        <v>500.0</v>
      </c>
      <c r="E78" s="439">
        <f t="shared" ref="E78:E80" si="6">D78*5</f>
        <v>2500</v>
      </c>
      <c r="F78" s="255"/>
      <c r="G78" s="131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21"/>
      <c r="X78" s="21"/>
      <c r="Y78" s="2"/>
      <c r="Z78" s="2"/>
    </row>
    <row r="79" ht="15.75" customHeight="1">
      <c r="A79" s="36"/>
      <c r="B79" s="154" t="s">
        <v>219</v>
      </c>
      <c r="C79" s="302" t="s">
        <v>162</v>
      </c>
      <c r="D79" s="303">
        <v>500.0</v>
      </c>
      <c r="E79" s="439">
        <f t="shared" si="6"/>
        <v>2500</v>
      </c>
      <c r="F79" s="255"/>
      <c r="G79" s="131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21"/>
      <c r="X79" s="21"/>
      <c r="Y79" s="2"/>
      <c r="Z79" s="2"/>
    </row>
    <row r="80" ht="15.75" customHeight="1">
      <c r="A80" s="36"/>
      <c r="B80" s="154" t="s">
        <v>220</v>
      </c>
      <c r="C80" s="302" t="s">
        <v>162</v>
      </c>
      <c r="D80" s="303">
        <v>800.0</v>
      </c>
      <c r="E80" s="439">
        <f t="shared" si="6"/>
        <v>4000</v>
      </c>
      <c r="F80" s="255"/>
      <c r="G80" s="131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21"/>
      <c r="X80" s="21"/>
      <c r="Y80" s="2"/>
      <c r="Z80" s="2"/>
    </row>
    <row r="81" ht="15.75" customHeight="1">
      <c r="A81" s="469"/>
      <c r="B81" s="470" t="s">
        <v>318</v>
      </c>
      <c r="C81" s="471" t="s">
        <v>185</v>
      </c>
      <c r="D81" s="472">
        <v>3000.0</v>
      </c>
      <c r="E81" s="473">
        <f t="shared" ref="E81:E82" si="7">D81*3</f>
        <v>9000</v>
      </c>
      <c r="F81" s="474"/>
      <c r="G81" s="131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6"/>
      <c r="X81" s="476"/>
      <c r="Y81" s="477"/>
      <c r="Z81" s="477"/>
    </row>
    <row r="82" ht="41.25" customHeight="1">
      <c r="A82" s="469"/>
      <c r="B82" s="478" t="s">
        <v>221</v>
      </c>
      <c r="C82" s="471" t="s">
        <v>185</v>
      </c>
      <c r="D82" s="479">
        <v>15000.0</v>
      </c>
      <c r="E82" s="473">
        <f t="shared" si="7"/>
        <v>45000</v>
      </c>
      <c r="F82" s="474"/>
      <c r="G82" s="131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6"/>
      <c r="X82" s="476"/>
      <c r="Y82" s="477"/>
      <c r="Z82" s="477"/>
    </row>
    <row r="83" ht="15.75" customHeight="1">
      <c r="A83" s="36"/>
      <c r="B83" s="154" t="s">
        <v>319</v>
      </c>
      <c r="C83" s="302" t="s">
        <v>162</v>
      </c>
      <c r="D83" s="303">
        <v>600.0</v>
      </c>
      <c r="E83" s="286">
        <f>5*D83</f>
        <v>3000</v>
      </c>
      <c r="F83" s="255"/>
      <c r="G83" s="131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21"/>
      <c r="X83" s="21"/>
      <c r="Y83" s="2"/>
      <c r="Z83" s="2"/>
    </row>
    <row r="84" ht="15.75" customHeight="1">
      <c r="A84" s="36"/>
      <c r="B84" s="154" t="s">
        <v>227</v>
      </c>
      <c r="C84" s="302" t="s">
        <v>167</v>
      </c>
      <c r="D84" s="303">
        <v>50000.0</v>
      </c>
      <c r="E84" s="286">
        <v>50000.0</v>
      </c>
      <c r="F84" s="255"/>
      <c r="G84" s="131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21"/>
      <c r="X84" s="21"/>
      <c r="Y84" s="2"/>
      <c r="Z84" s="2"/>
    </row>
    <row r="85" ht="42.75" customHeight="1">
      <c r="A85" s="36"/>
      <c r="B85" s="154" t="s">
        <v>228</v>
      </c>
      <c r="C85" s="302" t="s">
        <v>229</v>
      </c>
      <c r="D85" s="303">
        <v>3800.0</v>
      </c>
      <c r="E85" s="157">
        <f t="shared" ref="E85:E86" si="8">D85*10</f>
        <v>38000</v>
      </c>
      <c r="F85" s="220" t="s">
        <v>32</v>
      </c>
      <c r="G85" s="480" t="s">
        <v>230</v>
      </c>
      <c r="H85" s="40"/>
      <c r="I85" s="220">
        <v>10.0</v>
      </c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21"/>
      <c r="X85" s="21"/>
      <c r="Y85" s="2"/>
      <c r="Z85" s="2"/>
    </row>
    <row r="86">
      <c r="A86" s="36"/>
      <c r="B86" s="154" t="s">
        <v>231</v>
      </c>
      <c r="C86" s="302" t="s">
        <v>232</v>
      </c>
      <c r="D86" s="303">
        <v>3000.0</v>
      </c>
      <c r="E86" s="157">
        <f t="shared" si="8"/>
        <v>30000</v>
      </c>
      <c r="F86" s="325" t="s">
        <v>32</v>
      </c>
      <c r="G86" s="132"/>
      <c r="H86" s="40"/>
      <c r="I86" s="220">
        <v>100.0</v>
      </c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21"/>
      <c r="X86" s="21"/>
      <c r="Y86" s="2"/>
      <c r="Z86" s="2"/>
    </row>
    <row r="87">
      <c r="A87" s="481">
        <v>12.0</v>
      </c>
      <c r="B87" s="470" t="s">
        <v>233</v>
      </c>
      <c r="C87" s="471" t="s">
        <v>234</v>
      </c>
      <c r="D87" s="472">
        <v>3500.0</v>
      </c>
      <c r="E87" s="482">
        <f t="shared" ref="E87:E88" si="9">D87*12</f>
        <v>42000</v>
      </c>
      <c r="F87" s="483" t="s">
        <v>32</v>
      </c>
      <c r="G87" s="132"/>
      <c r="H87" s="475"/>
      <c r="I87" s="484">
        <v>12.0</v>
      </c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6"/>
      <c r="X87" s="476"/>
      <c r="Y87" s="477"/>
      <c r="Z87" s="477"/>
    </row>
    <row r="88">
      <c r="A88" s="36"/>
      <c r="B88" s="154" t="s">
        <v>235</v>
      </c>
      <c r="C88" s="302" t="s">
        <v>234</v>
      </c>
      <c r="D88" s="303">
        <v>5000.0</v>
      </c>
      <c r="E88" s="157">
        <f t="shared" si="9"/>
        <v>60000</v>
      </c>
      <c r="F88" s="325" t="s">
        <v>32</v>
      </c>
      <c r="G88" s="132"/>
      <c r="H88" s="40"/>
      <c r="I88" s="220">
        <v>12.0</v>
      </c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21"/>
      <c r="X88" s="21"/>
      <c r="Y88" s="2"/>
      <c r="Z88" s="2"/>
    </row>
    <row r="89">
      <c r="A89" s="36"/>
      <c r="B89" s="154" t="s">
        <v>236</v>
      </c>
      <c r="C89" s="302" t="s">
        <v>229</v>
      </c>
      <c r="D89" s="303">
        <v>5000.0</v>
      </c>
      <c r="E89" s="157">
        <f>D89*10</f>
        <v>50000</v>
      </c>
      <c r="F89" s="325" t="s">
        <v>32</v>
      </c>
      <c r="G89" s="132"/>
      <c r="H89" s="40"/>
      <c r="I89" s="220">
        <v>10.0</v>
      </c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21"/>
      <c r="X89" s="21"/>
      <c r="Y89" s="2"/>
      <c r="Z89" s="2"/>
    </row>
    <row r="90">
      <c r="A90" s="36"/>
      <c r="B90" s="154" t="s">
        <v>237</v>
      </c>
      <c r="C90" s="302" t="s">
        <v>238</v>
      </c>
      <c r="D90" s="303">
        <v>8000.0</v>
      </c>
      <c r="E90" s="157">
        <f t="shared" ref="E90:E91" si="10">D90*5</f>
        <v>40000</v>
      </c>
      <c r="F90" s="325" t="s">
        <v>32</v>
      </c>
      <c r="G90" s="132"/>
      <c r="H90" s="40"/>
      <c r="I90" s="220">
        <v>5.0</v>
      </c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21"/>
      <c r="X90" s="21"/>
      <c r="Y90" s="2"/>
      <c r="Z90" s="2"/>
    </row>
    <row r="91">
      <c r="A91" s="485">
        <v>5.0</v>
      </c>
      <c r="B91" s="470" t="s">
        <v>240</v>
      </c>
      <c r="C91" s="471" t="s">
        <v>241</v>
      </c>
      <c r="D91" s="472">
        <v>2000.0</v>
      </c>
      <c r="E91" s="482">
        <f t="shared" si="10"/>
        <v>10000</v>
      </c>
      <c r="F91" s="483" t="s">
        <v>32</v>
      </c>
      <c r="G91" s="132"/>
      <c r="H91" s="475"/>
      <c r="I91" s="484">
        <v>5.0</v>
      </c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6"/>
      <c r="X91" s="476"/>
      <c r="Y91" s="477"/>
      <c r="Z91" s="477"/>
    </row>
    <row r="92">
      <c r="A92" s="481">
        <v>12.0</v>
      </c>
      <c r="B92" s="470" t="s">
        <v>242</v>
      </c>
      <c r="C92" s="471" t="s">
        <v>234</v>
      </c>
      <c r="D92" s="472">
        <v>4000.0</v>
      </c>
      <c r="E92" s="482">
        <f>12*4000</f>
        <v>48000</v>
      </c>
      <c r="F92" s="483" t="s">
        <v>32</v>
      </c>
      <c r="G92" s="132"/>
      <c r="H92" s="475"/>
      <c r="I92" s="484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6"/>
      <c r="X92" s="476"/>
      <c r="Y92" s="477"/>
      <c r="Z92" s="477"/>
    </row>
    <row r="93">
      <c r="A93" s="36"/>
      <c r="B93" s="154" t="s">
        <v>243</v>
      </c>
      <c r="C93" s="302" t="s">
        <v>241</v>
      </c>
      <c r="D93" s="303">
        <v>1000.0</v>
      </c>
      <c r="E93" s="157">
        <f t="shared" ref="E93:E94" si="11">D93*5</f>
        <v>5000</v>
      </c>
      <c r="F93" s="325" t="s">
        <v>32</v>
      </c>
      <c r="G93" s="132"/>
      <c r="H93" s="40"/>
      <c r="I93" s="220">
        <v>5.0</v>
      </c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21"/>
      <c r="X93" s="21"/>
      <c r="Y93" s="2"/>
      <c r="Z93" s="2"/>
    </row>
    <row r="94">
      <c r="A94" s="36"/>
      <c r="B94" s="154" t="s">
        <v>244</v>
      </c>
      <c r="C94" s="302" t="s">
        <v>238</v>
      </c>
      <c r="D94" s="303">
        <v>1000.0</v>
      </c>
      <c r="E94" s="157">
        <f t="shared" si="11"/>
        <v>5000</v>
      </c>
      <c r="F94" s="325" t="s">
        <v>32</v>
      </c>
      <c r="G94" s="132"/>
      <c r="H94" s="40"/>
      <c r="I94" s="220">
        <v>5.0</v>
      </c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21"/>
      <c r="X94" s="21"/>
      <c r="Y94" s="2"/>
      <c r="Z94" s="2"/>
    </row>
    <row r="95">
      <c r="A95" s="36"/>
      <c r="B95" s="40" t="s">
        <v>245</v>
      </c>
      <c r="C95" s="323"/>
      <c r="D95" s="303"/>
      <c r="E95" s="324"/>
      <c r="F95" s="325" t="s">
        <v>32</v>
      </c>
      <c r="G95" s="326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21"/>
      <c r="X95" s="21"/>
      <c r="Y95" s="2"/>
      <c r="Z95" s="2"/>
    </row>
    <row r="96">
      <c r="A96" s="469"/>
      <c r="B96" s="486" t="s">
        <v>246</v>
      </c>
      <c r="C96" s="487" t="s">
        <v>247</v>
      </c>
      <c r="D96" s="472">
        <v>5000.0</v>
      </c>
      <c r="E96" s="488">
        <f>10*D96</f>
        <v>50000</v>
      </c>
      <c r="F96" s="483" t="s">
        <v>32</v>
      </c>
      <c r="G96" s="489" t="s">
        <v>248</v>
      </c>
      <c r="H96" s="475"/>
      <c r="I96" s="484">
        <v>5.0</v>
      </c>
      <c r="J96" s="484">
        <v>5.0</v>
      </c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6"/>
      <c r="X96" s="476"/>
      <c r="Y96" s="477"/>
      <c r="Z96" s="477"/>
    </row>
    <row r="97">
      <c r="A97" s="469"/>
      <c r="B97" s="490" t="s">
        <v>249</v>
      </c>
      <c r="C97" s="491" t="s">
        <v>247</v>
      </c>
      <c r="D97" s="479">
        <v>5000.0</v>
      </c>
      <c r="E97" s="492">
        <f>D97*10</f>
        <v>50000</v>
      </c>
      <c r="F97" s="483" t="s">
        <v>32</v>
      </c>
      <c r="G97" s="132"/>
      <c r="H97" s="475"/>
      <c r="I97" s="484">
        <v>5.0</v>
      </c>
      <c r="J97" s="484">
        <v>5.0</v>
      </c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6"/>
      <c r="X97" s="476"/>
      <c r="Y97" s="477"/>
      <c r="Z97" s="477"/>
    </row>
    <row r="98">
      <c r="A98" s="469"/>
      <c r="B98" s="470" t="s">
        <v>250</v>
      </c>
      <c r="C98" s="471" t="s">
        <v>241</v>
      </c>
      <c r="D98" s="479">
        <f>120000</f>
        <v>120000</v>
      </c>
      <c r="E98" s="493">
        <f>D98*5</f>
        <v>600000</v>
      </c>
      <c r="F98" s="483" t="s">
        <v>32</v>
      </c>
      <c r="G98" s="494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6"/>
      <c r="X98" s="476"/>
      <c r="Y98" s="477"/>
      <c r="Z98" s="477"/>
    </row>
    <row r="99" ht="15.75" customHeight="1">
      <c r="A99" s="230"/>
      <c r="B99" s="345" t="s">
        <v>251</v>
      </c>
      <c r="C99" s="346"/>
      <c r="D99" s="347"/>
      <c r="E99" s="348"/>
      <c r="F99" s="349"/>
      <c r="G99" s="349"/>
      <c r="H99" s="349"/>
      <c r="I99" s="349"/>
      <c r="J99" s="349"/>
      <c r="K99" s="349"/>
      <c r="L99" s="349"/>
      <c r="M99" s="349"/>
      <c r="N99" s="349"/>
      <c r="O99" s="349"/>
      <c r="P99" s="349"/>
      <c r="Q99" s="349"/>
      <c r="R99" s="349"/>
      <c r="S99" s="349"/>
      <c r="T99" s="349"/>
      <c r="U99" s="349"/>
      <c r="V99" s="349"/>
      <c r="W99" s="185"/>
      <c r="X99" s="185"/>
      <c r="Y99" s="185"/>
      <c r="Z99" s="185"/>
    </row>
    <row r="100" ht="32.25" customHeight="1">
      <c r="A100" s="350"/>
      <c r="B100" s="351" t="s">
        <v>252</v>
      </c>
      <c r="C100" s="352" t="s">
        <v>253</v>
      </c>
      <c r="D100" s="225">
        <v>500.0</v>
      </c>
      <c r="E100" s="353">
        <f>D100*60</f>
        <v>30000</v>
      </c>
      <c r="F100" s="158" t="s">
        <v>41</v>
      </c>
      <c r="G100" s="354" t="s">
        <v>254</v>
      </c>
      <c r="H100" s="180"/>
      <c r="I100" s="355">
        <v>60.0</v>
      </c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5"/>
      <c r="X100" s="185"/>
      <c r="Y100" s="185"/>
      <c r="Z100" s="185"/>
    </row>
    <row r="101" ht="15.75" customHeight="1">
      <c r="A101" s="350"/>
      <c r="B101" s="356"/>
      <c r="C101" s="357"/>
      <c r="D101" s="358"/>
      <c r="E101" s="353"/>
      <c r="F101" s="158"/>
      <c r="G101" s="180"/>
      <c r="H101" s="180"/>
      <c r="I101" s="359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5"/>
      <c r="X101" s="185"/>
      <c r="Y101" s="185"/>
      <c r="Z101" s="185"/>
    </row>
    <row r="102" ht="15.75" customHeight="1">
      <c r="A102" s="350"/>
      <c r="B102" s="360"/>
      <c r="C102" s="357"/>
      <c r="D102" s="358"/>
      <c r="E102" s="353"/>
      <c r="F102" s="158"/>
      <c r="G102" s="180"/>
      <c r="H102" s="180"/>
      <c r="I102" s="359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5"/>
      <c r="X102" s="185"/>
      <c r="Y102" s="185"/>
      <c r="Z102" s="185"/>
    </row>
    <row r="103" ht="15.75" customHeight="1">
      <c r="A103" s="230"/>
      <c r="B103" s="345" t="s">
        <v>255</v>
      </c>
      <c r="C103" s="346"/>
      <c r="D103" s="347"/>
      <c r="E103" s="348"/>
      <c r="F103" s="349"/>
      <c r="G103" s="349"/>
      <c r="H103" s="349"/>
      <c r="I103" s="349"/>
      <c r="J103" s="349"/>
      <c r="K103" s="349"/>
      <c r="L103" s="349"/>
      <c r="M103" s="349"/>
      <c r="N103" s="349"/>
      <c r="O103" s="349"/>
      <c r="P103" s="349"/>
      <c r="Q103" s="349"/>
      <c r="R103" s="349"/>
      <c r="S103" s="349"/>
      <c r="T103" s="349"/>
      <c r="U103" s="349"/>
      <c r="V103" s="349"/>
      <c r="W103" s="185"/>
      <c r="X103" s="185"/>
      <c r="Y103" s="185"/>
      <c r="Z103" s="185"/>
    </row>
    <row r="104" ht="15.75" customHeight="1">
      <c r="A104" s="350"/>
      <c r="B104" s="361" t="s">
        <v>256</v>
      </c>
      <c r="C104" s="352" t="s">
        <v>257</v>
      </c>
      <c r="D104" s="225">
        <v>1000.0</v>
      </c>
      <c r="E104" s="353">
        <f t="shared" ref="E104:E119" si="12">D104*1</f>
        <v>1000</v>
      </c>
      <c r="F104" s="228" t="s">
        <v>255</v>
      </c>
      <c r="G104" s="362" t="s">
        <v>258</v>
      </c>
      <c r="H104" s="180"/>
      <c r="I104" s="355"/>
      <c r="J104" s="363">
        <v>1.0</v>
      </c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5"/>
      <c r="X104" s="185"/>
      <c r="Y104" s="185"/>
      <c r="Z104" s="185"/>
    </row>
    <row r="105" ht="15.75" customHeight="1">
      <c r="A105" s="350"/>
      <c r="B105" s="361" t="s">
        <v>259</v>
      </c>
      <c r="C105" s="352" t="s">
        <v>257</v>
      </c>
      <c r="D105" s="225">
        <v>1000.0</v>
      </c>
      <c r="E105" s="353">
        <f t="shared" si="12"/>
        <v>1000</v>
      </c>
      <c r="F105" s="228" t="s">
        <v>255</v>
      </c>
      <c r="G105" s="131"/>
      <c r="H105" s="180"/>
      <c r="I105" s="355"/>
      <c r="J105" s="363">
        <v>1.0</v>
      </c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5"/>
      <c r="X105" s="185"/>
      <c r="Y105" s="185"/>
      <c r="Z105" s="185"/>
    </row>
    <row r="106" ht="15.75" customHeight="1">
      <c r="A106" s="350"/>
      <c r="B106" s="361" t="s">
        <v>260</v>
      </c>
      <c r="C106" s="352" t="s">
        <v>257</v>
      </c>
      <c r="D106" s="225">
        <v>1000.0</v>
      </c>
      <c r="E106" s="353">
        <f t="shared" si="12"/>
        <v>1000</v>
      </c>
      <c r="F106" s="228" t="s">
        <v>255</v>
      </c>
      <c r="G106" s="131"/>
      <c r="H106" s="180"/>
      <c r="I106" s="359"/>
      <c r="J106" s="363">
        <v>1.0</v>
      </c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5"/>
      <c r="X106" s="185"/>
      <c r="Y106" s="185"/>
      <c r="Z106" s="185"/>
    </row>
    <row r="107" ht="15.75" customHeight="1">
      <c r="A107" s="350"/>
      <c r="B107" s="361" t="s">
        <v>261</v>
      </c>
      <c r="C107" s="352" t="s">
        <v>257</v>
      </c>
      <c r="D107" s="225">
        <v>1000.0</v>
      </c>
      <c r="E107" s="353">
        <f t="shared" si="12"/>
        <v>1000</v>
      </c>
      <c r="F107" s="228" t="s">
        <v>255</v>
      </c>
      <c r="G107" s="131"/>
      <c r="H107" s="180"/>
      <c r="I107" s="359"/>
      <c r="J107" s="363">
        <v>1.0</v>
      </c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5"/>
      <c r="X107" s="185"/>
      <c r="Y107" s="185"/>
      <c r="Z107" s="185"/>
    </row>
    <row r="108" ht="15.75" customHeight="1">
      <c r="A108" s="350"/>
      <c r="B108" s="361" t="s">
        <v>262</v>
      </c>
      <c r="C108" s="352" t="s">
        <v>257</v>
      </c>
      <c r="D108" s="225">
        <v>1000.0</v>
      </c>
      <c r="E108" s="353">
        <f t="shared" si="12"/>
        <v>1000</v>
      </c>
      <c r="F108" s="228" t="s">
        <v>255</v>
      </c>
      <c r="G108" s="131"/>
      <c r="H108" s="180"/>
      <c r="I108" s="359"/>
      <c r="J108" s="363">
        <v>1.0</v>
      </c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5"/>
      <c r="X108" s="185"/>
      <c r="Y108" s="185"/>
      <c r="Z108" s="185"/>
    </row>
    <row r="109" ht="15.75" customHeight="1">
      <c r="A109" s="350"/>
      <c r="B109" s="361" t="s">
        <v>263</v>
      </c>
      <c r="C109" s="352" t="s">
        <v>257</v>
      </c>
      <c r="D109" s="225">
        <v>1000.0</v>
      </c>
      <c r="E109" s="353">
        <f t="shared" si="12"/>
        <v>1000</v>
      </c>
      <c r="F109" s="228" t="s">
        <v>255</v>
      </c>
      <c r="G109" s="131"/>
      <c r="H109" s="180"/>
      <c r="I109" s="359"/>
      <c r="J109" s="363">
        <v>1.0</v>
      </c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5"/>
      <c r="X109" s="185"/>
      <c r="Y109" s="185"/>
      <c r="Z109" s="185"/>
    </row>
    <row r="110" ht="15.75" customHeight="1">
      <c r="A110" s="350"/>
      <c r="B110" s="361" t="s">
        <v>264</v>
      </c>
      <c r="C110" s="352" t="s">
        <v>257</v>
      </c>
      <c r="D110" s="225">
        <v>1000.0</v>
      </c>
      <c r="E110" s="353">
        <f t="shared" si="12"/>
        <v>1000</v>
      </c>
      <c r="F110" s="228" t="s">
        <v>255</v>
      </c>
      <c r="G110" s="131"/>
      <c r="H110" s="180"/>
      <c r="I110" s="359"/>
      <c r="J110" s="363">
        <v>1.0</v>
      </c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5"/>
      <c r="X110" s="185"/>
      <c r="Y110" s="185"/>
      <c r="Z110" s="185"/>
    </row>
    <row r="111" ht="15.75" customHeight="1">
      <c r="A111" s="350"/>
      <c r="B111" s="361" t="s">
        <v>265</v>
      </c>
      <c r="C111" s="352" t="s">
        <v>257</v>
      </c>
      <c r="D111" s="225">
        <v>1000.0</v>
      </c>
      <c r="E111" s="353">
        <f t="shared" si="12"/>
        <v>1000</v>
      </c>
      <c r="F111" s="228" t="s">
        <v>255</v>
      </c>
      <c r="G111" s="131"/>
      <c r="H111" s="180"/>
      <c r="I111" s="359"/>
      <c r="J111" s="363">
        <v>1.0</v>
      </c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5"/>
      <c r="X111" s="185"/>
      <c r="Y111" s="185"/>
      <c r="Z111" s="185"/>
    </row>
    <row r="112" ht="15.75" customHeight="1">
      <c r="A112" s="350"/>
      <c r="B112" s="361" t="s">
        <v>266</v>
      </c>
      <c r="C112" s="352" t="s">
        <v>257</v>
      </c>
      <c r="D112" s="225">
        <v>1000.0</v>
      </c>
      <c r="E112" s="353">
        <f t="shared" si="12"/>
        <v>1000</v>
      </c>
      <c r="F112" s="228" t="s">
        <v>255</v>
      </c>
      <c r="G112" s="131"/>
      <c r="H112" s="180"/>
      <c r="I112" s="359"/>
      <c r="J112" s="363">
        <v>1.0</v>
      </c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5"/>
      <c r="X112" s="185"/>
      <c r="Y112" s="185"/>
      <c r="Z112" s="185"/>
    </row>
    <row r="113" ht="15.75" customHeight="1">
      <c r="A113" s="350"/>
      <c r="B113" s="361" t="s">
        <v>267</v>
      </c>
      <c r="C113" s="352" t="s">
        <v>257</v>
      </c>
      <c r="D113" s="225">
        <v>1000.0</v>
      </c>
      <c r="E113" s="353">
        <f t="shared" si="12"/>
        <v>1000</v>
      </c>
      <c r="F113" s="228" t="s">
        <v>255</v>
      </c>
      <c r="G113" s="131"/>
      <c r="H113" s="180"/>
      <c r="I113" s="359"/>
      <c r="J113" s="363">
        <v>1.0</v>
      </c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5"/>
      <c r="X113" s="185"/>
      <c r="Y113" s="185"/>
      <c r="Z113" s="185"/>
    </row>
    <row r="114" ht="15.75" customHeight="1">
      <c r="A114" s="350"/>
      <c r="B114" s="361" t="s">
        <v>268</v>
      </c>
      <c r="C114" s="352" t="s">
        <v>257</v>
      </c>
      <c r="D114" s="225">
        <v>1000.0</v>
      </c>
      <c r="E114" s="353">
        <f t="shared" si="12"/>
        <v>1000</v>
      </c>
      <c r="F114" s="228" t="s">
        <v>255</v>
      </c>
      <c r="G114" s="131"/>
      <c r="H114" s="180"/>
      <c r="I114" s="359"/>
      <c r="J114" s="363">
        <v>1.0</v>
      </c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5"/>
      <c r="X114" s="185"/>
      <c r="Y114" s="185"/>
      <c r="Z114" s="185"/>
    </row>
    <row r="115" ht="15.75" customHeight="1">
      <c r="A115" s="350"/>
      <c r="B115" s="361" t="s">
        <v>269</v>
      </c>
      <c r="C115" s="352" t="s">
        <v>257</v>
      </c>
      <c r="D115" s="225">
        <v>1000.0</v>
      </c>
      <c r="E115" s="353">
        <f t="shared" si="12"/>
        <v>1000</v>
      </c>
      <c r="F115" s="228" t="s">
        <v>255</v>
      </c>
      <c r="G115" s="131"/>
      <c r="H115" s="180"/>
      <c r="I115" s="359"/>
      <c r="J115" s="363">
        <v>1.0</v>
      </c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5"/>
      <c r="X115" s="185"/>
      <c r="Y115" s="185"/>
      <c r="Z115" s="185"/>
    </row>
    <row r="116" ht="15.75" customHeight="1">
      <c r="A116" s="350"/>
      <c r="B116" s="361" t="s">
        <v>270</v>
      </c>
      <c r="C116" s="352" t="s">
        <v>257</v>
      </c>
      <c r="D116" s="225">
        <v>1000.0</v>
      </c>
      <c r="E116" s="353">
        <f t="shared" si="12"/>
        <v>1000</v>
      </c>
      <c r="F116" s="228" t="s">
        <v>255</v>
      </c>
      <c r="G116" s="131"/>
      <c r="H116" s="180"/>
      <c r="I116" s="359"/>
      <c r="J116" s="363">
        <v>1.0</v>
      </c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5"/>
      <c r="X116" s="185"/>
      <c r="Y116" s="185"/>
      <c r="Z116" s="185"/>
    </row>
    <row r="117" ht="15.75" customHeight="1">
      <c r="A117" s="350"/>
      <c r="B117" s="361" t="s">
        <v>271</v>
      </c>
      <c r="C117" s="352" t="s">
        <v>257</v>
      </c>
      <c r="D117" s="225">
        <v>1000.0</v>
      </c>
      <c r="E117" s="353">
        <f t="shared" si="12"/>
        <v>1000</v>
      </c>
      <c r="F117" s="228" t="s">
        <v>255</v>
      </c>
      <c r="G117" s="131"/>
      <c r="H117" s="180"/>
      <c r="I117" s="359"/>
      <c r="J117" s="363">
        <v>1.0</v>
      </c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5"/>
      <c r="X117" s="185"/>
      <c r="Y117" s="185"/>
      <c r="Z117" s="185"/>
    </row>
    <row r="118" ht="15.75" customHeight="1">
      <c r="A118" s="350"/>
      <c r="B118" s="361" t="s">
        <v>272</v>
      </c>
      <c r="C118" s="352" t="s">
        <v>257</v>
      </c>
      <c r="D118" s="225">
        <v>1000.0</v>
      </c>
      <c r="E118" s="353">
        <f t="shared" si="12"/>
        <v>1000</v>
      </c>
      <c r="F118" s="228" t="s">
        <v>255</v>
      </c>
      <c r="G118" s="131"/>
      <c r="H118" s="180"/>
      <c r="I118" s="359"/>
      <c r="J118" s="363">
        <v>1.0</v>
      </c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5"/>
      <c r="X118" s="185"/>
      <c r="Y118" s="185"/>
      <c r="Z118" s="185"/>
    </row>
    <row r="119" ht="15.75" customHeight="1">
      <c r="A119" s="350"/>
      <c r="B119" s="361" t="s">
        <v>273</v>
      </c>
      <c r="C119" s="352" t="s">
        <v>257</v>
      </c>
      <c r="D119" s="225">
        <v>1000.0</v>
      </c>
      <c r="E119" s="353">
        <f t="shared" si="12"/>
        <v>1000</v>
      </c>
      <c r="F119" s="228" t="s">
        <v>255</v>
      </c>
      <c r="G119" s="69"/>
      <c r="H119" s="180"/>
      <c r="I119" s="359"/>
      <c r="J119" s="363">
        <v>1.0</v>
      </c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5"/>
      <c r="X119" s="185"/>
      <c r="Y119" s="185"/>
      <c r="Z119" s="185"/>
    </row>
    <row r="120" ht="15.75" customHeight="1">
      <c r="A120" s="230"/>
      <c r="B120" s="345" t="s">
        <v>277</v>
      </c>
      <c r="C120" s="346"/>
      <c r="D120" s="347"/>
      <c r="E120" s="348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185"/>
      <c r="X120" s="185"/>
      <c r="Y120" s="185"/>
      <c r="Z120" s="185"/>
    </row>
    <row r="121" ht="15.75" customHeight="1">
      <c r="A121" s="230"/>
      <c r="B121" s="372" t="s">
        <v>278</v>
      </c>
      <c r="C121" s="373" t="s">
        <v>137</v>
      </c>
      <c r="D121" s="374">
        <v>1200000.0</v>
      </c>
      <c r="E121" s="375">
        <f t="shared" ref="E121:E124" si="13">D121</f>
        <v>1200000</v>
      </c>
      <c r="F121" s="228" t="s">
        <v>279</v>
      </c>
      <c r="G121" s="376" t="s">
        <v>248</v>
      </c>
      <c r="H121" s="180"/>
      <c r="I121" s="355">
        <v>1.0</v>
      </c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5"/>
      <c r="X121" s="185"/>
      <c r="Y121" s="185"/>
      <c r="Z121" s="185"/>
    </row>
    <row r="122" ht="15.75" customHeight="1">
      <c r="A122" s="230"/>
      <c r="B122" s="372" t="s">
        <v>280</v>
      </c>
      <c r="C122" s="373" t="s">
        <v>137</v>
      </c>
      <c r="D122" s="374">
        <v>1266666.67</v>
      </c>
      <c r="E122" s="375">
        <f t="shared" si="13"/>
        <v>1266666.67</v>
      </c>
      <c r="F122" s="228" t="s">
        <v>279</v>
      </c>
      <c r="G122" s="131"/>
      <c r="H122" s="180"/>
      <c r="I122" s="355">
        <v>1.0</v>
      </c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5"/>
      <c r="X122" s="185"/>
      <c r="Y122" s="185"/>
      <c r="Z122" s="185"/>
    </row>
    <row r="123" ht="15.75" customHeight="1">
      <c r="A123" s="230"/>
      <c r="B123" s="372" t="s">
        <v>281</v>
      </c>
      <c r="C123" s="373" t="s">
        <v>137</v>
      </c>
      <c r="D123" s="374">
        <v>1266666.67</v>
      </c>
      <c r="E123" s="375">
        <f t="shared" si="13"/>
        <v>1266666.67</v>
      </c>
      <c r="F123" s="228" t="s">
        <v>279</v>
      </c>
      <c r="G123" s="131"/>
      <c r="H123" s="180"/>
      <c r="I123" s="355">
        <v>1.0</v>
      </c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5"/>
      <c r="X123" s="185"/>
      <c r="Y123" s="185"/>
      <c r="Z123" s="185"/>
    </row>
    <row r="124" ht="15.75" customHeight="1">
      <c r="A124" s="230"/>
      <c r="B124" s="372" t="s">
        <v>282</v>
      </c>
      <c r="C124" s="373" t="s">
        <v>137</v>
      </c>
      <c r="D124" s="374">
        <v>1266666.67</v>
      </c>
      <c r="E124" s="375">
        <f t="shared" si="13"/>
        <v>1266666.67</v>
      </c>
      <c r="F124" s="228" t="s">
        <v>279</v>
      </c>
      <c r="G124" s="69"/>
      <c r="H124" s="180"/>
      <c r="I124" s="355">
        <v>1.0</v>
      </c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5"/>
      <c r="X124" s="185"/>
      <c r="Y124" s="185"/>
      <c r="Z124" s="185"/>
    </row>
    <row r="125" ht="15.75" customHeight="1">
      <c r="A125" s="230"/>
      <c r="B125" s="377" t="s">
        <v>283</v>
      </c>
      <c r="C125" s="346"/>
      <c r="D125" s="347"/>
      <c r="E125" s="348"/>
      <c r="F125" s="349"/>
      <c r="G125" s="349"/>
      <c r="H125" s="349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185"/>
      <c r="X125" s="185"/>
      <c r="Y125" s="185"/>
      <c r="Z125" s="185"/>
    </row>
    <row r="126" ht="54.75" customHeight="1">
      <c r="A126" s="230"/>
      <c r="B126" s="378" t="s">
        <v>284</v>
      </c>
      <c r="C126" s="495" t="s">
        <v>320</v>
      </c>
      <c r="D126" s="379">
        <v>9000.0</v>
      </c>
      <c r="E126" s="375">
        <f>20*9000</f>
        <v>180000</v>
      </c>
      <c r="F126" s="158" t="s">
        <v>286</v>
      </c>
      <c r="G126" s="380" t="s">
        <v>258</v>
      </c>
      <c r="H126" s="359"/>
      <c r="I126" s="180">
        <v>20.0</v>
      </c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5"/>
      <c r="X126" s="185"/>
      <c r="Y126" s="185"/>
      <c r="Z126" s="185"/>
    </row>
    <row r="127" ht="66.75" customHeight="1">
      <c r="A127" s="381"/>
      <c r="B127" s="382" t="s">
        <v>287</v>
      </c>
      <c r="C127" s="357" t="s">
        <v>288</v>
      </c>
      <c r="D127" s="358">
        <v>2500.0</v>
      </c>
      <c r="E127" s="383">
        <f>20*2500</f>
        <v>50000</v>
      </c>
      <c r="F127" s="384" t="s">
        <v>286</v>
      </c>
      <c r="G127" s="380" t="s">
        <v>258</v>
      </c>
      <c r="H127" s="385"/>
      <c r="I127" s="386">
        <v>20.0</v>
      </c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185"/>
      <c r="X127" s="185"/>
      <c r="Y127" s="185"/>
      <c r="Z127" s="185"/>
    </row>
    <row r="128" ht="15.75" customHeight="1">
      <c r="A128" s="230"/>
      <c r="B128" s="377" t="s">
        <v>289</v>
      </c>
      <c r="C128" s="346"/>
      <c r="D128" s="347"/>
      <c r="E128" s="348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185"/>
      <c r="X128" s="185"/>
      <c r="Y128" s="185"/>
      <c r="Z128" s="185"/>
    </row>
    <row r="129" ht="15.75" customHeight="1">
      <c r="A129" s="36"/>
      <c r="B129" s="37" t="s">
        <v>290</v>
      </c>
      <c r="C129" s="44" t="s">
        <v>291</v>
      </c>
      <c r="D129" s="45">
        <v>250000.0</v>
      </c>
      <c r="E129" s="157">
        <f>6*D129</f>
        <v>1500000</v>
      </c>
      <c r="F129" s="107" t="s">
        <v>292</v>
      </c>
      <c r="G129" s="40"/>
      <c r="H129" s="40">
        <v>6.0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21"/>
      <c r="X129" s="21"/>
      <c r="Y129" s="2"/>
      <c r="Z129" s="2"/>
    </row>
    <row r="130" ht="15.75" customHeight="1">
      <c r="A130" s="36"/>
      <c r="B130" s="37" t="s">
        <v>293</v>
      </c>
      <c r="C130" s="44" t="s">
        <v>294</v>
      </c>
      <c r="D130" s="45">
        <v>1500000.0</v>
      </c>
      <c r="E130" s="157">
        <f>D130*3</f>
        <v>4500000</v>
      </c>
      <c r="F130" s="107" t="s">
        <v>292</v>
      </c>
      <c r="G130" s="40"/>
      <c r="H130" s="40">
        <v>3.0</v>
      </c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21"/>
      <c r="X130" s="21"/>
      <c r="Y130" s="2"/>
      <c r="Z130" s="2"/>
    </row>
    <row r="131" ht="15.75" customHeight="1">
      <c r="A131" s="36"/>
      <c r="B131" s="37" t="s">
        <v>295</v>
      </c>
      <c r="C131" s="44" t="s">
        <v>291</v>
      </c>
      <c r="D131" s="45">
        <v>600000.0</v>
      </c>
      <c r="E131" s="157">
        <f>D131*6</f>
        <v>3600000</v>
      </c>
      <c r="F131" s="107" t="s">
        <v>292</v>
      </c>
      <c r="G131" s="40"/>
      <c r="H131" s="40">
        <v>6.0</v>
      </c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21"/>
      <c r="X131" s="21"/>
      <c r="Y131" s="2"/>
      <c r="Z131" s="2"/>
    </row>
    <row r="132" ht="15.75" customHeight="1">
      <c r="A132" s="36"/>
      <c r="B132" s="37" t="s">
        <v>296</v>
      </c>
      <c r="C132" s="44" t="s">
        <v>294</v>
      </c>
      <c r="D132" s="45">
        <v>800000.0</v>
      </c>
      <c r="E132" s="157">
        <f t="shared" ref="E132:E133" si="14">D132*3</f>
        <v>2400000</v>
      </c>
      <c r="F132" s="107" t="s">
        <v>292</v>
      </c>
      <c r="G132" s="40"/>
      <c r="H132" s="40">
        <v>3.0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21"/>
      <c r="X132" s="21"/>
      <c r="Y132" s="2"/>
      <c r="Z132" s="2"/>
    </row>
    <row r="133" ht="15.75" customHeight="1">
      <c r="A133" s="36"/>
      <c r="B133" s="37" t="s">
        <v>297</v>
      </c>
      <c r="C133" s="44" t="s">
        <v>294</v>
      </c>
      <c r="D133" s="45">
        <v>800000.0</v>
      </c>
      <c r="E133" s="157">
        <f t="shared" si="14"/>
        <v>2400000</v>
      </c>
      <c r="F133" s="107" t="s">
        <v>292</v>
      </c>
      <c r="G133" s="40"/>
      <c r="H133" s="40">
        <v>3.0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21"/>
      <c r="X133" s="21"/>
      <c r="Y133" s="2"/>
      <c r="Z133" s="2"/>
    </row>
    <row r="134" ht="15.75" hidden="1" customHeight="1">
      <c r="A134" s="36"/>
      <c r="B134" s="37"/>
      <c r="C134" s="44"/>
      <c r="D134" s="45"/>
      <c r="E134" s="46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21"/>
      <c r="X134" s="21"/>
      <c r="Y134" s="2"/>
      <c r="Z134" s="2"/>
    </row>
    <row r="135" ht="15.75" hidden="1" customHeight="1">
      <c r="A135" s="36"/>
      <c r="B135" s="37"/>
      <c r="C135" s="44"/>
      <c r="D135" s="45"/>
      <c r="E135" s="46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21"/>
      <c r="X135" s="21"/>
      <c r="Y135" s="2"/>
      <c r="Z135" s="2"/>
    </row>
    <row r="136" ht="15.75" hidden="1" customHeight="1">
      <c r="A136" s="36"/>
      <c r="B136" s="37"/>
      <c r="C136" s="44"/>
      <c r="D136" s="45"/>
      <c r="E136" s="46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21"/>
      <c r="X136" s="21"/>
      <c r="Y136" s="2"/>
      <c r="Z136" s="2"/>
    </row>
    <row r="137" ht="15.75" hidden="1" customHeight="1">
      <c r="A137" s="36"/>
      <c r="B137" s="37"/>
      <c r="C137" s="44"/>
      <c r="D137" s="45"/>
      <c r="E137" s="46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21"/>
      <c r="X137" s="21"/>
      <c r="Y137" s="2"/>
      <c r="Z137" s="2"/>
    </row>
    <row r="138" ht="15.75" hidden="1" customHeight="1">
      <c r="A138" s="36"/>
      <c r="B138" s="37"/>
      <c r="C138" s="44"/>
      <c r="D138" s="45"/>
      <c r="E138" s="46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21"/>
      <c r="X138" s="21"/>
      <c r="Y138" s="2"/>
      <c r="Z138" s="2"/>
    </row>
    <row r="139" ht="15.75" hidden="1" customHeight="1">
      <c r="A139" s="36"/>
      <c r="B139" s="37"/>
      <c r="C139" s="44"/>
      <c r="D139" s="45"/>
      <c r="E139" s="46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21"/>
      <c r="X139" s="21"/>
      <c r="Y139" s="2"/>
      <c r="Z139" s="2"/>
    </row>
    <row r="140" ht="15.75" hidden="1" customHeight="1">
      <c r="A140" s="52"/>
      <c r="B140" s="53"/>
      <c r="C140" s="54"/>
      <c r="D140" s="55"/>
      <c r="E140" s="56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21"/>
      <c r="X140" s="21"/>
      <c r="Y140" s="2"/>
      <c r="Z140" s="2"/>
    </row>
    <row r="141" ht="15.75" hidden="1" customHeight="1">
      <c r="A141" s="36"/>
      <c r="B141" s="49" t="s">
        <v>109</v>
      </c>
      <c r="C141" s="50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21"/>
      <c r="X141" s="21"/>
      <c r="Y141" s="2"/>
      <c r="Z141" s="2"/>
    </row>
    <row r="142" ht="15.75" hidden="1" customHeight="1">
      <c r="A142" s="36"/>
      <c r="B142" s="37"/>
      <c r="C142" s="44"/>
      <c r="D142" s="45"/>
      <c r="E142" s="46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21"/>
      <c r="X142" s="21"/>
      <c r="Y142" s="2"/>
      <c r="Z142" s="2"/>
    </row>
    <row r="143" ht="15.75" hidden="1" customHeight="1">
      <c r="A143" s="36"/>
      <c r="B143" s="37"/>
      <c r="C143" s="44"/>
      <c r="D143" s="45"/>
      <c r="E143" s="46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21"/>
      <c r="X143" s="21"/>
      <c r="Y143" s="2"/>
      <c r="Z143" s="2"/>
    </row>
    <row r="144" ht="15.75" hidden="1" customHeight="1">
      <c r="A144" s="36"/>
      <c r="B144" s="37"/>
      <c r="C144" s="44"/>
      <c r="D144" s="45"/>
      <c r="E144" s="46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21"/>
      <c r="X144" s="21"/>
      <c r="Y144" s="2"/>
      <c r="Z144" s="2"/>
    </row>
    <row r="145" ht="15.75" hidden="1" customHeight="1">
      <c r="A145" s="36"/>
      <c r="B145" s="37"/>
      <c r="C145" s="44"/>
      <c r="D145" s="45"/>
      <c r="E145" s="46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21"/>
      <c r="X145" s="21"/>
      <c r="Y145" s="2"/>
      <c r="Z145" s="2"/>
    </row>
    <row r="146" ht="15.75" hidden="1" customHeight="1">
      <c r="A146" s="36"/>
      <c r="B146" s="49" t="s">
        <v>110</v>
      </c>
      <c r="C146" s="50"/>
      <c r="D146" s="51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21"/>
      <c r="X146" s="21"/>
      <c r="Y146" s="2"/>
      <c r="Z146" s="2"/>
    </row>
    <row r="147" ht="15.75" hidden="1" customHeight="1">
      <c r="A147" s="36"/>
      <c r="B147" s="37"/>
      <c r="C147" s="44"/>
      <c r="D147" s="45"/>
      <c r="E147" s="46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21"/>
      <c r="X147" s="21"/>
      <c r="Y147" s="2"/>
      <c r="Z147" s="2"/>
    </row>
    <row r="148" ht="15.75" hidden="1" customHeight="1">
      <c r="A148" s="36"/>
      <c r="B148" s="37"/>
      <c r="C148" s="44"/>
      <c r="D148" s="45"/>
      <c r="E148" s="46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21"/>
      <c r="X148" s="21"/>
      <c r="Y148" s="2"/>
      <c r="Z148" s="2"/>
    </row>
    <row r="149" ht="15.75" hidden="1" customHeight="1">
      <c r="A149" s="36"/>
      <c r="B149" s="37"/>
      <c r="C149" s="44"/>
      <c r="D149" s="45"/>
      <c r="E149" s="46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21"/>
      <c r="X149" s="21"/>
      <c r="Y149" s="2"/>
      <c r="Z149" s="2"/>
    </row>
    <row r="150" ht="15.75" customHeight="1">
      <c r="A150" s="36"/>
      <c r="B150" s="387" t="s">
        <v>298</v>
      </c>
      <c r="C150" s="388" t="s">
        <v>294</v>
      </c>
      <c r="D150" s="389">
        <v>105000.0</v>
      </c>
      <c r="E150" s="45">
        <f>D150*3</f>
        <v>315000</v>
      </c>
      <c r="F150" s="107" t="s">
        <v>292</v>
      </c>
      <c r="G150" s="390"/>
      <c r="H150" s="390"/>
      <c r="I150" s="391"/>
      <c r="J150" s="220">
        <v>3.0</v>
      </c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21"/>
      <c r="X150" s="21"/>
      <c r="Y150" s="2"/>
      <c r="Z150" s="2"/>
    </row>
    <row r="151" ht="15.75" customHeight="1">
      <c r="A151" s="52"/>
      <c r="B151" s="57" t="s">
        <v>111</v>
      </c>
      <c r="C151" s="58"/>
      <c r="D151" s="58"/>
      <c r="E151" s="58"/>
      <c r="F151" s="58"/>
      <c r="G151" s="58"/>
      <c r="H151" s="58"/>
      <c r="I151" s="59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21"/>
      <c r="X151" s="21"/>
      <c r="Y151" s="2"/>
      <c r="Z151" s="2"/>
    </row>
    <row r="152" ht="15.75" customHeight="1">
      <c r="A152" s="60"/>
      <c r="B152" s="61"/>
      <c r="C152" s="2"/>
      <c r="D152" s="9"/>
      <c r="E152" s="62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3" t="s">
        <v>112</v>
      </c>
      <c r="B153" s="6"/>
      <c r="C153" s="64">
        <f>sum(E12:E133)</f>
        <v>21288100.01</v>
      </c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hidden="1" customHeight="1">
      <c r="A154" s="65" t="s">
        <v>113</v>
      </c>
      <c r="B154" s="66"/>
      <c r="C154" s="67">
        <f>PRODUCT(C153,0.1)</f>
        <v>2128810.001</v>
      </c>
      <c r="D154" s="68"/>
      <c r="E154" s="69"/>
      <c r="F154" s="11"/>
      <c r="G154" s="11"/>
      <c r="H154" s="70"/>
      <c r="J154" s="70"/>
      <c r="U154" s="70"/>
      <c r="V154" s="2"/>
      <c r="W154" s="2"/>
      <c r="X154" s="2"/>
      <c r="Y154" s="2"/>
      <c r="Z154" s="2"/>
    </row>
    <row r="155" ht="15.75" hidden="1" customHeight="1">
      <c r="A155" s="71" t="s">
        <v>114</v>
      </c>
      <c r="B155" s="72"/>
      <c r="C155" s="73">
        <f>PRODUCT(C153,0.1)</f>
        <v>2128810.001</v>
      </c>
      <c r="D155" s="58"/>
      <c r="E155" s="59"/>
      <c r="F155" s="11"/>
      <c r="G155" s="11"/>
      <c r="H155" s="74"/>
      <c r="I155" s="74"/>
      <c r="J155" s="75"/>
      <c r="U155" s="75"/>
      <c r="V155" s="2"/>
      <c r="W155" s="2"/>
      <c r="X155" s="2"/>
      <c r="Y155" s="2"/>
      <c r="Z155" s="2"/>
    </row>
    <row r="156" ht="15.75" hidden="1" customHeight="1">
      <c r="A156" s="71" t="s">
        <v>115</v>
      </c>
      <c r="B156" s="72"/>
      <c r="C156" s="73">
        <f>SUM(C153:E155)</f>
        <v>25545720.01</v>
      </c>
      <c r="D156" s="58"/>
      <c r="E156" s="59"/>
      <c r="F156" s="11"/>
      <c r="G156" s="11"/>
      <c r="H156" s="74"/>
      <c r="I156" s="74"/>
      <c r="J156" s="75"/>
      <c r="U156" s="75"/>
      <c r="V156" s="2"/>
      <c r="W156" s="2"/>
      <c r="X156" s="2"/>
      <c r="Y156" s="2"/>
      <c r="Z156" s="2"/>
    </row>
    <row r="157" ht="15.75" customHeight="1">
      <c r="A157" s="76"/>
      <c r="B157" s="6"/>
      <c r="C157" s="2"/>
      <c r="D157" s="9"/>
      <c r="E157" s="10"/>
      <c r="F157" s="11"/>
      <c r="G157" s="11"/>
      <c r="H157" s="74"/>
      <c r="I157" s="74"/>
      <c r="J157" s="75"/>
      <c r="U157" s="75"/>
      <c r="V157" s="2"/>
      <c r="W157" s="2"/>
      <c r="X157" s="2"/>
      <c r="Y157" s="2"/>
      <c r="Z157" s="2"/>
    </row>
    <row r="158" ht="15.75" customHeight="1">
      <c r="A158" s="77" t="s">
        <v>116</v>
      </c>
      <c r="B158" s="6"/>
      <c r="C158" s="2"/>
      <c r="D158" s="9"/>
      <c r="E158" s="10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8"/>
      <c r="B159" s="6"/>
      <c r="C159" s="2"/>
      <c r="D159" s="9"/>
      <c r="E159" s="10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9" t="s">
        <v>117</v>
      </c>
      <c r="B160" s="61"/>
      <c r="C160" s="80" t="s">
        <v>118</v>
      </c>
      <c r="F160" s="74"/>
      <c r="G160" s="74"/>
      <c r="H160" s="2"/>
      <c r="I160" s="80" t="s">
        <v>119</v>
      </c>
      <c r="O160" s="2"/>
      <c r="P160" s="2"/>
      <c r="Q160" s="80" t="s">
        <v>120</v>
      </c>
      <c r="U160" s="2"/>
      <c r="V160" s="2"/>
      <c r="X160" s="74"/>
      <c r="Y160" s="2"/>
      <c r="Z160" s="2"/>
    </row>
    <row r="161" ht="15.75" customHeight="1">
      <c r="A161" s="79"/>
      <c r="B161" s="61"/>
      <c r="C161" s="80"/>
      <c r="D161" s="81"/>
      <c r="E161" s="80"/>
      <c r="F161" s="74"/>
      <c r="G161" s="74"/>
      <c r="H161" s="2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74"/>
      <c r="X161" s="74"/>
      <c r="Y161" s="2"/>
      <c r="Z161" s="2"/>
    </row>
    <row r="162" ht="15.75" customHeight="1">
      <c r="A162" s="61"/>
      <c r="B162" s="61"/>
      <c r="C162" s="74"/>
      <c r="D162" s="82"/>
      <c r="E162" s="83"/>
      <c r="F162" s="74"/>
      <c r="G162" s="74"/>
      <c r="H162" s="2"/>
      <c r="I162" s="74"/>
      <c r="J162" s="83"/>
      <c r="K162" s="83"/>
      <c r="L162" s="83"/>
      <c r="M162" s="83"/>
      <c r="N162" s="83"/>
      <c r="O162" s="83"/>
      <c r="P162" s="83"/>
      <c r="Q162" s="74"/>
      <c r="R162" s="83"/>
      <c r="S162" s="74"/>
      <c r="T162" s="74"/>
      <c r="U162" s="74"/>
      <c r="V162" s="74"/>
      <c r="W162" s="74"/>
      <c r="X162" s="74"/>
      <c r="Y162" s="2"/>
      <c r="Z162" s="2"/>
    </row>
    <row r="163" ht="15.75" customHeight="1">
      <c r="A163" s="84" t="s">
        <v>299</v>
      </c>
      <c r="C163" s="85" t="s">
        <v>122</v>
      </c>
      <c r="G163" s="2"/>
      <c r="H163" s="2"/>
      <c r="I163" s="85" t="s">
        <v>123</v>
      </c>
      <c r="O163" s="2"/>
      <c r="P163" s="2"/>
      <c r="Q163" s="85" t="s">
        <v>124</v>
      </c>
      <c r="U163" s="2"/>
      <c r="V163" s="2"/>
      <c r="Y163" s="2"/>
      <c r="Z163" s="2"/>
    </row>
    <row r="164" ht="15.0" customHeight="1">
      <c r="A164" s="86" t="s">
        <v>125</v>
      </c>
      <c r="C164" s="87" t="s">
        <v>126</v>
      </c>
      <c r="G164" s="88"/>
      <c r="H164" s="2"/>
      <c r="I164" s="89" t="s">
        <v>127</v>
      </c>
      <c r="O164" s="2"/>
      <c r="P164" s="2"/>
      <c r="Q164" s="87" t="s">
        <v>128</v>
      </c>
      <c r="U164" s="2"/>
      <c r="V164" s="2"/>
      <c r="W164" s="74"/>
      <c r="X164" s="74"/>
      <c r="Y164" s="2"/>
      <c r="Z164" s="2"/>
    </row>
    <row r="165" ht="15.75" customHeight="1">
      <c r="A165" s="2"/>
      <c r="B165" s="2"/>
      <c r="C165" s="2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129</v>
      </c>
      <c r="B166" s="2"/>
      <c r="C166" s="2" t="s">
        <v>129</v>
      </c>
      <c r="D166" s="9"/>
      <c r="E166" s="2"/>
      <c r="F166" s="2"/>
      <c r="G166" s="2"/>
      <c r="H166" s="2"/>
      <c r="I166" s="2" t="s">
        <v>129</v>
      </c>
      <c r="J166" s="2"/>
      <c r="K166" s="2"/>
      <c r="L166" s="2"/>
      <c r="M166" s="2"/>
      <c r="N166" s="2"/>
      <c r="O166" s="2"/>
      <c r="P166" s="2"/>
      <c r="Q166" s="2" t="s">
        <v>129</v>
      </c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90"/>
      <c r="E167" s="2"/>
      <c r="F167" s="2"/>
      <c r="G167" s="2"/>
      <c r="H167" s="91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90"/>
      <c r="E168" s="2"/>
      <c r="F168" s="2"/>
      <c r="G168" s="2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90"/>
      <c r="E169" s="2"/>
      <c r="F169" s="2"/>
      <c r="G169" s="2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90"/>
      <c r="E170" s="2"/>
      <c r="F170" s="2"/>
      <c r="G170" s="2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90"/>
      <c r="E171" s="2"/>
      <c r="F171" s="2"/>
      <c r="G171" s="2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90"/>
      <c r="E172" s="2"/>
      <c r="F172" s="2"/>
      <c r="G172" s="2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90"/>
      <c r="E173" s="2"/>
      <c r="F173" s="2"/>
      <c r="G173" s="2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90"/>
      <c r="E174" s="2"/>
      <c r="F174" s="2"/>
      <c r="G174" s="2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90"/>
      <c r="E175" s="2"/>
      <c r="F175" s="2"/>
      <c r="G175" s="2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90"/>
      <c r="E176" s="2"/>
      <c r="F176" s="2"/>
      <c r="G176" s="2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90"/>
      <c r="E177" s="2"/>
      <c r="F177" s="2"/>
      <c r="G177" s="2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90"/>
      <c r="E178" s="2"/>
      <c r="F178" s="2"/>
      <c r="G178" s="2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90"/>
      <c r="E179" s="2"/>
      <c r="F179" s="2"/>
      <c r="G179" s="2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90"/>
      <c r="E180" s="2"/>
      <c r="F180" s="2"/>
      <c r="G180" s="2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90"/>
      <c r="E181" s="2"/>
      <c r="F181" s="2"/>
      <c r="G181" s="2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90"/>
      <c r="E182" s="2"/>
      <c r="F182" s="2"/>
      <c r="G182" s="2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90"/>
      <c r="E183" s="2"/>
      <c r="F183" s="2"/>
      <c r="G183" s="2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90"/>
      <c r="E184" s="2"/>
      <c r="F184" s="2"/>
      <c r="G184" s="2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90"/>
      <c r="E185" s="2"/>
      <c r="F185" s="2"/>
      <c r="G185" s="2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90"/>
      <c r="E186" s="2"/>
      <c r="F186" s="2"/>
      <c r="G186" s="2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90"/>
      <c r="E187" s="2"/>
      <c r="F187" s="2"/>
      <c r="G187" s="2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90"/>
      <c r="E188" s="2"/>
      <c r="F188" s="2"/>
      <c r="G188" s="2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90"/>
      <c r="E189" s="2"/>
      <c r="F189" s="2"/>
      <c r="G189" s="2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90"/>
      <c r="E190" s="2"/>
      <c r="F190" s="2"/>
      <c r="G190" s="2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90"/>
      <c r="E191" s="2"/>
      <c r="F191" s="2"/>
      <c r="G191" s="2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90"/>
      <c r="E192" s="2"/>
      <c r="F192" s="2"/>
      <c r="G192" s="2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90"/>
      <c r="E193" s="2"/>
      <c r="F193" s="2"/>
      <c r="G193" s="2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90"/>
      <c r="E194" s="2"/>
      <c r="F194" s="2"/>
      <c r="G194" s="2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90"/>
      <c r="E195" s="2"/>
      <c r="F195" s="2"/>
      <c r="G195" s="2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90"/>
      <c r="E196" s="2"/>
      <c r="F196" s="2"/>
      <c r="G196" s="2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90"/>
      <c r="E197" s="2"/>
      <c r="F197" s="2"/>
      <c r="G197" s="2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90"/>
      <c r="E198" s="2"/>
      <c r="F198" s="2"/>
      <c r="G198" s="2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90"/>
      <c r="E199" s="2"/>
      <c r="F199" s="2"/>
      <c r="G199" s="2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90"/>
      <c r="E200" s="2"/>
      <c r="F200" s="2"/>
      <c r="G200" s="2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90"/>
      <c r="E201" s="2"/>
      <c r="F201" s="2"/>
      <c r="G201" s="2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90"/>
      <c r="E202" s="2"/>
      <c r="F202" s="2"/>
      <c r="G202" s="2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90"/>
      <c r="E203" s="2"/>
      <c r="F203" s="2"/>
      <c r="G203" s="2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90"/>
      <c r="E204" s="2"/>
      <c r="F204" s="2"/>
      <c r="G204" s="2"/>
      <c r="H204" s="92"/>
      <c r="I204" s="93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90"/>
      <c r="E205" s="2"/>
      <c r="F205" s="2"/>
      <c r="G205" s="2"/>
      <c r="H205" s="95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90"/>
      <c r="E206" s="2"/>
      <c r="F206" s="2"/>
      <c r="G206" s="2"/>
      <c r="H206" s="96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9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9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9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9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9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9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9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9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9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9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9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9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9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9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9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9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9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9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9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9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9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9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9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9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9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9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9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9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9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9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9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9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9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9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9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9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9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9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9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9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9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9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9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9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9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9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9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9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9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9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9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9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9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9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9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9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9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9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9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9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9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9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9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9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9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9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9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9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9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9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9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9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9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9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9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9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9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9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9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9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9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9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9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9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9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9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9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9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9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9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9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9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9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9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9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9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9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9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9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9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9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9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9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9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9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9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9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9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9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9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9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9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9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9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9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9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9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9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9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9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9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9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9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9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9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9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9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9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9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9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9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90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9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9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9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9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9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9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9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90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90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90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9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9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9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9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9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9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9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9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90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9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9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9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90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9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9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9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9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9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9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9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9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9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9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9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9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9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9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9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9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9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9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9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9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9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9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90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9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9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9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9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9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9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9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9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90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9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9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9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9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9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9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9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9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</sheetData>
  <mergeCells count="48">
    <mergeCell ref="G9:G10"/>
    <mergeCell ref="H9:V9"/>
    <mergeCell ref="A2:V2"/>
    <mergeCell ref="A3:V3"/>
    <mergeCell ref="A4:V4"/>
    <mergeCell ref="A7:V7"/>
    <mergeCell ref="A9:A10"/>
    <mergeCell ref="B9:B10"/>
    <mergeCell ref="D9:D10"/>
    <mergeCell ref="E9:E10"/>
    <mergeCell ref="F9:F10"/>
    <mergeCell ref="C13:C32"/>
    <mergeCell ref="G13:G36"/>
    <mergeCell ref="C33:C35"/>
    <mergeCell ref="C39:C46"/>
    <mergeCell ref="C47:C50"/>
    <mergeCell ref="G39:G43"/>
    <mergeCell ref="G52:G84"/>
    <mergeCell ref="G85:G94"/>
    <mergeCell ref="G96:G97"/>
    <mergeCell ref="G104:G119"/>
    <mergeCell ref="G121:G124"/>
    <mergeCell ref="B151:I151"/>
    <mergeCell ref="C153:E153"/>
    <mergeCell ref="C154:E154"/>
    <mergeCell ref="H154:I154"/>
    <mergeCell ref="J154:T154"/>
    <mergeCell ref="C155:E155"/>
    <mergeCell ref="J155:T155"/>
    <mergeCell ref="C156:E156"/>
    <mergeCell ref="C163:F163"/>
    <mergeCell ref="I163:N163"/>
    <mergeCell ref="A164:B164"/>
    <mergeCell ref="C164:F164"/>
    <mergeCell ref="I164:N164"/>
    <mergeCell ref="Q163:T163"/>
    <mergeCell ref="V163:X163"/>
    <mergeCell ref="Q164:T164"/>
    <mergeCell ref="H167:T167"/>
    <mergeCell ref="H205:T205"/>
    <mergeCell ref="H206:T206"/>
    <mergeCell ref="J156:T156"/>
    <mergeCell ref="J157:T157"/>
    <mergeCell ref="C160:E160"/>
    <mergeCell ref="I160:N160"/>
    <mergeCell ref="Q160:T160"/>
    <mergeCell ref="V160:W160"/>
    <mergeCell ref="A163:B163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5.88"/>
    <col customWidth="1" min="8" max="8" width="14.75"/>
  </cols>
  <sheetData>
    <row r="8">
      <c r="E8" s="242" t="s">
        <v>233</v>
      </c>
      <c r="F8" s="243" t="s">
        <v>234</v>
      </c>
      <c r="G8" s="244">
        <v>3500.0</v>
      </c>
      <c r="H8" s="316">
        <f>G8*12</f>
        <v>42000</v>
      </c>
    </row>
    <row r="9">
      <c r="E9" s="242" t="s">
        <v>240</v>
      </c>
      <c r="F9" s="243" t="s">
        <v>241</v>
      </c>
      <c r="G9" s="244">
        <v>3000.0</v>
      </c>
      <c r="H9" s="316">
        <f>G9*5</f>
        <v>15000</v>
      </c>
    </row>
    <row r="10">
      <c r="E10" s="242" t="s">
        <v>321</v>
      </c>
      <c r="F10" s="243" t="s">
        <v>234</v>
      </c>
      <c r="G10" s="244">
        <v>4000.0</v>
      </c>
      <c r="H10" s="316">
        <f>12*4000</f>
        <v>48000</v>
      </c>
    </row>
    <row r="11">
      <c r="H11" s="496">
        <f>SUM(H8:H10)</f>
        <v>105000</v>
      </c>
    </row>
    <row r="13">
      <c r="E13" s="497" t="s">
        <v>246</v>
      </c>
      <c r="F13" s="498" t="s">
        <v>247</v>
      </c>
      <c r="G13" s="244">
        <v>5000.0</v>
      </c>
      <c r="H13" s="499">
        <f>10*G13</f>
        <v>50000</v>
      </c>
    </row>
    <row r="14">
      <c r="E14" s="500" t="s">
        <v>249</v>
      </c>
      <c r="F14" s="501" t="s">
        <v>247</v>
      </c>
      <c r="G14" s="502">
        <v>5000.0</v>
      </c>
      <c r="H14" s="503">
        <f>G14*10</f>
        <v>50000</v>
      </c>
    </row>
    <row r="15">
      <c r="A15" s="504"/>
      <c r="B15" s="504"/>
      <c r="C15" s="504"/>
      <c r="D15" s="504"/>
      <c r="E15" s="505"/>
      <c r="F15" s="284"/>
      <c r="G15" s="445"/>
      <c r="H15" s="506">
        <f>SUM(H13:H14)</f>
        <v>100000</v>
      </c>
      <c r="I15" s="504"/>
      <c r="J15" s="504"/>
      <c r="K15" s="504"/>
      <c r="L15" s="504"/>
      <c r="M15" s="504"/>
      <c r="N15" s="504"/>
      <c r="O15" s="504"/>
      <c r="P15" s="504"/>
      <c r="Q15" s="504"/>
      <c r="R15" s="504"/>
      <c r="S15" s="504"/>
      <c r="T15" s="504"/>
      <c r="U15" s="504"/>
      <c r="V15" s="504"/>
      <c r="W15" s="504"/>
      <c r="X15" s="504"/>
      <c r="Y15" s="504"/>
      <c r="Z15" s="504"/>
    </row>
    <row r="16">
      <c r="A16" s="504"/>
      <c r="B16" s="504"/>
      <c r="C16" s="504"/>
      <c r="D16" s="504"/>
      <c r="E16" s="505"/>
      <c r="F16" s="284"/>
      <c r="G16" s="445"/>
      <c r="H16" s="226"/>
      <c r="I16" s="504"/>
      <c r="J16" s="504"/>
      <c r="K16" s="504"/>
      <c r="L16" s="504"/>
      <c r="M16" s="504"/>
      <c r="N16" s="504"/>
      <c r="O16" s="504"/>
      <c r="P16" s="504"/>
      <c r="Q16" s="504"/>
      <c r="R16" s="504"/>
      <c r="S16" s="504"/>
      <c r="T16" s="504"/>
      <c r="U16" s="504"/>
      <c r="V16" s="504"/>
      <c r="W16" s="504"/>
      <c r="X16" s="504"/>
      <c r="Y16" s="504"/>
      <c r="Z16" s="504"/>
    </row>
    <row r="17">
      <c r="E17" s="242" t="s">
        <v>250</v>
      </c>
      <c r="F17" s="243" t="s">
        <v>241</v>
      </c>
      <c r="G17" s="502">
        <v>40000.0</v>
      </c>
      <c r="H17" s="507">
        <f>G17*5</f>
        <v>200000</v>
      </c>
    </row>
    <row r="21">
      <c r="E21" s="154" t="s">
        <v>228</v>
      </c>
      <c r="F21" s="302" t="s">
        <v>229</v>
      </c>
      <c r="G21" s="303">
        <v>3800.0</v>
      </c>
      <c r="H21" s="157">
        <f t="shared" ref="H21:H22" si="1">G21*10</f>
        <v>38000</v>
      </c>
    </row>
    <row r="22">
      <c r="E22" s="154" t="s">
        <v>231</v>
      </c>
      <c r="F22" s="302" t="s">
        <v>232</v>
      </c>
      <c r="G22" s="303">
        <v>3000.0</v>
      </c>
      <c r="H22" s="157">
        <f t="shared" si="1"/>
        <v>30000</v>
      </c>
    </row>
    <row r="23">
      <c r="E23" s="154" t="s">
        <v>235</v>
      </c>
      <c r="F23" s="302" t="s">
        <v>234</v>
      </c>
      <c r="G23" s="303">
        <v>5000.0</v>
      </c>
      <c r="H23" s="157">
        <f>G23*12</f>
        <v>60000</v>
      </c>
    </row>
    <row r="24">
      <c r="E24" s="154" t="s">
        <v>236</v>
      </c>
      <c r="F24" s="302" t="s">
        <v>229</v>
      </c>
      <c r="G24" s="303">
        <v>5000.0</v>
      </c>
      <c r="H24" s="157">
        <f>G24*10</f>
        <v>50000</v>
      </c>
    </row>
    <row r="25">
      <c r="E25" s="154" t="s">
        <v>237</v>
      </c>
      <c r="F25" s="302" t="s">
        <v>238</v>
      </c>
      <c r="G25" s="303">
        <v>8000.0</v>
      </c>
      <c r="H25" s="157">
        <f t="shared" ref="H25:H27" si="2">G25*5</f>
        <v>40000</v>
      </c>
    </row>
    <row r="26">
      <c r="E26" s="154" t="s">
        <v>243</v>
      </c>
      <c r="F26" s="302" t="s">
        <v>241</v>
      </c>
      <c r="G26" s="303">
        <v>1000.0</v>
      </c>
      <c r="H26" s="157">
        <f t="shared" si="2"/>
        <v>5000</v>
      </c>
    </row>
    <row r="27">
      <c r="E27" s="154" t="s">
        <v>244</v>
      </c>
      <c r="F27" s="302" t="s">
        <v>238</v>
      </c>
      <c r="G27" s="303">
        <v>1000.0</v>
      </c>
      <c r="H27" s="157">
        <f t="shared" si="2"/>
        <v>5000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