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TRI\Downloads\"/>
    </mc:Choice>
  </mc:AlternateContent>
  <xr:revisionPtr revIDLastSave="0" documentId="13_ncr:1_{BF897B97-3CCA-4DFA-97DD-5F90C07571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rd Quarter PPMP 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8" i="1" l="1"/>
  <c r="F106" i="1"/>
  <c r="E106" i="1"/>
  <c r="D106" i="1"/>
  <c r="H91" i="1"/>
  <c r="D91" i="1"/>
  <c r="H90" i="1"/>
  <c r="F60" i="1"/>
  <c r="F23" i="1"/>
  <c r="D7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6" authorId="0" shapeId="0" xr:uid="{00000000-0006-0000-0000-000006000000}">
      <text>
        <r>
          <rPr>
            <sz val="10"/>
            <color rgb="FF000000"/>
            <rFont val="Arial"/>
            <scheme val="minor"/>
          </rPr>
          <t>22000
	-Claire Margaret Natividad
pag na-PR lahat, ubos na office supplies
	-Claire Natividad</t>
        </r>
      </text>
    </comment>
    <comment ref="C22" authorId="0" shapeId="0" xr:uid="{00000000-0006-0000-0000-000007000000}">
      <text>
        <r>
          <rPr>
            <sz val="10"/>
            <color rgb="FF000000"/>
            <rFont val="Arial"/>
            <scheme val="minor"/>
          </rPr>
          <t>https://docs.google.com/spreadsheets/d/1kHx73EbPleabudYSzlkodrJjwvvlS7dY/edit?pli=1&amp;gid=1457239046#gid=1457239046
	-Claire Natividad
270000
	-Claire Margaret Natividad</t>
        </r>
      </text>
    </comment>
    <comment ref="E28" authorId="0" shapeId="0" xr:uid="{00000000-0006-0000-0000-000005000000}">
      <text>
        <r>
          <rPr>
            <sz val="10"/>
            <color rgb="FF000000"/>
            <rFont val="Arial"/>
            <scheme val="minor"/>
          </rPr>
          <t>allot 50k
	-Claire Margaret Natividad</t>
        </r>
      </text>
    </comment>
    <comment ref="C38" authorId="0" shapeId="0" xr:uid="{00000000-0006-0000-0000-000004000000}">
      <text>
        <r>
          <rPr>
            <sz val="10"/>
            <color rgb="FF000000"/>
            <rFont val="Arial"/>
            <scheme val="minor"/>
          </rPr>
          <t>260000
	-Claire Margaret Natividad</t>
        </r>
      </text>
    </comment>
    <comment ref="C41" authorId="0" shapeId="0" xr:uid="{00000000-0006-0000-0000-000002000000}">
      <text>
        <r>
          <rPr>
            <sz val="10"/>
            <color rgb="FF000000"/>
            <rFont val="Arial"/>
            <scheme val="minor"/>
          </rPr>
          <t>PR made in previous quarter, nakalagay lang dito for delegation
	-Claire Margaret Natividad</t>
        </r>
      </text>
    </comment>
    <comment ref="C57" authorId="0" shapeId="0" xr:uid="{00000000-0006-0000-0000-000003000000}">
      <text>
        <r>
          <rPr>
            <sz val="10"/>
            <color rgb="FF000000"/>
            <rFont val="Arial"/>
            <scheme val="minor"/>
          </rPr>
          <t>BURS na
	-Claire Margaret Natividad</t>
        </r>
      </text>
    </comment>
    <comment ref="A9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ID#AAABEI7QK6w
upmnih    (2021-04-08 04:25:07)
Prepared by: Project Staff/ Research Associate</t>
        </r>
      </text>
    </comment>
  </commentList>
</comments>
</file>

<file path=xl/sharedStrings.xml><?xml version="1.0" encoding="utf-8"?>
<sst xmlns="http://schemas.openxmlformats.org/spreadsheetml/2006/main" count="242" uniqueCount="181">
  <si>
    <t xml:space="preserve">  PROJECT PROCUREMENT MANAGEMENT PLAN (PPMP) 2024</t>
  </si>
  <si>
    <t>For the 2nd Quarter of CY 2024</t>
  </si>
  <si>
    <t>END-USER/UNIT: RDD-CDABUS</t>
  </si>
  <si>
    <t>Charged to: Sustainable Textile for the Community-based Philippine Footwear Industry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</si>
  <si>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</si>
  <si>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</si>
  <si>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</si>
  <si>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</si>
  <si>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</si>
  <si>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</si>
  <si>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</si>
  <si>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</si>
  <si>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</si>
  <si>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</si>
  <si>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</si>
  <si>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</t>
  </si>
  <si>
    <t>Aug</t>
  </si>
  <si>
    <t>Sept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</si>
  <si>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</si>
  <si>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</si>
  <si>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</si>
  <si>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</si>
  <si>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</si>
  <si>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</si>
  <si>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</si>
  <si>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</si>
  <si>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</si>
  <si>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</si>
  <si>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</si>
  <si>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</si>
  <si>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</si>
  <si>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</si>
  <si>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</si>
  <si>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</si>
  <si>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</si>
  <si>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</si>
  <si>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</si>
  <si>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</si>
  <si>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</si>
  <si>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</si>
  <si>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</si>
  <si>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</si>
  <si>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</si>
  <si>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</si>
  <si>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</si>
  <si>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</si>
  <si>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</si>
  <si>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</si>
  <si>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</si>
  <si>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</si>
  <si>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</si>
  <si>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</si>
  <si>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</si>
  <si>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</si>
  <si>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</si>
  <si>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</si>
  <si>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</si>
  <si>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</si>
  <si>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</si>
  <si>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</si>
  <si>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</si>
  <si>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</si>
  <si>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</si>
  <si>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</si>
  <si>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</si>
  <si>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</si>
  <si>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</si>
  <si>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</si>
  <si>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</si>
  <si>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</si>
  <si>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</si>
  <si>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</si>
  <si>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</si>
  <si>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</si>
  <si>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</si>
  <si>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</si>
  <si>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</si>
  <si>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Training Expenses</t>
  </si>
  <si>
    <t>PAASE Training</t>
  </si>
  <si>
    <t>1 lot</t>
  </si>
  <si>
    <t>Repair and Maintenance</t>
  </si>
  <si>
    <t>Repair and Maintenance of Pre-spinning Equipment</t>
  </si>
  <si>
    <t>Negotiated Procurement-Small Value Procurement/Direct Contracting</t>
  </si>
  <si>
    <t>Repair and Maintenance of Airconditioning Unit</t>
  </si>
  <si>
    <t>Office Supplies Expenses</t>
  </si>
  <si>
    <t>3 pcs Printer Maintenance Box</t>
  </si>
  <si>
    <t>3 pcs</t>
  </si>
  <si>
    <t>20 reams Paper, Bond A4, 70 gsm, 500 sheets per ream</t>
  </si>
  <si>
    <t>20 reams</t>
  </si>
  <si>
    <t>20 reams Paper, Bond 8.5 x 13 in size, 70 gsm 500 sheets per ream</t>
  </si>
  <si>
    <t>10 packs Folder for Legal size documents, 10 pcs per pack</t>
  </si>
  <si>
    <t>10 packs</t>
  </si>
  <si>
    <t>10 packs Folder for A4/Letter size documents, 10 pcs per pack</t>
  </si>
  <si>
    <t>Laboratory Supplies</t>
  </si>
  <si>
    <t>5 carbouys Sodium Hydroxide, 48% Concentration, Technical Grade, 30 kgs/cby</t>
  </si>
  <si>
    <t>5 cbys</t>
  </si>
  <si>
    <t>5 carbouys Hydrogen Peroxide, Technical Grade, 49% Concentration, 35 kgs/cby</t>
  </si>
  <si>
    <t>5 bottles Sulfuric Acid, 98% Concentration, Macron-2876-69, 2.5L/btl</t>
  </si>
  <si>
    <t>5 btl</t>
  </si>
  <si>
    <t>5 packs Sodium Hydrosulfite, Technical Grade, 1kg/pack</t>
  </si>
  <si>
    <t>5 packs</t>
  </si>
  <si>
    <t>20 packs Ferrous Sulphate, Technical Grade, 1kg/pack</t>
  </si>
  <si>
    <t>20 packs</t>
  </si>
  <si>
    <t>5 bottles Sodium Alginate, AR Grade, CAS No. 9005-38-3 1kg/btl</t>
  </si>
  <si>
    <t>Coco coir</t>
  </si>
  <si>
    <t>Coffee Pulp</t>
  </si>
  <si>
    <t>Copper Sulphate</t>
  </si>
  <si>
    <t>Wetting Agent (Clean Mate)</t>
  </si>
  <si>
    <t>Starch</t>
  </si>
  <si>
    <t>Chemical Softener</t>
  </si>
  <si>
    <t>Isopropyl Alcohol</t>
  </si>
  <si>
    <t>Silent type Oil-free Air Compressor</t>
  </si>
  <si>
    <t>Pneumatic Air Spray Paint Gun</t>
  </si>
  <si>
    <t>Other Supplies and Materials</t>
  </si>
  <si>
    <t>Panel Boards</t>
  </si>
  <si>
    <t>SAFATOS Shirts</t>
  </si>
  <si>
    <t>Raffia Shoe Prototypes</t>
  </si>
  <si>
    <t>Supplies and Materials - Indirect Cost</t>
  </si>
  <si>
    <t>Stapler, No. 35</t>
  </si>
  <si>
    <t>4 pcs</t>
  </si>
  <si>
    <t>Staple Wire No. 35</t>
  </si>
  <si>
    <t>30 boxes</t>
  </si>
  <si>
    <t>Binder Clip, Back, 2 inches (12 clips per box)</t>
  </si>
  <si>
    <t>10 boxes</t>
  </si>
  <si>
    <t>Binder Clip, Back, 1 inch (12 clips per box)</t>
  </si>
  <si>
    <t>Binder Clip, Back, 3/4 inch (12 clips per box)</t>
  </si>
  <si>
    <t>Paper Puncher, Heavy Duty (Large)</t>
  </si>
  <si>
    <t>2 pcs</t>
  </si>
  <si>
    <t>Paper Clip, Vinyl/plastic coated, Jumbo, 50mm</t>
  </si>
  <si>
    <t>5 boxes</t>
  </si>
  <si>
    <t>Paper Clip, Vinyl/plastic coated, 33mm</t>
  </si>
  <si>
    <t>Sticky Note,Yellow 76mmx76mm; 6pads/pack, 90 sheets/pad</t>
  </si>
  <si>
    <t>Expanding Envelope, Kraft</t>
  </si>
  <si>
    <t>3 boxes</t>
  </si>
  <si>
    <t>Stamp pad container, felt</t>
  </si>
  <si>
    <t>3 pads</t>
  </si>
  <si>
    <t>Ink for Stamp Pad</t>
  </si>
  <si>
    <t>5 pcs</t>
  </si>
  <si>
    <t>Transparent Tape, 1"</t>
  </si>
  <si>
    <t>Data Folder (Legal Size)</t>
  </si>
  <si>
    <t>100 pcs</t>
  </si>
  <si>
    <t>Sign Pen, Blue (0.5mm, 12pcs/box)</t>
  </si>
  <si>
    <t>Ballpoint, Blue (12pcs/box)</t>
  </si>
  <si>
    <t>Record Book, 500 pages</t>
  </si>
  <si>
    <t>20 pcs</t>
  </si>
  <si>
    <t>Testing Services Fees</t>
  </si>
  <si>
    <t>Seam Breaking Strength/Seam Slippage</t>
  </si>
  <si>
    <t>Air Permeability</t>
  </si>
  <si>
    <t>Particle Filtration Efficiency</t>
  </si>
  <si>
    <t>Scanning Electron Microscopy (SEM)</t>
  </si>
  <si>
    <t>Textile Processing Services Fees</t>
  </si>
  <si>
    <t>Weaving Services</t>
  </si>
  <si>
    <t>Hand-Woven Sustainable Shoes Prototyping Services</t>
  </si>
  <si>
    <t>OPS - HP, Gratuity Pay, Laborers</t>
  </si>
  <si>
    <t>Natural Fibers Shoes Prototyping Services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</si>
  <si>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</si>
  <si>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</si>
  <si>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</si>
  <si>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</si>
  <si>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</si>
  <si>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</si>
  <si>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JENNELI E. CAYA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</si>
  <si>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</si>
  <si>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</si>
  <si>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</si>
  <si>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</si>
  <si>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</si>
  <si>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</si>
  <si>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</si>
  <si>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</si>
  <si>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</si>
  <si>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Maco</t>
  </si>
  <si>
    <t>Monaco</t>
  </si>
  <si>
    <t>Aishe Raffia</t>
  </si>
  <si>
    <t>Aishe NYSTIF</t>
  </si>
  <si>
    <t>FFDC</t>
  </si>
  <si>
    <t>Zapateria design and prototype</t>
  </si>
  <si>
    <t>testing services</t>
  </si>
  <si>
    <t>training</t>
  </si>
  <si>
    <t>textile processing</t>
  </si>
  <si>
    <t>repairs and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</si>
</sst>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19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rgb="FF000000"/>
      <name val="Arial"/>
    </font>
    <font>
      <sz val="11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sz val="10"/>
      <color rgb="FF000000"/>
      <name val="Arial"/>
    </font>
    <font>
      <b/>
      <u/>
      <sz val="9"/>
      <color theme="1"/>
      <name val="Arial"/>
    </font>
    <font>
      <u/>
      <sz val="8"/>
      <color theme="1"/>
      <name val="Arial"/>
    </font>
    <font>
      <b/>
      <u/>
      <sz val="12"/>
      <color theme="1"/>
      <name val="Arial"/>
    </font>
    <font>
      <sz val="12"/>
      <color theme="1"/>
      <name val="Arial"/>
    </font>
    <font>
      <b/>
      <sz val="11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4" fontId="3" fillId="2" borderId="0" xfId="0" applyNumberFormat="1" applyFont="1" applyFill="1"/>
    <xf numFmtId="164" fontId="3" fillId="2" borderId="0" xfId="0" applyNumberFormat="1" applyFont="1" applyFill="1"/>
    <xf numFmtId="0" fontId="5" fillId="2" borderId="1" xfId="0" applyFont="1" applyFill="1" applyBorder="1"/>
    <xf numFmtId="0" fontId="3" fillId="2" borderId="1" xfId="0" applyFont="1" applyFill="1" applyBorder="1"/>
    <xf numFmtId="4" fontId="3" fillId="2" borderId="1" xfId="0" applyNumberFormat="1" applyFont="1" applyFill="1" applyBorder="1"/>
    <xf numFmtId="164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quotePrefix="1" applyFont="1" applyFill="1" applyBorder="1" applyAlignment="1">
      <alignment horizontal="center" wrapText="1"/>
    </xf>
    <xf numFmtId="0" fontId="6" fillId="2" borderId="4" xfId="0" quotePrefix="1" applyFont="1" applyFill="1" applyBorder="1" applyAlignment="1">
      <alignment horizontal="center" wrapText="1"/>
    </xf>
    <xf numFmtId="4" fontId="6" fillId="2" borderId="4" xfId="0" quotePrefix="1" applyNumberFormat="1" applyFont="1" applyFill="1" applyBorder="1" applyAlignment="1">
      <alignment horizontal="center" wrapText="1"/>
    </xf>
    <xf numFmtId="164" fontId="6" fillId="2" borderId="4" xfId="0" quotePrefix="1" applyNumberFormat="1" applyFont="1" applyFill="1" applyBorder="1" applyAlignment="1">
      <alignment horizontal="center" wrapText="1"/>
    </xf>
    <xf numFmtId="0" fontId="6" fillId="2" borderId="12" xfId="0" quotePrefix="1" applyFont="1" applyFill="1" applyBorder="1" applyAlignment="1">
      <alignment horizontal="center" wrapText="1"/>
    </xf>
    <xf numFmtId="0" fontId="6" fillId="2" borderId="3" xfId="0" quotePrefix="1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/>
    </xf>
    <xf numFmtId="0" fontId="9" fillId="3" borderId="4" xfId="0" applyFont="1" applyFill="1" applyBorder="1"/>
    <xf numFmtId="0" fontId="10" fillId="3" borderId="4" xfId="0" applyFont="1" applyFill="1" applyBorder="1"/>
    <xf numFmtId="4" fontId="9" fillId="3" borderId="4" xfId="0" applyNumberFormat="1" applyFont="1" applyFill="1" applyBorder="1"/>
    <xf numFmtId="164" fontId="9" fillId="3" borderId="4" xfId="0" applyNumberFormat="1" applyFont="1" applyFill="1" applyBorder="1"/>
    <xf numFmtId="0" fontId="9" fillId="3" borderId="4" xfId="0" applyFont="1" applyFill="1" applyBorder="1" applyAlignment="1">
      <alignment horizontal="center"/>
    </xf>
    <xf numFmtId="0" fontId="8" fillId="3" borderId="14" xfId="0" applyFont="1" applyFill="1" applyBorder="1"/>
    <xf numFmtId="0" fontId="3" fillId="2" borderId="4" xfId="0" applyFont="1" applyFill="1" applyBorder="1"/>
    <xf numFmtId="0" fontId="3" fillId="2" borderId="15" xfId="0" applyFont="1" applyFill="1" applyBorder="1"/>
    <xf numFmtId="0" fontId="3" fillId="2" borderId="3" xfId="0" applyFont="1" applyFill="1" applyBorder="1"/>
    <xf numFmtId="0" fontId="11" fillId="2" borderId="0" xfId="0" applyFont="1" applyFill="1" applyAlignment="1">
      <alignment vertical="center"/>
    </xf>
    <xf numFmtId="0" fontId="11" fillId="0" borderId="11" xfId="0" applyFont="1" applyBorder="1" applyAlignment="1">
      <alignment horizontal="center" wrapText="1"/>
    </xf>
    <xf numFmtId="0" fontId="3" fillId="0" borderId="4" xfId="0" applyFont="1" applyBorder="1"/>
    <xf numFmtId="0" fontId="11" fillId="0" borderId="4" xfId="0" applyFont="1" applyBorder="1" applyAlignment="1">
      <alignment wrapText="1"/>
    </xf>
    <xf numFmtId="0" fontId="8" fillId="0" borderId="14" xfId="0" applyFont="1" applyBorder="1" applyAlignment="1">
      <alignment horizontal="center"/>
    </xf>
    <xf numFmtId="4" fontId="8" fillId="0" borderId="4" xfId="0" applyNumberFormat="1" applyFont="1" applyBorder="1" applyAlignment="1">
      <alignment horizontal="right"/>
    </xf>
    <xf numFmtId="0" fontId="8" fillId="0" borderId="16" xfId="0" applyFont="1" applyBorder="1" applyAlignment="1">
      <alignment horizontal="center"/>
    </xf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8" fillId="0" borderId="14" xfId="0" applyFont="1" applyBorder="1"/>
    <xf numFmtId="0" fontId="3" fillId="0" borderId="15" xfId="0" applyFont="1" applyBorder="1"/>
    <xf numFmtId="0" fontId="3" fillId="0" borderId="3" xfId="0" applyFont="1" applyBorder="1"/>
    <xf numFmtId="0" fontId="11" fillId="0" borderId="0" xfId="0" applyFont="1" applyAlignment="1">
      <alignment vertical="center"/>
    </xf>
    <xf numFmtId="0" fontId="11" fillId="0" borderId="3" xfId="0" applyFont="1" applyBorder="1" applyAlignment="1">
      <alignment vertical="center"/>
    </xf>
    <xf numFmtId="0" fontId="8" fillId="3" borderId="4" xfId="0" applyFont="1" applyFill="1" applyBorder="1"/>
    <xf numFmtId="4" fontId="8" fillId="3" borderId="4" xfId="0" applyNumberFormat="1" applyFont="1" applyFill="1" applyBorder="1"/>
    <xf numFmtId="164" fontId="8" fillId="3" borderId="4" xfId="0" applyNumberFormat="1" applyFont="1" applyFill="1" applyBorder="1"/>
    <xf numFmtId="0" fontId="8" fillId="3" borderId="13" xfId="0" applyFont="1" applyFill="1" applyBorder="1"/>
    <xf numFmtId="0" fontId="3" fillId="0" borderId="11" xfId="0" applyFont="1" applyBorder="1"/>
    <xf numFmtId="49" fontId="11" fillId="0" borderId="4" xfId="0" applyNumberFormat="1" applyFont="1" applyBorder="1" applyAlignment="1">
      <alignment horizontal="center"/>
    </xf>
    <xf numFmtId="49" fontId="11" fillId="0" borderId="4" xfId="0" applyNumberFormat="1" applyFont="1" applyBorder="1" applyAlignment="1">
      <alignment wrapText="1"/>
    </xf>
    <xf numFmtId="0" fontId="8" fillId="0" borderId="13" xfId="0" applyFont="1" applyBorder="1" applyAlignment="1">
      <alignment horizontal="center"/>
    </xf>
    <xf numFmtId="164" fontId="8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center"/>
    </xf>
    <xf numFmtId="0" fontId="8" fillId="0" borderId="13" xfId="0" applyFont="1" applyBorder="1"/>
    <xf numFmtId="0" fontId="3" fillId="0" borderId="14" xfId="0" applyFont="1" applyBorder="1"/>
    <xf numFmtId="0" fontId="3" fillId="0" borderId="17" xfId="0" applyFont="1" applyBorder="1"/>
    <xf numFmtId="0" fontId="11" fillId="0" borderId="14" xfId="0" applyFont="1" applyBorder="1"/>
    <xf numFmtId="0" fontId="11" fillId="0" borderId="16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3" fillId="2" borderId="11" xfId="0" applyFont="1" applyFill="1" applyBorder="1"/>
    <xf numFmtId="49" fontId="11" fillId="2" borderId="4" xfId="0" applyNumberFormat="1" applyFont="1" applyFill="1" applyBorder="1" applyAlignment="1">
      <alignment horizontal="center"/>
    </xf>
    <xf numFmtId="49" fontId="11" fillId="2" borderId="4" xfId="0" applyNumberFormat="1" applyFont="1" applyFill="1" applyBorder="1" applyAlignment="1">
      <alignment wrapText="1"/>
    </xf>
    <xf numFmtId="0" fontId="8" fillId="2" borderId="13" xfId="0" applyFont="1" applyFill="1" applyBorder="1" applyAlignment="1">
      <alignment horizontal="center"/>
    </xf>
    <xf numFmtId="4" fontId="8" fillId="2" borderId="4" xfId="0" applyNumberFormat="1" applyFont="1" applyFill="1" applyBorder="1" applyAlignment="1">
      <alignment horizontal="right"/>
    </xf>
    <xf numFmtId="164" fontId="8" fillId="2" borderId="4" xfId="0" applyNumberFormat="1" applyFont="1" applyFill="1" applyBorder="1" applyAlignment="1">
      <alignment horizontal="right"/>
    </xf>
    <xf numFmtId="0" fontId="8" fillId="2" borderId="4" xfId="0" applyFont="1" applyFill="1" applyBorder="1" applyAlignment="1">
      <alignment horizontal="center"/>
    </xf>
    <xf numFmtId="0" fontId="9" fillId="2" borderId="4" xfId="0" applyFont="1" applyFill="1" applyBorder="1"/>
    <xf numFmtId="0" fontId="9" fillId="2" borderId="4" xfId="0" applyFont="1" applyFill="1" applyBorder="1" applyAlignment="1">
      <alignment horizontal="center"/>
    </xf>
    <xf numFmtId="0" fontId="8" fillId="2" borderId="13" xfId="0" applyFont="1" applyFill="1" applyBorder="1"/>
    <xf numFmtId="0" fontId="3" fillId="2" borderId="14" xfId="0" applyFont="1" applyFill="1" applyBorder="1"/>
    <xf numFmtId="0" fontId="3" fillId="2" borderId="17" xfId="0" applyFont="1" applyFill="1" applyBorder="1"/>
    <xf numFmtId="0" fontId="11" fillId="2" borderId="14" xfId="0" applyFont="1" applyFill="1" applyBorder="1"/>
    <xf numFmtId="0" fontId="11" fillId="2" borderId="16" xfId="0" applyFont="1" applyFill="1" applyBorder="1" applyAlignment="1">
      <alignment vertical="center"/>
    </xf>
    <xf numFmtId="0" fontId="11" fillId="2" borderId="14" xfId="0" applyFont="1" applyFill="1" applyBorder="1" applyAlignment="1">
      <alignment vertical="center"/>
    </xf>
    <xf numFmtId="0" fontId="11" fillId="2" borderId="18" xfId="0" applyFont="1" applyFill="1" applyBorder="1" applyAlignment="1">
      <alignment vertical="center"/>
    </xf>
    <xf numFmtId="0" fontId="8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2" fillId="0" borderId="13" xfId="0" applyFont="1" applyBorder="1"/>
    <xf numFmtId="0" fontId="12" fillId="0" borderId="4" xfId="0" applyFont="1" applyBorder="1"/>
    <xf numFmtId="49" fontId="3" fillId="0" borderId="4" xfId="0" applyNumberFormat="1" applyFont="1" applyBorder="1"/>
    <xf numFmtId="49" fontId="3" fillId="2" borderId="4" xfId="0" applyNumberFormat="1" applyFont="1" applyFill="1" applyBorder="1"/>
    <xf numFmtId="0" fontId="12" fillId="2" borderId="4" xfId="0" applyFont="1" applyFill="1" applyBorder="1"/>
    <xf numFmtId="4" fontId="8" fillId="3" borderId="4" xfId="0" applyNumberFormat="1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3" fillId="4" borderId="11" xfId="0" applyFont="1" applyFill="1" applyBorder="1"/>
    <xf numFmtId="49" fontId="11" fillId="4" borderId="4" xfId="0" applyNumberFormat="1" applyFont="1" applyFill="1" applyBorder="1" applyAlignment="1">
      <alignment horizontal="center"/>
    </xf>
    <xf numFmtId="49" fontId="10" fillId="4" borderId="4" xfId="0" applyNumberFormat="1" applyFont="1" applyFill="1" applyBorder="1"/>
    <xf numFmtId="3" fontId="8" fillId="4" borderId="13" xfId="0" applyNumberFormat="1" applyFont="1" applyFill="1" applyBorder="1" applyAlignment="1">
      <alignment horizontal="center"/>
    </xf>
    <xf numFmtId="164" fontId="8" fillId="4" borderId="4" xfId="0" applyNumberFormat="1" applyFont="1" applyFill="1" applyBorder="1" applyAlignment="1">
      <alignment horizontal="right"/>
    </xf>
    <xf numFmtId="164" fontId="8" fillId="4" borderId="0" xfId="0" applyNumberFormat="1" applyFont="1" applyFill="1"/>
    <xf numFmtId="0" fontId="8" fillId="4" borderId="4" xfId="0" applyFont="1" applyFill="1" applyBorder="1" applyAlignment="1">
      <alignment horizontal="center"/>
    </xf>
    <xf numFmtId="3" fontId="12" fillId="4" borderId="4" xfId="0" applyNumberFormat="1" applyFont="1" applyFill="1" applyBorder="1"/>
    <xf numFmtId="3" fontId="9" fillId="4" borderId="4" xfId="0" applyNumberFormat="1" applyFont="1" applyFill="1" applyBorder="1" applyAlignment="1">
      <alignment horizontal="center"/>
    </xf>
    <xf numFmtId="3" fontId="8" fillId="4" borderId="13" xfId="0" applyNumberFormat="1" applyFont="1" applyFill="1" applyBorder="1"/>
    <xf numFmtId="3" fontId="11" fillId="4" borderId="14" xfId="0" applyNumberFormat="1" applyFont="1" applyFill="1" applyBorder="1"/>
    <xf numFmtId="3" fontId="3" fillId="4" borderId="17" xfId="0" applyNumberFormat="1" applyFont="1" applyFill="1" applyBorder="1"/>
    <xf numFmtId="3" fontId="3" fillId="4" borderId="14" xfId="0" applyNumberFormat="1" applyFont="1" applyFill="1" applyBorder="1"/>
    <xf numFmtId="0" fontId="11" fillId="4" borderId="14" xfId="0" applyFont="1" applyFill="1" applyBorder="1"/>
    <xf numFmtId="0" fontId="11" fillId="4" borderId="16" xfId="0" applyFont="1" applyFill="1" applyBorder="1" applyAlignment="1">
      <alignment vertical="center"/>
    </xf>
    <xf numFmtId="0" fontId="11" fillId="4" borderId="14" xfId="0" applyFont="1" applyFill="1" applyBorder="1" applyAlignment="1">
      <alignment vertical="center"/>
    </xf>
    <xf numFmtId="0" fontId="11" fillId="4" borderId="18" xfId="0" applyFont="1" applyFill="1" applyBorder="1" applyAlignment="1">
      <alignment vertical="center"/>
    </xf>
    <xf numFmtId="49" fontId="8" fillId="2" borderId="4" xfId="0" applyNumberFormat="1" applyFont="1" applyFill="1" applyBorder="1"/>
    <xf numFmtId="3" fontId="8" fillId="2" borderId="13" xfId="0" applyNumberFormat="1" applyFont="1" applyFill="1" applyBorder="1" applyAlignment="1">
      <alignment horizontal="center"/>
    </xf>
    <xf numFmtId="164" fontId="8" fillId="0" borderId="0" xfId="0" applyNumberFormat="1" applyFont="1"/>
    <xf numFmtId="3" fontId="12" fillId="2" borderId="4" xfId="0" applyNumberFormat="1" applyFont="1" applyFill="1" applyBorder="1"/>
    <xf numFmtId="3" fontId="9" fillId="2" borderId="4" xfId="0" applyNumberFormat="1" applyFont="1" applyFill="1" applyBorder="1" applyAlignment="1">
      <alignment horizontal="center"/>
    </xf>
    <xf numFmtId="3" fontId="8" fillId="2" borderId="13" xfId="0" applyNumberFormat="1" applyFont="1" applyFill="1" applyBorder="1"/>
    <xf numFmtId="3" fontId="11" fillId="2" borderId="14" xfId="0" applyNumberFormat="1" applyFont="1" applyFill="1" applyBorder="1"/>
    <xf numFmtId="3" fontId="3" fillId="2" borderId="17" xfId="0" applyNumberFormat="1" applyFont="1" applyFill="1" applyBorder="1"/>
    <xf numFmtId="3" fontId="3" fillId="2" borderId="14" xfId="0" applyNumberFormat="1" applyFont="1" applyFill="1" applyBorder="1"/>
    <xf numFmtId="164" fontId="8" fillId="2" borderId="15" xfId="0" applyNumberFormat="1" applyFont="1" applyFill="1" applyBorder="1" applyAlignment="1">
      <alignment horizontal="right"/>
    </xf>
    <xf numFmtId="3" fontId="9" fillId="2" borderId="4" xfId="0" applyNumberFormat="1" applyFont="1" applyFill="1" applyBorder="1"/>
    <xf numFmtId="164" fontId="8" fillId="2" borderId="16" xfId="0" applyNumberFormat="1" applyFont="1" applyFill="1" applyBorder="1" applyAlignment="1">
      <alignment horizontal="right"/>
    </xf>
    <xf numFmtId="4" fontId="8" fillId="3" borderId="16" xfId="0" applyNumberFormat="1" applyFont="1" applyFill="1" applyBorder="1"/>
    <xf numFmtId="164" fontId="8" fillId="3" borderId="16" xfId="0" applyNumberFormat="1" applyFont="1" applyFill="1" applyBorder="1"/>
    <xf numFmtId="164" fontId="8" fillId="2" borderId="20" xfId="0" applyNumberFormat="1" applyFont="1" applyFill="1" applyBorder="1" applyAlignment="1">
      <alignment horizontal="right"/>
    </xf>
    <xf numFmtId="0" fontId="11" fillId="2" borderId="17" xfId="0" applyFont="1" applyFill="1" applyBorder="1" applyAlignment="1">
      <alignment vertical="center"/>
    </xf>
    <xf numFmtId="0" fontId="13" fillId="2" borderId="0" xfId="0" applyFont="1" applyFill="1"/>
    <xf numFmtId="164" fontId="3" fillId="2" borderId="0" xfId="0" applyNumberFormat="1" applyFont="1" applyFill="1" applyAlignment="1">
      <alignment horizontal="center"/>
    </xf>
    <xf numFmtId="0" fontId="14" fillId="2" borderId="0" xfId="0" applyFont="1" applyFill="1"/>
    <xf numFmtId="0" fontId="1" fillId="2" borderId="0" xfId="0" applyFont="1" applyFill="1"/>
    <xf numFmtId="0" fontId="16" fillId="2" borderId="0" xfId="0" applyFont="1" applyFill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49" fontId="2" fillId="0" borderId="0" xfId="0" applyNumberFormat="1" applyFont="1"/>
    <xf numFmtId="0" fontId="2" fillId="0" borderId="0" xfId="0" applyFont="1"/>
    <xf numFmtId="0" fontId="11" fillId="2" borderId="21" xfId="0" applyFont="1" applyFill="1" applyBorder="1" applyAlignment="1">
      <alignment vertical="center"/>
    </xf>
    <xf numFmtId="0" fontId="11" fillId="2" borderId="22" xfId="0" applyFont="1" applyFill="1" applyBorder="1" applyAlignment="1">
      <alignment vertical="center"/>
    </xf>
    <xf numFmtId="165" fontId="3" fillId="2" borderId="0" xfId="0" applyNumberFormat="1" applyFont="1" applyFill="1"/>
    <xf numFmtId="4" fontId="17" fillId="2" borderId="0" xfId="0" applyNumberFormat="1" applyFont="1" applyFill="1"/>
    <xf numFmtId="0" fontId="18" fillId="2" borderId="0" xfId="0" applyFont="1" applyFill="1"/>
    <xf numFmtId="164" fontId="17" fillId="2" borderId="0" xfId="0" applyNumberFormat="1" applyFont="1" applyFill="1"/>
    <xf numFmtId="0" fontId="6" fillId="2" borderId="3" xfId="0" applyFont="1" applyFill="1" applyBorder="1" applyAlignment="1">
      <alignment horizontal="center" wrapText="1"/>
    </xf>
    <xf numFmtId="0" fontId="7" fillId="0" borderId="5" xfId="0" applyFont="1" applyBorder="1"/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6" fillId="2" borderId="2" xfId="0" applyFont="1" applyFill="1" applyBorder="1" applyAlignment="1">
      <alignment horizontal="center" wrapText="1"/>
    </xf>
    <xf numFmtId="0" fontId="7" fillId="0" borderId="8" xfId="0" applyFont="1" applyBorder="1"/>
    <xf numFmtId="4" fontId="6" fillId="2" borderId="3" xfId="0" applyNumberFormat="1" applyFont="1" applyFill="1" applyBorder="1" applyAlignment="1">
      <alignment horizontal="center" wrapText="1"/>
    </xf>
    <xf numFmtId="0" fontId="8" fillId="2" borderId="19" xfId="0" applyFont="1" applyFill="1" applyBorder="1" applyAlignment="1">
      <alignment horizontal="center"/>
    </xf>
    <xf numFmtId="0" fontId="7" fillId="0" borderId="13" xfId="0" applyFont="1" applyBorder="1"/>
    <xf numFmtId="3" fontId="8" fillId="2" borderId="19" xfId="0" applyNumberFormat="1" applyFont="1" applyFill="1" applyBorder="1" applyAlignment="1">
      <alignment horizontal="center"/>
    </xf>
    <xf numFmtId="0" fontId="7" fillId="0" borderId="19" xfId="0" applyFont="1" applyBorder="1"/>
    <xf numFmtId="165" fontId="1" fillId="2" borderId="20" xfId="0" applyNumberFormat="1" applyFont="1" applyFill="1" applyBorder="1" applyAlignment="1">
      <alignment horizontal="right"/>
    </xf>
    <xf numFmtId="0" fontId="7" fillId="0" borderId="20" xfId="0" applyFont="1" applyBorder="1"/>
    <xf numFmtId="0" fontId="7" fillId="0" borderId="4" xfId="0" applyFont="1" applyBorder="1"/>
    <xf numFmtId="0" fontId="15" fillId="2" borderId="0" xfId="0" applyFont="1" applyFill="1"/>
    <xf numFmtId="0" fontId="16" fillId="2" borderId="0" xfId="0" applyFont="1" applyFill="1"/>
    <xf numFmtId="0" fontId="8" fillId="0" borderId="19" xfId="0" applyFont="1" applyBorder="1" applyAlignment="1">
      <alignment horizontal="center"/>
    </xf>
    <xf numFmtId="164" fontId="8" fillId="0" borderId="19" xfId="0" applyNumberFormat="1" applyFont="1" applyBorder="1" applyAlignment="1">
      <alignment horizontal="right" vertical="center"/>
    </xf>
    <xf numFmtId="164" fontId="6" fillId="2" borderId="3" xfId="0" applyNumberFormat="1" applyFont="1" applyFill="1" applyBorder="1" applyAlignment="1">
      <alignment horizontal="center" wrapText="1"/>
    </xf>
    <xf numFmtId="4" fontId="8" fillId="2" borderId="15" xfId="0" applyNumberFormat="1" applyFont="1" applyFill="1" applyBorder="1" applyAlignment="1">
      <alignment horizontal="right"/>
    </xf>
    <xf numFmtId="164" fontId="8" fillId="2" borderId="19" xfId="0" applyNumberFormat="1" applyFont="1" applyFill="1" applyBorder="1" applyAlignment="1">
      <alignment horizontal="right"/>
    </xf>
    <xf numFmtId="164" fontId="8" fillId="2" borderId="19" xfId="0" applyNumberFormat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AL969"/>
  <sheetViews>
    <sheetView tabSelected="1" topLeftCell="A67" workbookViewId="0">
      <selection activeCell="C17" sqref="C17"/>
    </sheetView>
  </sheetViews>
  <sheetFormatPr defaultColWidth="12.6640625" defaultRowHeight="15.75" customHeight="1" x14ac:dyDescent="0.25"/>
  <cols>
    <col min="1" max="1" width="16.33203125" customWidth="1"/>
    <col min="2" max="2" width="19.109375" customWidth="1"/>
    <col min="3" max="3" width="61.109375" customWidth="1"/>
    <col min="4" max="4" width="11.6640625" customWidth="1"/>
    <col min="5" max="5" width="11.77734375" customWidth="1"/>
    <col min="6" max="6" width="12.77734375" customWidth="1"/>
    <col min="7" max="7" width="47.109375" customWidth="1"/>
    <col min="8" max="8" width="10.33203125" customWidth="1"/>
    <col min="9" max="10" width="7.6640625" customWidth="1"/>
    <col min="11" max="11" width="6.21875" customWidth="1"/>
    <col min="12" max="14" width="8.33203125" hidden="1" customWidth="1"/>
    <col min="15" max="16" width="7.6640625" hidden="1" customWidth="1"/>
    <col min="17" max="17" width="11.33203125" hidden="1" customWidth="1"/>
    <col min="18" max="19" width="7.6640625" hidden="1" customWidth="1"/>
    <col min="20" max="20" width="10.21875" hidden="1" customWidth="1"/>
    <col min="21" max="21" width="9.21875" hidden="1" customWidth="1"/>
    <col min="22" max="22" width="7.6640625" hidden="1" customWidth="1"/>
    <col min="23" max="23" width="9.44140625" hidden="1" customWidth="1"/>
    <col min="24" max="24" width="9.88671875" hidden="1" customWidth="1"/>
    <col min="25" max="25" width="11.21875" hidden="1" customWidth="1"/>
    <col min="26" max="37" width="12.6640625" hidden="1"/>
  </cols>
  <sheetData>
    <row r="1" spans="1:38" ht="15.6" x14ac:dyDescent="0.3">
      <c r="A1" s="148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"/>
      <c r="AK1" s="1"/>
      <c r="AL1" s="1"/>
    </row>
    <row r="2" spans="1:38" ht="13.8" x14ac:dyDescent="0.25">
      <c r="A2" s="150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"/>
      <c r="AK2" s="1"/>
      <c r="AL2" s="1"/>
    </row>
    <row r="3" spans="1:38" ht="13.8" x14ac:dyDescent="0.25">
      <c r="A3" s="151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"/>
      <c r="AK3" s="1"/>
      <c r="AL3" s="1"/>
    </row>
    <row r="4" spans="1:38" ht="15.6" x14ac:dyDescent="0.3">
      <c r="A4" s="4" t="s">
        <v>2</v>
      </c>
      <c r="B4" s="3"/>
      <c r="C4" s="3"/>
      <c r="D4" s="3"/>
      <c r="E4" s="5"/>
      <c r="F4" s="3"/>
      <c r="G4" s="3"/>
      <c r="H4" s="3"/>
      <c r="I4" s="3"/>
      <c r="J4" s="3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1"/>
      <c r="AK4" s="1"/>
      <c r="AL4" s="1"/>
    </row>
    <row r="5" spans="1:38" ht="13.8" x14ac:dyDescent="0.25">
      <c r="A5" s="3"/>
      <c r="B5" s="3"/>
      <c r="C5" s="3"/>
      <c r="D5" s="3"/>
      <c r="E5" s="5"/>
      <c r="F5" s="6"/>
      <c r="G5" s="3"/>
      <c r="H5" s="3"/>
      <c r="I5" s="3"/>
      <c r="J5" s="3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1"/>
      <c r="AK5" s="1"/>
      <c r="AL5" s="1"/>
    </row>
    <row r="6" spans="1:38" ht="15.6" x14ac:dyDescent="0.3">
      <c r="A6" s="4" t="s">
        <v>3</v>
      </c>
      <c r="B6" s="3"/>
      <c r="C6" s="3"/>
      <c r="D6" s="3"/>
      <c r="E6" s="5"/>
      <c r="F6" s="6"/>
      <c r="G6" s="3"/>
      <c r="H6" s="3"/>
      <c r="I6" s="3"/>
      <c r="J6" s="3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1"/>
      <c r="AK6" s="1"/>
      <c r="AL6" s="1"/>
    </row>
    <row r="7" spans="1:38" ht="15.6" x14ac:dyDescent="0.3">
      <c r="A7" s="7" t="s">
        <v>4</v>
      </c>
      <c r="B7" s="8"/>
      <c r="C7" s="8"/>
      <c r="D7" s="8"/>
      <c r="E7" s="9"/>
      <c r="F7" s="10"/>
      <c r="G7" s="8"/>
      <c r="H7" s="8"/>
      <c r="I7" s="8"/>
      <c r="J7" s="8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1"/>
      <c r="AK7" s="1"/>
      <c r="AL7" s="1"/>
    </row>
    <row r="8" spans="1:38" ht="22.5" customHeight="1" x14ac:dyDescent="0.25">
      <c r="A8" s="152" t="s">
        <v>5</v>
      </c>
      <c r="B8" s="144" t="s">
        <v>6</v>
      </c>
      <c r="C8" s="154" t="s">
        <v>7</v>
      </c>
      <c r="D8" s="12" t="s">
        <v>8</v>
      </c>
      <c r="E8" s="154" t="s">
        <v>9</v>
      </c>
      <c r="F8" s="166" t="s">
        <v>10</v>
      </c>
      <c r="G8" s="144" t="s">
        <v>11</v>
      </c>
      <c r="H8" s="144" t="s">
        <v>12</v>
      </c>
      <c r="I8" s="146" t="s">
        <v>13</v>
      </c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5"/>
      <c r="AJ8" s="13"/>
      <c r="AK8" s="13"/>
      <c r="AL8" s="14"/>
    </row>
    <row r="9" spans="1:38" ht="60" x14ac:dyDescent="0.25">
      <c r="A9" s="153"/>
      <c r="B9" s="145"/>
      <c r="C9" s="145"/>
      <c r="D9" s="15" t="s">
        <v>14</v>
      </c>
      <c r="E9" s="145"/>
      <c r="F9" s="145"/>
      <c r="G9" s="145"/>
      <c r="H9" s="145"/>
      <c r="I9" s="16" t="s">
        <v>15</v>
      </c>
      <c r="J9" s="16" t="s">
        <v>16</v>
      </c>
      <c r="K9" s="16" t="s">
        <v>17</v>
      </c>
      <c r="L9" s="17" t="s">
        <v>18</v>
      </c>
      <c r="M9" s="17" t="s">
        <v>19</v>
      </c>
      <c r="N9" s="17" t="s">
        <v>20</v>
      </c>
      <c r="O9" s="17" t="s">
        <v>21</v>
      </c>
      <c r="P9" s="17" t="s">
        <v>22</v>
      </c>
      <c r="Q9" s="17" t="s">
        <v>23</v>
      </c>
      <c r="R9" s="17" t="s">
        <v>24</v>
      </c>
      <c r="S9" s="17" t="s">
        <v>25</v>
      </c>
      <c r="T9" s="17" t="s">
        <v>26</v>
      </c>
      <c r="U9" s="17" t="s">
        <v>27</v>
      </c>
      <c r="V9" s="17" t="s">
        <v>28</v>
      </c>
      <c r="W9" s="17" t="s">
        <v>29</v>
      </c>
      <c r="X9" s="17" t="s">
        <v>30</v>
      </c>
      <c r="Y9" s="17" t="s">
        <v>31</v>
      </c>
      <c r="Z9" s="17" t="s">
        <v>32</v>
      </c>
      <c r="AA9" s="17" t="s">
        <v>33</v>
      </c>
      <c r="AB9" s="17" t="s">
        <v>34</v>
      </c>
      <c r="AC9" s="17" t="s">
        <v>35</v>
      </c>
      <c r="AD9" s="17" t="s">
        <v>36</v>
      </c>
      <c r="AE9" s="17" t="s">
        <v>37</v>
      </c>
      <c r="AF9" s="17" t="s">
        <v>38</v>
      </c>
      <c r="AG9" s="17" t="s">
        <v>39</v>
      </c>
      <c r="AH9" s="17" t="s">
        <v>40</v>
      </c>
      <c r="AI9" s="18" t="s">
        <v>41</v>
      </c>
      <c r="AJ9" s="19" t="s">
        <v>39</v>
      </c>
      <c r="AK9" s="19" t="s">
        <v>40</v>
      </c>
      <c r="AL9" s="19" t="s">
        <v>41</v>
      </c>
    </row>
    <row r="10" spans="1:38" ht="13.2" x14ac:dyDescent="0.25">
      <c r="A10" s="20" t="s">
        <v>42</v>
      </c>
      <c r="B10" s="21" t="s">
        <v>43</v>
      </c>
      <c r="C10" s="22" t="s">
        <v>44</v>
      </c>
      <c r="D10" s="23" t="s">
        <v>45</v>
      </c>
      <c r="E10" s="22" t="s">
        <v>46</v>
      </c>
      <c r="F10" s="23" t="s">
        <v>47</v>
      </c>
      <c r="G10" s="21" t="s">
        <v>48</v>
      </c>
      <c r="H10" s="21" t="s">
        <v>49</v>
      </c>
      <c r="I10" s="21" t="s">
        <v>50</v>
      </c>
      <c r="J10" s="21" t="s">
        <v>51</v>
      </c>
      <c r="K10" s="21" t="s">
        <v>52</v>
      </c>
      <c r="L10" s="21" t="s">
        <v>53</v>
      </c>
      <c r="M10" s="21" t="s">
        <v>54</v>
      </c>
      <c r="N10" s="21" t="s">
        <v>55</v>
      </c>
      <c r="O10" s="21" t="s">
        <v>56</v>
      </c>
      <c r="P10" s="21" t="s">
        <v>57</v>
      </c>
      <c r="Q10" s="21" t="s">
        <v>58</v>
      </c>
      <c r="R10" s="21" t="s">
        <v>59</v>
      </c>
      <c r="S10" s="21" t="s">
        <v>60</v>
      </c>
      <c r="T10" s="21" t="s">
        <v>61</v>
      </c>
      <c r="U10" s="21" t="s">
        <v>62</v>
      </c>
      <c r="V10" s="21" t="s">
        <v>63</v>
      </c>
      <c r="W10" s="21" t="s">
        <v>64</v>
      </c>
      <c r="X10" s="21" t="s">
        <v>65</v>
      </c>
      <c r="Y10" s="21" t="s">
        <v>66</v>
      </c>
      <c r="Z10" s="21" t="s">
        <v>67</v>
      </c>
      <c r="AA10" s="21" t="s">
        <v>68</v>
      </c>
      <c r="AB10" s="21" t="s">
        <v>69</v>
      </c>
      <c r="AC10" s="21" t="s">
        <v>70</v>
      </c>
      <c r="AD10" s="21" t="s">
        <v>71</v>
      </c>
      <c r="AE10" s="21" t="s">
        <v>72</v>
      </c>
      <c r="AF10" s="21" t="s">
        <v>73</v>
      </c>
      <c r="AG10" s="21" t="s">
        <v>74</v>
      </c>
      <c r="AH10" s="21" t="s">
        <v>75</v>
      </c>
      <c r="AI10" s="24" t="s">
        <v>76</v>
      </c>
      <c r="AJ10" s="25" t="s">
        <v>74</v>
      </c>
      <c r="AK10" s="25" t="s">
        <v>75</v>
      </c>
      <c r="AL10" s="25" t="s">
        <v>76</v>
      </c>
    </row>
    <row r="11" spans="1:38" ht="13.8" x14ac:dyDescent="0.25">
      <c r="A11" s="26"/>
      <c r="B11" s="27"/>
      <c r="C11" s="28" t="s">
        <v>77</v>
      </c>
      <c r="D11" s="27"/>
      <c r="E11" s="29"/>
      <c r="F11" s="30"/>
      <c r="G11" s="27"/>
      <c r="H11" s="27"/>
      <c r="I11" s="27"/>
      <c r="J11" s="27"/>
      <c r="K11" s="31"/>
      <c r="L11" s="32"/>
      <c r="M11" s="33"/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5"/>
      <c r="AJ11" s="36"/>
      <c r="AK11" s="36"/>
      <c r="AL11" s="31"/>
    </row>
    <row r="12" spans="1:38" ht="13.8" x14ac:dyDescent="0.25">
      <c r="A12" s="37"/>
      <c r="B12" s="38"/>
      <c r="C12" s="39" t="s">
        <v>78</v>
      </c>
      <c r="D12" s="40" t="s">
        <v>79</v>
      </c>
      <c r="E12" s="41">
        <v>4200</v>
      </c>
      <c r="F12" s="41">
        <v>4200</v>
      </c>
      <c r="G12" s="42"/>
      <c r="H12" s="43"/>
      <c r="I12" s="43"/>
      <c r="J12" s="43"/>
      <c r="K12" s="44"/>
      <c r="L12" s="45"/>
      <c r="M12" s="38"/>
      <c r="N12" s="38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7"/>
      <c r="AJ12" s="48"/>
      <c r="AK12" s="48"/>
      <c r="AL12" s="49"/>
    </row>
    <row r="13" spans="1:38" ht="13.8" x14ac:dyDescent="0.25">
      <c r="A13" s="26"/>
      <c r="B13" s="27"/>
      <c r="C13" s="28" t="s">
        <v>80</v>
      </c>
      <c r="D13" s="50"/>
      <c r="E13" s="51"/>
      <c r="F13" s="52"/>
      <c r="G13" s="27"/>
      <c r="H13" s="27"/>
      <c r="I13" s="27"/>
      <c r="J13" s="27"/>
      <c r="K13" s="31"/>
      <c r="L13" s="53"/>
      <c r="M13" s="33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5"/>
      <c r="AJ13" s="36"/>
      <c r="AK13" s="36"/>
      <c r="AL13" s="31"/>
    </row>
    <row r="14" spans="1:38" ht="13.8" x14ac:dyDescent="0.25">
      <c r="A14" s="54"/>
      <c r="B14" s="55"/>
      <c r="C14" s="56" t="s">
        <v>81</v>
      </c>
      <c r="D14" s="57" t="s">
        <v>79</v>
      </c>
      <c r="E14" s="41">
        <v>50000</v>
      </c>
      <c r="F14" s="58">
        <v>50000</v>
      </c>
      <c r="G14" s="59" t="s">
        <v>82</v>
      </c>
      <c r="H14" s="59"/>
      <c r="I14" s="43"/>
      <c r="J14" s="59"/>
      <c r="K14" s="44"/>
      <c r="L14" s="60"/>
      <c r="M14" s="61"/>
      <c r="N14" s="62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3"/>
      <c r="AJ14" s="64"/>
      <c r="AK14" s="65"/>
      <c r="AL14" s="66"/>
    </row>
    <row r="15" spans="1:38" ht="13.8" x14ac:dyDescent="0.25">
      <c r="A15" s="67"/>
      <c r="B15" s="68"/>
      <c r="C15" s="69" t="s">
        <v>83</v>
      </c>
      <c r="D15" s="70" t="s">
        <v>79</v>
      </c>
      <c r="E15" s="71">
        <v>50000</v>
      </c>
      <c r="F15" s="72">
        <v>50000</v>
      </c>
      <c r="G15" s="73" t="s">
        <v>82</v>
      </c>
      <c r="H15" s="73"/>
      <c r="I15" s="74"/>
      <c r="J15" s="73"/>
      <c r="K15" s="75"/>
      <c r="L15" s="76"/>
      <c r="M15" s="77"/>
      <c r="N15" s="78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9"/>
      <c r="AJ15" s="80"/>
      <c r="AK15" s="81"/>
      <c r="AL15" s="82"/>
    </row>
    <row r="16" spans="1:38" ht="13.8" x14ac:dyDescent="0.25">
      <c r="A16" s="26"/>
      <c r="B16" s="27"/>
      <c r="C16" s="28" t="s">
        <v>84</v>
      </c>
      <c r="D16" s="50"/>
      <c r="E16" s="51"/>
      <c r="F16" s="52"/>
      <c r="G16" s="27"/>
      <c r="H16" s="27"/>
      <c r="I16" s="27"/>
      <c r="J16" s="27"/>
      <c r="K16" s="31"/>
      <c r="L16" s="53"/>
      <c r="M16" s="33"/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5"/>
      <c r="AJ16" s="36"/>
      <c r="AK16" s="36"/>
      <c r="AL16" s="31"/>
    </row>
    <row r="17" spans="1:38" ht="13.8" x14ac:dyDescent="0.25">
      <c r="A17" s="54"/>
      <c r="B17" s="55"/>
      <c r="C17" s="56" t="s">
        <v>85</v>
      </c>
      <c r="D17" s="83" t="s">
        <v>86</v>
      </c>
      <c r="E17" s="41">
        <v>1000</v>
      </c>
      <c r="F17" s="58">
        <v>3000</v>
      </c>
      <c r="G17" s="59" t="s">
        <v>82</v>
      </c>
      <c r="H17" s="59"/>
      <c r="I17" s="43"/>
      <c r="J17" s="59"/>
      <c r="K17" s="44"/>
      <c r="L17" s="60"/>
      <c r="M17" s="61"/>
      <c r="N17" s="62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3"/>
      <c r="AJ17" s="64"/>
      <c r="AK17" s="65"/>
      <c r="AL17" s="66"/>
    </row>
    <row r="18" spans="1:38" ht="13.8" x14ac:dyDescent="0.25">
      <c r="A18" s="54"/>
      <c r="B18" s="55"/>
      <c r="C18" s="56" t="s">
        <v>87</v>
      </c>
      <c r="D18" s="40" t="s">
        <v>88</v>
      </c>
      <c r="E18" s="41">
        <v>400</v>
      </c>
      <c r="F18" s="58">
        <v>8000</v>
      </c>
      <c r="G18" s="59" t="s">
        <v>82</v>
      </c>
      <c r="H18" s="59"/>
      <c r="I18" s="43"/>
      <c r="J18" s="59"/>
      <c r="K18" s="44"/>
      <c r="L18" s="60"/>
      <c r="M18" s="61"/>
      <c r="N18" s="62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3"/>
      <c r="AJ18" s="64"/>
      <c r="AK18" s="65"/>
      <c r="AL18" s="66"/>
    </row>
    <row r="19" spans="1:38" ht="13.8" x14ac:dyDescent="0.25">
      <c r="A19" s="54"/>
      <c r="B19" s="55"/>
      <c r="C19" s="56" t="s">
        <v>89</v>
      </c>
      <c r="D19" s="57" t="s">
        <v>88</v>
      </c>
      <c r="E19" s="41">
        <v>400</v>
      </c>
      <c r="F19" s="58">
        <v>8000</v>
      </c>
      <c r="G19" s="59" t="s">
        <v>82</v>
      </c>
      <c r="H19" s="59"/>
      <c r="I19" s="43"/>
      <c r="J19" s="59"/>
      <c r="K19" s="44"/>
      <c r="L19" s="60"/>
      <c r="M19" s="61"/>
      <c r="N19" s="62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3"/>
      <c r="AJ19" s="64"/>
      <c r="AK19" s="65"/>
      <c r="AL19" s="66"/>
    </row>
    <row r="20" spans="1:38" ht="13.8" x14ac:dyDescent="0.25">
      <c r="A20" s="54"/>
      <c r="B20" s="55"/>
      <c r="C20" s="56" t="s">
        <v>90</v>
      </c>
      <c r="D20" s="84" t="s">
        <v>91</v>
      </c>
      <c r="E20" s="41">
        <v>150</v>
      </c>
      <c r="F20" s="58">
        <v>1500</v>
      </c>
      <c r="G20" s="59" t="s">
        <v>82</v>
      </c>
      <c r="H20" s="59"/>
      <c r="I20" s="43"/>
      <c r="J20" s="59"/>
      <c r="K20" s="44"/>
      <c r="L20" s="60"/>
      <c r="M20" s="61"/>
      <c r="N20" s="62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3"/>
      <c r="AJ20" s="64"/>
      <c r="AK20" s="65"/>
      <c r="AL20" s="66"/>
    </row>
    <row r="21" spans="1:38" ht="13.8" x14ac:dyDescent="0.25">
      <c r="A21" s="54"/>
      <c r="B21" s="55"/>
      <c r="C21" s="56" t="s">
        <v>92</v>
      </c>
      <c r="D21" s="84" t="s">
        <v>91</v>
      </c>
      <c r="E21" s="41">
        <v>150</v>
      </c>
      <c r="F21" s="58">
        <v>1500</v>
      </c>
      <c r="G21" s="59" t="s">
        <v>82</v>
      </c>
      <c r="H21" s="59"/>
      <c r="I21" s="43"/>
      <c r="J21" s="59"/>
      <c r="K21" s="44"/>
      <c r="L21" s="60"/>
      <c r="M21" s="61"/>
      <c r="N21" s="62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3"/>
      <c r="AJ21" s="64"/>
      <c r="AK21" s="65"/>
      <c r="AL21" s="66"/>
    </row>
    <row r="22" spans="1:38" ht="15.75" customHeight="1" x14ac:dyDescent="0.25">
      <c r="A22" s="26"/>
      <c r="B22" s="27"/>
      <c r="C22" s="28" t="s">
        <v>93</v>
      </c>
      <c r="D22" s="50"/>
      <c r="E22" s="51"/>
      <c r="F22" s="52"/>
      <c r="G22" s="27"/>
      <c r="H22" s="27"/>
      <c r="I22" s="27"/>
      <c r="J22" s="27"/>
      <c r="K22" s="31"/>
      <c r="L22" s="53"/>
      <c r="M22" s="33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5"/>
      <c r="AJ22" s="36"/>
      <c r="AK22" s="36"/>
      <c r="AL22" s="31"/>
    </row>
    <row r="23" spans="1:38" ht="13.8" x14ac:dyDescent="0.25">
      <c r="A23" s="54"/>
      <c r="B23" s="55"/>
      <c r="C23" s="56" t="s">
        <v>94</v>
      </c>
      <c r="D23" s="83" t="s">
        <v>95</v>
      </c>
      <c r="E23" s="41">
        <v>4000</v>
      </c>
      <c r="F23" s="165">
        <f>SUM(E23:E28)</f>
        <v>96500</v>
      </c>
      <c r="G23" s="164" t="s">
        <v>82</v>
      </c>
      <c r="H23" s="59"/>
      <c r="I23" s="59"/>
      <c r="J23" s="59"/>
      <c r="K23" s="44"/>
      <c r="L23" s="60"/>
      <c r="M23" s="61"/>
      <c r="N23" s="62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3"/>
      <c r="AJ23" s="64"/>
      <c r="AK23" s="65"/>
      <c r="AL23" s="66"/>
    </row>
    <row r="24" spans="1:38" ht="15.75" customHeight="1" x14ac:dyDescent="0.25">
      <c r="A24" s="54"/>
      <c r="B24" s="55"/>
      <c r="C24" s="56" t="s">
        <v>96</v>
      </c>
      <c r="D24" s="83" t="s">
        <v>95</v>
      </c>
      <c r="E24" s="41">
        <v>25000</v>
      </c>
      <c r="F24" s="158"/>
      <c r="G24" s="158"/>
      <c r="H24" s="59"/>
      <c r="I24" s="59"/>
      <c r="J24" s="85"/>
      <c r="K24" s="44"/>
      <c r="L24" s="60"/>
      <c r="M24" s="61"/>
      <c r="N24" s="62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3"/>
      <c r="AJ24" s="64"/>
      <c r="AK24" s="65"/>
      <c r="AL24" s="66"/>
    </row>
    <row r="25" spans="1:38" ht="15.75" customHeight="1" x14ac:dyDescent="0.25">
      <c r="A25" s="54"/>
      <c r="B25" s="55"/>
      <c r="C25" s="56" t="s">
        <v>97</v>
      </c>
      <c r="D25" s="83" t="s">
        <v>98</v>
      </c>
      <c r="E25" s="41">
        <v>10000</v>
      </c>
      <c r="F25" s="158"/>
      <c r="G25" s="158"/>
      <c r="H25" s="59"/>
      <c r="I25" s="86"/>
      <c r="J25" s="45"/>
      <c r="K25" s="44"/>
      <c r="L25" s="60"/>
      <c r="M25" s="61"/>
      <c r="N25" s="62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3"/>
      <c r="AJ25" s="64"/>
      <c r="AK25" s="65"/>
      <c r="AL25" s="66"/>
    </row>
    <row r="26" spans="1:38" ht="15.75" customHeight="1" x14ac:dyDescent="0.25">
      <c r="A26" s="54"/>
      <c r="B26" s="55"/>
      <c r="C26" s="56" t="s">
        <v>99</v>
      </c>
      <c r="D26" s="83" t="s">
        <v>100</v>
      </c>
      <c r="E26" s="41">
        <v>7500</v>
      </c>
      <c r="F26" s="158"/>
      <c r="G26" s="158"/>
      <c r="H26" s="59"/>
      <c r="I26" s="86"/>
      <c r="J26" s="87"/>
      <c r="K26" s="44"/>
      <c r="L26" s="60"/>
      <c r="M26" s="61"/>
      <c r="N26" s="62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3"/>
      <c r="AJ26" s="64"/>
      <c r="AK26" s="65"/>
      <c r="AL26" s="66"/>
    </row>
    <row r="27" spans="1:38" ht="15.75" customHeight="1" x14ac:dyDescent="0.25">
      <c r="A27" s="54"/>
      <c r="B27" s="55"/>
      <c r="C27" s="56" t="s">
        <v>101</v>
      </c>
      <c r="D27" s="83" t="s">
        <v>102</v>
      </c>
      <c r="E27" s="41">
        <v>20000</v>
      </c>
      <c r="F27" s="158"/>
      <c r="G27" s="158"/>
      <c r="H27" s="59"/>
      <c r="I27" s="88"/>
      <c r="J27" s="59"/>
      <c r="K27" s="44"/>
      <c r="L27" s="60"/>
      <c r="M27" s="61"/>
      <c r="N27" s="62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3"/>
      <c r="AJ27" s="64"/>
      <c r="AK27" s="65"/>
      <c r="AL27" s="66"/>
    </row>
    <row r="28" spans="1:38" ht="15.75" customHeight="1" x14ac:dyDescent="0.25">
      <c r="A28" s="54"/>
      <c r="B28" s="89"/>
      <c r="C28" s="56" t="s">
        <v>103</v>
      </c>
      <c r="D28" s="57" t="s">
        <v>98</v>
      </c>
      <c r="E28" s="41">
        <v>30000</v>
      </c>
      <c r="F28" s="156"/>
      <c r="G28" s="156"/>
      <c r="H28" s="59"/>
      <c r="I28" s="88"/>
      <c r="J28" s="59"/>
      <c r="K28" s="44"/>
      <c r="L28" s="60"/>
      <c r="M28" s="61"/>
      <c r="N28" s="62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3"/>
      <c r="AJ28" s="64"/>
      <c r="AK28" s="65"/>
      <c r="AL28" s="66"/>
    </row>
    <row r="29" spans="1:38" ht="15.75" customHeight="1" x14ac:dyDescent="0.25">
      <c r="A29" s="67"/>
      <c r="B29" s="90"/>
      <c r="C29" s="69" t="s">
        <v>104</v>
      </c>
      <c r="D29" s="70" t="s">
        <v>79</v>
      </c>
      <c r="E29" s="71">
        <v>45000</v>
      </c>
      <c r="F29" s="72">
        <v>45000</v>
      </c>
      <c r="G29" s="73" t="s">
        <v>82</v>
      </c>
      <c r="H29" s="73"/>
      <c r="I29" s="91"/>
      <c r="J29" s="73"/>
      <c r="K29" s="75"/>
      <c r="L29" s="76"/>
      <c r="M29" s="77"/>
      <c r="N29" s="78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9"/>
      <c r="AJ29" s="80"/>
      <c r="AK29" s="81"/>
      <c r="AL29" s="82"/>
    </row>
    <row r="30" spans="1:38" ht="15.75" customHeight="1" x14ac:dyDescent="0.25">
      <c r="A30" s="67"/>
      <c r="B30" s="90"/>
      <c r="C30" s="69" t="s">
        <v>105</v>
      </c>
      <c r="D30" s="70" t="s">
        <v>79</v>
      </c>
      <c r="E30" s="71">
        <v>5000</v>
      </c>
      <c r="F30" s="72">
        <v>5000</v>
      </c>
      <c r="G30" s="73" t="s">
        <v>82</v>
      </c>
      <c r="H30" s="73"/>
      <c r="I30" s="91"/>
      <c r="J30" s="73"/>
      <c r="K30" s="75"/>
      <c r="L30" s="76"/>
      <c r="M30" s="77"/>
      <c r="N30" s="78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9"/>
      <c r="AJ30" s="80"/>
      <c r="AK30" s="81"/>
      <c r="AL30" s="82"/>
    </row>
    <row r="31" spans="1:38" ht="15.75" customHeight="1" x14ac:dyDescent="0.25">
      <c r="A31" s="67"/>
      <c r="B31" s="90"/>
      <c r="C31" s="69" t="s">
        <v>106</v>
      </c>
      <c r="D31" s="70" t="s">
        <v>79</v>
      </c>
      <c r="E31" s="71">
        <v>30000</v>
      </c>
      <c r="F31" s="72">
        <v>30000</v>
      </c>
      <c r="G31" s="73" t="s">
        <v>82</v>
      </c>
      <c r="H31" s="73"/>
      <c r="I31" s="91"/>
      <c r="J31" s="73"/>
      <c r="K31" s="75"/>
      <c r="L31" s="76"/>
      <c r="M31" s="77"/>
      <c r="N31" s="78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9"/>
      <c r="AJ31" s="80"/>
      <c r="AK31" s="81"/>
      <c r="AL31" s="82"/>
    </row>
    <row r="32" spans="1:38" ht="15.75" customHeight="1" x14ac:dyDescent="0.25">
      <c r="A32" s="67"/>
      <c r="B32" s="90"/>
      <c r="C32" s="69" t="s">
        <v>107</v>
      </c>
      <c r="D32" s="70" t="s">
        <v>79</v>
      </c>
      <c r="E32" s="71">
        <v>20000</v>
      </c>
      <c r="F32" s="72">
        <v>20000</v>
      </c>
      <c r="G32" s="73" t="s">
        <v>82</v>
      </c>
      <c r="H32" s="73"/>
      <c r="I32" s="91"/>
      <c r="J32" s="73"/>
      <c r="K32" s="75"/>
      <c r="L32" s="76"/>
      <c r="M32" s="77"/>
      <c r="N32" s="78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9"/>
      <c r="AJ32" s="80"/>
      <c r="AK32" s="81"/>
      <c r="AL32" s="82"/>
    </row>
    <row r="33" spans="1:38" ht="15.75" customHeight="1" x14ac:dyDescent="0.25">
      <c r="A33" s="67"/>
      <c r="B33" s="90"/>
      <c r="C33" s="69" t="s">
        <v>108</v>
      </c>
      <c r="D33" s="70" t="s">
        <v>79</v>
      </c>
      <c r="E33" s="71">
        <v>5000</v>
      </c>
      <c r="F33" s="72">
        <v>5000</v>
      </c>
      <c r="G33" s="73" t="s">
        <v>82</v>
      </c>
      <c r="H33" s="73"/>
      <c r="I33" s="91"/>
      <c r="J33" s="73"/>
      <c r="K33" s="75"/>
      <c r="L33" s="76"/>
      <c r="M33" s="77"/>
      <c r="N33" s="78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9"/>
      <c r="AJ33" s="80"/>
      <c r="AK33" s="81"/>
      <c r="AL33" s="82"/>
    </row>
    <row r="34" spans="1:38" ht="15.75" customHeight="1" x14ac:dyDescent="0.25">
      <c r="A34" s="67"/>
      <c r="B34" s="90"/>
      <c r="C34" s="69" t="s">
        <v>109</v>
      </c>
      <c r="D34" s="70" t="s">
        <v>79</v>
      </c>
      <c r="E34" s="71">
        <v>20000</v>
      </c>
      <c r="F34" s="72">
        <v>20000</v>
      </c>
      <c r="G34" s="73" t="s">
        <v>82</v>
      </c>
      <c r="H34" s="73"/>
      <c r="I34" s="91"/>
      <c r="J34" s="73"/>
      <c r="K34" s="75"/>
      <c r="L34" s="76"/>
      <c r="M34" s="77"/>
      <c r="N34" s="78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9"/>
      <c r="AJ34" s="80"/>
      <c r="AK34" s="81"/>
      <c r="AL34" s="82"/>
    </row>
    <row r="35" spans="1:38" ht="15.75" customHeight="1" x14ac:dyDescent="0.25">
      <c r="A35" s="67"/>
      <c r="B35" s="90"/>
      <c r="C35" s="69" t="s">
        <v>110</v>
      </c>
      <c r="D35" s="70" t="s">
        <v>79</v>
      </c>
      <c r="E35" s="71">
        <v>5000</v>
      </c>
      <c r="F35" s="72">
        <v>5000</v>
      </c>
      <c r="G35" s="73" t="s">
        <v>82</v>
      </c>
      <c r="H35" s="73"/>
      <c r="I35" s="91"/>
      <c r="J35" s="73"/>
      <c r="K35" s="75"/>
      <c r="L35" s="76"/>
      <c r="M35" s="77"/>
      <c r="N35" s="78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9"/>
      <c r="AJ35" s="80"/>
      <c r="AK35" s="81"/>
      <c r="AL35" s="82"/>
    </row>
    <row r="36" spans="1:38" ht="15.75" customHeight="1" x14ac:dyDescent="0.25">
      <c r="A36" s="67"/>
      <c r="B36" s="90"/>
      <c r="C36" s="69" t="s">
        <v>111</v>
      </c>
      <c r="D36" s="155" t="s">
        <v>79</v>
      </c>
      <c r="E36" s="167">
        <v>30000</v>
      </c>
      <c r="F36" s="168">
        <v>30000</v>
      </c>
      <c r="G36" s="73" t="s">
        <v>82</v>
      </c>
      <c r="H36" s="73"/>
      <c r="I36" s="91"/>
      <c r="J36" s="73"/>
      <c r="K36" s="75"/>
      <c r="L36" s="76"/>
      <c r="M36" s="77"/>
      <c r="N36" s="78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9"/>
      <c r="AJ36" s="80"/>
      <c r="AK36" s="81"/>
      <c r="AL36" s="82"/>
    </row>
    <row r="37" spans="1:38" ht="15.75" customHeight="1" x14ac:dyDescent="0.25">
      <c r="A37" s="67"/>
      <c r="B37" s="90"/>
      <c r="C37" s="69" t="s">
        <v>112</v>
      </c>
      <c r="D37" s="156"/>
      <c r="E37" s="161"/>
      <c r="F37" s="156"/>
      <c r="G37" s="73" t="s">
        <v>82</v>
      </c>
      <c r="H37" s="73"/>
      <c r="I37" s="91"/>
      <c r="J37" s="73"/>
      <c r="K37" s="75"/>
      <c r="L37" s="76"/>
      <c r="M37" s="77"/>
      <c r="N37" s="78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9"/>
      <c r="AJ37" s="80"/>
      <c r="AK37" s="81"/>
      <c r="AL37" s="82"/>
    </row>
    <row r="38" spans="1:38" ht="15.75" customHeight="1" x14ac:dyDescent="0.25">
      <c r="A38" s="26"/>
      <c r="B38" s="27"/>
      <c r="C38" s="28" t="s">
        <v>113</v>
      </c>
      <c r="D38" s="50"/>
      <c r="E38" s="92"/>
      <c r="F38" s="52"/>
      <c r="G38" s="27"/>
      <c r="H38" s="27"/>
      <c r="I38" s="27"/>
      <c r="J38" s="27"/>
      <c r="K38" s="31"/>
      <c r="L38" s="53"/>
      <c r="M38" s="33"/>
      <c r="N38" s="33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5"/>
      <c r="AJ38" s="36"/>
      <c r="AK38" s="36"/>
      <c r="AL38" s="31"/>
    </row>
    <row r="39" spans="1:38" ht="15.75" customHeight="1" x14ac:dyDescent="0.25">
      <c r="A39" s="67"/>
      <c r="B39" s="90"/>
      <c r="C39" s="93" t="s">
        <v>114</v>
      </c>
      <c r="D39" s="70" t="s">
        <v>79</v>
      </c>
      <c r="E39" s="71">
        <v>190000</v>
      </c>
      <c r="F39" s="71">
        <v>190000</v>
      </c>
      <c r="G39" s="155" t="s">
        <v>82</v>
      </c>
      <c r="H39" s="73"/>
      <c r="I39" s="91"/>
      <c r="J39" s="73"/>
      <c r="K39" s="75"/>
      <c r="L39" s="76"/>
      <c r="M39" s="79"/>
      <c r="N39" s="78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9"/>
      <c r="AJ39" s="80"/>
      <c r="AK39" s="81"/>
      <c r="AL39" s="82"/>
    </row>
    <row r="40" spans="1:38" ht="15.75" customHeight="1" x14ac:dyDescent="0.25">
      <c r="A40" s="67"/>
      <c r="B40" s="90"/>
      <c r="C40" s="56" t="s">
        <v>115</v>
      </c>
      <c r="D40" s="70" t="s">
        <v>79</v>
      </c>
      <c r="E40" s="71">
        <v>10000</v>
      </c>
      <c r="F40" s="71">
        <v>10000</v>
      </c>
      <c r="G40" s="158"/>
      <c r="H40" s="73"/>
      <c r="I40" s="91"/>
      <c r="J40" s="73"/>
      <c r="K40" s="75"/>
      <c r="L40" s="76"/>
      <c r="M40" s="79"/>
      <c r="N40" s="78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9"/>
      <c r="AJ40" s="80"/>
      <c r="AK40" s="81"/>
      <c r="AL40" s="82"/>
    </row>
    <row r="41" spans="1:38" ht="15.75" customHeight="1" x14ac:dyDescent="0.25">
      <c r="A41" s="67"/>
      <c r="B41" s="90"/>
      <c r="C41" s="69" t="s">
        <v>116</v>
      </c>
      <c r="D41" s="70" t="s">
        <v>79</v>
      </c>
      <c r="E41" s="71">
        <v>15000</v>
      </c>
      <c r="F41" s="71">
        <v>15000</v>
      </c>
      <c r="G41" s="156"/>
      <c r="H41" s="73"/>
      <c r="I41" s="91"/>
      <c r="J41" s="73"/>
      <c r="K41" s="75"/>
      <c r="L41" s="76"/>
      <c r="M41" s="79"/>
      <c r="N41" s="78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9"/>
      <c r="AJ41" s="80"/>
      <c r="AK41" s="81"/>
      <c r="AL41" s="82"/>
    </row>
    <row r="42" spans="1:38" ht="15.75" customHeight="1" x14ac:dyDescent="0.25">
      <c r="A42" s="94"/>
      <c r="B42" s="95"/>
      <c r="C42" s="96" t="s">
        <v>117</v>
      </c>
      <c r="D42" s="97"/>
      <c r="E42" s="98"/>
      <c r="F42" s="99"/>
      <c r="G42" s="170" t="s">
        <v>82</v>
      </c>
      <c r="H42" s="100"/>
      <c r="I42" s="101"/>
      <c r="J42" s="100"/>
      <c r="K42" s="102"/>
      <c r="L42" s="103"/>
      <c r="M42" s="104"/>
      <c r="N42" s="105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7"/>
      <c r="AJ42" s="108"/>
      <c r="AK42" s="109"/>
      <c r="AL42" s="110"/>
    </row>
    <row r="43" spans="1:38" ht="15.75" customHeight="1" x14ac:dyDescent="0.25">
      <c r="A43" s="67"/>
      <c r="B43" s="68"/>
      <c r="C43" s="111" t="s">
        <v>118</v>
      </c>
      <c r="D43" s="112" t="s">
        <v>119</v>
      </c>
      <c r="E43" s="72">
        <v>250</v>
      </c>
      <c r="F43" s="113">
        <v>1000</v>
      </c>
      <c r="G43" s="158"/>
      <c r="H43" s="73"/>
      <c r="I43" s="114"/>
      <c r="J43" s="73"/>
      <c r="K43" s="115"/>
      <c r="L43" s="116"/>
      <c r="M43" s="117"/>
      <c r="N43" s="118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79"/>
      <c r="AJ43" s="80"/>
      <c r="AK43" s="81"/>
      <c r="AL43" s="82"/>
    </row>
    <row r="44" spans="1:38" ht="15.75" customHeight="1" x14ac:dyDescent="0.25">
      <c r="A44" s="67"/>
      <c r="B44" s="68"/>
      <c r="C44" s="111" t="s">
        <v>120</v>
      </c>
      <c r="D44" s="112" t="s">
        <v>121</v>
      </c>
      <c r="E44" s="72">
        <v>80</v>
      </c>
      <c r="F44" s="72">
        <v>2400</v>
      </c>
      <c r="G44" s="158"/>
      <c r="H44" s="73"/>
      <c r="I44" s="114"/>
      <c r="J44" s="73"/>
      <c r="K44" s="115"/>
      <c r="L44" s="116"/>
      <c r="M44" s="117"/>
      <c r="N44" s="118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79"/>
      <c r="AJ44" s="80"/>
      <c r="AK44" s="81"/>
      <c r="AL44" s="82"/>
    </row>
    <row r="45" spans="1:38" ht="15.75" customHeight="1" x14ac:dyDescent="0.25">
      <c r="A45" s="67"/>
      <c r="B45" s="68"/>
      <c r="C45" s="111" t="s">
        <v>122</v>
      </c>
      <c r="D45" s="112" t="s">
        <v>123</v>
      </c>
      <c r="E45" s="72">
        <v>100</v>
      </c>
      <c r="F45" s="72">
        <v>1000</v>
      </c>
      <c r="G45" s="158"/>
      <c r="H45" s="73"/>
      <c r="I45" s="114"/>
      <c r="J45" s="73"/>
      <c r="K45" s="115"/>
      <c r="L45" s="116"/>
      <c r="M45" s="117"/>
      <c r="N45" s="118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79"/>
      <c r="AJ45" s="80"/>
      <c r="AK45" s="81"/>
      <c r="AL45" s="82"/>
    </row>
    <row r="46" spans="1:38" ht="15.75" customHeight="1" x14ac:dyDescent="0.25">
      <c r="A46" s="67"/>
      <c r="B46" s="68"/>
      <c r="C46" s="111" t="s">
        <v>124</v>
      </c>
      <c r="D46" s="112" t="s">
        <v>123</v>
      </c>
      <c r="E46" s="72">
        <v>45</v>
      </c>
      <c r="F46" s="72">
        <v>450</v>
      </c>
      <c r="G46" s="158"/>
      <c r="H46" s="73"/>
      <c r="I46" s="114"/>
      <c r="J46" s="73"/>
      <c r="K46" s="115"/>
      <c r="L46" s="116"/>
      <c r="M46" s="117"/>
      <c r="N46" s="118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79"/>
      <c r="AJ46" s="80"/>
      <c r="AK46" s="81"/>
      <c r="AL46" s="82"/>
    </row>
    <row r="47" spans="1:38" ht="15.75" customHeight="1" x14ac:dyDescent="0.25">
      <c r="A47" s="67"/>
      <c r="B47" s="68"/>
      <c r="C47" s="111" t="s">
        <v>125</v>
      </c>
      <c r="D47" s="112" t="s">
        <v>123</v>
      </c>
      <c r="E47" s="72">
        <v>30</v>
      </c>
      <c r="F47" s="72">
        <v>300</v>
      </c>
      <c r="G47" s="158"/>
      <c r="H47" s="73"/>
      <c r="I47" s="114"/>
      <c r="J47" s="73"/>
      <c r="K47" s="115"/>
      <c r="L47" s="116"/>
      <c r="M47" s="117"/>
      <c r="N47" s="118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79"/>
      <c r="AJ47" s="80"/>
      <c r="AK47" s="81"/>
      <c r="AL47" s="82"/>
    </row>
    <row r="48" spans="1:38" ht="15.75" customHeight="1" x14ac:dyDescent="0.25">
      <c r="A48" s="67"/>
      <c r="B48" s="68"/>
      <c r="C48" s="111" t="s">
        <v>126</v>
      </c>
      <c r="D48" s="112" t="s">
        <v>127</v>
      </c>
      <c r="E48" s="72">
        <v>300</v>
      </c>
      <c r="F48" s="72">
        <v>600</v>
      </c>
      <c r="G48" s="158"/>
      <c r="H48" s="73"/>
      <c r="I48" s="114"/>
      <c r="J48" s="73"/>
      <c r="K48" s="115"/>
      <c r="L48" s="116"/>
      <c r="M48" s="117"/>
      <c r="N48" s="118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79"/>
      <c r="AJ48" s="80"/>
      <c r="AK48" s="81"/>
      <c r="AL48" s="82"/>
    </row>
    <row r="49" spans="1:38" ht="15.75" customHeight="1" x14ac:dyDescent="0.25">
      <c r="A49" s="67"/>
      <c r="B49" s="68"/>
      <c r="C49" s="111" t="s">
        <v>128</v>
      </c>
      <c r="D49" s="112" t="s">
        <v>129</v>
      </c>
      <c r="E49" s="72">
        <v>70</v>
      </c>
      <c r="F49" s="72">
        <v>350</v>
      </c>
      <c r="G49" s="158"/>
      <c r="H49" s="73"/>
      <c r="I49" s="114"/>
      <c r="J49" s="73"/>
      <c r="K49" s="115"/>
      <c r="L49" s="116"/>
      <c r="M49" s="117"/>
      <c r="N49" s="118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79"/>
      <c r="AJ49" s="80"/>
      <c r="AK49" s="81"/>
      <c r="AL49" s="82"/>
    </row>
    <row r="50" spans="1:38" ht="15.75" customHeight="1" x14ac:dyDescent="0.25">
      <c r="A50" s="67"/>
      <c r="B50" s="68"/>
      <c r="C50" s="111" t="s">
        <v>130</v>
      </c>
      <c r="D50" s="112" t="s">
        <v>129</v>
      </c>
      <c r="E50" s="72">
        <v>45</v>
      </c>
      <c r="F50" s="72">
        <v>225</v>
      </c>
      <c r="G50" s="158"/>
      <c r="H50" s="73"/>
      <c r="I50" s="114"/>
      <c r="J50" s="73"/>
      <c r="K50" s="115"/>
      <c r="L50" s="116"/>
      <c r="M50" s="117"/>
      <c r="N50" s="118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79"/>
      <c r="AJ50" s="80"/>
      <c r="AK50" s="81"/>
      <c r="AL50" s="82"/>
    </row>
    <row r="51" spans="1:38" ht="15.75" customHeight="1" x14ac:dyDescent="0.25">
      <c r="A51" s="67"/>
      <c r="B51" s="68"/>
      <c r="C51" s="111" t="s">
        <v>131</v>
      </c>
      <c r="D51" s="112" t="s">
        <v>102</v>
      </c>
      <c r="E51" s="72">
        <v>80</v>
      </c>
      <c r="F51" s="72">
        <v>1600</v>
      </c>
      <c r="G51" s="158"/>
      <c r="H51" s="73"/>
      <c r="I51" s="114"/>
      <c r="J51" s="73"/>
      <c r="K51" s="115"/>
      <c r="L51" s="116"/>
      <c r="M51" s="117"/>
      <c r="N51" s="118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79"/>
      <c r="AJ51" s="80"/>
      <c r="AK51" s="81"/>
      <c r="AL51" s="82"/>
    </row>
    <row r="52" spans="1:38" ht="15.75" customHeight="1" x14ac:dyDescent="0.25">
      <c r="A52" s="67"/>
      <c r="B52" s="68"/>
      <c r="C52" s="111" t="s">
        <v>132</v>
      </c>
      <c r="D52" s="112" t="s">
        <v>133</v>
      </c>
      <c r="E52" s="72">
        <v>2000</v>
      </c>
      <c r="F52" s="72">
        <v>6000</v>
      </c>
      <c r="G52" s="158"/>
      <c r="H52" s="73"/>
      <c r="I52" s="114"/>
      <c r="J52" s="73"/>
      <c r="K52" s="115"/>
      <c r="L52" s="116"/>
      <c r="M52" s="117"/>
      <c r="N52" s="118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79"/>
      <c r="AJ52" s="80"/>
      <c r="AK52" s="81"/>
      <c r="AL52" s="82"/>
    </row>
    <row r="53" spans="1:38" ht="15.75" customHeight="1" x14ac:dyDescent="0.25">
      <c r="A53" s="67"/>
      <c r="B53" s="68"/>
      <c r="C53" s="111" t="s">
        <v>134</v>
      </c>
      <c r="D53" s="112" t="s">
        <v>135</v>
      </c>
      <c r="E53" s="72">
        <v>80</v>
      </c>
      <c r="F53" s="72">
        <v>240</v>
      </c>
      <c r="G53" s="158"/>
      <c r="H53" s="73"/>
      <c r="I53" s="114"/>
      <c r="J53" s="73"/>
      <c r="K53" s="115"/>
      <c r="L53" s="116"/>
      <c r="M53" s="117"/>
      <c r="N53" s="118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79"/>
      <c r="AJ53" s="80"/>
      <c r="AK53" s="81"/>
      <c r="AL53" s="82"/>
    </row>
    <row r="54" spans="1:38" ht="15.75" customHeight="1" x14ac:dyDescent="0.25">
      <c r="A54" s="67"/>
      <c r="B54" s="68"/>
      <c r="C54" s="111" t="s">
        <v>136</v>
      </c>
      <c r="D54" s="112" t="s">
        <v>137</v>
      </c>
      <c r="E54" s="72">
        <v>55</v>
      </c>
      <c r="F54" s="72">
        <v>275</v>
      </c>
      <c r="G54" s="158"/>
      <c r="H54" s="73"/>
      <c r="I54" s="114"/>
      <c r="J54" s="73"/>
      <c r="K54" s="115"/>
      <c r="L54" s="116"/>
      <c r="M54" s="117"/>
      <c r="N54" s="118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79"/>
      <c r="AJ54" s="80"/>
      <c r="AK54" s="81"/>
      <c r="AL54" s="82"/>
    </row>
    <row r="55" spans="1:38" ht="15.75" customHeight="1" x14ac:dyDescent="0.25">
      <c r="A55" s="67"/>
      <c r="B55" s="68"/>
      <c r="C55" s="111" t="s">
        <v>138</v>
      </c>
      <c r="D55" s="112" t="s">
        <v>137</v>
      </c>
      <c r="E55" s="72">
        <v>30</v>
      </c>
      <c r="F55" s="72">
        <v>150</v>
      </c>
      <c r="G55" s="158"/>
      <c r="H55" s="73"/>
      <c r="I55" s="114"/>
      <c r="J55" s="73"/>
      <c r="K55" s="115"/>
      <c r="L55" s="116"/>
      <c r="M55" s="117"/>
      <c r="N55" s="118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79"/>
      <c r="AJ55" s="80"/>
      <c r="AK55" s="81"/>
      <c r="AL55" s="82"/>
    </row>
    <row r="56" spans="1:38" ht="15.75" customHeight="1" x14ac:dyDescent="0.25">
      <c r="A56" s="67"/>
      <c r="B56" s="68"/>
      <c r="C56" s="111" t="s">
        <v>139</v>
      </c>
      <c r="D56" s="112" t="s">
        <v>140</v>
      </c>
      <c r="E56" s="72">
        <v>120</v>
      </c>
      <c r="F56" s="72">
        <v>12000</v>
      </c>
      <c r="G56" s="158"/>
      <c r="H56" s="73"/>
      <c r="I56" s="114"/>
      <c r="J56" s="73"/>
      <c r="K56" s="115"/>
      <c r="L56" s="116"/>
      <c r="M56" s="117"/>
      <c r="N56" s="118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79"/>
      <c r="AJ56" s="80"/>
      <c r="AK56" s="81"/>
      <c r="AL56" s="82"/>
    </row>
    <row r="57" spans="1:38" ht="15.75" customHeight="1" x14ac:dyDescent="0.25">
      <c r="A57" s="67"/>
      <c r="B57" s="68"/>
      <c r="C57" s="111" t="s">
        <v>141</v>
      </c>
      <c r="D57" s="112" t="s">
        <v>129</v>
      </c>
      <c r="E57" s="72">
        <v>270</v>
      </c>
      <c r="F57" s="72">
        <v>1350</v>
      </c>
      <c r="G57" s="158"/>
      <c r="H57" s="73"/>
      <c r="I57" s="114"/>
      <c r="J57" s="73"/>
      <c r="K57" s="115"/>
      <c r="L57" s="116"/>
      <c r="M57" s="117"/>
      <c r="N57" s="118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79"/>
      <c r="AJ57" s="80"/>
      <c r="AK57" s="81"/>
      <c r="AL57" s="82"/>
    </row>
    <row r="58" spans="1:38" ht="15.75" customHeight="1" x14ac:dyDescent="0.25">
      <c r="A58" s="67"/>
      <c r="B58" s="68"/>
      <c r="C58" s="111" t="s">
        <v>142</v>
      </c>
      <c r="D58" s="112" t="s">
        <v>129</v>
      </c>
      <c r="E58" s="72">
        <v>100</v>
      </c>
      <c r="F58" s="72">
        <v>500</v>
      </c>
      <c r="G58" s="158"/>
      <c r="H58" s="73"/>
      <c r="I58" s="114"/>
      <c r="J58" s="73"/>
      <c r="K58" s="115"/>
      <c r="L58" s="116"/>
      <c r="M58" s="117"/>
      <c r="N58" s="118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79"/>
      <c r="AJ58" s="80"/>
      <c r="AK58" s="81"/>
      <c r="AL58" s="82"/>
    </row>
    <row r="59" spans="1:38" ht="15.75" customHeight="1" x14ac:dyDescent="0.25">
      <c r="A59" s="67"/>
      <c r="B59" s="68"/>
      <c r="C59" s="111" t="s">
        <v>143</v>
      </c>
      <c r="D59" s="112" t="s">
        <v>144</v>
      </c>
      <c r="E59" s="72">
        <v>350</v>
      </c>
      <c r="F59" s="72">
        <v>7000</v>
      </c>
      <c r="G59" s="156"/>
      <c r="H59" s="73"/>
      <c r="I59" s="114"/>
      <c r="J59" s="73"/>
      <c r="K59" s="115"/>
      <c r="L59" s="116"/>
      <c r="M59" s="117"/>
      <c r="N59" s="118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79"/>
      <c r="AJ59" s="80"/>
      <c r="AK59" s="81"/>
      <c r="AL59" s="82"/>
    </row>
    <row r="60" spans="1:38" ht="15.75" customHeight="1" x14ac:dyDescent="0.25">
      <c r="A60" s="26"/>
      <c r="B60" s="27"/>
      <c r="C60" s="28" t="s">
        <v>145</v>
      </c>
      <c r="D60" s="50"/>
      <c r="E60" s="51"/>
      <c r="F60" s="52">
        <f>SUM(F43:F59)</f>
        <v>35440</v>
      </c>
      <c r="G60" s="27"/>
      <c r="H60" s="27"/>
      <c r="I60" s="27"/>
      <c r="J60" s="27"/>
      <c r="K60" s="31"/>
      <c r="L60" s="53"/>
      <c r="M60" s="33"/>
      <c r="N60" s="33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5"/>
      <c r="AJ60" s="36"/>
      <c r="AK60" s="36"/>
      <c r="AL60" s="31"/>
    </row>
    <row r="61" spans="1:38" ht="15.75" customHeight="1" x14ac:dyDescent="0.25">
      <c r="A61" s="67"/>
      <c r="B61" s="68"/>
      <c r="C61" s="69" t="s">
        <v>146</v>
      </c>
      <c r="D61" s="112" t="s">
        <v>79</v>
      </c>
      <c r="E61" s="120">
        <v>30000</v>
      </c>
      <c r="F61" s="72">
        <v>30000</v>
      </c>
      <c r="G61" s="73" t="s">
        <v>82</v>
      </c>
      <c r="H61" s="73"/>
      <c r="I61" s="121"/>
      <c r="J61" s="73"/>
      <c r="K61" s="115"/>
      <c r="L61" s="116"/>
      <c r="M61" s="117"/>
      <c r="N61" s="118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79"/>
      <c r="AJ61" s="80"/>
      <c r="AK61" s="81"/>
      <c r="AL61" s="82"/>
    </row>
    <row r="62" spans="1:38" ht="15.75" customHeight="1" x14ac:dyDescent="0.25">
      <c r="A62" s="67"/>
      <c r="B62" s="68"/>
      <c r="C62" s="69" t="s">
        <v>147</v>
      </c>
      <c r="D62" s="157" t="s">
        <v>79</v>
      </c>
      <c r="E62" s="122">
        <v>25000</v>
      </c>
      <c r="F62" s="169">
        <v>110000</v>
      </c>
      <c r="G62" s="73" t="s">
        <v>82</v>
      </c>
      <c r="H62" s="73"/>
      <c r="I62" s="121"/>
      <c r="J62" s="73"/>
      <c r="K62" s="115"/>
      <c r="L62" s="116"/>
      <c r="M62" s="117"/>
      <c r="N62" s="118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79"/>
      <c r="AJ62" s="80"/>
      <c r="AK62" s="81"/>
      <c r="AL62" s="82"/>
    </row>
    <row r="63" spans="1:38" ht="15.75" customHeight="1" x14ac:dyDescent="0.25">
      <c r="A63" s="67"/>
      <c r="B63" s="68"/>
      <c r="C63" s="69" t="s">
        <v>148</v>
      </c>
      <c r="D63" s="158"/>
      <c r="E63" s="72">
        <v>35000</v>
      </c>
      <c r="F63" s="158"/>
      <c r="G63" s="73" t="s">
        <v>82</v>
      </c>
      <c r="H63" s="73"/>
      <c r="I63" s="121"/>
      <c r="J63" s="73"/>
      <c r="K63" s="115"/>
      <c r="L63" s="116"/>
      <c r="M63" s="117"/>
      <c r="N63" s="118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79"/>
      <c r="AJ63" s="80"/>
      <c r="AK63" s="81"/>
      <c r="AL63" s="82"/>
    </row>
    <row r="64" spans="1:38" ht="15.75" customHeight="1" x14ac:dyDescent="0.25">
      <c r="A64" s="67"/>
      <c r="B64" s="68"/>
      <c r="C64" s="69" t="s">
        <v>149</v>
      </c>
      <c r="D64" s="158"/>
      <c r="E64" s="120">
        <v>50000</v>
      </c>
      <c r="F64" s="158"/>
      <c r="G64" s="73" t="s">
        <v>82</v>
      </c>
      <c r="H64" s="73"/>
      <c r="I64" s="121"/>
      <c r="J64" s="73"/>
      <c r="K64" s="115"/>
      <c r="L64" s="116"/>
      <c r="M64" s="117"/>
      <c r="N64" s="118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79"/>
      <c r="AJ64" s="80"/>
      <c r="AK64" s="81"/>
      <c r="AL64" s="82"/>
    </row>
    <row r="65" spans="1:38" ht="15.75" customHeight="1" x14ac:dyDescent="0.25">
      <c r="A65" s="26"/>
      <c r="B65" s="27"/>
      <c r="C65" s="28" t="s">
        <v>150</v>
      </c>
      <c r="D65" s="32"/>
      <c r="E65" s="123"/>
      <c r="F65" s="124"/>
      <c r="G65" s="27"/>
      <c r="H65" s="27"/>
      <c r="I65" s="27"/>
      <c r="J65" s="27"/>
      <c r="K65" s="31"/>
      <c r="L65" s="53"/>
      <c r="M65" s="33"/>
      <c r="N65" s="33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5"/>
      <c r="AJ65" s="36"/>
      <c r="AK65" s="36"/>
      <c r="AL65" s="31"/>
    </row>
    <row r="66" spans="1:38" ht="15.75" customHeight="1" x14ac:dyDescent="0.25">
      <c r="A66" s="67"/>
      <c r="B66" s="90"/>
      <c r="C66" s="69" t="s">
        <v>151</v>
      </c>
      <c r="D66" s="112" t="s">
        <v>79</v>
      </c>
      <c r="E66" s="72">
        <v>30000</v>
      </c>
      <c r="F66" s="72">
        <v>30000</v>
      </c>
      <c r="G66" s="155" t="s">
        <v>82</v>
      </c>
      <c r="H66" s="73"/>
      <c r="I66" s="74"/>
      <c r="J66" s="73"/>
      <c r="K66" s="75"/>
      <c r="L66" s="76"/>
      <c r="M66" s="79"/>
      <c r="N66" s="78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9"/>
      <c r="AJ66" s="80"/>
      <c r="AK66" s="81"/>
      <c r="AL66" s="82"/>
    </row>
    <row r="67" spans="1:38" ht="15.75" customHeight="1" x14ac:dyDescent="0.25">
      <c r="A67" s="54"/>
      <c r="B67" s="89"/>
      <c r="C67" s="56" t="s">
        <v>152</v>
      </c>
      <c r="D67" s="59" t="s">
        <v>79</v>
      </c>
      <c r="E67" s="41">
        <v>157500</v>
      </c>
      <c r="F67" s="41">
        <v>157500</v>
      </c>
      <c r="G67" s="158"/>
      <c r="H67" s="59"/>
      <c r="I67" s="43"/>
      <c r="J67" s="44"/>
      <c r="K67" s="59"/>
      <c r="L67" s="60"/>
      <c r="M67" s="61"/>
      <c r="N67" s="62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3"/>
      <c r="AJ67" s="64"/>
      <c r="AK67" s="65"/>
      <c r="AL67" s="66"/>
    </row>
    <row r="68" spans="1:38" ht="15.75" customHeight="1" x14ac:dyDescent="0.25">
      <c r="A68" s="26"/>
      <c r="B68" s="27"/>
      <c r="C68" s="28" t="s">
        <v>153</v>
      </c>
      <c r="D68" s="50"/>
      <c r="E68" s="51"/>
      <c r="F68" s="52"/>
      <c r="G68" s="27"/>
      <c r="H68" s="27"/>
      <c r="I68" s="27"/>
      <c r="J68" s="27"/>
      <c r="K68" s="31"/>
      <c r="L68" s="53"/>
      <c r="M68" s="33"/>
      <c r="N68" s="33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5"/>
      <c r="AJ68" s="36"/>
      <c r="AK68" s="36"/>
      <c r="AL68" s="31"/>
    </row>
    <row r="69" spans="1:38" ht="15.75" customHeight="1" x14ac:dyDescent="0.25">
      <c r="A69" s="67"/>
      <c r="B69" s="90"/>
      <c r="C69" s="69" t="s">
        <v>154</v>
      </c>
      <c r="D69" s="70" t="s">
        <v>79</v>
      </c>
      <c r="E69" s="71">
        <v>25000</v>
      </c>
      <c r="F69" s="125">
        <v>25000</v>
      </c>
      <c r="G69" s="70" t="s">
        <v>82</v>
      </c>
      <c r="H69" s="73"/>
      <c r="I69" s="74"/>
      <c r="J69" s="75"/>
      <c r="K69" s="73"/>
      <c r="L69" s="76"/>
      <c r="M69" s="77"/>
      <c r="N69" s="78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9"/>
      <c r="AJ69" s="80"/>
      <c r="AK69" s="81"/>
      <c r="AL69" s="82"/>
    </row>
    <row r="70" spans="1:38" ht="15.75" customHeight="1" x14ac:dyDescent="0.25">
      <c r="A70" s="67"/>
      <c r="B70" s="90"/>
      <c r="C70" s="69"/>
      <c r="D70" s="70"/>
      <c r="E70" s="71"/>
      <c r="F70" s="125"/>
      <c r="G70" s="87"/>
      <c r="H70" s="73"/>
      <c r="I70" s="74"/>
      <c r="J70" s="75"/>
      <c r="K70" s="73"/>
      <c r="L70" s="76"/>
      <c r="M70" s="77"/>
      <c r="N70" s="78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9"/>
      <c r="AJ70" s="80"/>
      <c r="AK70" s="81"/>
      <c r="AL70" s="82"/>
    </row>
    <row r="71" spans="1:38" ht="15.75" customHeight="1" x14ac:dyDescent="0.25">
      <c r="A71" s="3"/>
      <c r="B71" s="3"/>
      <c r="C71" s="3"/>
      <c r="D71" s="3"/>
      <c r="E71" s="5"/>
      <c r="F71" s="5"/>
      <c r="G71" s="3"/>
      <c r="H71" s="3"/>
      <c r="I71" s="3"/>
      <c r="J71" s="3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81"/>
      <c r="AK71" s="126"/>
      <c r="AL71" s="36"/>
    </row>
    <row r="72" spans="1:38" ht="15.75" customHeight="1" x14ac:dyDescent="0.3">
      <c r="A72" s="127" t="s">
        <v>155</v>
      </c>
      <c r="B72" s="3"/>
      <c r="C72" s="3"/>
      <c r="D72" s="159">
        <f>SUM(F14:F70)</f>
        <v>1016880</v>
      </c>
      <c r="E72" s="160"/>
      <c r="F72" s="161"/>
      <c r="G72" s="3"/>
      <c r="H72" s="3"/>
      <c r="I72" s="3"/>
      <c r="J72" s="3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81"/>
      <c r="AK72" s="126"/>
      <c r="AL72" s="36"/>
    </row>
    <row r="73" spans="1:38" ht="15.75" customHeight="1" x14ac:dyDescent="0.25">
      <c r="A73" s="3"/>
      <c r="B73" s="3"/>
      <c r="C73" s="3"/>
      <c r="D73" s="3"/>
      <c r="E73" s="5"/>
      <c r="F73" s="6"/>
      <c r="G73" s="3"/>
      <c r="H73" s="3"/>
      <c r="I73" s="3"/>
      <c r="J73" s="3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6"/>
      <c r="AI73" s="3"/>
      <c r="AJ73" s="81"/>
      <c r="AK73" s="126"/>
      <c r="AL73" s="36"/>
    </row>
    <row r="74" spans="1:38" ht="15.75" customHeight="1" x14ac:dyDescent="0.25">
      <c r="A74" s="129" t="s">
        <v>156</v>
      </c>
      <c r="B74" s="3"/>
      <c r="C74" s="3"/>
      <c r="D74" s="3"/>
      <c r="E74" s="5"/>
      <c r="F74" s="6"/>
      <c r="G74" s="3"/>
      <c r="H74" s="3"/>
      <c r="I74" s="3"/>
      <c r="J74" s="3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81"/>
      <c r="AK74" s="126"/>
      <c r="AL74" s="36"/>
    </row>
    <row r="75" spans="1:38" ht="15.75" customHeight="1" x14ac:dyDescent="0.25">
      <c r="A75" s="3"/>
      <c r="B75" s="3"/>
      <c r="C75" s="3"/>
      <c r="D75" s="3"/>
      <c r="E75" s="5"/>
      <c r="F75" s="6"/>
      <c r="G75" s="3"/>
      <c r="H75" s="3"/>
      <c r="I75" s="3"/>
      <c r="J75" s="3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81"/>
      <c r="AK75" s="126"/>
      <c r="AL75" s="36"/>
    </row>
    <row r="76" spans="1:38" ht="15.75" customHeight="1" x14ac:dyDescent="0.3">
      <c r="A76" s="130" t="s">
        <v>157</v>
      </c>
      <c r="B76" s="3"/>
      <c r="C76" s="3"/>
      <c r="D76" s="130" t="s">
        <v>158</v>
      </c>
      <c r="E76" s="5"/>
      <c r="F76" s="6"/>
      <c r="G76" s="130" t="s">
        <v>159</v>
      </c>
      <c r="H76" s="3"/>
      <c r="I76" s="3"/>
      <c r="J76" s="130" t="s">
        <v>160</v>
      </c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81"/>
      <c r="AK76" s="126"/>
      <c r="AL76" s="36"/>
    </row>
    <row r="77" spans="1:38" ht="15.75" customHeight="1" x14ac:dyDescent="0.25">
      <c r="A77" s="3"/>
      <c r="B77" s="3"/>
      <c r="C77" s="3"/>
      <c r="D77" s="3"/>
      <c r="E77" s="5"/>
      <c r="F77" s="6"/>
      <c r="G77" s="3"/>
      <c r="H77" s="3"/>
      <c r="I77" s="3"/>
      <c r="J77" s="3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81"/>
      <c r="AK77" s="126"/>
      <c r="AL77" s="36"/>
    </row>
    <row r="78" spans="1:38" ht="15.75" customHeight="1" x14ac:dyDescent="0.25">
      <c r="A78" s="3"/>
      <c r="B78" s="3"/>
      <c r="C78" s="3"/>
      <c r="D78" s="3"/>
      <c r="E78" s="5"/>
      <c r="F78" s="6"/>
      <c r="G78" s="3"/>
      <c r="H78" s="3"/>
      <c r="I78" s="3"/>
      <c r="J78" s="3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81"/>
      <c r="AK78" s="126"/>
      <c r="AL78" s="36"/>
    </row>
    <row r="79" spans="1:38" ht="15.75" customHeight="1" x14ac:dyDescent="0.3">
      <c r="A79" s="162" t="s">
        <v>161</v>
      </c>
      <c r="B79" s="149"/>
      <c r="C79" s="149"/>
      <c r="D79" s="130" t="s">
        <v>162</v>
      </c>
      <c r="E79" s="5"/>
      <c r="F79" s="6"/>
      <c r="G79" s="130" t="s">
        <v>163</v>
      </c>
      <c r="H79" s="3"/>
      <c r="I79" s="3"/>
      <c r="J79" s="130" t="s">
        <v>164</v>
      </c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81"/>
      <c r="AK79" s="126"/>
      <c r="AL79" s="36"/>
    </row>
    <row r="80" spans="1:38" ht="15.75" customHeight="1" x14ac:dyDescent="0.25">
      <c r="A80" s="163" t="s">
        <v>165</v>
      </c>
      <c r="B80" s="149"/>
      <c r="C80" s="149"/>
      <c r="D80" s="131" t="s">
        <v>166</v>
      </c>
      <c r="E80" s="5"/>
      <c r="F80" s="6"/>
      <c r="G80" s="131" t="s">
        <v>167</v>
      </c>
      <c r="H80" s="3"/>
      <c r="I80" s="3"/>
      <c r="J80" s="131" t="s">
        <v>168</v>
      </c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81"/>
      <c r="AK80" s="126"/>
      <c r="AL80" s="36"/>
    </row>
    <row r="81" spans="1:38" ht="15.75" customHeight="1" x14ac:dyDescent="0.25">
      <c r="A81" s="3"/>
      <c r="B81" s="3"/>
      <c r="C81" s="3"/>
      <c r="D81" s="3"/>
      <c r="E81" s="5"/>
      <c r="F81" s="6"/>
      <c r="G81" s="3"/>
      <c r="H81" s="3"/>
      <c r="I81" s="3"/>
      <c r="J81" s="3"/>
      <c r="K81" s="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81"/>
      <c r="AK81" s="126"/>
      <c r="AL81" s="36"/>
    </row>
    <row r="82" spans="1:38" ht="15.75" customHeight="1" x14ac:dyDescent="0.25">
      <c r="A82" s="131" t="s">
        <v>169</v>
      </c>
      <c r="B82" s="3"/>
      <c r="C82" s="3"/>
      <c r="D82" s="131" t="s">
        <v>170</v>
      </c>
      <c r="E82" s="5"/>
      <c r="F82" s="6"/>
      <c r="G82" s="131" t="s">
        <v>170</v>
      </c>
      <c r="H82" s="3"/>
      <c r="I82" s="3"/>
      <c r="J82" s="131" t="s">
        <v>170</v>
      </c>
      <c r="K82" s="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81"/>
      <c r="AK82" s="126"/>
      <c r="AL82" s="36"/>
    </row>
    <row r="83" spans="1:38" ht="15.75" customHeight="1" x14ac:dyDescent="0.25">
      <c r="A83" s="3"/>
      <c r="B83" s="3"/>
      <c r="C83" s="3"/>
      <c r="D83" s="3"/>
      <c r="E83" s="5"/>
      <c r="F83" s="5"/>
      <c r="G83" s="3"/>
      <c r="H83" s="3"/>
      <c r="I83" s="3"/>
      <c r="J83" s="3"/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81"/>
      <c r="AK83" s="126"/>
      <c r="AL83" s="36"/>
    </row>
    <row r="84" spans="1:38" ht="15.75" customHeight="1" x14ac:dyDescent="0.25">
      <c r="A84" s="3"/>
      <c r="B84" s="3"/>
      <c r="C84" s="3"/>
      <c r="D84" s="3"/>
      <c r="E84" s="5"/>
      <c r="F84" s="5"/>
      <c r="G84" s="3"/>
      <c r="H84" s="3"/>
      <c r="I84" s="3"/>
      <c r="J84" s="3"/>
      <c r="K84" s="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81"/>
      <c r="AK84" s="126"/>
      <c r="AL84" s="36"/>
    </row>
    <row r="85" spans="1:38" ht="13.8" x14ac:dyDescent="0.25">
      <c r="A85" s="3"/>
      <c r="B85" s="3"/>
      <c r="C85" s="3"/>
      <c r="D85" s="3"/>
      <c r="E85" s="5"/>
      <c r="F85" s="5"/>
      <c r="G85" s="3"/>
      <c r="H85" s="3"/>
      <c r="I85" s="3"/>
      <c r="J85" s="3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81"/>
      <c r="AK85" s="126"/>
      <c r="AL85" s="36"/>
    </row>
    <row r="86" spans="1:38" ht="15.75" customHeight="1" x14ac:dyDescent="0.25">
      <c r="A86" s="3"/>
      <c r="B86" s="132"/>
      <c r="C86" s="133"/>
      <c r="D86" s="134"/>
      <c r="E86" s="135"/>
      <c r="F86" s="5"/>
      <c r="G86" s="3"/>
      <c r="H86" s="3"/>
      <c r="I86" s="3"/>
      <c r="J86" s="3"/>
      <c r="K86" s="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81"/>
      <c r="AK86" s="126"/>
      <c r="AL86" s="36"/>
    </row>
    <row r="87" spans="1:38" ht="15.75" customHeight="1" x14ac:dyDescent="0.25">
      <c r="A87" s="3"/>
      <c r="B87" s="132"/>
      <c r="C87" s="136"/>
      <c r="D87" s="134"/>
      <c r="E87" s="135"/>
      <c r="F87" s="5"/>
      <c r="G87" s="3"/>
      <c r="H87" s="3"/>
      <c r="I87" s="3"/>
      <c r="J87" s="3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81"/>
      <c r="AK87" s="126"/>
      <c r="AL87" s="36"/>
    </row>
    <row r="88" spans="1:38" ht="15.75" customHeight="1" x14ac:dyDescent="0.25">
      <c r="A88" s="3"/>
      <c r="B88" s="132"/>
      <c r="C88" s="133"/>
      <c r="D88" s="134"/>
      <c r="E88" s="135"/>
      <c r="F88" s="5"/>
      <c r="G88" s="3"/>
      <c r="H88" s="3"/>
      <c r="I88" s="3"/>
      <c r="J88" s="3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81"/>
      <c r="AK88" s="126"/>
      <c r="AL88" s="36"/>
    </row>
    <row r="89" spans="1:38" ht="15.75" customHeight="1" x14ac:dyDescent="0.25">
      <c r="A89" s="3"/>
      <c r="B89" s="132"/>
      <c r="C89" s="133"/>
      <c r="D89" s="134"/>
      <c r="E89" s="135"/>
      <c r="F89" s="5"/>
      <c r="G89" s="3"/>
      <c r="H89" s="3"/>
      <c r="I89" s="3"/>
      <c r="J89" s="3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81"/>
      <c r="AK89" s="126"/>
      <c r="AL89" s="36"/>
    </row>
    <row r="90" spans="1:38" ht="15.75" customHeight="1" x14ac:dyDescent="0.25">
      <c r="A90" s="3"/>
      <c r="B90" s="132"/>
      <c r="C90" s="137"/>
      <c r="D90" s="132"/>
      <c r="E90" s="135"/>
      <c r="F90" s="5"/>
      <c r="G90" s="3"/>
      <c r="H90" s="3">
        <f>5000+11800+17500</f>
        <v>34300</v>
      </c>
      <c r="I90" s="3"/>
      <c r="J90" s="3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81"/>
      <c r="AK90" s="126"/>
      <c r="AL90" s="36"/>
    </row>
    <row r="91" spans="1:38" ht="15.75" customHeight="1" x14ac:dyDescent="0.25">
      <c r="A91" s="3"/>
      <c r="B91" s="132"/>
      <c r="C91" s="137"/>
      <c r="D91" s="132">
        <f>11800+17500</f>
        <v>29300</v>
      </c>
      <c r="E91" s="135"/>
      <c r="F91" s="5"/>
      <c r="G91" s="3"/>
      <c r="H91" s="3">
        <f>56400-(4650+38920)</f>
        <v>12830</v>
      </c>
      <c r="I91" s="3"/>
      <c r="J91" s="3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81"/>
      <c r="AK91" s="126"/>
      <c r="AL91" s="36"/>
    </row>
    <row r="92" spans="1:38" ht="13.8" x14ac:dyDescent="0.25">
      <c r="A92" s="3"/>
      <c r="B92" s="132"/>
      <c r="C92" s="137"/>
      <c r="D92" s="132"/>
      <c r="E92" s="135"/>
      <c r="F92" s="5"/>
      <c r="G92" s="3"/>
      <c r="H92" s="3"/>
      <c r="I92" s="3"/>
      <c r="J92" s="3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138"/>
      <c r="AK92" s="139"/>
      <c r="AL92" s="36"/>
    </row>
    <row r="93" spans="1:38" ht="15.75" customHeight="1" x14ac:dyDescent="0.25">
      <c r="A93" s="3"/>
      <c r="B93" s="132"/>
      <c r="C93" s="137"/>
      <c r="D93" s="132"/>
      <c r="E93" s="135"/>
      <c r="F93" s="5"/>
      <c r="G93" s="3"/>
      <c r="H93" s="3"/>
      <c r="I93" s="3"/>
      <c r="J93" s="3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1"/>
      <c r="AK93" s="1"/>
      <c r="AL93" s="1"/>
    </row>
    <row r="94" spans="1:38" ht="15.75" customHeight="1" x14ac:dyDescent="0.25">
      <c r="A94" s="3"/>
      <c r="B94" s="3"/>
      <c r="C94" s="3"/>
      <c r="D94" s="140"/>
      <c r="E94" s="140"/>
      <c r="F94" s="140"/>
      <c r="G94" s="3"/>
      <c r="H94" s="3"/>
      <c r="I94" s="3"/>
      <c r="J94" s="3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1"/>
      <c r="AK94" s="1"/>
      <c r="AL94" s="1"/>
    </row>
    <row r="95" spans="1:38" ht="15.75" customHeight="1" x14ac:dyDescent="0.25">
      <c r="A95" s="3"/>
      <c r="B95" s="3"/>
      <c r="C95" s="3"/>
      <c r="D95" s="3"/>
      <c r="E95" s="5"/>
      <c r="F95" s="6"/>
      <c r="G95" s="3"/>
      <c r="H95" s="3"/>
      <c r="I95" s="3"/>
      <c r="J95" s="3"/>
      <c r="K95" s="128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1"/>
      <c r="AK95" s="1"/>
      <c r="AL95" s="1"/>
    </row>
    <row r="96" spans="1:38" ht="15.75" customHeight="1" x14ac:dyDescent="0.25">
      <c r="A96" s="3"/>
      <c r="B96" s="3"/>
      <c r="C96" s="3"/>
      <c r="D96" s="3"/>
      <c r="E96" s="5"/>
      <c r="F96" s="6"/>
      <c r="G96" s="3"/>
      <c r="H96" s="3"/>
      <c r="I96" s="3"/>
      <c r="J96" s="3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1"/>
      <c r="AK96" s="1"/>
      <c r="AL96" s="1"/>
    </row>
    <row r="97" spans="1:38" ht="15.75" customHeight="1" x14ac:dyDescent="0.25">
      <c r="A97" s="3"/>
      <c r="B97" s="3"/>
      <c r="C97" s="3"/>
      <c r="D97" s="141">
        <v>500000</v>
      </c>
      <c r="E97" s="142"/>
      <c r="F97" s="6"/>
      <c r="G97" s="3"/>
      <c r="H97" s="3"/>
      <c r="I97" s="3"/>
      <c r="J97" s="3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1"/>
      <c r="AK97" s="1"/>
      <c r="AL97" s="1"/>
    </row>
    <row r="98" spans="1:38" ht="15.75" customHeight="1" x14ac:dyDescent="0.25">
      <c r="A98" s="3"/>
      <c r="B98" s="3"/>
      <c r="C98" s="3"/>
      <c r="D98" s="5">
        <v>250000</v>
      </c>
      <c r="E98" s="5">
        <v>90000</v>
      </c>
      <c r="F98" s="5">
        <v>90000</v>
      </c>
      <c r="G98" s="6" t="s">
        <v>171</v>
      </c>
      <c r="H98" s="3"/>
      <c r="I98" s="3"/>
      <c r="J98" s="3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1"/>
      <c r="AK98" s="1"/>
      <c r="AL98" s="1"/>
    </row>
    <row r="99" spans="1:38" ht="15.75" customHeight="1" x14ac:dyDescent="0.25">
      <c r="A99" s="3"/>
      <c r="B99" s="3"/>
      <c r="C99" s="3"/>
      <c r="D99" s="5">
        <v>90000</v>
      </c>
      <c r="E99" s="5">
        <v>17500</v>
      </c>
      <c r="F99" s="5">
        <v>17500</v>
      </c>
      <c r="G99" s="6" t="s">
        <v>172</v>
      </c>
      <c r="H99" s="3"/>
      <c r="I99" s="3"/>
      <c r="J99" s="3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1"/>
      <c r="AK99" s="1"/>
      <c r="AL99" s="1"/>
    </row>
    <row r="100" spans="1:38" ht="15.75" customHeight="1" x14ac:dyDescent="0.25">
      <c r="A100" s="3"/>
      <c r="B100" s="3"/>
      <c r="C100" s="3"/>
      <c r="D100" s="5">
        <v>15000</v>
      </c>
      <c r="E100" s="5">
        <v>15000</v>
      </c>
      <c r="F100" s="5">
        <v>15000</v>
      </c>
      <c r="G100" s="6" t="s">
        <v>173</v>
      </c>
      <c r="H100" s="3"/>
      <c r="I100" s="3"/>
      <c r="J100" s="3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1"/>
      <c r="AK100" s="1"/>
      <c r="AL100" s="1"/>
    </row>
    <row r="101" spans="1:38" ht="15.75" customHeight="1" x14ac:dyDescent="0.25">
      <c r="A101" s="3"/>
      <c r="B101" s="3"/>
      <c r="C101" s="3"/>
      <c r="D101" s="5">
        <v>20000</v>
      </c>
      <c r="E101" s="5">
        <v>20000</v>
      </c>
      <c r="F101" s="5">
        <v>20000</v>
      </c>
      <c r="G101" s="6" t="s">
        <v>174</v>
      </c>
      <c r="H101" s="3"/>
      <c r="I101" s="3"/>
      <c r="J101" s="3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1"/>
      <c r="AK101" s="1"/>
      <c r="AL101" s="1"/>
    </row>
    <row r="102" spans="1:38" ht="15" customHeight="1" x14ac:dyDescent="0.25">
      <c r="A102" s="3"/>
      <c r="B102" s="3"/>
      <c r="C102" s="3"/>
      <c r="D102" s="5">
        <v>17500</v>
      </c>
      <c r="E102" s="5">
        <v>50000</v>
      </c>
      <c r="F102" s="5">
        <v>250000</v>
      </c>
      <c r="G102" s="6" t="s">
        <v>175</v>
      </c>
      <c r="H102" s="3"/>
      <c r="I102" s="3"/>
      <c r="J102" s="3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1"/>
      <c r="AK102" s="1"/>
      <c r="AL102" s="1"/>
    </row>
    <row r="103" spans="1:38" ht="15.75" customHeight="1" x14ac:dyDescent="0.25">
      <c r="A103" s="3"/>
      <c r="B103" s="3"/>
      <c r="C103" s="3"/>
      <c r="D103" s="5"/>
      <c r="E103" s="5">
        <v>160000</v>
      </c>
      <c r="F103" s="5">
        <v>107500</v>
      </c>
      <c r="G103" s="6" t="s">
        <v>176</v>
      </c>
      <c r="H103" s="3"/>
      <c r="I103" s="3"/>
      <c r="J103" s="3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1"/>
      <c r="AK103" s="1"/>
      <c r="AL103" s="1"/>
    </row>
    <row r="104" spans="1:38" ht="15.75" customHeight="1" x14ac:dyDescent="0.25">
      <c r="A104" s="3"/>
      <c r="B104" s="3"/>
      <c r="C104" s="3"/>
      <c r="D104" s="5"/>
      <c r="E104" s="5">
        <v>35000</v>
      </c>
      <c r="F104" s="5"/>
      <c r="G104" s="6"/>
      <c r="H104" s="3"/>
      <c r="I104" s="3"/>
      <c r="J104" s="3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1"/>
      <c r="AK104" s="1"/>
      <c r="AL104" s="1"/>
    </row>
    <row r="105" spans="1:38" ht="15.75" customHeight="1" x14ac:dyDescent="0.25">
      <c r="A105" s="3"/>
      <c r="B105" s="3"/>
      <c r="C105" s="3"/>
      <c r="D105" s="5"/>
      <c r="E105" s="5">
        <v>30000</v>
      </c>
      <c r="F105" s="5"/>
      <c r="G105" s="3"/>
      <c r="H105" s="3"/>
      <c r="I105" s="3"/>
      <c r="J105" s="3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1"/>
      <c r="AK105" s="1"/>
      <c r="AL105" s="1"/>
    </row>
    <row r="106" spans="1:38" ht="15.75" customHeight="1" x14ac:dyDescent="0.25">
      <c r="A106" s="3"/>
      <c r="B106" s="3"/>
      <c r="C106" s="3"/>
      <c r="D106" s="141">
        <f>SUM(D98:D105)</f>
        <v>392500</v>
      </c>
      <c r="E106" s="143">
        <f>SUM(E97:E105)</f>
        <v>417500</v>
      </c>
      <c r="F106" s="143">
        <f>SUM(F98:F105)</f>
        <v>500000</v>
      </c>
      <c r="G106" s="3"/>
      <c r="H106" s="3"/>
      <c r="I106" s="3"/>
      <c r="J106" s="3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1"/>
      <c r="AK106" s="1"/>
      <c r="AL106" s="1"/>
    </row>
    <row r="107" spans="1:38" ht="15.75" customHeight="1" x14ac:dyDescent="0.25">
      <c r="A107" s="3"/>
      <c r="B107" s="3"/>
      <c r="C107" s="3"/>
      <c r="D107" s="5"/>
      <c r="E107" s="142"/>
      <c r="F107" s="6"/>
      <c r="G107" s="3"/>
      <c r="H107" s="3"/>
      <c r="I107" s="3"/>
      <c r="J107" s="3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1"/>
      <c r="AK107" s="1"/>
      <c r="AL107" s="1"/>
    </row>
    <row r="108" spans="1:38" ht="15.75" customHeight="1" x14ac:dyDescent="0.25">
      <c r="A108" s="3"/>
      <c r="B108" s="3"/>
      <c r="C108" s="3"/>
      <c r="D108" s="5">
        <f>D97-D106</f>
        <v>107500</v>
      </c>
      <c r="E108" s="142"/>
      <c r="F108" s="6"/>
      <c r="G108" s="3"/>
      <c r="H108" s="3"/>
      <c r="I108" s="3"/>
      <c r="J108" s="3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1"/>
      <c r="AK108" s="1"/>
      <c r="AL108" s="1"/>
    </row>
    <row r="109" spans="1:38" ht="15.75" customHeight="1" x14ac:dyDescent="0.25">
      <c r="A109" s="3"/>
      <c r="B109" s="3"/>
      <c r="C109" s="3"/>
      <c r="D109" s="3"/>
      <c r="E109" s="5"/>
      <c r="F109" s="6"/>
      <c r="G109" s="3"/>
      <c r="H109" s="3"/>
      <c r="I109" s="3"/>
      <c r="J109" s="3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1"/>
      <c r="AK109" s="1"/>
      <c r="AL109" s="1"/>
    </row>
    <row r="110" spans="1:38" ht="15.75" customHeight="1" x14ac:dyDescent="0.25">
      <c r="A110" s="3"/>
      <c r="B110" s="3"/>
      <c r="C110" s="3"/>
      <c r="D110" s="3"/>
      <c r="E110" s="5"/>
      <c r="F110" s="6"/>
      <c r="G110" s="3"/>
      <c r="H110" s="3"/>
      <c r="I110" s="3"/>
      <c r="J110" s="3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1"/>
      <c r="AK110" s="1"/>
      <c r="AL110" s="1"/>
    </row>
    <row r="111" spans="1:38" ht="15.75" customHeight="1" x14ac:dyDescent="0.25">
      <c r="A111" s="3"/>
      <c r="B111" s="3"/>
      <c r="C111" s="3"/>
      <c r="D111" s="3"/>
      <c r="E111" s="5"/>
      <c r="F111" s="6"/>
      <c r="G111" s="3"/>
      <c r="H111" s="3"/>
      <c r="I111" s="3"/>
      <c r="J111" s="3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1"/>
      <c r="AK111" s="1"/>
      <c r="AL111" s="1"/>
    </row>
    <row r="112" spans="1:38" ht="15.75" customHeight="1" x14ac:dyDescent="0.25">
      <c r="A112" s="3"/>
      <c r="B112" s="3"/>
      <c r="C112" s="3"/>
      <c r="D112" s="3" t="s">
        <v>177</v>
      </c>
      <c r="E112" s="5"/>
      <c r="F112" s="6"/>
      <c r="G112" s="3"/>
      <c r="H112" s="3"/>
      <c r="I112" s="3"/>
      <c r="J112" s="3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1"/>
      <c r="AK112" s="1"/>
      <c r="AL112" s="1"/>
    </row>
    <row r="113" spans="1:38" ht="15.75" customHeight="1" x14ac:dyDescent="0.25">
      <c r="A113" s="3"/>
      <c r="B113" s="3"/>
      <c r="C113" s="3"/>
      <c r="D113" s="3" t="s">
        <v>178</v>
      </c>
      <c r="E113" s="5"/>
      <c r="F113" s="6"/>
      <c r="G113" s="3"/>
      <c r="H113" s="3"/>
      <c r="I113" s="3"/>
      <c r="J113" s="3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1"/>
      <c r="AK113" s="1"/>
      <c r="AL113" s="1"/>
    </row>
    <row r="114" spans="1:38" ht="15.75" customHeight="1" x14ac:dyDescent="0.25">
      <c r="A114" s="3"/>
      <c r="B114" s="3"/>
      <c r="C114" s="3"/>
      <c r="D114" s="3" t="s">
        <v>179</v>
      </c>
      <c r="E114" s="5"/>
      <c r="F114" s="3"/>
      <c r="G114" s="3"/>
      <c r="H114" s="3"/>
      <c r="I114" s="3"/>
      <c r="J114" s="3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1"/>
      <c r="AK114" s="1"/>
      <c r="AL114" s="1"/>
    </row>
    <row r="115" spans="1:38" ht="15.75" customHeight="1" x14ac:dyDescent="0.25">
      <c r="A115" s="3"/>
      <c r="B115" s="3"/>
      <c r="C115" s="3"/>
      <c r="D115" s="3" t="s">
        <v>180</v>
      </c>
      <c r="E115" s="5"/>
      <c r="F115" s="3"/>
      <c r="G115" s="3"/>
      <c r="H115" s="3"/>
      <c r="I115" s="3"/>
      <c r="J115" s="3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1"/>
      <c r="AK115" s="1"/>
      <c r="AL115" s="1"/>
    </row>
    <row r="116" spans="1:38" ht="15.75" customHeight="1" x14ac:dyDescent="0.25">
      <c r="A116" s="3"/>
      <c r="B116" s="3"/>
      <c r="C116" s="3"/>
      <c r="D116" s="3"/>
      <c r="E116" s="5"/>
      <c r="F116" s="3"/>
      <c r="G116" s="3"/>
      <c r="H116" s="3"/>
      <c r="I116" s="3"/>
      <c r="J116" s="3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1"/>
      <c r="AK116" s="1"/>
      <c r="AL116" s="1"/>
    </row>
    <row r="117" spans="1:38" ht="15.75" customHeight="1" x14ac:dyDescent="0.25">
      <c r="A117" s="3"/>
      <c r="B117" s="3"/>
      <c r="C117" s="3"/>
      <c r="D117" s="3"/>
      <c r="E117" s="5"/>
      <c r="F117" s="3"/>
      <c r="G117" s="3"/>
      <c r="H117" s="3"/>
      <c r="I117" s="3"/>
      <c r="J117" s="3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1"/>
      <c r="AK117" s="1"/>
      <c r="AL117" s="1"/>
    </row>
    <row r="118" spans="1:38" ht="15.75" customHeight="1" x14ac:dyDescent="0.25">
      <c r="A118" s="3"/>
      <c r="B118" s="3"/>
      <c r="C118" s="3"/>
      <c r="D118" s="3"/>
      <c r="E118" s="5"/>
      <c r="F118" s="3"/>
      <c r="G118" s="3"/>
      <c r="H118" s="3"/>
      <c r="I118" s="3"/>
      <c r="J118" s="3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1"/>
      <c r="AK118" s="1"/>
      <c r="AL118" s="1"/>
    </row>
    <row r="119" spans="1:38" ht="15.75" customHeight="1" x14ac:dyDescent="0.25">
      <c r="A119" s="3"/>
      <c r="B119" s="3"/>
      <c r="C119" s="3"/>
      <c r="D119" s="3"/>
      <c r="E119" s="5"/>
      <c r="F119" s="3"/>
      <c r="G119" s="3"/>
      <c r="H119" s="3"/>
      <c r="I119" s="3"/>
      <c r="J119" s="3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1"/>
      <c r="AK119" s="1"/>
      <c r="AL119" s="1"/>
    </row>
    <row r="120" spans="1:38" ht="15.75" customHeight="1" x14ac:dyDescent="0.25">
      <c r="A120" s="3"/>
      <c r="B120" s="3"/>
      <c r="C120" s="3"/>
      <c r="D120" s="3"/>
      <c r="E120" s="5"/>
      <c r="F120" s="3"/>
      <c r="G120" s="3"/>
      <c r="H120" s="3"/>
      <c r="I120" s="3"/>
      <c r="J120" s="3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1"/>
      <c r="AK120" s="1"/>
      <c r="AL120" s="1"/>
    </row>
    <row r="121" spans="1:38" ht="15.75" customHeight="1" x14ac:dyDescent="0.25">
      <c r="A121" s="3"/>
      <c r="B121" s="3"/>
      <c r="C121" s="3"/>
      <c r="D121" s="3"/>
      <c r="E121" s="5"/>
      <c r="F121" s="3"/>
      <c r="G121" s="3"/>
      <c r="H121" s="3"/>
      <c r="I121" s="3"/>
      <c r="J121" s="3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1"/>
      <c r="AK121" s="1"/>
      <c r="AL121" s="1"/>
    </row>
    <row r="122" spans="1:38" ht="15.75" customHeight="1" x14ac:dyDescent="0.25">
      <c r="A122" s="3"/>
      <c r="B122" s="3"/>
      <c r="C122" s="3"/>
      <c r="D122" s="3"/>
      <c r="E122" s="5"/>
      <c r="F122" s="3"/>
      <c r="G122" s="3"/>
      <c r="H122" s="3"/>
      <c r="I122" s="3"/>
      <c r="J122" s="3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1"/>
      <c r="AK122" s="1"/>
      <c r="AL122" s="1"/>
    </row>
    <row r="123" spans="1:38" ht="15.75" customHeight="1" x14ac:dyDescent="0.25">
      <c r="A123" s="3"/>
      <c r="B123" s="3"/>
      <c r="C123" s="3"/>
      <c r="D123" s="3"/>
      <c r="E123" s="5"/>
      <c r="F123" s="3"/>
      <c r="G123" s="3"/>
      <c r="H123" s="3"/>
      <c r="I123" s="3"/>
      <c r="J123" s="3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1"/>
      <c r="AK123" s="1"/>
      <c r="AL123" s="1"/>
    </row>
    <row r="124" spans="1:38" ht="15.75" customHeight="1" x14ac:dyDescent="0.25">
      <c r="A124" s="3"/>
      <c r="B124" s="3"/>
      <c r="C124" s="3"/>
      <c r="D124" s="3"/>
      <c r="E124" s="5"/>
      <c r="F124" s="3"/>
      <c r="G124" s="3"/>
      <c r="H124" s="3"/>
      <c r="I124" s="3"/>
      <c r="J124" s="3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1"/>
      <c r="AK124" s="1"/>
      <c r="AL124" s="1"/>
    </row>
    <row r="125" spans="1:38" ht="15.75" customHeight="1" x14ac:dyDescent="0.25">
      <c r="A125" s="3"/>
      <c r="B125" s="3"/>
      <c r="C125" s="3"/>
      <c r="D125" s="3"/>
      <c r="E125" s="5"/>
      <c r="F125" s="3"/>
      <c r="G125" s="3"/>
      <c r="H125" s="3"/>
      <c r="I125" s="3"/>
      <c r="J125" s="3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1"/>
      <c r="AK125" s="1"/>
      <c r="AL125" s="1"/>
    </row>
    <row r="126" spans="1:38" ht="15.75" customHeight="1" x14ac:dyDescent="0.25">
      <c r="A126" s="3"/>
      <c r="B126" s="3"/>
      <c r="C126" s="3"/>
      <c r="D126" s="3"/>
      <c r="E126" s="5"/>
      <c r="F126" s="3"/>
      <c r="G126" s="3"/>
      <c r="H126" s="3"/>
      <c r="I126" s="3"/>
      <c r="J126" s="3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1"/>
      <c r="AK126" s="1"/>
      <c r="AL126" s="1"/>
    </row>
    <row r="127" spans="1:38" ht="15.75" customHeight="1" x14ac:dyDescent="0.25">
      <c r="A127" s="3"/>
      <c r="B127" s="3"/>
      <c r="C127" s="3"/>
      <c r="D127" s="3"/>
      <c r="E127" s="5"/>
      <c r="F127" s="3"/>
      <c r="G127" s="3"/>
      <c r="H127" s="3"/>
      <c r="I127" s="3"/>
      <c r="J127" s="3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1"/>
      <c r="AK127" s="1"/>
      <c r="AL127" s="1"/>
    </row>
    <row r="128" spans="1:38" ht="15.75" customHeight="1" x14ac:dyDescent="0.25">
      <c r="A128" s="3"/>
      <c r="B128" s="3"/>
      <c r="C128" s="3"/>
      <c r="D128" s="3"/>
      <c r="E128" s="5"/>
      <c r="F128" s="3"/>
      <c r="G128" s="3"/>
      <c r="H128" s="3"/>
      <c r="I128" s="3"/>
      <c r="J128" s="3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1"/>
      <c r="AK128" s="1"/>
      <c r="AL128" s="1"/>
    </row>
    <row r="129" spans="1:38" ht="15.75" customHeight="1" x14ac:dyDescent="0.25">
      <c r="A129" s="3"/>
      <c r="B129" s="3"/>
      <c r="C129" s="3"/>
      <c r="D129" s="3"/>
      <c r="E129" s="5"/>
      <c r="F129" s="3"/>
      <c r="G129" s="3"/>
      <c r="H129" s="3"/>
      <c r="I129" s="3"/>
      <c r="J129" s="3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1"/>
      <c r="AK129" s="1"/>
      <c r="AL129" s="1"/>
    </row>
    <row r="130" spans="1:38" ht="15.75" customHeight="1" x14ac:dyDescent="0.25">
      <c r="A130" s="3"/>
      <c r="B130" s="3"/>
      <c r="C130" s="3"/>
      <c r="D130" s="3"/>
      <c r="E130" s="5"/>
      <c r="F130" s="3"/>
      <c r="G130" s="3"/>
      <c r="H130" s="3"/>
      <c r="I130" s="3"/>
      <c r="J130" s="3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1"/>
      <c r="AK130" s="1"/>
      <c r="AL130" s="1"/>
    </row>
    <row r="131" spans="1:38" ht="15.75" customHeight="1" x14ac:dyDescent="0.25">
      <c r="A131" s="3"/>
      <c r="B131" s="3"/>
      <c r="C131" s="3"/>
      <c r="D131" s="3"/>
      <c r="E131" s="5"/>
      <c r="F131" s="3"/>
      <c r="G131" s="3"/>
      <c r="H131" s="3"/>
      <c r="I131" s="3"/>
      <c r="J131" s="3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1"/>
      <c r="AK131" s="1"/>
      <c r="AL131" s="1"/>
    </row>
    <row r="132" spans="1:38" ht="15.75" customHeight="1" x14ac:dyDescent="0.25">
      <c r="A132" s="3"/>
      <c r="B132" s="3"/>
      <c r="C132" s="3"/>
      <c r="D132" s="3"/>
      <c r="E132" s="5"/>
      <c r="F132" s="3"/>
      <c r="G132" s="3"/>
      <c r="H132" s="3"/>
      <c r="I132" s="3"/>
      <c r="J132" s="3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1"/>
      <c r="AK132" s="1"/>
      <c r="AL132" s="1"/>
    </row>
    <row r="133" spans="1:38" ht="15.75" customHeight="1" x14ac:dyDescent="0.25">
      <c r="A133" s="3"/>
      <c r="B133" s="3"/>
      <c r="C133" s="3"/>
      <c r="D133" s="3"/>
      <c r="E133" s="5"/>
      <c r="F133" s="3"/>
      <c r="G133" s="3"/>
      <c r="H133" s="3"/>
      <c r="I133" s="3"/>
      <c r="J133" s="3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1"/>
      <c r="AK133" s="1"/>
      <c r="AL133" s="1"/>
    </row>
    <row r="134" spans="1:38" ht="15.75" customHeight="1" x14ac:dyDescent="0.25">
      <c r="A134" s="3"/>
      <c r="B134" s="3"/>
      <c r="C134" s="3"/>
      <c r="D134" s="3"/>
      <c r="E134" s="5"/>
      <c r="F134" s="3"/>
      <c r="G134" s="3"/>
      <c r="H134" s="3"/>
      <c r="I134" s="3"/>
      <c r="J134" s="3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1"/>
      <c r="AK134" s="1"/>
      <c r="AL134" s="1"/>
    </row>
    <row r="135" spans="1:38" ht="15.75" customHeight="1" x14ac:dyDescent="0.25">
      <c r="A135" s="3"/>
      <c r="B135" s="3"/>
      <c r="C135" s="3"/>
      <c r="D135" s="3"/>
      <c r="E135" s="5"/>
      <c r="F135" s="3"/>
      <c r="G135" s="3"/>
      <c r="H135" s="3"/>
      <c r="I135" s="3"/>
      <c r="J135" s="3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1"/>
      <c r="AK135" s="1"/>
      <c r="AL135" s="1"/>
    </row>
    <row r="136" spans="1:38" ht="15.75" customHeight="1" x14ac:dyDescent="0.25">
      <c r="A136" s="3"/>
      <c r="B136" s="3"/>
      <c r="C136" s="3"/>
      <c r="D136" s="3"/>
      <c r="E136" s="5"/>
      <c r="F136" s="3"/>
      <c r="G136" s="3"/>
      <c r="H136" s="3"/>
      <c r="I136" s="3"/>
      <c r="J136" s="3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1"/>
      <c r="AK136" s="1"/>
      <c r="AL136" s="1"/>
    </row>
    <row r="137" spans="1:38" ht="15.75" customHeight="1" x14ac:dyDescent="0.25">
      <c r="A137" s="3"/>
      <c r="B137" s="3"/>
      <c r="C137" s="3"/>
      <c r="D137" s="3"/>
      <c r="E137" s="5"/>
      <c r="F137" s="3"/>
      <c r="G137" s="3"/>
      <c r="H137" s="3"/>
      <c r="I137" s="3"/>
      <c r="J137" s="3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1"/>
      <c r="AK137" s="1"/>
      <c r="AL137" s="1"/>
    </row>
    <row r="138" spans="1:38" ht="15.75" customHeight="1" x14ac:dyDescent="0.25">
      <c r="A138" s="3"/>
      <c r="B138" s="3"/>
      <c r="C138" s="3"/>
      <c r="D138" s="3"/>
      <c r="E138" s="5"/>
      <c r="F138" s="3"/>
      <c r="G138" s="3"/>
      <c r="H138" s="3"/>
      <c r="I138" s="3"/>
      <c r="J138" s="3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1"/>
      <c r="AK138" s="1"/>
      <c r="AL138" s="1"/>
    </row>
    <row r="139" spans="1:38" ht="15.75" customHeight="1" x14ac:dyDescent="0.25">
      <c r="A139" s="3"/>
      <c r="B139" s="3"/>
      <c r="C139" s="3"/>
      <c r="D139" s="3"/>
      <c r="E139" s="5"/>
      <c r="F139" s="3"/>
      <c r="G139" s="3"/>
      <c r="H139" s="3"/>
      <c r="I139" s="3"/>
      <c r="J139" s="3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1"/>
      <c r="AK139" s="1"/>
      <c r="AL139" s="1"/>
    </row>
    <row r="140" spans="1:38" ht="15.75" customHeight="1" x14ac:dyDescent="0.25">
      <c r="A140" s="3"/>
      <c r="B140" s="3"/>
      <c r="C140" s="3"/>
      <c r="D140" s="3"/>
      <c r="E140" s="5"/>
      <c r="F140" s="3"/>
      <c r="G140" s="3"/>
      <c r="H140" s="3"/>
      <c r="I140" s="3"/>
      <c r="J140" s="3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1"/>
      <c r="AK140" s="1"/>
      <c r="AL140" s="1"/>
    </row>
    <row r="141" spans="1:38" ht="15.75" customHeight="1" x14ac:dyDescent="0.25">
      <c r="A141" s="3"/>
      <c r="B141" s="3"/>
      <c r="C141" s="3"/>
      <c r="D141" s="3"/>
      <c r="E141" s="5"/>
      <c r="F141" s="3"/>
      <c r="G141" s="3"/>
      <c r="H141" s="3"/>
      <c r="I141" s="3"/>
      <c r="J141" s="3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1"/>
      <c r="AK141" s="1"/>
      <c r="AL141" s="1"/>
    </row>
    <row r="142" spans="1:38" ht="15.75" customHeight="1" x14ac:dyDescent="0.25">
      <c r="A142" s="3"/>
      <c r="B142" s="3"/>
      <c r="C142" s="3"/>
      <c r="D142" s="3"/>
      <c r="E142" s="5"/>
      <c r="F142" s="3"/>
      <c r="G142" s="3"/>
      <c r="H142" s="3"/>
      <c r="I142" s="3"/>
      <c r="J142" s="3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1"/>
      <c r="AK142" s="1"/>
      <c r="AL142" s="1"/>
    </row>
    <row r="143" spans="1:38" ht="15.75" customHeight="1" x14ac:dyDescent="0.25">
      <c r="A143" s="3"/>
      <c r="B143" s="3"/>
      <c r="C143" s="3"/>
      <c r="D143" s="3"/>
      <c r="E143" s="5"/>
      <c r="F143" s="3"/>
      <c r="G143" s="3"/>
      <c r="H143" s="3"/>
      <c r="I143" s="3"/>
      <c r="J143" s="3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1"/>
      <c r="AK143" s="1"/>
      <c r="AL143" s="1"/>
    </row>
    <row r="144" spans="1:38" ht="15.75" customHeight="1" x14ac:dyDescent="0.25">
      <c r="A144" s="3"/>
      <c r="B144" s="3"/>
      <c r="C144" s="3"/>
      <c r="D144" s="3"/>
      <c r="E144" s="5"/>
      <c r="F144" s="3"/>
      <c r="G144" s="3"/>
      <c r="H144" s="3"/>
      <c r="I144" s="3"/>
      <c r="J144" s="3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1"/>
      <c r="AK144" s="1"/>
      <c r="AL144" s="1"/>
    </row>
    <row r="145" spans="1:38" ht="15.75" customHeight="1" x14ac:dyDescent="0.25">
      <c r="A145" s="3"/>
      <c r="B145" s="3"/>
      <c r="C145" s="3"/>
      <c r="D145" s="3"/>
      <c r="E145" s="5"/>
      <c r="F145" s="3"/>
      <c r="G145" s="3"/>
      <c r="H145" s="3"/>
      <c r="I145" s="3"/>
      <c r="J145" s="3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1"/>
      <c r="AK145" s="1"/>
      <c r="AL145" s="1"/>
    </row>
    <row r="146" spans="1:38" ht="15.75" customHeight="1" x14ac:dyDescent="0.25">
      <c r="A146" s="3"/>
      <c r="B146" s="3"/>
      <c r="C146" s="3"/>
      <c r="D146" s="3"/>
      <c r="E146" s="5"/>
      <c r="F146" s="3"/>
      <c r="G146" s="3"/>
      <c r="H146" s="3"/>
      <c r="I146" s="3"/>
      <c r="J146" s="3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1"/>
      <c r="AK146" s="1"/>
      <c r="AL146" s="1"/>
    </row>
    <row r="147" spans="1:38" ht="15.75" customHeight="1" x14ac:dyDescent="0.25">
      <c r="A147" s="3"/>
      <c r="B147" s="3"/>
      <c r="C147" s="3"/>
      <c r="D147" s="3"/>
      <c r="E147" s="5"/>
      <c r="F147" s="3"/>
      <c r="G147" s="3"/>
      <c r="H147" s="3"/>
      <c r="I147" s="3"/>
      <c r="J147" s="3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1"/>
      <c r="AK147" s="1"/>
      <c r="AL147" s="1"/>
    </row>
    <row r="148" spans="1:38" ht="15.75" customHeight="1" x14ac:dyDescent="0.25">
      <c r="A148" s="3"/>
      <c r="B148" s="3"/>
      <c r="C148" s="3"/>
      <c r="D148" s="3"/>
      <c r="E148" s="5"/>
      <c r="F148" s="3"/>
      <c r="G148" s="3"/>
      <c r="H148" s="3"/>
      <c r="I148" s="3"/>
      <c r="J148" s="3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1"/>
      <c r="AK148" s="1"/>
      <c r="AL148" s="1"/>
    </row>
    <row r="149" spans="1:38" ht="15.75" customHeight="1" x14ac:dyDescent="0.25">
      <c r="A149" s="3"/>
      <c r="B149" s="3"/>
      <c r="C149" s="3"/>
      <c r="D149" s="3"/>
      <c r="E149" s="5"/>
      <c r="F149" s="3"/>
      <c r="G149" s="3"/>
      <c r="H149" s="3"/>
      <c r="I149" s="3"/>
      <c r="J149" s="3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1"/>
      <c r="AK149" s="1"/>
      <c r="AL149" s="1"/>
    </row>
    <row r="150" spans="1:38" ht="15.75" customHeight="1" x14ac:dyDescent="0.25">
      <c r="A150" s="3"/>
      <c r="B150" s="3"/>
      <c r="C150" s="3"/>
      <c r="D150" s="3"/>
      <c r="E150" s="5"/>
      <c r="F150" s="3"/>
      <c r="G150" s="3"/>
      <c r="H150" s="3"/>
      <c r="I150" s="3"/>
      <c r="J150" s="3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1"/>
      <c r="AK150" s="1"/>
      <c r="AL150" s="1"/>
    </row>
    <row r="151" spans="1:38" ht="15.75" customHeight="1" x14ac:dyDescent="0.25">
      <c r="A151" s="3"/>
      <c r="B151" s="3"/>
      <c r="C151" s="3"/>
      <c r="D151" s="3"/>
      <c r="E151" s="5"/>
      <c r="F151" s="3"/>
      <c r="G151" s="3"/>
      <c r="H151" s="3"/>
      <c r="I151" s="3"/>
      <c r="J151" s="3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1"/>
      <c r="AK151" s="1"/>
      <c r="AL151" s="1"/>
    </row>
    <row r="152" spans="1:38" ht="15.75" customHeight="1" x14ac:dyDescent="0.25">
      <c r="A152" s="3"/>
      <c r="B152" s="3"/>
      <c r="C152" s="3"/>
      <c r="D152" s="3"/>
      <c r="E152" s="5"/>
      <c r="F152" s="3"/>
      <c r="G152" s="3"/>
      <c r="H152" s="3"/>
      <c r="I152" s="3"/>
      <c r="J152" s="3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1"/>
      <c r="AK152" s="1"/>
      <c r="AL152" s="1"/>
    </row>
    <row r="153" spans="1:38" ht="15.75" customHeight="1" x14ac:dyDescent="0.25">
      <c r="A153" s="3"/>
      <c r="B153" s="3"/>
      <c r="C153" s="3"/>
      <c r="D153" s="3"/>
      <c r="E153" s="5"/>
      <c r="F153" s="3"/>
      <c r="G153" s="3"/>
      <c r="H153" s="3"/>
      <c r="I153" s="3"/>
      <c r="J153" s="3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1"/>
      <c r="AK153" s="1"/>
      <c r="AL153" s="1"/>
    </row>
    <row r="154" spans="1:38" ht="15.75" customHeight="1" x14ac:dyDescent="0.25">
      <c r="A154" s="3"/>
      <c r="B154" s="3"/>
      <c r="C154" s="3"/>
      <c r="D154" s="3"/>
      <c r="E154" s="5"/>
      <c r="F154" s="3"/>
      <c r="G154" s="3"/>
      <c r="H154" s="3"/>
      <c r="I154" s="3"/>
      <c r="J154" s="3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1"/>
      <c r="AK154" s="1"/>
      <c r="AL154" s="1"/>
    </row>
    <row r="155" spans="1:38" ht="15.75" customHeight="1" x14ac:dyDescent="0.25">
      <c r="A155" s="3"/>
      <c r="B155" s="3"/>
      <c r="C155" s="3"/>
      <c r="D155" s="3"/>
      <c r="E155" s="5"/>
      <c r="F155" s="3"/>
      <c r="G155" s="3"/>
      <c r="H155" s="3"/>
      <c r="I155" s="3"/>
      <c r="J155" s="3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1"/>
      <c r="AK155" s="1"/>
      <c r="AL155" s="1"/>
    </row>
    <row r="156" spans="1:38" ht="15.75" customHeight="1" x14ac:dyDescent="0.25">
      <c r="A156" s="3"/>
      <c r="B156" s="3"/>
      <c r="C156" s="3"/>
      <c r="D156" s="3"/>
      <c r="E156" s="5"/>
      <c r="F156" s="3"/>
      <c r="G156" s="3"/>
      <c r="H156" s="3"/>
      <c r="I156" s="3"/>
      <c r="J156" s="3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1"/>
      <c r="AK156" s="1"/>
      <c r="AL156" s="1"/>
    </row>
    <row r="157" spans="1:38" ht="15.75" customHeight="1" x14ac:dyDescent="0.25">
      <c r="A157" s="3"/>
      <c r="B157" s="3"/>
      <c r="C157" s="3"/>
      <c r="D157" s="3"/>
      <c r="E157" s="5"/>
      <c r="F157" s="3"/>
      <c r="G157" s="3"/>
      <c r="H157" s="3"/>
      <c r="I157" s="3"/>
      <c r="J157" s="3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1"/>
      <c r="AK157" s="1"/>
      <c r="AL157" s="1"/>
    </row>
    <row r="158" spans="1:38" ht="15.75" customHeight="1" x14ac:dyDescent="0.25">
      <c r="A158" s="3"/>
      <c r="B158" s="3"/>
      <c r="C158" s="3"/>
      <c r="D158" s="3"/>
      <c r="E158" s="5"/>
      <c r="F158" s="3"/>
      <c r="G158" s="3"/>
      <c r="H158" s="3"/>
      <c r="I158" s="3"/>
      <c r="J158" s="3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1"/>
      <c r="AK158" s="1"/>
      <c r="AL158" s="1"/>
    </row>
    <row r="159" spans="1:38" ht="15.75" customHeight="1" x14ac:dyDescent="0.25">
      <c r="A159" s="3"/>
      <c r="B159" s="3"/>
      <c r="C159" s="3"/>
      <c r="D159" s="3"/>
      <c r="E159" s="5"/>
      <c r="F159" s="3"/>
      <c r="G159" s="3"/>
      <c r="H159" s="3"/>
      <c r="I159" s="3"/>
      <c r="J159" s="3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1"/>
      <c r="AK159" s="1"/>
      <c r="AL159" s="1"/>
    </row>
    <row r="160" spans="1:38" ht="15.75" customHeight="1" x14ac:dyDescent="0.25">
      <c r="A160" s="3"/>
      <c r="B160" s="3"/>
      <c r="C160" s="3"/>
      <c r="D160" s="3"/>
      <c r="E160" s="5"/>
      <c r="F160" s="3"/>
      <c r="G160" s="3"/>
      <c r="H160" s="3"/>
      <c r="I160" s="3"/>
      <c r="J160" s="3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1"/>
      <c r="AK160" s="1"/>
      <c r="AL160" s="1"/>
    </row>
    <row r="161" spans="1:38" ht="15.75" customHeight="1" x14ac:dyDescent="0.25">
      <c r="A161" s="3"/>
      <c r="B161" s="3"/>
      <c r="C161" s="3"/>
      <c r="D161" s="3"/>
      <c r="E161" s="5"/>
      <c r="F161" s="3"/>
      <c r="G161" s="3"/>
      <c r="H161" s="3"/>
      <c r="I161" s="3"/>
      <c r="J161" s="3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1"/>
      <c r="AK161" s="1"/>
      <c r="AL161" s="1"/>
    </row>
    <row r="162" spans="1:38" ht="15.75" customHeight="1" x14ac:dyDescent="0.25">
      <c r="A162" s="3"/>
      <c r="B162" s="3"/>
      <c r="C162" s="3"/>
      <c r="D162" s="3"/>
      <c r="E162" s="5"/>
      <c r="F162" s="3"/>
      <c r="G162" s="3"/>
      <c r="H162" s="3"/>
      <c r="I162" s="3"/>
      <c r="J162" s="3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1"/>
      <c r="AK162" s="1"/>
      <c r="AL162" s="1"/>
    </row>
    <row r="163" spans="1:38" ht="15.75" customHeight="1" x14ac:dyDescent="0.25">
      <c r="A163" s="3"/>
      <c r="B163" s="3"/>
      <c r="C163" s="3"/>
      <c r="D163" s="3"/>
      <c r="E163" s="5"/>
      <c r="F163" s="3"/>
      <c r="G163" s="3"/>
      <c r="H163" s="3"/>
      <c r="I163" s="3"/>
      <c r="J163" s="3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1"/>
      <c r="AK163" s="1"/>
      <c r="AL163" s="1"/>
    </row>
    <row r="164" spans="1:38" ht="15.75" customHeight="1" x14ac:dyDescent="0.25">
      <c r="A164" s="3"/>
      <c r="B164" s="3"/>
      <c r="C164" s="3"/>
      <c r="D164" s="3"/>
      <c r="E164" s="5"/>
      <c r="F164" s="3"/>
      <c r="G164" s="3"/>
      <c r="H164" s="3"/>
      <c r="I164" s="3"/>
      <c r="J164" s="3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1"/>
      <c r="AK164" s="1"/>
      <c r="AL164" s="1"/>
    </row>
    <row r="165" spans="1:38" ht="15.75" customHeight="1" x14ac:dyDescent="0.25">
      <c r="A165" s="3"/>
      <c r="B165" s="3"/>
      <c r="C165" s="3"/>
      <c r="D165" s="3"/>
      <c r="E165" s="5"/>
      <c r="F165" s="3"/>
      <c r="G165" s="3"/>
      <c r="H165" s="3"/>
      <c r="I165" s="3"/>
      <c r="J165" s="3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1"/>
      <c r="AK165" s="1"/>
      <c r="AL165" s="1"/>
    </row>
    <row r="166" spans="1:38" ht="15.75" customHeight="1" x14ac:dyDescent="0.25">
      <c r="A166" s="3"/>
      <c r="B166" s="3"/>
      <c r="C166" s="3"/>
      <c r="D166" s="3"/>
      <c r="E166" s="5"/>
      <c r="F166" s="3"/>
      <c r="G166" s="3"/>
      <c r="H166" s="3"/>
      <c r="I166" s="3"/>
      <c r="J166" s="3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1"/>
      <c r="AK166" s="1"/>
      <c r="AL166" s="1"/>
    </row>
    <row r="167" spans="1:38" ht="15.75" customHeight="1" x14ac:dyDescent="0.25">
      <c r="A167" s="3"/>
      <c r="B167" s="3"/>
      <c r="C167" s="3"/>
      <c r="D167" s="3"/>
      <c r="E167" s="5"/>
      <c r="F167" s="3"/>
      <c r="G167" s="3"/>
      <c r="H167" s="3"/>
      <c r="I167" s="3"/>
      <c r="J167" s="3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1"/>
      <c r="AK167" s="1"/>
      <c r="AL167" s="1"/>
    </row>
    <row r="168" spans="1:38" ht="15.75" customHeight="1" x14ac:dyDescent="0.25">
      <c r="A168" s="3"/>
      <c r="B168" s="3"/>
      <c r="C168" s="3"/>
      <c r="D168" s="3"/>
      <c r="E168" s="5"/>
      <c r="F168" s="3"/>
      <c r="G168" s="3"/>
      <c r="H168" s="3"/>
      <c r="I168" s="3"/>
      <c r="J168" s="3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1"/>
      <c r="AK168" s="1"/>
      <c r="AL168" s="1"/>
    </row>
    <row r="169" spans="1:38" ht="15.75" customHeight="1" x14ac:dyDescent="0.25">
      <c r="A169" s="3"/>
      <c r="B169" s="3"/>
      <c r="C169" s="3"/>
      <c r="D169" s="3"/>
      <c r="E169" s="5"/>
      <c r="F169" s="3"/>
      <c r="G169" s="3"/>
      <c r="H169" s="3"/>
      <c r="I169" s="3"/>
      <c r="J169" s="3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1"/>
      <c r="AK169" s="1"/>
      <c r="AL169" s="1"/>
    </row>
    <row r="170" spans="1:38" ht="15.75" customHeight="1" x14ac:dyDescent="0.25">
      <c r="A170" s="3"/>
      <c r="B170" s="3"/>
      <c r="C170" s="3"/>
      <c r="D170" s="3"/>
      <c r="E170" s="5"/>
      <c r="F170" s="3"/>
      <c r="G170" s="3"/>
      <c r="H170" s="3"/>
      <c r="I170" s="3"/>
      <c r="J170" s="3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1"/>
      <c r="AK170" s="1"/>
      <c r="AL170" s="1"/>
    </row>
    <row r="171" spans="1:38" ht="15.75" customHeight="1" x14ac:dyDescent="0.25">
      <c r="A171" s="3"/>
      <c r="B171" s="3"/>
      <c r="C171" s="3"/>
      <c r="D171" s="3"/>
      <c r="E171" s="5"/>
      <c r="F171" s="3"/>
      <c r="G171" s="3"/>
      <c r="H171" s="3"/>
      <c r="I171" s="3"/>
      <c r="J171" s="3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1"/>
      <c r="AK171" s="1"/>
      <c r="AL171" s="1"/>
    </row>
    <row r="172" spans="1:38" ht="15.75" customHeight="1" x14ac:dyDescent="0.25">
      <c r="A172" s="3"/>
      <c r="B172" s="3"/>
      <c r="C172" s="3"/>
      <c r="D172" s="3"/>
      <c r="E172" s="5"/>
      <c r="F172" s="3"/>
      <c r="G172" s="3"/>
      <c r="H172" s="3"/>
      <c r="I172" s="3"/>
      <c r="J172" s="3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1"/>
      <c r="AK172" s="1"/>
      <c r="AL172" s="1"/>
    </row>
    <row r="173" spans="1:38" ht="15.75" customHeight="1" x14ac:dyDescent="0.25">
      <c r="A173" s="3"/>
      <c r="B173" s="3"/>
      <c r="C173" s="3"/>
      <c r="D173" s="3"/>
      <c r="E173" s="5"/>
      <c r="F173" s="3"/>
      <c r="G173" s="3"/>
      <c r="H173" s="3"/>
      <c r="I173" s="3"/>
      <c r="J173" s="3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1"/>
      <c r="AK173" s="1"/>
      <c r="AL173" s="1"/>
    </row>
    <row r="174" spans="1:38" ht="15.75" customHeight="1" x14ac:dyDescent="0.25">
      <c r="A174" s="3"/>
      <c r="B174" s="3"/>
      <c r="C174" s="3"/>
      <c r="D174" s="3"/>
      <c r="E174" s="5"/>
      <c r="F174" s="3"/>
      <c r="G174" s="3"/>
      <c r="H174" s="3"/>
      <c r="I174" s="3"/>
      <c r="J174" s="3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1"/>
      <c r="AK174" s="1"/>
      <c r="AL174" s="1"/>
    </row>
    <row r="175" spans="1:38" ht="15.75" customHeight="1" x14ac:dyDescent="0.25">
      <c r="A175" s="3"/>
      <c r="B175" s="3"/>
      <c r="C175" s="3"/>
      <c r="D175" s="3"/>
      <c r="E175" s="5"/>
      <c r="F175" s="3"/>
      <c r="G175" s="3"/>
      <c r="H175" s="3"/>
      <c r="I175" s="3"/>
      <c r="J175" s="3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1"/>
      <c r="AK175" s="1"/>
      <c r="AL175" s="1"/>
    </row>
    <row r="176" spans="1:38" ht="15.75" customHeight="1" x14ac:dyDescent="0.25">
      <c r="A176" s="3"/>
      <c r="B176" s="3"/>
      <c r="C176" s="3"/>
      <c r="D176" s="3"/>
      <c r="E176" s="5"/>
      <c r="F176" s="3"/>
      <c r="G176" s="3"/>
      <c r="H176" s="3"/>
      <c r="I176" s="3"/>
      <c r="J176" s="3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1"/>
      <c r="AK176" s="1"/>
      <c r="AL176" s="1"/>
    </row>
    <row r="177" spans="1:38" ht="15.75" customHeight="1" x14ac:dyDescent="0.25">
      <c r="A177" s="3"/>
      <c r="B177" s="3"/>
      <c r="C177" s="3"/>
      <c r="D177" s="3"/>
      <c r="E177" s="5"/>
      <c r="F177" s="3"/>
      <c r="G177" s="3"/>
      <c r="H177" s="3"/>
      <c r="I177" s="3"/>
      <c r="J177" s="3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1"/>
      <c r="AK177" s="1"/>
      <c r="AL177" s="1"/>
    </row>
    <row r="178" spans="1:38" ht="15.75" customHeight="1" x14ac:dyDescent="0.25">
      <c r="A178" s="3"/>
      <c r="B178" s="3"/>
      <c r="C178" s="3"/>
      <c r="D178" s="3"/>
      <c r="E178" s="5"/>
      <c r="F178" s="3"/>
      <c r="G178" s="3"/>
      <c r="H178" s="3"/>
      <c r="I178" s="3"/>
      <c r="J178" s="3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1"/>
      <c r="AK178" s="1"/>
      <c r="AL178" s="1"/>
    </row>
    <row r="179" spans="1:38" ht="15.75" customHeight="1" x14ac:dyDescent="0.25">
      <c r="A179" s="3"/>
      <c r="B179" s="3"/>
      <c r="C179" s="3"/>
      <c r="D179" s="3"/>
      <c r="E179" s="5"/>
      <c r="F179" s="3"/>
      <c r="G179" s="3"/>
      <c r="H179" s="3"/>
      <c r="I179" s="3"/>
      <c r="J179" s="3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1"/>
      <c r="AK179" s="1"/>
      <c r="AL179" s="1"/>
    </row>
    <row r="180" spans="1:38" ht="15.75" customHeight="1" x14ac:dyDescent="0.25">
      <c r="A180" s="3"/>
      <c r="B180" s="3"/>
      <c r="C180" s="3"/>
      <c r="D180" s="3"/>
      <c r="E180" s="5"/>
      <c r="F180" s="3"/>
      <c r="G180" s="3"/>
      <c r="H180" s="3"/>
      <c r="I180" s="3"/>
      <c r="J180" s="3"/>
      <c r="K180" s="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1"/>
      <c r="AK180" s="1"/>
      <c r="AL180" s="1"/>
    </row>
    <row r="181" spans="1:38" ht="15.75" customHeight="1" x14ac:dyDescent="0.25">
      <c r="A181" s="3"/>
      <c r="B181" s="3"/>
      <c r="C181" s="3"/>
      <c r="D181" s="3"/>
      <c r="E181" s="5"/>
      <c r="F181" s="3"/>
      <c r="G181" s="3"/>
      <c r="H181" s="3"/>
      <c r="I181" s="3"/>
      <c r="J181" s="3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1"/>
      <c r="AK181" s="1"/>
      <c r="AL181" s="1"/>
    </row>
    <row r="182" spans="1:38" ht="15.75" customHeight="1" x14ac:dyDescent="0.25">
      <c r="A182" s="3"/>
      <c r="B182" s="3"/>
      <c r="C182" s="3"/>
      <c r="D182" s="3"/>
      <c r="E182" s="5"/>
      <c r="F182" s="3"/>
      <c r="G182" s="3"/>
      <c r="H182" s="3"/>
      <c r="I182" s="3"/>
      <c r="J182" s="3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1"/>
      <c r="AK182" s="1"/>
      <c r="AL182" s="1"/>
    </row>
    <row r="183" spans="1:38" ht="15.75" customHeight="1" x14ac:dyDescent="0.25">
      <c r="A183" s="3"/>
      <c r="B183" s="3"/>
      <c r="C183" s="3"/>
      <c r="D183" s="3"/>
      <c r="E183" s="5"/>
      <c r="F183" s="3"/>
      <c r="G183" s="3"/>
      <c r="H183" s="3"/>
      <c r="I183" s="3"/>
      <c r="J183" s="3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1"/>
      <c r="AK183" s="1"/>
      <c r="AL183" s="1"/>
    </row>
    <row r="184" spans="1:38" ht="15.75" customHeight="1" x14ac:dyDescent="0.25">
      <c r="A184" s="3"/>
      <c r="B184" s="3"/>
      <c r="C184" s="3"/>
      <c r="D184" s="3"/>
      <c r="E184" s="5"/>
      <c r="F184" s="3"/>
      <c r="G184" s="3"/>
      <c r="H184" s="3"/>
      <c r="I184" s="3"/>
      <c r="J184" s="3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1"/>
      <c r="AK184" s="1"/>
      <c r="AL184" s="1"/>
    </row>
    <row r="185" spans="1:38" ht="15.75" customHeight="1" x14ac:dyDescent="0.25">
      <c r="A185" s="3"/>
      <c r="B185" s="3"/>
      <c r="C185" s="3"/>
      <c r="D185" s="3"/>
      <c r="E185" s="5"/>
      <c r="F185" s="3"/>
      <c r="G185" s="3"/>
      <c r="H185" s="3"/>
      <c r="I185" s="3"/>
      <c r="J185" s="3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1"/>
      <c r="AK185" s="1"/>
      <c r="AL185" s="1"/>
    </row>
    <row r="186" spans="1:38" ht="15.75" customHeight="1" x14ac:dyDescent="0.25">
      <c r="A186" s="3"/>
      <c r="B186" s="3"/>
      <c r="C186" s="3"/>
      <c r="D186" s="3"/>
      <c r="E186" s="5"/>
      <c r="F186" s="3"/>
      <c r="G186" s="3"/>
      <c r="H186" s="3"/>
      <c r="I186" s="3"/>
      <c r="J186" s="3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1"/>
      <c r="AK186" s="1"/>
      <c r="AL186" s="1"/>
    </row>
    <row r="187" spans="1:38" ht="15.75" customHeight="1" x14ac:dyDescent="0.25">
      <c r="A187" s="3"/>
      <c r="B187" s="3"/>
      <c r="C187" s="3"/>
      <c r="D187" s="3"/>
      <c r="E187" s="5"/>
      <c r="F187" s="3"/>
      <c r="G187" s="3"/>
      <c r="H187" s="3"/>
      <c r="I187" s="3"/>
      <c r="J187" s="3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1"/>
      <c r="AK187" s="1"/>
      <c r="AL187" s="1"/>
    </row>
    <row r="188" spans="1:38" ht="15.75" customHeight="1" x14ac:dyDescent="0.25">
      <c r="A188" s="3"/>
      <c r="B188" s="3"/>
      <c r="C188" s="3"/>
      <c r="D188" s="3"/>
      <c r="E188" s="5"/>
      <c r="F188" s="3"/>
      <c r="G188" s="3"/>
      <c r="H188" s="3"/>
      <c r="I188" s="3"/>
      <c r="J188" s="3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1"/>
      <c r="AK188" s="1"/>
      <c r="AL188" s="1"/>
    </row>
    <row r="189" spans="1:38" ht="15.75" customHeight="1" x14ac:dyDescent="0.25">
      <c r="A189" s="3"/>
      <c r="B189" s="3"/>
      <c r="C189" s="3"/>
      <c r="D189" s="3"/>
      <c r="E189" s="5"/>
      <c r="F189" s="3"/>
      <c r="G189" s="3"/>
      <c r="H189" s="3"/>
      <c r="I189" s="3"/>
      <c r="J189" s="3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1"/>
      <c r="AK189" s="1"/>
      <c r="AL189" s="1"/>
    </row>
    <row r="190" spans="1:38" ht="15.75" customHeight="1" x14ac:dyDescent="0.25">
      <c r="A190" s="3"/>
      <c r="B190" s="3"/>
      <c r="C190" s="3"/>
      <c r="D190" s="3"/>
      <c r="E190" s="5"/>
      <c r="F190" s="3"/>
      <c r="G190" s="3"/>
      <c r="H190" s="3"/>
      <c r="I190" s="3"/>
      <c r="J190" s="3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1"/>
      <c r="AK190" s="1"/>
      <c r="AL190" s="1"/>
    </row>
    <row r="191" spans="1:38" ht="15.75" customHeight="1" x14ac:dyDescent="0.25">
      <c r="A191" s="3"/>
      <c r="B191" s="3"/>
      <c r="C191" s="3"/>
      <c r="D191" s="3"/>
      <c r="E191" s="5"/>
      <c r="F191" s="3"/>
      <c r="G191" s="3"/>
      <c r="H191" s="3"/>
      <c r="I191" s="3"/>
      <c r="J191" s="3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1"/>
      <c r="AK191" s="1"/>
      <c r="AL191" s="1"/>
    </row>
    <row r="192" spans="1:38" ht="15.75" customHeight="1" x14ac:dyDescent="0.25">
      <c r="A192" s="3"/>
      <c r="B192" s="3"/>
      <c r="C192" s="3"/>
      <c r="D192" s="3"/>
      <c r="E192" s="5"/>
      <c r="F192" s="3"/>
      <c r="G192" s="3"/>
      <c r="H192" s="3"/>
      <c r="I192" s="3"/>
      <c r="J192" s="3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1"/>
      <c r="AK192" s="1"/>
      <c r="AL192" s="1"/>
    </row>
    <row r="193" spans="1:38" ht="15.75" customHeight="1" x14ac:dyDescent="0.25">
      <c r="A193" s="3"/>
      <c r="B193" s="3"/>
      <c r="C193" s="3"/>
      <c r="D193" s="3"/>
      <c r="E193" s="5"/>
      <c r="F193" s="3"/>
      <c r="G193" s="3"/>
      <c r="H193" s="3"/>
      <c r="I193" s="3"/>
      <c r="J193" s="3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1"/>
      <c r="AK193" s="1"/>
      <c r="AL193" s="1"/>
    </row>
    <row r="194" spans="1:38" ht="15.75" customHeight="1" x14ac:dyDescent="0.25">
      <c r="A194" s="3"/>
      <c r="B194" s="3"/>
      <c r="C194" s="3"/>
      <c r="D194" s="3"/>
      <c r="E194" s="5"/>
      <c r="F194" s="3"/>
      <c r="G194" s="3"/>
      <c r="H194" s="3"/>
      <c r="I194" s="3"/>
      <c r="J194" s="3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1"/>
      <c r="AK194" s="1"/>
      <c r="AL194" s="1"/>
    </row>
    <row r="195" spans="1:38" ht="15.75" customHeight="1" x14ac:dyDescent="0.25">
      <c r="A195" s="3"/>
      <c r="B195" s="3"/>
      <c r="C195" s="3"/>
      <c r="D195" s="3"/>
      <c r="E195" s="5"/>
      <c r="F195" s="3"/>
      <c r="G195" s="3"/>
      <c r="H195" s="3"/>
      <c r="I195" s="3"/>
      <c r="J195" s="3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1"/>
      <c r="AK195" s="1"/>
      <c r="AL195" s="1"/>
    </row>
    <row r="196" spans="1:38" ht="15.75" customHeight="1" x14ac:dyDescent="0.25">
      <c r="A196" s="3"/>
      <c r="B196" s="3"/>
      <c r="C196" s="3"/>
      <c r="D196" s="3"/>
      <c r="E196" s="5"/>
      <c r="F196" s="3"/>
      <c r="G196" s="3"/>
      <c r="H196" s="3"/>
      <c r="I196" s="3"/>
      <c r="J196" s="3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1"/>
      <c r="AK196" s="1"/>
      <c r="AL196" s="1"/>
    </row>
    <row r="197" spans="1:38" ht="15.75" customHeight="1" x14ac:dyDescent="0.25">
      <c r="A197" s="3"/>
      <c r="B197" s="3"/>
      <c r="C197" s="3"/>
      <c r="D197" s="3"/>
      <c r="E197" s="5"/>
      <c r="F197" s="3"/>
      <c r="G197" s="3"/>
      <c r="H197" s="3"/>
      <c r="I197" s="3"/>
      <c r="J197" s="3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1"/>
      <c r="AK197" s="1"/>
      <c r="AL197" s="1"/>
    </row>
    <row r="198" spans="1:38" ht="15.75" customHeight="1" x14ac:dyDescent="0.25">
      <c r="A198" s="3"/>
      <c r="B198" s="3"/>
      <c r="C198" s="3"/>
      <c r="D198" s="3"/>
      <c r="E198" s="5"/>
      <c r="F198" s="3"/>
      <c r="G198" s="3"/>
      <c r="H198" s="3"/>
      <c r="I198" s="3"/>
      <c r="J198" s="3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1"/>
      <c r="AK198" s="1"/>
      <c r="AL198" s="1"/>
    </row>
    <row r="199" spans="1:38" ht="15.75" customHeight="1" x14ac:dyDescent="0.25">
      <c r="A199" s="3"/>
      <c r="B199" s="3"/>
      <c r="C199" s="3"/>
      <c r="D199" s="3"/>
      <c r="E199" s="5"/>
      <c r="F199" s="3"/>
      <c r="G199" s="3"/>
      <c r="H199" s="3"/>
      <c r="I199" s="3"/>
      <c r="J199" s="3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1"/>
      <c r="AK199" s="1"/>
      <c r="AL199" s="1"/>
    </row>
    <row r="200" spans="1:38" ht="15.75" customHeight="1" x14ac:dyDescent="0.25">
      <c r="A200" s="3"/>
      <c r="B200" s="3"/>
      <c r="C200" s="3"/>
      <c r="D200" s="3"/>
      <c r="E200" s="5"/>
      <c r="F200" s="3"/>
      <c r="G200" s="3"/>
      <c r="H200" s="3"/>
      <c r="I200" s="3"/>
      <c r="J200" s="3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1"/>
      <c r="AK200" s="1"/>
      <c r="AL200" s="1"/>
    </row>
    <row r="201" spans="1:38" ht="15.75" customHeight="1" x14ac:dyDescent="0.25">
      <c r="A201" s="3"/>
      <c r="B201" s="3"/>
      <c r="C201" s="3"/>
      <c r="D201" s="3"/>
      <c r="E201" s="5"/>
      <c r="F201" s="3"/>
      <c r="G201" s="3"/>
      <c r="H201" s="3"/>
      <c r="I201" s="3"/>
      <c r="J201" s="3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1"/>
      <c r="AK201" s="1"/>
      <c r="AL201" s="1"/>
    </row>
    <row r="202" spans="1:38" ht="15.75" customHeight="1" x14ac:dyDescent="0.25">
      <c r="A202" s="3"/>
      <c r="B202" s="3"/>
      <c r="C202" s="3"/>
      <c r="D202" s="3"/>
      <c r="E202" s="5"/>
      <c r="F202" s="3"/>
      <c r="G202" s="3"/>
      <c r="H202" s="3"/>
      <c r="I202" s="3"/>
      <c r="J202" s="3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1"/>
      <c r="AK202" s="1"/>
      <c r="AL202" s="1"/>
    </row>
    <row r="203" spans="1:38" ht="15.75" customHeight="1" x14ac:dyDescent="0.25">
      <c r="A203" s="3"/>
      <c r="B203" s="3"/>
      <c r="C203" s="3"/>
      <c r="D203" s="3"/>
      <c r="E203" s="5"/>
      <c r="F203" s="3"/>
      <c r="G203" s="3"/>
      <c r="H203" s="3"/>
      <c r="I203" s="3"/>
      <c r="J203" s="3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1"/>
      <c r="AK203" s="1"/>
      <c r="AL203" s="1"/>
    </row>
    <row r="204" spans="1:38" ht="15.75" customHeight="1" x14ac:dyDescent="0.25">
      <c r="A204" s="3"/>
      <c r="B204" s="3"/>
      <c r="C204" s="3"/>
      <c r="D204" s="3"/>
      <c r="E204" s="5"/>
      <c r="F204" s="3"/>
      <c r="G204" s="3"/>
      <c r="H204" s="3"/>
      <c r="I204" s="3"/>
      <c r="J204" s="3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1"/>
      <c r="AK204" s="1"/>
      <c r="AL204" s="1"/>
    </row>
    <row r="205" spans="1:38" ht="15.75" customHeight="1" x14ac:dyDescent="0.25">
      <c r="A205" s="3"/>
      <c r="B205" s="3"/>
      <c r="C205" s="3"/>
      <c r="D205" s="3"/>
      <c r="E205" s="5"/>
      <c r="F205" s="3"/>
      <c r="G205" s="3"/>
      <c r="H205" s="3"/>
      <c r="I205" s="3"/>
      <c r="J205" s="3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1"/>
      <c r="AK205" s="1"/>
      <c r="AL205" s="1"/>
    </row>
    <row r="206" spans="1:38" ht="15.75" customHeight="1" x14ac:dyDescent="0.25">
      <c r="A206" s="3"/>
      <c r="B206" s="3"/>
      <c r="C206" s="3"/>
      <c r="D206" s="3"/>
      <c r="E206" s="5"/>
      <c r="F206" s="3"/>
      <c r="G206" s="3"/>
      <c r="H206" s="3"/>
      <c r="I206" s="3"/>
      <c r="J206" s="3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1"/>
      <c r="AK206" s="1"/>
      <c r="AL206" s="1"/>
    </row>
    <row r="207" spans="1:38" ht="15.75" customHeight="1" x14ac:dyDescent="0.25">
      <c r="A207" s="3"/>
      <c r="B207" s="3"/>
      <c r="C207" s="3"/>
      <c r="D207" s="3"/>
      <c r="E207" s="5"/>
      <c r="F207" s="3"/>
      <c r="G207" s="3"/>
      <c r="H207" s="3"/>
      <c r="I207" s="3"/>
      <c r="J207" s="3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1"/>
      <c r="AK207" s="1"/>
      <c r="AL207" s="1"/>
    </row>
    <row r="208" spans="1:38" ht="15.75" customHeight="1" x14ac:dyDescent="0.25">
      <c r="A208" s="3"/>
      <c r="B208" s="3"/>
      <c r="C208" s="3"/>
      <c r="D208" s="3"/>
      <c r="E208" s="5"/>
      <c r="F208" s="3"/>
      <c r="G208" s="3"/>
      <c r="H208" s="3"/>
      <c r="I208" s="3"/>
      <c r="J208" s="3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1"/>
      <c r="AK208" s="1"/>
      <c r="AL208" s="1"/>
    </row>
    <row r="209" spans="1:38" ht="15.75" customHeight="1" x14ac:dyDescent="0.25">
      <c r="A209" s="3"/>
      <c r="B209" s="3"/>
      <c r="C209" s="3"/>
      <c r="D209" s="3"/>
      <c r="E209" s="5"/>
      <c r="F209" s="3"/>
      <c r="G209" s="3"/>
      <c r="H209" s="3"/>
      <c r="I209" s="3"/>
      <c r="J209" s="3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1"/>
      <c r="AK209" s="1"/>
      <c r="AL209" s="1"/>
    </row>
    <row r="210" spans="1:38" ht="15.75" customHeight="1" x14ac:dyDescent="0.25">
      <c r="A210" s="3"/>
      <c r="B210" s="3"/>
      <c r="C210" s="3"/>
      <c r="D210" s="3"/>
      <c r="E210" s="5"/>
      <c r="F210" s="3"/>
      <c r="G210" s="3"/>
      <c r="H210" s="3"/>
      <c r="I210" s="3"/>
      <c r="J210" s="3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1"/>
      <c r="AK210" s="1"/>
      <c r="AL210" s="1"/>
    </row>
    <row r="211" spans="1:38" ht="15.75" customHeight="1" x14ac:dyDescent="0.25">
      <c r="A211" s="3"/>
      <c r="B211" s="3"/>
      <c r="C211" s="3"/>
      <c r="D211" s="3"/>
      <c r="E211" s="5"/>
      <c r="F211" s="3"/>
      <c r="G211" s="3"/>
      <c r="H211" s="3"/>
      <c r="I211" s="3"/>
      <c r="J211" s="3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1"/>
      <c r="AK211" s="1"/>
      <c r="AL211" s="1"/>
    </row>
    <row r="212" spans="1:38" ht="15.75" customHeight="1" x14ac:dyDescent="0.25">
      <c r="A212" s="3"/>
      <c r="B212" s="3"/>
      <c r="C212" s="3"/>
      <c r="D212" s="3"/>
      <c r="E212" s="5"/>
      <c r="F212" s="3"/>
      <c r="G212" s="3"/>
      <c r="H212" s="3"/>
      <c r="I212" s="3"/>
      <c r="J212" s="3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1"/>
      <c r="AK212" s="1"/>
      <c r="AL212" s="1"/>
    </row>
    <row r="213" spans="1:38" ht="15.75" customHeight="1" x14ac:dyDescent="0.25">
      <c r="A213" s="3"/>
      <c r="B213" s="3"/>
      <c r="C213" s="3"/>
      <c r="D213" s="3"/>
      <c r="E213" s="5"/>
      <c r="F213" s="3"/>
      <c r="G213" s="3"/>
      <c r="H213" s="3"/>
      <c r="I213" s="3"/>
      <c r="J213" s="3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1"/>
      <c r="AK213" s="1"/>
      <c r="AL213" s="1"/>
    </row>
    <row r="214" spans="1:38" ht="15.75" customHeight="1" x14ac:dyDescent="0.25">
      <c r="A214" s="3"/>
      <c r="B214" s="3"/>
      <c r="C214" s="3"/>
      <c r="D214" s="3"/>
      <c r="E214" s="5"/>
      <c r="F214" s="3"/>
      <c r="G214" s="3"/>
      <c r="H214" s="3"/>
      <c r="I214" s="3"/>
      <c r="J214" s="3"/>
      <c r="K214" s="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1"/>
      <c r="AK214" s="1"/>
      <c r="AL214" s="1"/>
    </row>
    <row r="215" spans="1:38" ht="15.75" customHeight="1" x14ac:dyDescent="0.25">
      <c r="A215" s="3"/>
      <c r="B215" s="3"/>
      <c r="C215" s="3"/>
      <c r="D215" s="3"/>
      <c r="E215" s="5"/>
      <c r="F215" s="3"/>
      <c r="G215" s="3"/>
      <c r="H215" s="3"/>
      <c r="I215" s="3"/>
      <c r="J215" s="3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1"/>
      <c r="AK215" s="1"/>
      <c r="AL215" s="1"/>
    </row>
    <row r="216" spans="1:38" ht="15.75" customHeight="1" x14ac:dyDescent="0.25">
      <c r="A216" s="3"/>
      <c r="B216" s="3"/>
      <c r="C216" s="3"/>
      <c r="D216" s="3"/>
      <c r="E216" s="5"/>
      <c r="F216" s="3"/>
      <c r="G216" s="3"/>
      <c r="H216" s="3"/>
      <c r="I216" s="3"/>
      <c r="J216" s="3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1"/>
      <c r="AK216" s="1"/>
      <c r="AL216" s="1"/>
    </row>
    <row r="217" spans="1:38" ht="15.75" customHeight="1" x14ac:dyDescent="0.25">
      <c r="A217" s="3"/>
      <c r="B217" s="3"/>
      <c r="C217" s="3"/>
      <c r="D217" s="3"/>
      <c r="E217" s="5"/>
      <c r="F217" s="3"/>
      <c r="G217" s="3"/>
      <c r="H217" s="3"/>
      <c r="I217" s="3"/>
      <c r="J217" s="3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1"/>
      <c r="AK217" s="1"/>
      <c r="AL217" s="1"/>
    </row>
    <row r="218" spans="1:38" ht="15.75" customHeight="1" x14ac:dyDescent="0.25">
      <c r="A218" s="3"/>
      <c r="B218" s="3"/>
      <c r="C218" s="3"/>
      <c r="D218" s="3"/>
      <c r="E218" s="5"/>
      <c r="F218" s="3"/>
      <c r="G218" s="3"/>
      <c r="H218" s="3"/>
      <c r="I218" s="3"/>
      <c r="J218" s="3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1"/>
      <c r="AK218" s="1"/>
      <c r="AL218" s="1"/>
    </row>
    <row r="219" spans="1:38" ht="15.75" customHeight="1" x14ac:dyDescent="0.25">
      <c r="A219" s="3"/>
      <c r="B219" s="3"/>
      <c r="C219" s="3"/>
      <c r="D219" s="3"/>
      <c r="E219" s="5"/>
      <c r="F219" s="3"/>
      <c r="G219" s="3"/>
      <c r="H219" s="3"/>
      <c r="I219" s="3"/>
      <c r="J219" s="3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1"/>
      <c r="AK219" s="1"/>
      <c r="AL219" s="1"/>
    </row>
    <row r="220" spans="1:38" ht="15.75" customHeight="1" x14ac:dyDescent="0.25">
      <c r="A220" s="3"/>
      <c r="B220" s="3"/>
      <c r="C220" s="3"/>
      <c r="D220" s="3"/>
      <c r="E220" s="5"/>
      <c r="F220" s="3"/>
      <c r="G220" s="3"/>
      <c r="H220" s="3"/>
      <c r="I220" s="3"/>
      <c r="J220" s="3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1"/>
      <c r="AK220" s="1"/>
      <c r="AL220" s="1"/>
    </row>
    <row r="221" spans="1:38" ht="15.75" customHeight="1" x14ac:dyDescent="0.25">
      <c r="A221" s="3"/>
      <c r="B221" s="3"/>
      <c r="C221" s="3"/>
      <c r="D221" s="3"/>
      <c r="E221" s="5"/>
      <c r="F221" s="3"/>
      <c r="G221" s="3"/>
      <c r="H221" s="3"/>
      <c r="I221" s="3"/>
      <c r="J221" s="3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1"/>
      <c r="AK221" s="1"/>
      <c r="AL221" s="1"/>
    </row>
    <row r="222" spans="1:38" ht="15.75" customHeight="1" x14ac:dyDescent="0.25">
      <c r="A222" s="3"/>
      <c r="B222" s="3"/>
      <c r="C222" s="3"/>
      <c r="D222" s="3"/>
      <c r="E222" s="5"/>
      <c r="F222" s="3"/>
      <c r="G222" s="3"/>
      <c r="H222" s="3"/>
      <c r="I222" s="3"/>
      <c r="J222" s="3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1"/>
      <c r="AK222" s="1"/>
      <c r="AL222" s="1"/>
    </row>
    <row r="223" spans="1:38" ht="15.75" customHeight="1" x14ac:dyDescent="0.25">
      <c r="A223" s="3"/>
      <c r="B223" s="3"/>
      <c r="C223" s="3"/>
      <c r="D223" s="3"/>
      <c r="E223" s="5"/>
      <c r="F223" s="3"/>
      <c r="G223" s="3"/>
      <c r="H223" s="3"/>
      <c r="I223" s="3"/>
      <c r="J223" s="3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1"/>
      <c r="AK223" s="1"/>
      <c r="AL223" s="1"/>
    </row>
    <row r="224" spans="1:38" ht="15.75" customHeight="1" x14ac:dyDescent="0.25">
      <c r="A224" s="3"/>
      <c r="B224" s="3"/>
      <c r="C224" s="3"/>
      <c r="D224" s="3"/>
      <c r="E224" s="5"/>
      <c r="F224" s="3"/>
      <c r="G224" s="3"/>
      <c r="H224" s="3"/>
      <c r="I224" s="3"/>
      <c r="J224" s="3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1"/>
      <c r="AK224" s="1"/>
      <c r="AL224" s="1"/>
    </row>
    <row r="225" spans="1:38" ht="15.75" customHeight="1" x14ac:dyDescent="0.25">
      <c r="A225" s="3"/>
      <c r="B225" s="3"/>
      <c r="C225" s="3"/>
      <c r="D225" s="3"/>
      <c r="E225" s="5"/>
      <c r="F225" s="3"/>
      <c r="G225" s="3"/>
      <c r="H225" s="3"/>
      <c r="I225" s="3"/>
      <c r="J225" s="3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1"/>
      <c r="AK225" s="1"/>
      <c r="AL225" s="1"/>
    </row>
    <row r="226" spans="1:38" ht="15.75" customHeight="1" x14ac:dyDescent="0.25">
      <c r="A226" s="3"/>
      <c r="B226" s="3"/>
      <c r="C226" s="3"/>
      <c r="D226" s="3"/>
      <c r="E226" s="5"/>
      <c r="F226" s="3"/>
      <c r="G226" s="3"/>
      <c r="H226" s="3"/>
      <c r="I226" s="3"/>
      <c r="J226" s="3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1"/>
      <c r="AK226" s="1"/>
      <c r="AL226" s="1"/>
    </row>
    <row r="227" spans="1:38" ht="15.75" customHeight="1" x14ac:dyDescent="0.25">
      <c r="A227" s="3"/>
      <c r="B227" s="3"/>
      <c r="C227" s="3"/>
      <c r="D227" s="3"/>
      <c r="E227" s="5"/>
      <c r="F227" s="3"/>
      <c r="G227" s="3"/>
      <c r="H227" s="3"/>
      <c r="I227" s="3"/>
      <c r="J227" s="3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1"/>
      <c r="AK227" s="1"/>
      <c r="AL227" s="1"/>
    </row>
    <row r="228" spans="1:38" ht="15.75" customHeight="1" x14ac:dyDescent="0.25">
      <c r="A228" s="3"/>
      <c r="B228" s="3"/>
      <c r="C228" s="3"/>
      <c r="D228" s="3"/>
      <c r="E228" s="5"/>
      <c r="F228" s="3"/>
      <c r="G228" s="3"/>
      <c r="H228" s="3"/>
      <c r="I228" s="3"/>
      <c r="J228" s="3"/>
      <c r="K228" s="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1"/>
      <c r="AK228" s="1"/>
      <c r="AL228" s="1"/>
    </row>
    <row r="229" spans="1:38" ht="15.75" customHeight="1" x14ac:dyDescent="0.25">
      <c r="A229" s="3"/>
      <c r="B229" s="3"/>
      <c r="C229" s="3"/>
      <c r="D229" s="3"/>
      <c r="E229" s="5"/>
      <c r="F229" s="3"/>
      <c r="G229" s="3"/>
      <c r="H229" s="3"/>
      <c r="I229" s="3"/>
      <c r="J229" s="3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1"/>
      <c r="AK229" s="1"/>
      <c r="AL229" s="1"/>
    </row>
    <row r="230" spans="1:38" ht="15.75" customHeight="1" x14ac:dyDescent="0.25">
      <c r="A230" s="3"/>
      <c r="B230" s="3"/>
      <c r="C230" s="3"/>
      <c r="D230" s="3"/>
      <c r="E230" s="5"/>
      <c r="F230" s="3"/>
      <c r="G230" s="3"/>
      <c r="H230" s="3"/>
      <c r="I230" s="3"/>
      <c r="J230" s="3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1"/>
      <c r="AK230" s="1"/>
      <c r="AL230" s="1"/>
    </row>
    <row r="231" spans="1:38" ht="15.75" customHeight="1" x14ac:dyDescent="0.25">
      <c r="A231" s="3"/>
      <c r="B231" s="3"/>
      <c r="C231" s="3"/>
      <c r="D231" s="3"/>
      <c r="E231" s="5"/>
      <c r="F231" s="3"/>
      <c r="G231" s="3"/>
      <c r="H231" s="3"/>
      <c r="I231" s="3"/>
      <c r="J231" s="3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1"/>
      <c r="AK231" s="1"/>
      <c r="AL231" s="1"/>
    </row>
    <row r="232" spans="1:38" ht="15.75" customHeight="1" x14ac:dyDescent="0.25">
      <c r="A232" s="3"/>
      <c r="B232" s="3"/>
      <c r="C232" s="3"/>
      <c r="D232" s="3"/>
      <c r="E232" s="5"/>
      <c r="F232" s="3"/>
      <c r="G232" s="3"/>
      <c r="H232" s="3"/>
      <c r="I232" s="3"/>
      <c r="J232" s="3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1"/>
      <c r="AK232" s="1"/>
      <c r="AL232" s="1"/>
    </row>
    <row r="233" spans="1:38" ht="15.75" customHeight="1" x14ac:dyDescent="0.25">
      <c r="A233" s="3"/>
      <c r="B233" s="3"/>
      <c r="C233" s="3"/>
      <c r="D233" s="3"/>
      <c r="E233" s="5"/>
      <c r="F233" s="3"/>
      <c r="G233" s="3"/>
      <c r="H233" s="3"/>
      <c r="I233" s="3"/>
      <c r="J233" s="3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1"/>
      <c r="AK233" s="1"/>
      <c r="AL233" s="1"/>
    </row>
    <row r="234" spans="1:38" ht="15.75" customHeight="1" x14ac:dyDescent="0.25">
      <c r="A234" s="3"/>
      <c r="B234" s="3"/>
      <c r="C234" s="3"/>
      <c r="D234" s="3"/>
      <c r="E234" s="5"/>
      <c r="F234" s="3"/>
      <c r="G234" s="3"/>
      <c r="H234" s="3"/>
      <c r="I234" s="3"/>
      <c r="J234" s="3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1"/>
      <c r="AK234" s="1"/>
      <c r="AL234" s="1"/>
    </row>
    <row r="235" spans="1:38" ht="15.75" customHeight="1" x14ac:dyDescent="0.25">
      <c r="A235" s="3"/>
      <c r="B235" s="3"/>
      <c r="C235" s="3"/>
      <c r="D235" s="3"/>
      <c r="E235" s="5"/>
      <c r="F235" s="3"/>
      <c r="G235" s="3"/>
      <c r="H235" s="3"/>
      <c r="I235" s="3"/>
      <c r="J235" s="3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1"/>
      <c r="AK235" s="1"/>
      <c r="AL235" s="1"/>
    </row>
    <row r="236" spans="1:38" ht="15.75" customHeight="1" x14ac:dyDescent="0.25">
      <c r="A236" s="3"/>
      <c r="B236" s="3"/>
      <c r="C236" s="3"/>
      <c r="D236" s="3"/>
      <c r="E236" s="5"/>
      <c r="F236" s="3"/>
      <c r="G236" s="3"/>
      <c r="H236" s="3"/>
      <c r="I236" s="3"/>
      <c r="J236" s="3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1"/>
      <c r="AK236" s="1"/>
      <c r="AL236" s="1"/>
    </row>
    <row r="237" spans="1:38" ht="15.75" customHeight="1" x14ac:dyDescent="0.25">
      <c r="A237" s="3"/>
      <c r="B237" s="3"/>
      <c r="C237" s="3"/>
      <c r="D237" s="3"/>
      <c r="E237" s="5"/>
      <c r="F237" s="3"/>
      <c r="G237" s="3"/>
      <c r="H237" s="3"/>
      <c r="I237" s="3"/>
      <c r="J237" s="3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1"/>
      <c r="AK237" s="1"/>
      <c r="AL237" s="1"/>
    </row>
    <row r="238" spans="1:38" ht="15.75" customHeight="1" x14ac:dyDescent="0.25">
      <c r="A238" s="3"/>
      <c r="B238" s="3"/>
      <c r="C238" s="3"/>
      <c r="D238" s="3"/>
      <c r="E238" s="5"/>
      <c r="F238" s="3"/>
      <c r="G238" s="3"/>
      <c r="H238" s="3"/>
      <c r="I238" s="3"/>
      <c r="J238" s="3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1"/>
      <c r="AK238" s="1"/>
      <c r="AL238" s="1"/>
    </row>
    <row r="239" spans="1:38" ht="15.75" customHeight="1" x14ac:dyDescent="0.25">
      <c r="A239" s="3"/>
      <c r="B239" s="3"/>
      <c r="C239" s="3"/>
      <c r="D239" s="3"/>
      <c r="E239" s="5"/>
      <c r="F239" s="3"/>
      <c r="G239" s="3"/>
      <c r="H239" s="3"/>
      <c r="I239" s="3"/>
      <c r="J239" s="3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1"/>
      <c r="AK239" s="1"/>
      <c r="AL239" s="1"/>
    </row>
    <row r="240" spans="1:38" ht="15.75" customHeight="1" x14ac:dyDescent="0.25">
      <c r="A240" s="3"/>
      <c r="B240" s="3"/>
      <c r="C240" s="3"/>
      <c r="D240" s="3"/>
      <c r="E240" s="5"/>
      <c r="F240" s="3"/>
      <c r="G240" s="3"/>
      <c r="H240" s="3"/>
      <c r="I240" s="3"/>
      <c r="J240" s="3"/>
      <c r="K240" s="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1"/>
      <c r="AK240" s="1"/>
      <c r="AL240" s="1"/>
    </row>
    <row r="241" spans="1:38" ht="15.75" customHeight="1" x14ac:dyDescent="0.25">
      <c r="A241" s="3"/>
      <c r="B241" s="3"/>
      <c r="C241" s="3"/>
      <c r="D241" s="3"/>
      <c r="E241" s="5"/>
      <c r="F241" s="3"/>
      <c r="G241" s="3"/>
      <c r="H241" s="3"/>
      <c r="I241" s="3"/>
      <c r="J241" s="3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1"/>
      <c r="AK241" s="1"/>
      <c r="AL241" s="1"/>
    </row>
    <row r="242" spans="1:38" ht="15.75" customHeight="1" x14ac:dyDescent="0.25">
      <c r="A242" s="3"/>
      <c r="B242" s="3"/>
      <c r="C242" s="3"/>
      <c r="D242" s="3"/>
      <c r="E242" s="5"/>
      <c r="F242" s="3"/>
      <c r="G242" s="3"/>
      <c r="H242" s="3"/>
      <c r="I242" s="3"/>
      <c r="J242" s="3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1"/>
      <c r="AK242" s="1"/>
      <c r="AL242" s="1"/>
    </row>
    <row r="243" spans="1:38" ht="15.75" customHeight="1" x14ac:dyDescent="0.25">
      <c r="A243" s="3"/>
      <c r="B243" s="3"/>
      <c r="C243" s="3"/>
      <c r="D243" s="3"/>
      <c r="E243" s="5"/>
      <c r="F243" s="3"/>
      <c r="G243" s="3"/>
      <c r="H243" s="3"/>
      <c r="I243" s="3"/>
      <c r="J243" s="3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1"/>
      <c r="AK243" s="1"/>
      <c r="AL243" s="1"/>
    </row>
    <row r="244" spans="1:38" ht="15.75" customHeight="1" x14ac:dyDescent="0.25">
      <c r="A244" s="3"/>
      <c r="B244" s="3"/>
      <c r="C244" s="3"/>
      <c r="D244" s="3"/>
      <c r="E244" s="5"/>
      <c r="F244" s="3"/>
      <c r="G244" s="3"/>
      <c r="H244" s="3"/>
      <c r="I244" s="3"/>
      <c r="J244" s="3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1"/>
      <c r="AK244" s="1"/>
      <c r="AL244" s="1"/>
    </row>
    <row r="245" spans="1:38" ht="15.75" customHeight="1" x14ac:dyDescent="0.25">
      <c r="A245" s="3"/>
      <c r="B245" s="3"/>
      <c r="C245" s="3"/>
      <c r="D245" s="3"/>
      <c r="E245" s="5"/>
      <c r="F245" s="3"/>
      <c r="G245" s="3"/>
      <c r="H245" s="3"/>
      <c r="I245" s="3"/>
      <c r="J245" s="3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1"/>
      <c r="AK245" s="1"/>
      <c r="AL245" s="1"/>
    </row>
    <row r="246" spans="1:38" ht="15.75" customHeight="1" x14ac:dyDescent="0.25">
      <c r="A246" s="3"/>
      <c r="B246" s="3"/>
      <c r="C246" s="3"/>
      <c r="D246" s="3"/>
      <c r="E246" s="5"/>
      <c r="F246" s="3"/>
      <c r="G246" s="3"/>
      <c r="H246" s="3"/>
      <c r="I246" s="3"/>
      <c r="J246" s="3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1"/>
      <c r="AK246" s="1"/>
      <c r="AL246" s="1"/>
    </row>
    <row r="247" spans="1:38" ht="15.75" customHeight="1" x14ac:dyDescent="0.25">
      <c r="A247" s="3"/>
      <c r="B247" s="3"/>
      <c r="C247" s="3"/>
      <c r="D247" s="3"/>
      <c r="E247" s="5"/>
      <c r="F247" s="3"/>
      <c r="G247" s="3"/>
      <c r="H247" s="3"/>
      <c r="I247" s="3"/>
      <c r="J247" s="3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1"/>
      <c r="AK247" s="1"/>
      <c r="AL247" s="1"/>
    </row>
    <row r="248" spans="1:38" ht="15.75" customHeight="1" x14ac:dyDescent="0.25">
      <c r="A248" s="3"/>
      <c r="B248" s="3"/>
      <c r="C248" s="3"/>
      <c r="D248" s="3"/>
      <c r="E248" s="5"/>
      <c r="F248" s="3"/>
      <c r="G248" s="3"/>
      <c r="H248" s="3"/>
      <c r="I248" s="3"/>
      <c r="J248" s="3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1"/>
      <c r="AK248" s="1"/>
      <c r="AL248" s="1"/>
    </row>
    <row r="249" spans="1:38" ht="15.75" customHeight="1" x14ac:dyDescent="0.25">
      <c r="A249" s="3"/>
      <c r="B249" s="3"/>
      <c r="C249" s="3"/>
      <c r="D249" s="3"/>
      <c r="E249" s="5"/>
      <c r="F249" s="3"/>
      <c r="G249" s="3"/>
      <c r="H249" s="3"/>
      <c r="I249" s="3"/>
      <c r="J249" s="3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1"/>
      <c r="AK249" s="1"/>
      <c r="AL249" s="1"/>
    </row>
    <row r="250" spans="1:38" ht="15.75" customHeight="1" x14ac:dyDescent="0.25">
      <c r="A250" s="3"/>
      <c r="B250" s="3"/>
      <c r="C250" s="3"/>
      <c r="D250" s="3"/>
      <c r="E250" s="5"/>
      <c r="F250" s="3"/>
      <c r="G250" s="3"/>
      <c r="H250" s="3"/>
      <c r="I250" s="3"/>
      <c r="J250" s="3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1"/>
      <c r="AK250" s="1"/>
      <c r="AL250" s="1"/>
    </row>
    <row r="251" spans="1:38" ht="15.75" customHeight="1" x14ac:dyDescent="0.25">
      <c r="A251" s="3"/>
      <c r="B251" s="3"/>
      <c r="C251" s="3"/>
      <c r="D251" s="3"/>
      <c r="E251" s="5"/>
      <c r="F251" s="3"/>
      <c r="G251" s="3"/>
      <c r="H251" s="3"/>
      <c r="I251" s="3"/>
      <c r="J251" s="3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1"/>
      <c r="AK251" s="1"/>
      <c r="AL251" s="1"/>
    </row>
    <row r="252" spans="1:38" ht="15.75" customHeight="1" x14ac:dyDescent="0.25">
      <c r="A252" s="3"/>
      <c r="B252" s="3"/>
      <c r="C252" s="3"/>
      <c r="D252" s="3"/>
      <c r="E252" s="5"/>
      <c r="F252" s="3"/>
      <c r="G252" s="3"/>
      <c r="H252" s="3"/>
      <c r="I252" s="3"/>
      <c r="J252" s="3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1"/>
      <c r="AK252" s="1"/>
      <c r="AL252" s="1"/>
    </row>
    <row r="253" spans="1:38" ht="15.75" customHeight="1" x14ac:dyDescent="0.25">
      <c r="A253" s="3"/>
      <c r="B253" s="3"/>
      <c r="C253" s="3"/>
      <c r="D253" s="3"/>
      <c r="E253" s="5"/>
      <c r="F253" s="3"/>
      <c r="G253" s="3"/>
      <c r="H253" s="3"/>
      <c r="I253" s="3"/>
      <c r="J253" s="3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1"/>
      <c r="AK253" s="1"/>
      <c r="AL253" s="1"/>
    </row>
    <row r="254" spans="1:38" ht="15.75" customHeight="1" x14ac:dyDescent="0.25">
      <c r="A254" s="3"/>
      <c r="B254" s="3"/>
      <c r="C254" s="3"/>
      <c r="D254" s="3"/>
      <c r="E254" s="5"/>
      <c r="F254" s="3"/>
      <c r="G254" s="3"/>
      <c r="H254" s="3"/>
      <c r="I254" s="3"/>
      <c r="J254" s="3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1"/>
      <c r="AK254" s="1"/>
      <c r="AL254" s="1"/>
    </row>
    <row r="255" spans="1:38" ht="15.75" customHeight="1" x14ac:dyDescent="0.25">
      <c r="A255" s="3"/>
      <c r="B255" s="3"/>
      <c r="C255" s="3"/>
      <c r="D255" s="3"/>
      <c r="E255" s="5"/>
      <c r="F255" s="3"/>
      <c r="G255" s="3"/>
      <c r="H255" s="3"/>
      <c r="I255" s="3"/>
      <c r="J255" s="3"/>
      <c r="K255" s="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1"/>
      <c r="AK255" s="1"/>
      <c r="AL255" s="1"/>
    </row>
    <row r="256" spans="1:38" ht="15.75" customHeight="1" x14ac:dyDescent="0.25">
      <c r="A256" s="3"/>
      <c r="B256" s="3"/>
      <c r="C256" s="3"/>
      <c r="D256" s="3"/>
      <c r="E256" s="5"/>
      <c r="F256" s="3"/>
      <c r="G256" s="3"/>
      <c r="H256" s="3"/>
      <c r="I256" s="3"/>
      <c r="J256" s="3"/>
      <c r="K256" s="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1"/>
      <c r="AK256" s="1"/>
      <c r="AL256" s="1"/>
    </row>
    <row r="257" spans="1:38" ht="15.75" customHeight="1" x14ac:dyDescent="0.25">
      <c r="A257" s="3"/>
      <c r="B257" s="3"/>
      <c r="C257" s="3"/>
      <c r="D257" s="3"/>
      <c r="E257" s="5"/>
      <c r="F257" s="3"/>
      <c r="G257" s="3"/>
      <c r="H257" s="3"/>
      <c r="I257" s="3"/>
      <c r="J257" s="3"/>
      <c r="K257" s="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1"/>
      <c r="AK257" s="1"/>
      <c r="AL257" s="1"/>
    </row>
    <row r="258" spans="1:38" ht="15.75" customHeight="1" x14ac:dyDescent="0.25">
      <c r="A258" s="3"/>
      <c r="B258" s="3"/>
      <c r="C258" s="3"/>
      <c r="D258" s="3"/>
      <c r="E258" s="5"/>
      <c r="F258" s="3"/>
      <c r="G258" s="3"/>
      <c r="H258" s="3"/>
      <c r="I258" s="3"/>
      <c r="J258" s="3"/>
      <c r="K258" s="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1"/>
      <c r="AK258" s="1"/>
      <c r="AL258" s="1"/>
    </row>
    <row r="259" spans="1:38" ht="15.75" customHeight="1" x14ac:dyDescent="0.25">
      <c r="A259" s="3"/>
      <c r="B259" s="3"/>
      <c r="C259" s="3"/>
      <c r="D259" s="3"/>
      <c r="E259" s="5"/>
      <c r="F259" s="3"/>
      <c r="G259" s="3"/>
      <c r="H259" s="3"/>
      <c r="I259" s="3"/>
      <c r="J259" s="3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1"/>
      <c r="AK259" s="1"/>
      <c r="AL259" s="1"/>
    </row>
    <row r="260" spans="1:38" ht="15.75" customHeight="1" x14ac:dyDescent="0.25">
      <c r="A260" s="3"/>
      <c r="B260" s="3"/>
      <c r="C260" s="3"/>
      <c r="D260" s="3"/>
      <c r="E260" s="5"/>
      <c r="F260" s="3"/>
      <c r="G260" s="3"/>
      <c r="H260" s="3"/>
      <c r="I260" s="3"/>
      <c r="J260" s="3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1"/>
      <c r="AK260" s="1"/>
      <c r="AL260" s="1"/>
    </row>
    <row r="261" spans="1:38" ht="15.75" customHeight="1" x14ac:dyDescent="0.25">
      <c r="A261" s="3"/>
      <c r="B261" s="3"/>
      <c r="C261" s="3"/>
      <c r="D261" s="3"/>
      <c r="E261" s="5"/>
      <c r="F261" s="3"/>
      <c r="G261" s="3"/>
      <c r="H261" s="3"/>
      <c r="I261" s="3"/>
      <c r="J261" s="3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1"/>
      <c r="AK261" s="1"/>
      <c r="AL261" s="1"/>
    </row>
    <row r="262" spans="1:38" ht="15.75" customHeight="1" x14ac:dyDescent="0.25">
      <c r="A262" s="3"/>
      <c r="B262" s="3"/>
      <c r="C262" s="3"/>
      <c r="D262" s="3"/>
      <c r="E262" s="5"/>
      <c r="F262" s="3"/>
      <c r="G262" s="3"/>
      <c r="H262" s="3"/>
      <c r="I262" s="3"/>
      <c r="J262" s="3"/>
      <c r="K262" s="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1"/>
      <c r="AK262" s="1"/>
      <c r="AL262" s="1"/>
    </row>
    <row r="263" spans="1:38" ht="15.75" customHeight="1" x14ac:dyDescent="0.25">
      <c r="A263" s="3"/>
      <c r="B263" s="3"/>
      <c r="C263" s="3"/>
      <c r="D263" s="3"/>
      <c r="E263" s="5"/>
      <c r="F263" s="3"/>
      <c r="G263" s="3"/>
      <c r="H263" s="3"/>
      <c r="I263" s="3"/>
      <c r="J263" s="3"/>
      <c r="K263" s="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1"/>
      <c r="AK263" s="1"/>
      <c r="AL263" s="1"/>
    </row>
    <row r="264" spans="1:38" ht="15.75" customHeight="1" x14ac:dyDescent="0.25">
      <c r="A264" s="3"/>
      <c r="B264" s="3"/>
      <c r="C264" s="3"/>
      <c r="D264" s="3"/>
      <c r="E264" s="5"/>
      <c r="F264" s="3"/>
      <c r="G264" s="3"/>
      <c r="H264" s="3"/>
      <c r="I264" s="3"/>
      <c r="J264" s="3"/>
      <c r="K264" s="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1"/>
      <c r="AK264" s="1"/>
      <c r="AL264" s="1"/>
    </row>
    <row r="265" spans="1:38" ht="15.75" customHeight="1" x14ac:dyDescent="0.25">
      <c r="A265" s="3"/>
      <c r="B265" s="3"/>
      <c r="C265" s="3"/>
      <c r="D265" s="3"/>
      <c r="E265" s="5"/>
      <c r="F265" s="3"/>
      <c r="G265" s="3"/>
      <c r="H265" s="3"/>
      <c r="I265" s="3"/>
      <c r="J265" s="3"/>
      <c r="K265" s="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1"/>
      <c r="AK265" s="1"/>
      <c r="AL265" s="1"/>
    </row>
    <row r="266" spans="1:38" ht="15.75" customHeight="1" x14ac:dyDescent="0.25">
      <c r="A266" s="3"/>
      <c r="B266" s="3"/>
      <c r="C266" s="3"/>
      <c r="D266" s="3"/>
      <c r="E266" s="5"/>
      <c r="F266" s="3"/>
      <c r="G266" s="3"/>
      <c r="H266" s="3"/>
      <c r="I266" s="3"/>
      <c r="J266" s="3"/>
      <c r="K266" s="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1"/>
      <c r="AK266" s="1"/>
      <c r="AL266" s="1"/>
    </row>
    <row r="267" spans="1:38" ht="15.75" customHeight="1" x14ac:dyDescent="0.25">
      <c r="A267" s="3"/>
      <c r="B267" s="3"/>
      <c r="C267" s="3"/>
      <c r="D267" s="3"/>
      <c r="E267" s="5"/>
      <c r="F267" s="3"/>
      <c r="G267" s="3"/>
      <c r="H267" s="3"/>
      <c r="I267" s="3"/>
      <c r="J267" s="3"/>
      <c r="K267" s="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1"/>
      <c r="AK267" s="1"/>
      <c r="AL267" s="1"/>
    </row>
    <row r="268" spans="1:38" ht="15.75" customHeight="1" x14ac:dyDescent="0.25">
      <c r="A268" s="3"/>
      <c r="B268" s="3"/>
      <c r="C268" s="3"/>
      <c r="D268" s="3"/>
      <c r="E268" s="5"/>
      <c r="F268" s="3"/>
      <c r="G268" s="3"/>
      <c r="H268" s="3"/>
      <c r="I268" s="3"/>
      <c r="J268" s="3"/>
      <c r="K268" s="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1"/>
      <c r="AK268" s="1"/>
      <c r="AL268" s="1"/>
    </row>
    <row r="269" spans="1:38" ht="15.75" customHeight="1" x14ac:dyDescent="0.25">
      <c r="A269" s="3"/>
      <c r="B269" s="3"/>
      <c r="C269" s="3"/>
      <c r="D269" s="3"/>
      <c r="E269" s="5"/>
      <c r="F269" s="3"/>
      <c r="G269" s="3"/>
      <c r="H269" s="3"/>
      <c r="I269" s="3"/>
      <c r="J269" s="3"/>
      <c r="K269" s="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1"/>
      <c r="AK269" s="1"/>
      <c r="AL269" s="1"/>
    </row>
    <row r="270" spans="1:38" ht="15.75" customHeight="1" x14ac:dyDescent="0.25">
      <c r="A270" s="3"/>
      <c r="B270" s="3"/>
      <c r="C270" s="3"/>
      <c r="D270" s="3"/>
      <c r="E270" s="5"/>
      <c r="F270" s="3"/>
      <c r="G270" s="3"/>
      <c r="H270" s="3"/>
      <c r="I270" s="3"/>
      <c r="J270" s="3"/>
      <c r="K270" s="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1"/>
      <c r="AK270" s="1"/>
      <c r="AL270" s="1"/>
    </row>
    <row r="271" spans="1:38" ht="15.75" customHeight="1" x14ac:dyDescent="0.25">
      <c r="A271" s="3"/>
      <c r="B271" s="3"/>
      <c r="C271" s="3"/>
      <c r="D271" s="3"/>
      <c r="E271" s="5"/>
      <c r="F271" s="3"/>
      <c r="G271" s="3"/>
      <c r="H271" s="3"/>
      <c r="I271" s="3"/>
      <c r="J271" s="3"/>
      <c r="K271" s="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1"/>
      <c r="AK271" s="1"/>
      <c r="AL271" s="1"/>
    </row>
    <row r="272" spans="1:38" ht="15.75" customHeight="1" x14ac:dyDescent="0.25">
      <c r="A272" s="3"/>
      <c r="B272" s="3"/>
      <c r="C272" s="3"/>
      <c r="D272" s="3"/>
      <c r="E272" s="5"/>
      <c r="F272" s="3"/>
      <c r="G272" s="3"/>
      <c r="H272" s="3"/>
      <c r="I272" s="3"/>
      <c r="J272" s="3"/>
      <c r="K272" s="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1"/>
      <c r="AK272" s="1"/>
      <c r="AL272" s="1"/>
    </row>
    <row r="273" spans="1:38" ht="15.75" customHeight="1" x14ac:dyDescent="0.25">
      <c r="A273" s="3"/>
      <c r="B273" s="3"/>
      <c r="C273" s="3"/>
      <c r="D273" s="3"/>
      <c r="E273" s="5"/>
      <c r="F273" s="3"/>
      <c r="G273" s="3"/>
      <c r="H273" s="3"/>
      <c r="I273" s="3"/>
      <c r="J273" s="3"/>
      <c r="K273" s="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1"/>
      <c r="AK273" s="1"/>
      <c r="AL273" s="1"/>
    </row>
    <row r="274" spans="1:38" ht="15.75" customHeight="1" x14ac:dyDescent="0.25">
      <c r="A274" s="3"/>
      <c r="B274" s="3"/>
      <c r="C274" s="3"/>
      <c r="D274" s="3"/>
      <c r="E274" s="5"/>
      <c r="F274" s="3"/>
      <c r="G274" s="3"/>
      <c r="H274" s="3"/>
      <c r="I274" s="3"/>
      <c r="J274" s="3"/>
      <c r="K274" s="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1"/>
      <c r="AK274" s="1"/>
      <c r="AL274" s="1"/>
    </row>
    <row r="275" spans="1:38" ht="15.75" customHeight="1" x14ac:dyDescent="0.25">
      <c r="A275" s="3"/>
      <c r="B275" s="3"/>
      <c r="C275" s="3"/>
      <c r="D275" s="3"/>
      <c r="E275" s="5"/>
      <c r="F275" s="3"/>
      <c r="G275" s="3"/>
      <c r="H275" s="3"/>
      <c r="I275" s="3"/>
      <c r="J275" s="3"/>
      <c r="K275" s="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1"/>
      <c r="AK275" s="1"/>
      <c r="AL275" s="1"/>
    </row>
    <row r="276" spans="1:38" ht="15.75" customHeight="1" x14ac:dyDescent="0.25">
      <c r="A276" s="3"/>
      <c r="B276" s="3"/>
      <c r="C276" s="3"/>
      <c r="D276" s="3"/>
      <c r="E276" s="5"/>
      <c r="F276" s="3"/>
      <c r="G276" s="3"/>
      <c r="H276" s="3"/>
      <c r="I276" s="3"/>
      <c r="J276" s="3"/>
      <c r="K276" s="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1"/>
      <c r="AK276" s="1"/>
      <c r="AL276" s="1"/>
    </row>
    <row r="277" spans="1:38" ht="15.75" customHeight="1" x14ac:dyDescent="0.25">
      <c r="A277" s="3"/>
      <c r="B277" s="3"/>
      <c r="C277" s="3"/>
      <c r="D277" s="3"/>
      <c r="E277" s="5"/>
      <c r="F277" s="3"/>
      <c r="G277" s="3"/>
      <c r="H277" s="3"/>
      <c r="I277" s="3"/>
      <c r="J277" s="3"/>
      <c r="K277" s="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1"/>
      <c r="AK277" s="1"/>
      <c r="AL277" s="1"/>
    </row>
    <row r="278" spans="1:38" ht="15.75" customHeight="1" x14ac:dyDescent="0.25">
      <c r="A278" s="3"/>
      <c r="B278" s="3"/>
      <c r="C278" s="3"/>
      <c r="D278" s="3"/>
      <c r="E278" s="5"/>
      <c r="F278" s="3"/>
      <c r="G278" s="3"/>
      <c r="H278" s="3"/>
      <c r="I278" s="3"/>
      <c r="J278" s="3"/>
      <c r="K278" s="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1"/>
      <c r="AK278" s="1"/>
      <c r="AL278" s="1"/>
    </row>
    <row r="279" spans="1:38" ht="15.75" customHeight="1" x14ac:dyDescent="0.25">
      <c r="A279" s="3"/>
      <c r="B279" s="3"/>
      <c r="C279" s="3"/>
      <c r="D279" s="3"/>
      <c r="E279" s="5"/>
      <c r="F279" s="3"/>
      <c r="G279" s="3"/>
      <c r="H279" s="3"/>
      <c r="I279" s="3"/>
      <c r="J279" s="3"/>
      <c r="K279" s="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1"/>
      <c r="AK279" s="1"/>
      <c r="AL279" s="1"/>
    </row>
    <row r="280" spans="1:38" ht="15.75" customHeight="1" x14ac:dyDescent="0.25">
      <c r="A280" s="3"/>
      <c r="B280" s="3"/>
      <c r="C280" s="3"/>
      <c r="D280" s="3"/>
      <c r="E280" s="5"/>
      <c r="F280" s="3"/>
      <c r="G280" s="3"/>
      <c r="H280" s="3"/>
      <c r="I280" s="3"/>
      <c r="J280" s="3"/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1"/>
      <c r="AK280" s="1"/>
      <c r="AL280" s="1"/>
    </row>
    <row r="281" spans="1:38" ht="15.75" customHeight="1" x14ac:dyDescent="0.25">
      <c r="A281" s="3"/>
      <c r="B281" s="3"/>
      <c r="C281" s="3"/>
      <c r="D281" s="3"/>
      <c r="E281" s="5"/>
      <c r="F281" s="3"/>
      <c r="G281" s="3"/>
      <c r="H281" s="3"/>
      <c r="I281" s="3"/>
      <c r="J281" s="3"/>
      <c r="K281" s="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1"/>
      <c r="AK281" s="1"/>
      <c r="AL281" s="1"/>
    </row>
    <row r="282" spans="1:38" ht="15.75" customHeight="1" x14ac:dyDescent="0.25">
      <c r="A282" s="3"/>
      <c r="B282" s="3"/>
      <c r="C282" s="3"/>
      <c r="D282" s="3"/>
      <c r="E282" s="5"/>
      <c r="F282" s="3"/>
      <c r="G282" s="3"/>
      <c r="H282" s="3"/>
      <c r="I282" s="3"/>
      <c r="J282" s="3"/>
      <c r="K282" s="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1"/>
      <c r="AK282" s="1"/>
      <c r="AL282" s="1"/>
    </row>
    <row r="283" spans="1:38" ht="15.75" customHeight="1" x14ac:dyDescent="0.25">
      <c r="A283" s="3"/>
      <c r="B283" s="3"/>
      <c r="C283" s="3"/>
      <c r="D283" s="3"/>
      <c r="E283" s="5"/>
      <c r="F283" s="3"/>
      <c r="G283" s="3"/>
      <c r="H283" s="3"/>
      <c r="I283" s="3"/>
      <c r="J283" s="3"/>
      <c r="K283" s="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1"/>
      <c r="AK283" s="1"/>
      <c r="AL283" s="1"/>
    </row>
    <row r="284" spans="1:38" ht="15.75" customHeight="1" x14ac:dyDescent="0.25">
      <c r="A284" s="3"/>
      <c r="B284" s="3"/>
      <c r="C284" s="3"/>
      <c r="D284" s="3"/>
      <c r="E284" s="5"/>
      <c r="F284" s="3"/>
      <c r="G284" s="3"/>
      <c r="H284" s="3"/>
      <c r="I284" s="3"/>
      <c r="J284" s="3"/>
      <c r="K284" s="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1"/>
      <c r="AK284" s="1"/>
      <c r="AL284" s="1"/>
    </row>
    <row r="285" spans="1:38" ht="15.75" customHeight="1" x14ac:dyDescent="0.25">
      <c r="A285" s="3"/>
      <c r="B285" s="3"/>
      <c r="C285" s="3"/>
      <c r="D285" s="3"/>
      <c r="E285" s="5"/>
      <c r="F285" s="3"/>
      <c r="G285" s="3"/>
      <c r="H285" s="3"/>
      <c r="I285" s="3"/>
      <c r="J285" s="3"/>
      <c r="K285" s="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1"/>
      <c r="AK285" s="1"/>
      <c r="AL285" s="1"/>
    </row>
    <row r="286" spans="1:38" ht="15.75" customHeight="1" x14ac:dyDescent="0.25">
      <c r="A286" s="3"/>
      <c r="B286" s="3"/>
      <c r="C286" s="3"/>
      <c r="D286" s="3"/>
      <c r="E286" s="5"/>
      <c r="F286" s="3"/>
      <c r="G286" s="3"/>
      <c r="H286" s="3"/>
      <c r="I286" s="3"/>
      <c r="J286" s="3"/>
      <c r="K286" s="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1"/>
      <c r="AK286" s="1"/>
      <c r="AL286" s="1"/>
    </row>
    <row r="287" spans="1:38" ht="15.75" customHeight="1" x14ac:dyDescent="0.25">
      <c r="A287" s="3"/>
      <c r="B287" s="3"/>
      <c r="C287" s="3"/>
      <c r="D287" s="3"/>
      <c r="E287" s="5"/>
      <c r="F287" s="3"/>
      <c r="G287" s="3"/>
      <c r="H287" s="3"/>
      <c r="I287" s="3"/>
      <c r="J287" s="3"/>
      <c r="K287" s="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1"/>
      <c r="AK287" s="1"/>
      <c r="AL287" s="1"/>
    </row>
    <row r="288" spans="1:38" ht="15.75" customHeight="1" x14ac:dyDescent="0.25">
      <c r="A288" s="3"/>
      <c r="B288" s="3"/>
      <c r="C288" s="3"/>
      <c r="D288" s="3"/>
      <c r="E288" s="5"/>
      <c r="F288" s="3"/>
      <c r="G288" s="3"/>
      <c r="H288" s="3"/>
      <c r="I288" s="3"/>
      <c r="J288" s="3"/>
      <c r="K288" s="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1"/>
      <c r="AK288" s="1"/>
      <c r="AL288" s="1"/>
    </row>
    <row r="289" spans="1:38" ht="15.75" customHeight="1" x14ac:dyDescent="0.25">
      <c r="A289" s="3"/>
      <c r="B289" s="3"/>
      <c r="C289" s="3"/>
      <c r="D289" s="3"/>
      <c r="E289" s="5"/>
      <c r="F289" s="3"/>
      <c r="G289" s="3"/>
      <c r="H289" s="3"/>
      <c r="I289" s="3"/>
      <c r="J289" s="3"/>
      <c r="K289" s="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1"/>
      <c r="AK289" s="1"/>
      <c r="AL289" s="1"/>
    </row>
    <row r="290" spans="1:38" ht="15.75" customHeight="1" x14ac:dyDescent="0.25">
      <c r="A290" s="3"/>
      <c r="B290" s="3"/>
      <c r="C290" s="3"/>
      <c r="D290" s="3"/>
      <c r="E290" s="5"/>
      <c r="F290" s="3"/>
      <c r="G290" s="3"/>
      <c r="H290" s="3"/>
      <c r="I290" s="3"/>
      <c r="J290" s="3"/>
      <c r="K290" s="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1"/>
      <c r="AK290" s="1"/>
      <c r="AL290" s="1"/>
    </row>
    <row r="291" spans="1:38" ht="15.75" customHeight="1" x14ac:dyDescent="0.25">
      <c r="A291" s="3"/>
      <c r="B291" s="3"/>
      <c r="C291" s="3"/>
      <c r="D291" s="3"/>
      <c r="E291" s="5"/>
      <c r="F291" s="3"/>
      <c r="G291" s="3"/>
      <c r="H291" s="3"/>
      <c r="I291" s="3"/>
      <c r="J291" s="3"/>
      <c r="K291" s="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1"/>
      <c r="AK291" s="1"/>
      <c r="AL291" s="1"/>
    </row>
    <row r="292" spans="1:38" ht="15.75" customHeight="1" x14ac:dyDescent="0.25">
      <c r="A292" s="3"/>
      <c r="B292" s="3"/>
      <c r="C292" s="3"/>
      <c r="D292" s="3"/>
      <c r="E292" s="5"/>
      <c r="F292" s="3"/>
      <c r="G292" s="3"/>
      <c r="H292" s="3"/>
      <c r="I292" s="3"/>
      <c r="J292" s="3"/>
      <c r="K292" s="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1"/>
      <c r="AK292" s="1"/>
      <c r="AL292" s="1"/>
    </row>
    <row r="293" spans="1:38" ht="15.75" customHeight="1" x14ac:dyDescent="0.25">
      <c r="A293" s="3"/>
      <c r="B293" s="3"/>
      <c r="C293" s="3"/>
      <c r="D293" s="3"/>
      <c r="E293" s="5"/>
      <c r="F293" s="3"/>
      <c r="G293" s="3"/>
      <c r="H293" s="3"/>
      <c r="I293" s="3"/>
      <c r="J293" s="3"/>
      <c r="K293" s="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1"/>
      <c r="AK293" s="1"/>
      <c r="AL293" s="1"/>
    </row>
    <row r="294" spans="1:38" ht="15.75" customHeight="1" x14ac:dyDescent="0.25">
      <c r="A294" s="3"/>
      <c r="B294" s="3"/>
      <c r="C294" s="3"/>
      <c r="D294" s="3"/>
      <c r="E294" s="5"/>
      <c r="F294" s="3"/>
      <c r="G294" s="3"/>
      <c r="H294" s="3"/>
      <c r="I294" s="3"/>
      <c r="J294" s="3"/>
      <c r="K294" s="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1"/>
      <c r="AK294" s="1"/>
      <c r="AL294" s="1"/>
    </row>
    <row r="295" spans="1:38" ht="15.75" customHeight="1" x14ac:dyDescent="0.25">
      <c r="A295" s="3"/>
      <c r="B295" s="3"/>
      <c r="C295" s="3"/>
      <c r="D295" s="3"/>
      <c r="E295" s="5"/>
      <c r="F295" s="3"/>
      <c r="G295" s="3"/>
      <c r="H295" s="3"/>
      <c r="I295" s="3"/>
      <c r="J295" s="3"/>
      <c r="K295" s="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1"/>
      <c r="AK295" s="1"/>
      <c r="AL295" s="1"/>
    </row>
    <row r="296" spans="1:38" ht="15.75" customHeight="1" x14ac:dyDescent="0.25">
      <c r="A296" s="3"/>
      <c r="B296" s="3"/>
      <c r="C296" s="3"/>
      <c r="D296" s="3"/>
      <c r="E296" s="5"/>
      <c r="F296" s="3"/>
      <c r="G296" s="3"/>
      <c r="H296" s="3"/>
      <c r="I296" s="3"/>
      <c r="J296" s="3"/>
      <c r="K296" s="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1"/>
      <c r="AK296" s="1"/>
      <c r="AL296" s="1"/>
    </row>
    <row r="297" spans="1:38" ht="15.75" customHeight="1" x14ac:dyDescent="0.25">
      <c r="A297" s="3"/>
      <c r="B297" s="3"/>
      <c r="C297" s="3"/>
      <c r="D297" s="3"/>
      <c r="E297" s="5"/>
      <c r="F297" s="3"/>
      <c r="G297" s="3"/>
      <c r="H297" s="3"/>
      <c r="I297" s="3"/>
      <c r="J297" s="3"/>
      <c r="K297" s="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1"/>
      <c r="AK297" s="1"/>
      <c r="AL297" s="1"/>
    </row>
    <row r="298" spans="1:38" ht="15.75" customHeight="1" x14ac:dyDescent="0.25">
      <c r="A298" s="3"/>
      <c r="B298" s="3"/>
      <c r="C298" s="3"/>
      <c r="D298" s="3"/>
      <c r="E298" s="5"/>
      <c r="F298" s="3"/>
      <c r="G298" s="3"/>
      <c r="H298" s="3"/>
      <c r="I298" s="3"/>
      <c r="J298" s="3"/>
      <c r="K298" s="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1"/>
      <c r="AK298" s="1"/>
      <c r="AL298" s="1"/>
    </row>
    <row r="299" spans="1:38" ht="15.75" customHeight="1" x14ac:dyDescent="0.25">
      <c r="A299" s="3"/>
      <c r="B299" s="3"/>
      <c r="C299" s="3"/>
      <c r="D299" s="3"/>
      <c r="E299" s="5"/>
      <c r="F299" s="3"/>
      <c r="G299" s="3"/>
      <c r="H299" s="3"/>
      <c r="I299" s="3"/>
      <c r="J299" s="3"/>
      <c r="K299" s="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1"/>
      <c r="AK299" s="1"/>
      <c r="AL299" s="1"/>
    </row>
    <row r="300" spans="1:38" ht="15.75" customHeight="1" x14ac:dyDescent="0.25">
      <c r="A300" s="3"/>
      <c r="B300" s="3"/>
      <c r="C300" s="3"/>
      <c r="D300" s="3"/>
      <c r="E300" s="5"/>
      <c r="F300" s="3"/>
      <c r="G300" s="3"/>
      <c r="H300" s="3"/>
      <c r="I300" s="3"/>
      <c r="J300" s="3"/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1"/>
      <c r="AK300" s="1"/>
      <c r="AL300" s="1"/>
    </row>
    <row r="301" spans="1:38" ht="15.75" customHeight="1" x14ac:dyDescent="0.25">
      <c r="A301" s="3"/>
      <c r="B301" s="3"/>
      <c r="C301" s="3"/>
      <c r="D301" s="3"/>
      <c r="E301" s="5"/>
      <c r="F301" s="3"/>
      <c r="G301" s="3"/>
      <c r="H301" s="3"/>
      <c r="I301" s="3"/>
      <c r="J301" s="3"/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1"/>
      <c r="AK301" s="1"/>
      <c r="AL301" s="1"/>
    </row>
    <row r="302" spans="1:38" ht="15.75" customHeight="1" x14ac:dyDescent="0.25">
      <c r="A302" s="3"/>
      <c r="B302" s="3"/>
      <c r="C302" s="3"/>
      <c r="D302" s="3"/>
      <c r="E302" s="5"/>
      <c r="F302" s="3"/>
      <c r="G302" s="3"/>
      <c r="H302" s="3"/>
      <c r="I302" s="3"/>
      <c r="J302" s="3"/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1"/>
      <c r="AK302" s="1"/>
      <c r="AL302" s="1"/>
    </row>
    <row r="303" spans="1:38" ht="15.75" customHeight="1" x14ac:dyDescent="0.25">
      <c r="A303" s="3"/>
      <c r="B303" s="3"/>
      <c r="C303" s="3"/>
      <c r="D303" s="3"/>
      <c r="E303" s="5"/>
      <c r="F303" s="3"/>
      <c r="G303" s="3"/>
      <c r="H303" s="3"/>
      <c r="I303" s="3"/>
      <c r="J303" s="3"/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1"/>
      <c r="AK303" s="1"/>
      <c r="AL303" s="1"/>
    </row>
    <row r="304" spans="1:38" ht="15.75" customHeight="1" x14ac:dyDescent="0.25">
      <c r="A304" s="3"/>
      <c r="B304" s="3"/>
      <c r="C304" s="3"/>
      <c r="D304" s="3"/>
      <c r="E304" s="5"/>
      <c r="F304" s="3"/>
      <c r="G304" s="3"/>
      <c r="H304" s="3"/>
      <c r="I304" s="3"/>
      <c r="J304" s="3"/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1"/>
      <c r="AK304" s="1"/>
      <c r="AL304" s="1"/>
    </row>
    <row r="305" spans="1:38" ht="13.8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1"/>
      <c r="AK305" s="1"/>
      <c r="AL305" s="1"/>
    </row>
    <row r="306" spans="1:38" ht="13.8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1"/>
      <c r="AK306" s="1"/>
      <c r="AL306" s="1"/>
    </row>
    <row r="307" spans="1:38" ht="13.8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1"/>
      <c r="AK307" s="1"/>
      <c r="AL307" s="1"/>
    </row>
    <row r="308" spans="1:38" ht="13.8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1"/>
      <c r="AK308" s="1"/>
      <c r="AL308" s="1"/>
    </row>
    <row r="309" spans="1:38" ht="13.8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1"/>
      <c r="AK309" s="1"/>
      <c r="AL309" s="1"/>
    </row>
    <row r="310" spans="1:38" ht="13.8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1"/>
      <c r="AK310" s="1"/>
      <c r="AL310" s="1"/>
    </row>
    <row r="311" spans="1:38" ht="13.8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1"/>
      <c r="AK311" s="1"/>
      <c r="AL311" s="1"/>
    </row>
    <row r="312" spans="1:38" ht="13.8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1"/>
      <c r="AK312" s="1"/>
      <c r="AL312" s="1"/>
    </row>
    <row r="313" spans="1:38" ht="13.8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1"/>
      <c r="AK313" s="1"/>
      <c r="AL313" s="1"/>
    </row>
    <row r="314" spans="1:38" ht="13.8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1"/>
      <c r="AK314" s="1"/>
      <c r="AL314" s="1"/>
    </row>
    <row r="315" spans="1:38" ht="13.8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1"/>
      <c r="AK315" s="1"/>
      <c r="AL315" s="1"/>
    </row>
    <row r="316" spans="1:38" ht="13.8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1"/>
      <c r="AK316" s="1"/>
      <c r="AL316" s="1"/>
    </row>
    <row r="317" spans="1:38" ht="13.8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1"/>
      <c r="AK317" s="1"/>
      <c r="AL317" s="1"/>
    </row>
    <row r="318" spans="1:38" ht="13.8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1"/>
      <c r="AK318" s="1"/>
      <c r="AL318" s="1"/>
    </row>
    <row r="319" spans="1:38" ht="13.8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1"/>
      <c r="AK319" s="1"/>
      <c r="AL319" s="1"/>
    </row>
    <row r="320" spans="1:38" ht="13.8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1"/>
      <c r="AK320" s="1"/>
      <c r="AL320" s="1"/>
    </row>
    <row r="321" spans="1:38" ht="13.8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1"/>
      <c r="AK321" s="1"/>
      <c r="AL321" s="1"/>
    </row>
    <row r="322" spans="1:38" ht="13.8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1"/>
      <c r="AK322" s="1"/>
      <c r="AL322" s="1"/>
    </row>
    <row r="323" spans="1:38" ht="13.8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1"/>
      <c r="AK323" s="1"/>
      <c r="AL323" s="1"/>
    </row>
    <row r="324" spans="1:38" ht="13.8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1"/>
      <c r="AK324" s="1"/>
      <c r="AL324" s="1"/>
    </row>
    <row r="325" spans="1:38" ht="13.8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1"/>
      <c r="AK325" s="1"/>
      <c r="AL325" s="1"/>
    </row>
    <row r="326" spans="1:38" ht="13.8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1"/>
      <c r="AK326" s="1"/>
      <c r="AL326" s="1"/>
    </row>
    <row r="327" spans="1:38" ht="13.8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1"/>
      <c r="AK327" s="1"/>
      <c r="AL327" s="1"/>
    </row>
    <row r="328" spans="1:38" ht="13.8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1"/>
      <c r="AK328" s="1"/>
      <c r="AL328" s="1"/>
    </row>
    <row r="329" spans="1:38" ht="13.8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1"/>
      <c r="AK329" s="1"/>
      <c r="AL329" s="1"/>
    </row>
    <row r="330" spans="1:38" ht="13.8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1"/>
      <c r="AK330" s="1"/>
      <c r="AL330" s="1"/>
    </row>
    <row r="331" spans="1:38" ht="13.8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1"/>
      <c r="AK331" s="1"/>
      <c r="AL331" s="1"/>
    </row>
    <row r="332" spans="1:38" ht="13.8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1"/>
      <c r="AK332" s="1"/>
      <c r="AL332" s="1"/>
    </row>
    <row r="333" spans="1:38" ht="13.8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1"/>
      <c r="AK333" s="1"/>
      <c r="AL333" s="1"/>
    </row>
    <row r="334" spans="1:38" ht="13.8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1"/>
      <c r="AK334" s="1"/>
      <c r="AL334" s="1"/>
    </row>
    <row r="335" spans="1:38" ht="13.8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1"/>
      <c r="AK335" s="1"/>
      <c r="AL335" s="1"/>
    </row>
    <row r="336" spans="1:38" ht="13.8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1"/>
      <c r="AK336" s="1"/>
      <c r="AL336" s="1"/>
    </row>
    <row r="337" spans="1:38" ht="13.8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1"/>
      <c r="AK337" s="1"/>
      <c r="AL337" s="1"/>
    </row>
    <row r="338" spans="1:38" ht="13.8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1"/>
      <c r="AK338" s="1"/>
      <c r="AL338" s="1"/>
    </row>
    <row r="339" spans="1:38" ht="13.8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1"/>
      <c r="AK339" s="1"/>
      <c r="AL339" s="1"/>
    </row>
    <row r="340" spans="1:38" ht="13.8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1"/>
      <c r="AK340" s="1"/>
      <c r="AL340" s="1"/>
    </row>
    <row r="341" spans="1:38" ht="13.8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1"/>
      <c r="AK341" s="1"/>
      <c r="AL341" s="1"/>
    </row>
    <row r="342" spans="1:38" ht="13.8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1"/>
      <c r="AK342" s="1"/>
      <c r="AL342" s="1"/>
    </row>
    <row r="343" spans="1:38" ht="13.8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1"/>
      <c r="AK343" s="1"/>
      <c r="AL343" s="1"/>
    </row>
    <row r="344" spans="1:38" ht="13.8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1"/>
      <c r="AK344" s="1"/>
      <c r="AL344" s="1"/>
    </row>
    <row r="345" spans="1:38" ht="13.8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1"/>
      <c r="AK345" s="1"/>
      <c r="AL345" s="1"/>
    </row>
    <row r="346" spans="1:38" ht="13.8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1"/>
      <c r="AK346" s="1"/>
      <c r="AL346" s="1"/>
    </row>
    <row r="347" spans="1:38" ht="13.8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1"/>
      <c r="AK347" s="1"/>
      <c r="AL347" s="1"/>
    </row>
    <row r="348" spans="1:38" ht="13.8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1"/>
      <c r="AK348" s="1"/>
      <c r="AL348" s="1"/>
    </row>
    <row r="349" spans="1:38" ht="13.8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1"/>
      <c r="AK349" s="1"/>
      <c r="AL349" s="1"/>
    </row>
    <row r="350" spans="1:38" ht="13.8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1"/>
      <c r="AK350" s="1"/>
      <c r="AL350" s="1"/>
    </row>
    <row r="351" spans="1:38" ht="13.8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1"/>
      <c r="AK351" s="1"/>
      <c r="AL351" s="1"/>
    </row>
    <row r="352" spans="1:38" ht="13.8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1"/>
      <c r="AK352" s="1"/>
      <c r="AL352" s="1"/>
    </row>
    <row r="353" spans="1:38" ht="13.8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1"/>
      <c r="AK353" s="1"/>
      <c r="AL353" s="1"/>
    </row>
    <row r="354" spans="1:38" ht="13.8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1"/>
      <c r="AK354" s="1"/>
      <c r="AL354" s="1"/>
    </row>
    <row r="355" spans="1:38" ht="13.8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1"/>
      <c r="AK355" s="1"/>
      <c r="AL355" s="1"/>
    </row>
    <row r="356" spans="1:38" ht="13.8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1"/>
      <c r="AK356" s="1"/>
      <c r="AL356" s="1"/>
    </row>
    <row r="357" spans="1:38" ht="13.8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1"/>
      <c r="AK357" s="1"/>
      <c r="AL357" s="1"/>
    </row>
    <row r="358" spans="1:38" ht="13.8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1"/>
      <c r="AK358" s="1"/>
      <c r="AL358" s="1"/>
    </row>
    <row r="359" spans="1:38" ht="13.8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1"/>
      <c r="AK359" s="1"/>
      <c r="AL359" s="1"/>
    </row>
    <row r="360" spans="1:38" ht="13.8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1"/>
      <c r="AK360" s="1"/>
      <c r="AL360" s="1"/>
    </row>
    <row r="361" spans="1:38" ht="13.8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1"/>
      <c r="AK361" s="1"/>
      <c r="AL361" s="1"/>
    </row>
    <row r="362" spans="1:38" ht="13.8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1"/>
      <c r="AK362" s="1"/>
      <c r="AL362" s="1"/>
    </row>
    <row r="363" spans="1:38" ht="13.8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1"/>
      <c r="AK363" s="1"/>
      <c r="AL363" s="1"/>
    </row>
    <row r="364" spans="1:38" ht="13.8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1"/>
      <c r="AK364" s="1"/>
      <c r="AL364" s="1"/>
    </row>
    <row r="365" spans="1:38" ht="13.8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1"/>
      <c r="AK365" s="1"/>
      <c r="AL365" s="1"/>
    </row>
    <row r="366" spans="1:38" ht="13.8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1"/>
      <c r="AK366" s="1"/>
      <c r="AL366" s="1"/>
    </row>
    <row r="367" spans="1:38" ht="13.8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1"/>
      <c r="AK367" s="1"/>
      <c r="AL367" s="1"/>
    </row>
    <row r="368" spans="1:38" ht="13.8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1"/>
      <c r="AK368" s="1"/>
      <c r="AL368" s="1"/>
    </row>
    <row r="369" spans="1:38" ht="13.8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1"/>
      <c r="AK369" s="1"/>
      <c r="AL369" s="1"/>
    </row>
    <row r="370" spans="1:38" ht="13.8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1"/>
      <c r="AK370" s="1"/>
      <c r="AL370" s="1"/>
    </row>
    <row r="371" spans="1:38" ht="13.8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1"/>
      <c r="AK371" s="1"/>
      <c r="AL371" s="1"/>
    </row>
    <row r="372" spans="1:38" ht="13.8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1"/>
      <c r="AK372" s="1"/>
      <c r="AL372" s="1"/>
    </row>
    <row r="373" spans="1:38" ht="13.8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1"/>
      <c r="AK373" s="1"/>
      <c r="AL373" s="1"/>
    </row>
    <row r="374" spans="1:38" ht="13.8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1"/>
      <c r="AK374" s="1"/>
      <c r="AL374" s="1"/>
    </row>
    <row r="375" spans="1:38" ht="13.8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1"/>
      <c r="AK375" s="1"/>
      <c r="AL375" s="1"/>
    </row>
    <row r="376" spans="1:38" ht="13.8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1"/>
      <c r="AK376" s="1"/>
      <c r="AL376" s="1"/>
    </row>
    <row r="377" spans="1:38" ht="13.8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1"/>
      <c r="AK377" s="1"/>
      <c r="AL377" s="1"/>
    </row>
    <row r="378" spans="1:38" ht="13.8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1"/>
      <c r="AK378" s="1"/>
      <c r="AL378" s="1"/>
    </row>
    <row r="379" spans="1:38" ht="13.8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1"/>
      <c r="AK379" s="1"/>
      <c r="AL379" s="1"/>
    </row>
    <row r="380" spans="1:38" ht="13.8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1"/>
      <c r="AK380" s="1"/>
      <c r="AL380" s="1"/>
    </row>
    <row r="381" spans="1:38" ht="13.8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1"/>
      <c r="AK381" s="1"/>
      <c r="AL381" s="1"/>
    </row>
    <row r="382" spans="1:38" ht="13.8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1"/>
      <c r="AK382" s="1"/>
      <c r="AL382" s="1"/>
    </row>
    <row r="383" spans="1:38" ht="13.8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1"/>
      <c r="AK383" s="1"/>
      <c r="AL383" s="1"/>
    </row>
    <row r="384" spans="1:38" ht="13.8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1"/>
      <c r="AK384" s="1"/>
      <c r="AL384" s="1"/>
    </row>
    <row r="385" spans="1:38" ht="13.8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1"/>
      <c r="AK385" s="1"/>
      <c r="AL385" s="1"/>
    </row>
    <row r="386" spans="1:38" ht="13.8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1"/>
      <c r="AK386" s="1"/>
      <c r="AL386" s="1"/>
    </row>
    <row r="387" spans="1:38" ht="13.8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1"/>
      <c r="AK387" s="1"/>
      <c r="AL387" s="1"/>
    </row>
    <row r="388" spans="1:38" ht="13.8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1"/>
      <c r="AK388" s="1"/>
      <c r="AL388" s="1"/>
    </row>
    <row r="389" spans="1:38" ht="13.8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1"/>
      <c r="AK389" s="1"/>
      <c r="AL389" s="1"/>
    </row>
    <row r="390" spans="1:38" ht="13.8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1"/>
      <c r="AK390" s="1"/>
      <c r="AL390" s="1"/>
    </row>
    <row r="391" spans="1:38" ht="13.8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1"/>
      <c r="AK391" s="1"/>
      <c r="AL391" s="1"/>
    </row>
    <row r="392" spans="1:38" ht="13.8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1"/>
      <c r="AK392" s="1"/>
      <c r="AL392" s="1"/>
    </row>
    <row r="393" spans="1:38" ht="13.8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1"/>
      <c r="AK393" s="1"/>
      <c r="AL393" s="1"/>
    </row>
    <row r="394" spans="1:38" ht="13.8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1"/>
      <c r="AK394" s="1"/>
      <c r="AL394" s="1"/>
    </row>
    <row r="395" spans="1:38" ht="13.8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1"/>
      <c r="AK395" s="1"/>
      <c r="AL395" s="1"/>
    </row>
    <row r="396" spans="1:38" ht="13.8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1"/>
      <c r="AK396" s="1"/>
      <c r="AL396" s="1"/>
    </row>
    <row r="397" spans="1:38" ht="13.8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1"/>
      <c r="AK397" s="1"/>
      <c r="AL397" s="1"/>
    </row>
    <row r="398" spans="1:38" ht="13.8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1"/>
      <c r="AK398" s="1"/>
      <c r="AL398" s="1"/>
    </row>
    <row r="399" spans="1:38" ht="13.8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1"/>
      <c r="AK399" s="1"/>
      <c r="AL399" s="1"/>
    </row>
    <row r="400" spans="1:38" ht="13.8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1"/>
      <c r="AK400" s="1"/>
      <c r="AL400" s="1"/>
    </row>
    <row r="401" spans="1:38" ht="13.8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1"/>
      <c r="AK401" s="1"/>
      <c r="AL401" s="1"/>
    </row>
    <row r="402" spans="1:38" ht="13.8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1"/>
      <c r="AK402" s="1"/>
      <c r="AL402" s="1"/>
    </row>
    <row r="403" spans="1:38" ht="13.8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1"/>
      <c r="AK403" s="1"/>
      <c r="AL403" s="1"/>
    </row>
    <row r="404" spans="1:38" ht="13.8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1"/>
      <c r="AK404" s="1"/>
      <c r="AL404" s="1"/>
    </row>
    <row r="405" spans="1:38" ht="13.8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1"/>
      <c r="AK405" s="1"/>
      <c r="AL405" s="1"/>
    </row>
    <row r="406" spans="1:38" ht="13.8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1"/>
      <c r="AK406" s="1"/>
      <c r="AL406" s="1"/>
    </row>
    <row r="407" spans="1:38" ht="13.8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1"/>
      <c r="AK407" s="1"/>
      <c r="AL407" s="1"/>
    </row>
    <row r="408" spans="1:38" ht="13.8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1"/>
      <c r="AK408" s="1"/>
      <c r="AL408" s="1"/>
    </row>
    <row r="409" spans="1:38" ht="13.8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1"/>
      <c r="AK409" s="1"/>
      <c r="AL409" s="1"/>
    </row>
    <row r="410" spans="1:38" ht="13.8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1"/>
      <c r="AK410" s="1"/>
      <c r="AL410" s="1"/>
    </row>
    <row r="411" spans="1:38" ht="13.8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1"/>
      <c r="AK411" s="1"/>
      <c r="AL411" s="1"/>
    </row>
    <row r="412" spans="1:38" ht="13.8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1"/>
      <c r="AK412" s="1"/>
      <c r="AL412" s="1"/>
    </row>
    <row r="413" spans="1:38" ht="13.8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1"/>
      <c r="AK413" s="1"/>
      <c r="AL413" s="1"/>
    </row>
    <row r="414" spans="1:38" ht="13.8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1"/>
      <c r="AK414" s="1"/>
      <c r="AL414" s="1"/>
    </row>
    <row r="415" spans="1:38" ht="13.8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1"/>
      <c r="AK415" s="1"/>
      <c r="AL415" s="1"/>
    </row>
    <row r="416" spans="1:38" ht="13.8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1"/>
      <c r="AK416" s="1"/>
      <c r="AL416" s="1"/>
    </row>
    <row r="417" spans="1:38" ht="13.8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1"/>
      <c r="AK417" s="1"/>
      <c r="AL417" s="1"/>
    </row>
    <row r="418" spans="1:38" ht="13.8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1"/>
      <c r="AK418" s="1"/>
      <c r="AL418" s="1"/>
    </row>
    <row r="419" spans="1:38" ht="13.8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1"/>
      <c r="AK419" s="1"/>
      <c r="AL419" s="1"/>
    </row>
    <row r="420" spans="1:38" ht="13.8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1"/>
      <c r="AK420" s="1"/>
      <c r="AL420" s="1"/>
    </row>
    <row r="421" spans="1:38" ht="13.8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1"/>
      <c r="AK421" s="1"/>
      <c r="AL421" s="1"/>
    </row>
    <row r="422" spans="1:38" ht="13.8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1"/>
      <c r="AK422" s="1"/>
      <c r="AL422" s="1"/>
    </row>
    <row r="423" spans="1:38" ht="13.8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1"/>
      <c r="AK423" s="1"/>
      <c r="AL423" s="1"/>
    </row>
    <row r="424" spans="1:38" ht="13.8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1"/>
      <c r="AK424" s="1"/>
      <c r="AL424" s="1"/>
    </row>
    <row r="425" spans="1:38" ht="13.8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1"/>
      <c r="AK425" s="1"/>
      <c r="AL425" s="1"/>
    </row>
    <row r="426" spans="1:38" ht="13.8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1"/>
      <c r="AK426" s="1"/>
      <c r="AL426" s="1"/>
    </row>
    <row r="427" spans="1:38" ht="13.8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1"/>
      <c r="AK427" s="1"/>
      <c r="AL427" s="1"/>
    </row>
    <row r="428" spans="1:38" ht="13.8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1"/>
      <c r="AK428" s="1"/>
      <c r="AL428" s="1"/>
    </row>
    <row r="429" spans="1:38" ht="13.8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1"/>
      <c r="AK429" s="1"/>
      <c r="AL429" s="1"/>
    </row>
    <row r="430" spans="1:38" ht="13.8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1"/>
      <c r="AK430" s="1"/>
      <c r="AL430" s="1"/>
    </row>
    <row r="431" spans="1:38" ht="13.8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1"/>
      <c r="AK431" s="1"/>
      <c r="AL431" s="1"/>
    </row>
    <row r="432" spans="1:38" ht="13.8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1"/>
      <c r="AK432" s="1"/>
      <c r="AL432" s="1"/>
    </row>
    <row r="433" spans="1:38" ht="13.8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1"/>
      <c r="AK433" s="1"/>
      <c r="AL433" s="1"/>
    </row>
    <row r="434" spans="1:38" ht="13.8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1"/>
      <c r="AK434" s="1"/>
      <c r="AL434" s="1"/>
    </row>
    <row r="435" spans="1:38" ht="13.8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1"/>
      <c r="AK435" s="1"/>
      <c r="AL435" s="1"/>
    </row>
    <row r="436" spans="1:38" ht="13.8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1"/>
      <c r="AK436" s="1"/>
      <c r="AL436" s="1"/>
    </row>
    <row r="437" spans="1:38" ht="13.8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1"/>
      <c r="AK437" s="1"/>
      <c r="AL437" s="1"/>
    </row>
    <row r="438" spans="1:38" ht="13.8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1"/>
      <c r="AK438" s="1"/>
      <c r="AL438" s="1"/>
    </row>
    <row r="439" spans="1:38" ht="13.8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1"/>
      <c r="AK439" s="1"/>
      <c r="AL439" s="1"/>
    </row>
    <row r="440" spans="1:38" ht="13.8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1"/>
      <c r="AK440" s="1"/>
      <c r="AL440" s="1"/>
    </row>
    <row r="441" spans="1:38" ht="13.8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1"/>
      <c r="AK441" s="1"/>
      <c r="AL441" s="1"/>
    </row>
    <row r="442" spans="1:38" ht="13.8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1"/>
      <c r="AK442" s="1"/>
      <c r="AL442" s="1"/>
    </row>
    <row r="443" spans="1:38" ht="13.8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1"/>
      <c r="AK443" s="1"/>
      <c r="AL443" s="1"/>
    </row>
    <row r="444" spans="1:38" ht="13.8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1"/>
      <c r="AK444" s="1"/>
      <c r="AL444" s="1"/>
    </row>
    <row r="445" spans="1:38" ht="13.8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1"/>
      <c r="AK445" s="1"/>
      <c r="AL445" s="1"/>
    </row>
    <row r="446" spans="1:38" ht="13.8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1"/>
      <c r="AK446" s="1"/>
      <c r="AL446" s="1"/>
    </row>
    <row r="447" spans="1:38" ht="13.8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1"/>
      <c r="AK447" s="1"/>
      <c r="AL447" s="1"/>
    </row>
    <row r="448" spans="1:38" ht="13.8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1"/>
      <c r="AK448" s="1"/>
      <c r="AL448" s="1"/>
    </row>
    <row r="449" spans="1:38" ht="13.8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1"/>
      <c r="AK449" s="1"/>
      <c r="AL449" s="1"/>
    </row>
    <row r="450" spans="1:38" ht="13.8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1"/>
      <c r="AK450" s="1"/>
      <c r="AL450" s="1"/>
    </row>
    <row r="451" spans="1:38" ht="13.8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1"/>
      <c r="AK451" s="1"/>
      <c r="AL451" s="1"/>
    </row>
    <row r="452" spans="1:38" ht="13.8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1"/>
      <c r="AK452" s="1"/>
      <c r="AL452" s="1"/>
    </row>
    <row r="453" spans="1:38" ht="13.8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1"/>
      <c r="AK453" s="1"/>
      <c r="AL453" s="1"/>
    </row>
    <row r="454" spans="1:38" ht="13.8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1"/>
      <c r="AK454" s="1"/>
      <c r="AL454" s="1"/>
    </row>
    <row r="455" spans="1:38" ht="13.8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1"/>
      <c r="AK455" s="1"/>
      <c r="AL455" s="1"/>
    </row>
    <row r="456" spans="1:38" ht="13.8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1"/>
      <c r="AK456" s="1"/>
      <c r="AL456" s="1"/>
    </row>
    <row r="457" spans="1:38" ht="13.8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1"/>
      <c r="AK457" s="1"/>
      <c r="AL457" s="1"/>
    </row>
    <row r="458" spans="1:38" ht="13.8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1"/>
      <c r="AK458" s="1"/>
      <c r="AL458" s="1"/>
    </row>
    <row r="459" spans="1:38" ht="13.8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1"/>
      <c r="AK459" s="1"/>
      <c r="AL459" s="1"/>
    </row>
    <row r="460" spans="1:38" ht="13.8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1"/>
      <c r="AK460" s="1"/>
      <c r="AL460" s="1"/>
    </row>
    <row r="461" spans="1:38" ht="13.8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1"/>
      <c r="AK461" s="1"/>
      <c r="AL461" s="1"/>
    </row>
    <row r="462" spans="1:38" ht="13.8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1"/>
      <c r="AK462" s="1"/>
      <c r="AL462" s="1"/>
    </row>
    <row r="463" spans="1:38" ht="13.8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1"/>
      <c r="AK463" s="1"/>
      <c r="AL463" s="1"/>
    </row>
    <row r="464" spans="1:38" ht="13.8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1"/>
      <c r="AK464" s="1"/>
      <c r="AL464" s="1"/>
    </row>
    <row r="465" spans="1:38" ht="13.8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1"/>
      <c r="AK465" s="1"/>
      <c r="AL465" s="1"/>
    </row>
    <row r="466" spans="1:38" ht="13.8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1"/>
      <c r="AK466" s="1"/>
      <c r="AL466" s="1"/>
    </row>
    <row r="467" spans="1:38" ht="13.8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1"/>
      <c r="AK467" s="1"/>
      <c r="AL467" s="1"/>
    </row>
    <row r="468" spans="1:38" ht="13.8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1"/>
      <c r="AK468" s="1"/>
      <c r="AL468" s="1"/>
    </row>
    <row r="469" spans="1:38" ht="13.8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1"/>
      <c r="AK469" s="1"/>
      <c r="AL469" s="1"/>
    </row>
    <row r="470" spans="1:38" ht="13.8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1"/>
      <c r="AK470" s="1"/>
      <c r="AL470" s="1"/>
    </row>
    <row r="471" spans="1:38" ht="13.8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1"/>
      <c r="AK471" s="1"/>
      <c r="AL471" s="1"/>
    </row>
    <row r="472" spans="1:38" ht="13.8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1"/>
      <c r="AK472" s="1"/>
      <c r="AL472" s="1"/>
    </row>
    <row r="473" spans="1:38" ht="13.8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1"/>
      <c r="AK473" s="1"/>
      <c r="AL473" s="1"/>
    </row>
    <row r="474" spans="1:38" ht="13.8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1"/>
      <c r="AK474" s="1"/>
      <c r="AL474" s="1"/>
    </row>
    <row r="475" spans="1:38" ht="13.8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1"/>
      <c r="AK475" s="1"/>
      <c r="AL475" s="1"/>
    </row>
    <row r="476" spans="1:38" ht="13.8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1"/>
      <c r="AK476" s="1"/>
      <c r="AL476" s="1"/>
    </row>
    <row r="477" spans="1:38" ht="13.8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1"/>
      <c r="AK477" s="1"/>
      <c r="AL477" s="1"/>
    </row>
    <row r="478" spans="1:38" ht="13.8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1"/>
      <c r="AK478" s="1"/>
      <c r="AL478" s="1"/>
    </row>
    <row r="479" spans="1:38" ht="13.8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1"/>
      <c r="AK479" s="1"/>
      <c r="AL479" s="1"/>
    </row>
    <row r="480" spans="1:38" ht="13.8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1"/>
      <c r="AK480" s="1"/>
      <c r="AL480" s="1"/>
    </row>
    <row r="481" spans="1:38" ht="13.8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1"/>
      <c r="AK481" s="1"/>
      <c r="AL481" s="1"/>
    </row>
    <row r="482" spans="1:38" ht="13.8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1"/>
      <c r="AK482" s="1"/>
      <c r="AL482" s="1"/>
    </row>
    <row r="483" spans="1:38" ht="13.8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1"/>
      <c r="AK483" s="1"/>
      <c r="AL483" s="1"/>
    </row>
    <row r="484" spans="1:38" ht="13.8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1"/>
      <c r="AK484" s="1"/>
      <c r="AL484" s="1"/>
    </row>
    <row r="485" spans="1:38" ht="13.8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1"/>
      <c r="AK485" s="1"/>
      <c r="AL485" s="1"/>
    </row>
    <row r="486" spans="1:38" ht="13.8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1"/>
      <c r="AK486" s="1"/>
      <c r="AL486" s="1"/>
    </row>
    <row r="487" spans="1:38" ht="13.8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1"/>
      <c r="AK487" s="1"/>
      <c r="AL487" s="1"/>
    </row>
    <row r="488" spans="1:38" ht="13.8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1"/>
      <c r="AK488" s="1"/>
      <c r="AL488" s="1"/>
    </row>
    <row r="489" spans="1:38" ht="13.8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1"/>
      <c r="AK489" s="1"/>
      <c r="AL489" s="1"/>
    </row>
    <row r="490" spans="1:38" ht="13.8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1"/>
      <c r="AK490" s="1"/>
      <c r="AL490" s="1"/>
    </row>
    <row r="491" spans="1:38" ht="13.8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1"/>
      <c r="AK491" s="1"/>
      <c r="AL491" s="1"/>
    </row>
    <row r="492" spans="1:38" ht="13.8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1"/>
      <c r="AK492" s="1"/>
      <c r="AL492" s="1"/>
    </row>
    <row r="493" spans="1:38" ht="13.8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1"/>
      <c r="AK493" s="1"/>
      <c r="AL493" s="1"/>
    </row>
    <row r="494" spans="1:38" ht="13.8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1"/>
      <c r="AK494" s="1"/>
      <c r="AL494" s="1"/>
    </row>
    <row r="495" spans="1:38" ht="13.8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1"/>
      <c r="AK495" s="1"/>
      <c r="AL495" s="1"/>
    </row>
    <row r="496" spans="1:38" ht="13.8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1"/>
      <c r="AK496" s="1"/>
      <c r="AL496" s="1"/>
    </row>
    <row r="497" spans="1:38" ht="13.8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1"/>
      <c r="AK497" s="1"/>
      <c r="AL497" s="1"/>
    </row>
    <row r="498" spans="1:38" ht="13.8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1"/>
      <c r="AK498" s="1"/>
      <c r="AL498" s="1"/>
    </row>
    <row r="499" spans="1:38" ht="13.8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1"/>
      <c r="AK499" s="1"/>
      <c r="AL499" s="1"/>
    </row>
    <row r="500" spans="1:38" ht="13.8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1"/>
      <c r="AK500" s="1"/>
      <c r="AL500" s="1"/>
    </row>
    <row r="501" spans="1:38" ht="13.8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1"/>
      <c r="AK501" s="1"/>
      <c r="AL501" s="1"/>
    </row>
    <row r="502" spans="1:38" ht="13.8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1"/>
      <c r="AK502" s="1"/>
      <c r="AL502" s="1"/>
    </row>
    <row r="503" spans="1:38" ht="13.8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1"/>
      <c r="AK503" s="1"/>
      <c r="AL503" s="1"/>
    </row>
    <row r="504" spans="1:38" ht="13.8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1"/>
      <c r="AK504" s="1"/>
      <c r="AL504" s="1"/>
    </row>
    <row r="505" spans="1:38" ht="13.8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1"/>
      <c r="AK505" s="1"/>
      <c r="AL505" s="1"/>
    </row>
    <row r="506" spans="1:38" ht="13.8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1"/>
      <c r="AK506" s="1"/>
      <c r="AL506" s="1"/>
    </row>
    <row r="507" spans="1:38" ht="13.8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1"/>
      <c r="AK507" s="1"/>
      <c r="AL507" s="1"/>
    </row>
    <row r="508" spans="1:38" ht="13.8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1"/>
      <c r="AK508" s="1"/>
      <c r="AL508" s="1"/>
    </row>
    <row r="509" spans="1:38" ht="13.8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1"/>
      <c r="AK509" s="1"/>
      <c r="AL509" s="1"/>
    </row>
    <row r="510" spans="1:38" ht="13.8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1"/>
      <c r="AK510" s="1"/>
      <c r="AL510" s="1"/>
    </row>
    <row r="511" spans="1:38" ht="13.8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1"/>
      <c r="AK511" s="1"/>
      <c r="AL511" s="1"/>
    </row>
    <row r="512" spans="1:38" ht="13.8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1"/>
      <c r="AK512" s="1"/>
      <c r="AL512" s="1"/>
    </row>
    <row r="513" spans="1:38" ht="13.8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1"/>
      <c r="AK513" s="1"/>
      <c r="AL513" s="1"/>
    </row>
    <row r="514" spans="1:38" ht="13.8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1"/>
      <c r="AK514" s="1"/>
      <c r="AL514" s="1"/>
    </row>
    <row r="515" spans="1:38" ht="13.8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1"/>
      <c r="AK515" s="1"/>
      <c r="AL515" s="1"/>
    </row>
    <row r="516" spans="1:38" ht="13.8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1"/>
      <c r="AK516" s="1"/>
      <c r="AL516" s="1"/>
    </row>
    <row r="517" spans="1:38" ht="13.8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1"/>
      <c r="AK517" s="1"/>
      <c r="AL517" s="1"/>
    </row>
    <row r="518" spans="1:38" ht="13.8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1"/>
      <c r="AK518" s="1"/>
      <c r="AL518" s="1"/>
    </row>
    <row r="519" spans="1:38" ht="13.8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1"/>
      <c r="AK519" s="1"/>
      <c r="AL519" s="1"/>
    </row>
    <row r="520" spans="1:38" ht="13.8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1"/>
      <c r="AK520" s="1"/>
      <c r="AL520" s="1"/>
    </row>
    <row r="521" spans="1:38" ht="13.8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1"/>
      <c r="AK521" s="1"/>
      <c r="AL521" s="1"/>
    </row>
    <row r="522" spans="1:38" ht="13.8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1"/>
      <c r="AK522" s="1"/>
      <c r="AL522" s="1"/>
    </row>
    <row r="523" spans="1:38" ht="13.8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1"/>
      <c r="AK523" s="1"/>
      <c r="AL523" s="1"/>
    </row>
    <row r="524" spans="1:38" ht="13.8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1"/>
      <c r="AK524" s="1"/>
      <c r="AL524" s="1"/>
    </row>
    <row r="525" spans="1:38" ht="13.8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1"/>
      <c r="AK525" s="1"/>
      <c r="AL525" s="1"/>
    </row>
    <row r="526" spans="1:38" ht="13.8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1"/>
      <c r="AK526" s="1"/>
      <c r="AL526" s="1"/>
    </row>
    <row r="527" spans="1:38" ht="13.8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1"/>
      <c r="AK527" s="1"/>
      <c r="AL527" s="1"/>
    </row>
    <row r="528" spans="1:38" ht="13.8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1"/>
      <c r="AK528" s="1"/>
      <c r="AL528" s="1"/>
    </row>
    <row r="529" spans="1:38" ht="13.8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1"/>
      <c r="AK529" s="1"/>
      <c r="AL529" s="1"/>
    </row>
    <row r="530" spans="1:38" ht="13.8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1"/>
      <c r="AK530" s="1"/>
      <c r="AL530" s="1"/>
    </row>
    <row r="531" spans="1:38" ht="13.8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1"/>
      <c r="AK531" s="1"/>
      <c r="AL531" s="1"/>
    </row>
    <row r="532" spans="1:38" ht="13.8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1"/>
      <c r="AK532" s="1"/>
      <c r="AL532" s="1"/>
    </row>
    <row r="533" spans="1:38" ht="13.8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1"/>
      <c r="AK533" s="1"/>
      <c r="AL533" s="1"/>
    </row>
    <row r="534" spans="1:38" ht="13.8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1"/>
      <c r="AK534" s="1"/>
      <c r="AL534" s="1"/>
    </row>
    <row r="535" spans="1:38" ht="13.8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1"/>
      <c r="AK535" s="1"/>
      <c r="AL535" s="1"/>
    </row>
    <row r="536" spans="1:38" ht="13.8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1"/>
      <c r="AK536" s="1"/>
      <c r="AL536" s="1"/>
    </row>
    <row r="537" spans="1:38" ht="13.8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1"/>
      <c r="AK537" s="1"/>
      <c r="AL537" s="1"/>
    </row>
    <row r="538" spans="1:38" ht="13.8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1"/>
      <c r="AK538" s="1"/>
      <c r="AL538" s="1"/>
    </row>
    <row r="539" spans="1:38" ht="13.8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1"/>
      <c r="AK539" s="1"/>
      <c r="AL539" s="1"/>
    </row>
    <row r="540" spans="1:38" ht="13.8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1"/>
      <c r="AK540" s="1"/>
      <c r="AL540" s="1"/>
    </row>
    <row r="541" spans="1:38" ht="13.8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1"/>
      <c r="AK541" s="1"/>
      <c r="AL541" s="1"/>
    </row>
    <row r="542" spans="1:38" ht="13.8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1"/>
      <c r="AK542" s="1"/>
      <c r="AL542" s="1"/>
    </row>
    <row r="543" spans="1:38" ht="13.8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1"/>
      <c r="AK543" s="1"/>
      <c r="AL543" s="1"/>
    </row>
    <row r="544" spans="1:38" ht="13.8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1"/>
      <c r="AK544" s="1"/>
      <c r="AL544" s="1"/>
    </row>
    <row r="545" spans="1:38" ht="13.8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1"/>
      <c r="AK545" s="1"/>
      <c r="AL545" s="1"/>
    </row>
    <row r="546" spans="1:38" ht="13.8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1"/>
      <c r="AK546" s="1"/>
      <c r="AL546" s="1"/>
    </row>
    <row r="547" spans="1:38" ht="13.8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1"/>
      <c r="AK547" s="1"/>
      <c r="AL547" s="1"/>
    </row>
    <row r="548" spans="1:38" ht="13.8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1"/>
      <c r="AK548" s="1"/>
      <c r="AL548" s="1"/>
    </row>
    <row r="549" spans="1:38" ht="13.8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1"/>
      <c r="AK549" s="1"/>
      <c r="AL549" s="1"/>
    </row>
    <row r="550" spans="1:38" ht="13.8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1"/>
      <c r="AK550" s="1"/>
      <c r="AL550" s="1"/>
    </row>
    <row r="551" spans="1:38" ht="13.8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1"/>
      <c r="AK551" s="1"/>
      <c r="AL551" s="1"/>
    </row>
    <row r="552" spans="1:38" ht="13.8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1"/>
      <c r="AK552" s="1"/>
      <c r="AL552" s="1"/>
    </row>
    <row r="553" spans="1:38" ht="13.8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1"/>
      <c r="AK553" s="1"/>
      <c r="AL553" s="1"/>
    </row>
    <row r="554" spans="1:38" ht="13.8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1"/>
      <c r="AK554" s="1"/>
      <c r="AL554" s="1"/>
    </row>
    <row r="555" spans="1:38" ht="13.8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1"/>
      <c r="AK555" s="1"/>
      <c r="AL555" s="1"/>
    </row>
    <row r="556" spans="1:38" ht="13.8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1"/>
      <c r="AK556" s="1"/>
      <c r="AL556" s="1"/>
    </row>
    <row r="557" spans="1:38" ht="13.8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1"/>
      <c r="AK557" s="1"/>
      <c r="AL557" s="1"/>
    </row>
    <row r="558" spans="1:38" ht="13.8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1"/>
      <c r="AK558" s="1"/>
      <c r="AL558" s="1"/>
    </row>
    <row r="559" spans="1:38" ht="13.8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1"/>
      <c r="AK559" s="1"/>
      <c r="AL559" s="1"/>
    </row>
    <row r="560" spans="1:38" ht="13.8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1"/>
      <c r="AK560" s="1"/>
      <c r="AL560" s="1"/>
    </row>
    <row r="561" spans="1:38" ht="13.8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1"/>
      <c r="AK561" s="1"/>
      <c r="AL561" s="1"/>
    </row>
    <row r="562" spans="1:38" ht="13.8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1"/>
      <c r="AK562" s="1"/>
      <c r="AL562" s="1"/>
    </row>
    <row r="563" spans="1:38" ht="13.8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1"/>
      <c r="AK563" s="1"/>
      <c r="AL563" s="1"/>
    </row>
    <row r="564" spans="1:38" ht="13.8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1"/>
      <c r="AK564" s="1"/>
      <c r="AL564" s="1"/>
    </row>
    <row r="565" spans="1:38" ht="13.8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1"/>
      <c r="AK565" s="1"/>
      <c r="AL565" s="1"/>
    </row>
    <row r="566" spans="1:38" ht="13.8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1"/>
      <c r="AK566" s="1"/>
      <c r="AL566" s="1"/>
    </row>
    <row r="567" spans="1:38" ht="13.8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1"/>
      <c r="AK567" s="1"/>
      <c r="AL567" s="1"/>
    </row>
    <row r="568" spans="1:38" ht="13.8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1"/>
      <c r="AK568" s="1"/>
      <c r="AL568" s="1"/>
    </row>
    <row r="569" spans="1:38" ht="13.8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1"/>
      <c r="AK569" s="1"/>
      <c r="AL569" s="1"/>
    </row>
    <row r="570" spans="1:38" ht="13.8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1"/>
      <c r="AK570" s="1"/>
      <c r="AL570" s="1"/>
    </row>
    <row r="571" spans="1:38" ht="13.8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1"/>
      <c r="AK571" s="1"/>
      <c r="AL571" s="1"/>
    </row>
    <row r="572" spans="1:38" ht="13.8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1"/>
      <c r="AK572" s="1"/>
      <c r="AL572" s="1"/>
    </row>
    <row r="573" spans="1:38" ht="13.8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1"/>
      <c r="AK573" s="1"/>
      <c r="AL573" s="1"/>
    </row>
    <row r="574" spans="1:38" ht="13.8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1"/>
      <c r="AK574" s="1"/>
      <c r="AL574" s="1"/>
    </row>
    <row r="575" spans="1:38" ht="13.8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1"/>
      <c r="AK575" s="1"/>
      <c r="AL575" s="1"/>
    </row>
    <row r="576" spans="1:38" ht="13.8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1"/>
      <c r="AK576" s="1"/>
      <c r="AL576" s="1"/>
    </row>
    <row r="577" spans="1:38" ht="13.8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1"/>
      <c r="AK577" s="1"/>
      <c r="AL577" s="1"/>
    </row>
    <row r="578" spans="1:38" ht="13.8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1"/>
      <c r="AK578" s="1"/>
      <c r="AL578" s="1"/>
    </row>
    <row r="579" spans="1:38" ht="13.8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1"/>
      <c r="AK579" s="1"/>
      <c r="AL579" s="1"/>
    </row>
    <row r="580" spans="1:38" ht="13.8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1"/>
      <c r="AK580" s="1"/>
      <c r="AL580" s="1"/>
    </row>
    <row r="581" spans="1:38" ht="13.8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1"/>
      <c r="AK581" s="1"/>
      <c r="AL581" s="1"/>
    </row>
    <row r="582" spans="1:38" ht="13.8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1"/>
      <c r="AK582" s="1"/>
      <c r="AL582" s="1"/>
    </row>
    <row r="583" spans="1:38" ht="13.8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1"/>
      <c r="AK583" s="1"/>
      <c r="AL583" s="1"/>
    </row>
    <row r="584" spans="1:38" ht="13.8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1"/>
      <c r="AK584" s="1"/>
      <c r="AL584" s="1"/>
    </row>
    <row r="585" spans="1:38" ht="13.8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1"/>
      <c r="AK585" s="1"/>
      <c r="AL585" s="1"/>
    </row>
    <row r="586" spans="1:38" ht="13.8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1"/>
      <c r="AK586" s="1"/>
      <c r="AL586" s="1"/>
    </row>
    <row r="587" spans="1:38" ht="13.8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1"/>
      <c r="AK587" s="1"/>
      <c r="AL587" s="1"/>
    </row>
    <row r="588" spans="1:38" ht="13.8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1"/>
      <c r="AK588" s="1"/>
      <c r="AL588" s="1"/>
    </row>
    <row r="589" spans="1:38" ht="13.8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1"/>
      <c r="AK589" s="1"/>
      <c r="AL589" s="1"/>
    </row>
    <row r="590" spans="1:38" ht="13.8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1"/>
      <c r="AK590" s="1"/>
      <c r="AL590" s="1"/>
    </row>
    <row r="591" spans="1:38" ht="13.8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1"/>
      <c r="AK591" s="1"/>
      <c r="AL591" s="1"/>
    </row>
    <row r="592" spans="1:38" ht="13.8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1"/>
      <c r="AK592" s="1"/>
      <c r="AL592" s="1"/>
    </row>
    <row r="593" spans="1:38" ht="13.8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1"/>
      <c r="AK593" s="1"/>
      <c r="AL593" s="1"/>
    </row>
    <row r="594" spans="1:38" ht="13.8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1"/>
      <c r="AK594" s="1"/>
      <c r="AL594" s="1"/>
    </row>
    <row r="595" spans="1:38" ht="13.8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1"/>
      <c r="AK595" s="1"/>
      <c r="AL595" s="1"/>
    </row>
    <row r="596" spans="1:38" ht="13.8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1"/>
      <c r="AK596" s="1"/>
      <c r="AL596" s="1"/>
    </row>
    <row r="597" spans="1:38" ht="13.8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1"/>
      <c r="AK597" s="1"/>
      <c r="AL597" s="1"/>
    </row>
    <row r="598" spans="1:38" ht="13.8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1"/>
      <c r="AK598" s="1"/>
      <c r="AL598" s="1"/>
    </row>
    <row r="599" spans="1:38" ht="13.8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1"/>
      <c r="AK599" s="1"/>
      <c r="AL599" s="1"/>
    </row>
    <row r="600" spans="1:38" ht="13.8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1"/>
      <c r="AK600" s="1"/>
      <c r="AL600" s="1"/>
    </row>
    <row r="601" spans="1:38" ht="13.8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1"/>
      <c r="AK601" s="1"/>
      <c r="AL601" s="1"/>
    </row>
    <row r="602" spans="1:38" ht="13.8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1"/>
      <c r="AK602" s="1"/>
      <c r="AL602" s="1"/>
    </row>
    <row r="603" spans="1:38" ht="13.8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1"/>
      <c r="AK603" s="1"/>
      <c r="AL603" s="1"/>
    </row>
    <row r="604" spans="1:38" ht="13.8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1"/>
      <c r="AK604" s="1"/>
      <c r="AL604" s="1"/>
    </row>
    <row r="605" spans="1:38" ht="13.8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1"/>
      <c r="AK605" s="1"/>
      <c r="AL605" s="1"/>
    </row>
    <row r="606" spans="1:38" ht="13.8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1"/>
      <c r="AK606" s="1"/>
      <c r="AL606" s="1"/>
    </row>
    <row r="607" spans="1:38" ht="13.8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1"/>
      <c r="AK607" s="1"/>
      <c r="AL607" s="1"/>
    </row>
    <row r="608" spans="1:38" ht="13.8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1"/>
      <c r="AK608" s="1"/>
      <c r="AL608" s="1"/>
    </row>
    <row r="609" spans="1:38" ht="13.8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1"/>
      <c r="AK609" s="1"/>
      <c r="AL609" s="1"/>
    </row>
    <row r="610" spans="1:38" ht="13.8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1"/>
      <c r="AK610" s="1"/>
      <c r="AL610" s="1"/>
    </row>
    <row r="611" spans="1:38" ht="13.8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1"/>
      <c r="AK611" s="1"/>
      <c r="AL611" s="1"/>
    </row>
    <row r="612" spans="1:38" ht="13.8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1"/>
      <c r="AK612" s="1"/>
      <c r="AL612" s="1"/>
    </row>
    <row r="613" spans="1:38" ht="13.8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1"/>
      <c r="AK613" s="1"/>
      <c r="AL613" s="1"/>
    </row>
    <row r="614" spans="1:38" ht="13.8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1"/>
      <c r="AK614" s="1"/>
      <c r="AL614" s="1"/>
    </row>
    <row r="615" spans="1:38" ht="13.8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1"/>
      <c r="AK615" s="1"/>
      <c r="AL615" s="1"/>
    </row>
    <row r="616" spans="1:38" ht="13.8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1"/>
      <c r="AK616" s="1"/>
      <c r="AL616" s="1"/>
    </row>
    <row r="617" spans="1:38" ht="13.8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1"/>
      <c r="AK617" s="1"/>
      <c r="AL617" s="1"/>
    </row>
    <row r="618" spans="1:38" ht="13.8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1"/>
      <c r="AK618" s="1"/>
      <c r="AL618" s="1"/>
    </row>
    <row r="619" spans="1:38" ht="13.8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1"/>
      <c r="AK619" s="1"/>
      <c r="AL619" s="1"/>
    </row>
    <row r="620" spans="1:38" ht="13.8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1"/>
      <c r="AK620" s="1"/>
      <c r="AL620" s="1"/>
    </row>
    <row r="621" spans="1:38" ht="13.8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1"/>
      <c r="AK621" s="1"/>
      <c r="AL621" s="1"/>
    </row>
    <row r="622" spans="1:38" ht="13.8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1"/>
      <c r="AK622" s="1"/>
      <c r="AL622" s="1"/>
    </row>
    <row r="623" spans="1:38" ht="13.8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1"/>
      <c r="AK623" s="1"/>
      <c r="AL623" s="1"/>
    </row>
    <row r="624" spans="1:38" ht="13.8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1"/>
      <c r="AK624" s="1"/>
      <c r="AL624" s="1"/>
    </row>
    <row r="625" spans="1:38" ht="13.8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1"/>
      <c r="AK625" s="1"/>
      <c r="AL625" s="1"/>
    </row>
    <row r="626" spans="1:38" ht="13.8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1"/>
      <c r="AK626" s="1"/>
      <c r="AL626" s="1"/>
    </row>
    <row r="627" spans="1:38" ht="13.8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1"/>
      <c r="AK627" s="1"/>
      <c r="AL627" s="1"/>
    </row>
    <row r="628" spans="1:38" ht="13.8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1"/>
      <c r="AK628" s="1"/>
      <c r="AL628" s="1"/>
    </row>
    <row r="629" spans="1:38" ht="13.8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1"/>
      <c r="AK629" s="1"/>
      <c r="AL629" s="1"/>
    </row>
    <row r="630" spans="1:38" ht="13.8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1"/>
      <c r="AK630" s="1"/>
      <c r="AL630" s="1"/>
    </row>
    <row r="631" spans="1:38" ht="13.8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1"/>
      <c r="AK631" s="1"/>
      <c r="AL631" s="1"/>
    </row>
    <row r="632" spans="1:38" ht="13.8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1"/>
      <c r="AK632" s="1"/>
      <c r="AL632" s="1"/>
    </row>
    <row r="633" spans="1:38" ht="13.8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1"/>
      <c r="AK633" s="1"/>
      <c r="AL633" s="1"/>
    </row>
    <row r="634" spans="1:38" ht="13.8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1"/>
      <c r="AK634" s="1"/>
      <c r="AL634" s="1"/>
    </row>
    <row r="635" spans="1:38" ht="13.8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1"/>
      <c r="AK635" s="1"/>
      <c r="AL635" s="1"/>
    </row>
    <row r="636" spans="1:38" ht="13.8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1"/>
      <c r="AK636" s="1"/>
      <c r="AL636" s="1"/>
    </row>
    <row r="637" spans="1:38" ht="13.8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1"/>
      <c r="AK637" s="1"/>
      <c r="AL637" s="1"/>
    </row>
    <row r="638" spans="1:38" ht="13.8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1"/>
      <c r="AK638" s="1"/>
      <c r="AL638" s="1"/>
    </row>
    <row r="639" spans="1:38" ht="13.8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1"/>
      <c r="AK639" s="1"/>
      <c r="AL639" s="1"/>
    </row>
    <row r="640" spans="1:38" ht="13.8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1"/>
      <c r="AK640" s="1"/>
      <c r="AL640" s="1"/>
    </row>
    <row r="641" spans="1:38" ht="13.8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1"/>
      <c r="AK641" s="1"/>
      <c r="AL641" s="1"/>
    </row>
    <row r="642" spans="1:38" ht="13.8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1"/>
      <c r="AK642" s="1"/>
      <c r="AL642" s="1"/>
    </row>
    <row r="643" spans="1:38" ht="13.8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1"/>
      <c r="AK643" s="1"/>
      <c r="AL643" s="1"/>
    </row>
    <row r="644" spans="1:38" ht="13.8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1"/>
      <c r="AK644" s="1"/>
      <c r="AL644" s="1"/>
    </row>
    <row r="645" spans="1:38" ht="13.8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1"/>
      <c r="AK645" s="1"/>
      <c r="AL645" s="1"/>
    </row>
    <row r="646" spans="1:38" ht="13.8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1"/>
      <c r="AK646" s="1"/>
      <c r="AL646" s="1"/>
    </row>
    <row r="647" spans="1:38" ht="13.8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1"/>
      <c r="AK647" s="1"/>
      <c r="AL647" s="1"/>
    </row>
    <row r="648" spans="1:38" ht="13.8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1"/>
      <c r="AK648" s="1"/>
      <c r="AL648" s="1"/>
    </row>
    <row r="649" spans="1:38" ht="13.8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1"/>
      <c r="AK649" s="1"/>
      <c r="AL649" s="1"/>
    </row>
    <row r="650" spans="1:38" ht="13.8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1"/>
      <c r="AK650" s="1"/>
      <c r="AL650" s="1"/>
    </row>
    <row r="651" spans="1:38" ht="13.8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1"/>
      <c r="AK651" s="1"/>
      <c r="AL651" s="1"/>
    </row>
    <row r="652" spans="1:38" ht="13.8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1"/>
      <c r="AK652" s="1"/>
      <c r="AL652" s="1"/>
    </row>
    <row r="653" spans="1:38" ht="13.8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1"/>
      <c r="AK653" s="1"/>
      <c r="AL653" s="1"/>
    </row>
    <row r="654" spans="1:38" ht="13.8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1"/>
      <c r="AK654" s="1"/>
      <c r="AL654" s="1"/>
    </row>
    <row r="655" spans="1:38" ht="13.8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1"/>
      <c r="AK655" s="1"/>
      <c r="AL655" s="1"/>
    </row>
    <row r="656" spans="1:38" ht="13.8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1"/>
      <c r="AK656" s="1"/>
      <c r="AL656" s="1"/>
    </row>
    <row r="657" spans="1:38" ht="13.8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1"/>
      <c r="AK657" s="1"/>
      <c r="AL657" s="1"/>
    </row>
    <row r="658" spans="1:38" ht="13.8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1"/>
      <c r="AK658" s="1"/>
      <c r="AL658" s="1"/>
    </row>
    <row r="659" spans="1:38" ht="13.8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1"/>
      <c r="AK659" s="1"/>
      <c r="AL659" s="1"/>
    </row>
    <row r="660" spans="1:38" ht="13.8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1"/>
      <c r="AK660" s="1"/>
      <c r="AL660" s="1"/>
    </row>
    <row r="661" spans="1:38" ht="13.8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1"/>
      <c r="AK661" s="1"/>
      <c r="AL661" s="1"/>
    </row>
    <row r="662" spans="1:38" ht="13.8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1"/>
      <c r="AK662" s="1"/>
      <c r="AL662" s="1"/>
    </row>
    <row r="663" spans="1:38" ht="13.8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1"/>
      <c r="AK663" s="1"/>
      <c r="AL663" s="1"/>
    </row>
    <row r="664" spans="1:38" ht="13.8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1"/>
      <c r="AK664" s="1"/>
      <c r="AL664" s="1"/>
    </row>
    <row r="665" spans="1:38" ht="13.8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1"/>
      <c r="AK665" s="1"/>
      <c r="AL665" s="1"/>
    </row>
    <row r="666" spans="1:38" ht="13.8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1"/>
      <c r="AK666" s="1"/>
      <c r="AL666" s="1"/>
    </row>
    <row r="667" spans="1:38" ht="13.8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1"/>
      <c r="AK667" s="1"/>
      <c r="AL667" s="1"/>
    </row>
    <row r="668" spans="1:38" ht="13.8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1"/>
      <c r="AK668" s="1"/>
      <c r="AL668" s="1"/>
    </row>
    <row r="669" spans="1:38" ht="13.8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1"/>
      <c r="AK669" s="1"/>
      <c r="AL669" s="1"/>
    </row>
    <row r="670" spans="1:38" ht="13.8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1"/>
      <c r="AK670" s="1"/>
      <c r="AL670" s="1"/>
    </row>
    <row r="671" spans="1:38" ht="13.8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1"/>
      <c r="AK671" s="1"/>
      <c r="AL671" s="1"/>
    </row>
    <row r="672" spans="1:38" ht="13.8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1"/>
      <c r="AK672" s="1"/>
      <c r="AL672" s="1"/>
    </row>
    <row r="673" spans="1:38" ht="13.8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1"/>
      <c r="AK673" s="1"/>
      <c r="AL673" s="1"/>
    </row>
    <row r="674" spans="1:38" ht="13.8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1"/>
      <c r="AK674" s="1"/>
      <c r="AL674" s="1"/>
    </row>
    <row r="675" spans="1:38" ht="13.8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1"/>
      <c r="AK675" s="1"/>
      <c r="AL675" s="1"/>
    </row>
    <row r="676" spans="1:38" ht="13.8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1"/>
      <c r="AK676" s="1"/>
      <c r="AL676" s="1"/>
    </row>
    <row r="677" spans="1:38" ht="13.8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1"/>
      <c r="AK677" s="1"/>
      <c r="AL677" s="1"/>
    </row>
    <row r="678" spans="1:38" ht="13.8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1"/>
      <c r="AK678" s="1"/>
      <c r="AL678" s="1"/>
    </row>
    <row r="679" spans="1:38" ht="13.8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1"/>
      <c r="AK679" s="1"/>
      <c r="AL679" s="1"/>
    </row>
    <row r="680" spans="1:38" ht="13.8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1"/>
      <c r="AK680" s="1"/>
      <c r="AL680" s="1"/>
    </row>
    <row r="681" spans="1:38" ht="13.8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1"/>
      <c r="AK681" s="1"/>
      <c r="AL681" s="1"/>
    </row>
    <row r="682" spans="1:38" ht="13.8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1"/>
      <c r="AK682" s="1"/>
      <c r="AL682" s="1"/>
    </row>
    <row r="683" spans="1:38" ht="13.8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1"/>
      <c r="AK683" s="1"/>
      <c r="AL683" s="1"/>
    </row>
    <row r="684" spans="1:38" ht="13.8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1"/>
      <c r="AK684" s="1"/>
      <c r="AL684" s="1"/>
    </row>
    <row r="685" spans="1:38" ht="13.8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1"/>
      <c r="AK685" s="1"/>
      <c r="AL685" s="1"/>
    </row>
    <row r="686" spans="1:38" ht="13.8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1"/>
      <c r="AK686" s="1"/>
      <c r="AL686" s="1"/>
    </row>
    <row r="687" spans="1:38" ht="13.8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1"/>
      <c r="AK687" s="1"/>
      <c r="AL687" s="1"/>
    </row>
    <row r="688" spans="1:38" ht="13.8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1"/>
      <c r="AK688" s="1"/>
      <c r="AL688" s="1"/>
    </row>
    <row r="689" spans="1:38" ht="13.8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1"/>
      <c r="AK689" s="1"/>
      <c r="AL689" s="1"/>
    </row>
    <row r="690" spans="1:38" ht="13.8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1"/>
      <c r="AK690" s="1"/>
      <c r="AL690" s="1"/>
    </row>
    <row r="691" spans="1:38" ht="13.8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1"/>
      <c r="AK691" s="1"/>
      <c r="AL691" s="1"/>
    </row>
    <row r="692" spans="1:38" ht="13.8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1"/>
      <c r="AK692" s="1"/>
      <c r="AL692" s="1"/>
    </row>
    <row r="693" spans="1:38" ht="13.8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1"/>
      <c r="AK693" s="1"/>
      <c r="AL693" s="1"/>
    </row>
    <row r="694" spans="1:38" ht="13.8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1"/>
      <c r="AK694" s="1"/>
      <c r="AL694" s="1"/>
    </row>
    <row r="695" spans="1:38" ht="13.8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1"/>
      <c r="AK695" s="1"/>
      <c r="AL695" s="1"/>
    </row>
    <row r="696" spans="1:38" ht="13.8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1"/>
      <c r="AK696" s="1"/>
      <c r="AL696" s="1"/>
    </row>
    <row r="697" spans="1:38" ht="13.8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1"/>
      <c r="AK697" s="1"/>
      <c r="AL697" s="1"/>
    </row>
    <row r="698" spans="1:38" ht="13.8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1"/>
      <c r="AK698" s="1"/>
      <c r="AL698" s="1"/>
    </row>
    <row r="699" spans="1:38" ht="13.8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1"/>
      <c r="AK699" s="1"/>
      <c r="AL699" s="1"/>
    </row>
    <row r="700" spans="1:38" ht="13.8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1"/>
      <c r="AK700" s="1"/>
      <c r="AL700" s="1"/>
    </row>
    <row r="701" spans="1:38" ht="13.8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1"/>
      <c r="AK701" s="1"/>
      <c r="AL701" s="1"/>
    </row>
    <row r="702" spans="1:38" ht="13.8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1"/>
      <c r="AK702" s="1"/>
      <c r="AL702" s="1"/>
    </row>
    <row r="703" spans="1:38" ht="13.8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1"/>
      <c r="AK703" s="1"/>
      <c r="AL703" s="1"/>
    </row>
    <row r="704" spans="1:38" ht="13.8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1"/>
      <c r="AK704" s="1"/>
      <c r="AL704" s="1"/>
    </row>
    <row r="705" spans="1:38" ht="13.8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1"/>
      <c r="AK705" s="1"/>
      <c r="AL705" s="1"/>
    </row>
    <row r="706" spans="1:38" ht="13.8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1"/>
      <c r="AK706" s="1"/>
      <c r="AL706" s="1"/>
    </row>
    <row r="707" spans="1:38" ht="13.8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1"/>
      <c r="AK707" s="1"/>
      <c r="AL707" s="1"/>
    </row>
    <row r="708" spans="1:38" ht="13.8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1"/>
      <c r="AK708" s="1"/>
      <c r="AL708" s="1"/>
    </row>
    <row r="709" spans="1:38" ht="13.8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1"/>
      <c r="AK709" s="1"/>
      <c r="AL709" s="1"/>
    </row>
    <row r="710" spans="1:38" ht="13.8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1"/>
      <c r="AK710" s="1"/>
      <c r="AL710" s="1"/>
    </row>
    <row r="711" spans="1:38" ht="13.8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1"/>
      <c r="AK711" s="1"/>
      <c r="AL711" s="1"/>
    </row>
    <row r="712" spans="1:38" ht="13.8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1"/>
      <c r="AK712" s="1"/>
      <c r="AL712" s="1"/>
    </row>
    <row r="713" spans="1:38" ht="13.8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1"/>
      <c r="AK713" s="1"/>
      <c r="AL713" s="1"/>
    </row>
    <row r="714" spans="1:38" ht="13.8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1"/>
      <c r="AK714" s="1"/>
      <c r="AL714" s="1"/>
    </row>
    <row r="715" spans="1:38" ht="13.8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1"/>
      <c r="AK715" s="1"/>
      <c r="AL715" s="1"/>
    </row>
    <row r="716" spans="1:38" ht="13.8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1"/>
      <c r="AK716" s="1"/>
      <c r="AL716" s="1"/>
    </row>
    <row r="717" spans="1:38" ht="13.8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1"/>
      <c r="AK717" s="1"/>
      <c r="AL717" s="1"/>
    </row>
    <row r="718" spans="1:38" ht="13.8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1"/>
      <c r="AK718" s="1"/>
      <c r="AL718" s="1"/>
    </row>
    <row r="719" spans="1:38" ht="13.8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1"/>
      <c r="AK719" s="1"/>
      <c r="AL719" s="1"/>
    </row>
    <row r="720" spans="1:38" ht="13.8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1"/>
      <c r="AK720" s="1"/>
      <c r="AL720" s="1"/>
    </row>
    <row r="721" spans="1:38" ht="13.8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1"/>
      <c r="AK721" s="1"/>
      <c r="AL721" s="1"/>
    </row>
    <row r="722" spans="1:38" ht="13.8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1"/>
      <c r="AK722" s="1"/>
      <c r="AL722" s="1"/>
    </row>
    <row r="723" spans="1:38" ht="13.8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1"/>
      <c r="AK723" s="1"/>
      <c r="AL723" s="1"/>
    </row>
    <row r="724" spans="1:38" ht="13.8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1"/>
      <c r="AK724" s="1"/>
      <c r="AL724" s="1"/>
    </row>
    <row r="725" spans="1:38" ht="13.8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1"/>
      <c r="AK725" s="1"/>
      <c r="AL725" s="1"/>
    </row>
    <row r="726" spans="1:38" ht="13.8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1"/>
      <c r="AK726" s="1"/>
      <c r="AL726" s="1"/>
    </row>
    <row r="727" spans="1:38" ht="13.8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1"/>
      <c r="AK727" s="1"/>
      <c r="AL727" s="1"/>
    </row>
    <row r="728" spans="1:38" ht="13.8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1"/>
      <c r="AK728" s="1"/>
      <c r="AL728" s="1"/>
    </row>
    <row r="729" spans="1:38" ht="13.8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1"/>
      <c r="AK729" s="1"/>
      <c r="AL729" s="1"/>
    </row>
    <row r="730" spans="1:38" ht="13.8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1"/>
      <c r="AK730" s="1"/>
      <c r="AL730" s="1"/>
    </row>
    <row r="731" spans="1:38" ht="13.8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1"/>
      <c r="AK731" s="1"/>
      <c r="AL731" s="1"/>
    </row>
    <row r="732" spans="1:38" ht="13.8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1"/>
      <c r="AK732" s="1"/>
      <c r="AL732" s="1"/>
    </row>
    <row r="733" spans="1:38" ht="13.8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1"/>
      <c r="AK733" s="1"/>
      <c r="AL733" s="1"/>
    </row>
    <row r="734" spans="1:38" ht="13.8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1"/>
      <c r="AK734" s="1"/>
      <c r="AL734" s="1"/>
    </row>
    <row r="735" spans="1:38" ht="13.8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1"/>
      <c r="AK735" s="1"/>
      <c r="AL735" s="1"/>
    </row>
    <row r="736" spans="1:38" ht="13.8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1"/>
      <c r="AK736" s="1"/>
      <c r="AL736" s="1"/>
    </row>
    <row r="737" spans="1:38" ht="13.8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1"/>
      <c r="AK737" s="1"/>
      <c r="AL737" s="1"/>
    </row>
    <row r="738" spans="1:38" ht="13.8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1"/>
      <c r="AK738" s="1"/>
      <c r="AL738" s="1"/>
    </row>
    <row r="739" spans="1:38" ht="13.8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1"/>
      <c r="AK739" s="1"/>
      <c r="AL739" s="1"/>
    </row>
    <row r="740" spans="1:38" ht="13.8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1"/>
      <c r="AK740" s="1"/>
      <c r="AL740" s="1"/>
    </row>
    <row r="741" spans="1:38" ht="13.8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1"/>
      <c r="AK741" s="1"/>
      <c r="AL741" s="1"/>
    </row>
    <row r="742" spans="1:38" ht="13.8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1"/>
      <c r="AK742" s="1"/>
      <c r="AL742" s="1"/>
    </row>
    <row r="743" spans="1:38" ht="13.8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1"/>
      <c r="AK743" s="1"/>
      <c r="AL743" s="1"/>
    </row>
    <row r="744" spans="1:38" ht="13.8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1"/>
      <c r="AK744" s="1"/>
      <c r="AL744" s="1"/>
    </row>
    <row r="745" spans="1:38" ht="13.8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1"/>
      <c r="AK745" s="1"/>
      <c r="AL745" s="1"/>
    </row>
    <row r="746" spans="1:38" ht="13.8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1"/>
      <c r="AK746" s="1"/>
      <c r="AL746" s="1"/>
    </row>
    <row r="747" spans="1:38" ht="13.8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1"/>
      <c r="AK747" s="1"/>
      <c r="AL747" s="1"/>
    </row>
    <row r="748" spans="1:38" ht="13.8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1"/>
      <c r="AK748" s="1"/>
      <c r="AL748" s="1"/>
    </row>
    <row r="749" spans="1:38" ht="13.8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1"/>
      <c r="AK749" s="1"/>
      <c r="AL749" s="1"/>
    </row>
    <row r="750" spans="1:38" ht="13.8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1"/>
      <c r="AK750" s="1"/>
      <c r="AL750" s="1"/>
    </row>
    <row r="751" spans="1:38" ht="13.8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1"/>
      <c r="AK751" s="1"/>
      <c r="AL751" s="1"/>
    </row>
    <row r="752" spans="1:38" ht="13.8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1"/>
      <c r="AK752" s="1"/>
      <c r="AL752" s="1"/>
    </row>
    <row r="753" spans="1:38" ht="13.8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1"/>
      <c r="AK753" s="1"/>
      <c r="AL753" s="1"/>
    </row>
    <row r="754" spans="1:38" ht="13.8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1"/>
      <c r="AK754" s="1"/>
      <c r="AL754" s="1"/>
    </row>
    <row r="755" spans="1:38" ht="13.8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1"/>
      <c r="AK755" s="1"/>
      <c r="AL755" s="1"/>
    </row>
    <row r="756" spans="1:38" ht="13.8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1"/>
      <c r="AK756" s="1"/>
      <c r="AL756" s="1"/>
    </row>
    <row r="757" spans="1:38" ht="13.8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1"/>
      <c r="AK757" s="1"/>
      <c r="AL757" s="1"/>
    </row>
    <row r="758" spans="1:38" ht="13.8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1"/>
      <c r="AK758" s="1"/>
      <c r="AL758" s="1"/>
    </row>
    <row r="759" spans="1:38" ht="13.8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1"/>
      <c r="AK759" s="1"/>
      <c r="AL759" s="1"/>
    </row>
    <row r="760" spans="1:38" ht="13.8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1"/>
      <c r="AK760" s="1"/>
      <c r="AL760" s="1"/>
    </row>
    <row r="761" spans="1:38" ht="13.8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1"/>
      <c r="AK761" s="1"/>
      <c r="AL761" s="1"/>
    </row>
    <row r="762" spans="1:38" ht="13.8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1"/>
      <c r="AK762" s="1"/>
      <c r="AL762" s="1"/>
    </row>
    <row r="763" spans="1:38" ht="13.8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1"/>
      <c r="AK763" s="1"/>
      <c r="AL763" s="1"/>
    </row>
    <row r="764" spans="1:38" ht="13.8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1"/>
      <c r="AK764" s="1"/>
      <c r="AL764" s="1"/>
    </row>
    <row r="765" spans="1:38" ht="13.8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1"/>
      <c r="AK765" s="1"/>
      <c r="AL765" s="1"/>
    </row>
    <row r="766" spans="1:38" ht="13.8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1"/>
      <c r="AK766" s="1"/>
      <c r="AL766" s="1"/>
    </row>
    <row r="767" spans="1:38" ht="13.8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1"/>
      <c r="AK767" s="1"/>
      <c r="AL767" s="1"/>
    </row>
    <row r="768" spans="1:38" ht="13.8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1"/>
      <c r="AK768" s="1"/>
      <c r="AL768" s="1"/>
    </row>
    <row r="769" spans="1:38" ht="13.8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1"/>
      <c r="AK769" s="1"/>
      <c r="AL769" s="1"/>
    </row>
    <row r="770" spans="1:38" ht="13.8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1"/>
      <c r="AK770" s="1"/>
      <c r="AL770" s="1"/>
    </row>
    <row r="771" spans="1:38" ht="13.8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1"/>
      <c r="AK771" s="1"/>
      <c r="AL771" s="1"/>
    </row>
    <row r="772" spans="1:38" ht="13.8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1"/>
      <c r="AK772" s="1"/>
      <c r="AL772" s="1"/>
    </row>
    <row r="773" spans="1:38" ht="13.8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1"/>
      <c r="AK773" s="1"/>
      <c r="AL773" s="1"/>
    </row>
    <row r="774" spans="1:38" ht="13.8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1"/>
      <c r="AK774" s="1"/>
      <c r="AL774" s="1"/>
    </row>
    <row r="775" spans="1:38" ht="13.8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1"/>
      <c r="AK775" s="1"/>
      <c r="AL775" s="1"/>
    </row>
    <row r="776" spans="1:38" ht="13.8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1"/>
      <c r="AK776" s="1"/>
      <c r="AL776" s="1"/>
    </row>
    <row r="777" spans="1:38" ht="13.8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1"/>
      <c r="AK777" s="1"/>
      <c r="AL777" s="1"/>
    </row>
    <row r="778" spans="1:38" ht="13.8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1"/>
      <c r="AK778" s="1"/>
      <c r="AL778" s="1"/>
    </row>
    <row r="779" spans="1:38" ht="13.8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1"/>
      <c r="AK779" s="1"/>
      <c r="AL779" s="1"/>
    </row>
    <row r="780" spans="1:38" ht="13.8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1"/>
      <c r="AK780" s="1"/>
      <c r="AL780" s="1"/>
    </row>
    <row r="781" spans="1:38" ht="13.8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1"/>
      <c r="AK781" s="1"/>
      <c r="AL781" s="1"/>
    </row>
    <row r="782" spans="1:38" ht="13.8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1"/>
      <c r="AK782" s="1"/>
      <c r="AL782" s="1"/>
    </row>
    <row r="783" spans="1:38" ht="13.8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1"/>
      <c r="AK783" s="1"/>
      <c r="AL783" s="1"/>
    </row>
    <row r="784" spans="1:38" ht="13.8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1"/>
      <c r="AK784" s="1"/>
      <c r="AL784" s="1"/>
    </row>
    <row r="785" spans="1:38" ht="13.8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1"/>
      <c r="AK785" s="1"/>
      <c r="AL785" s="1"/>
    </row>
    <row r="786" spans="1:38" ht="13.8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1"/>
      <c r="AK786" s="1"/>
      <c r="AL786" s="1"/>
    </row>
    <row r="787" spans="1:38" ht="13.8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1"/>
      <c r="AK787" s="1"/>
      <c r="AL787" s="1"/>
    </row>
    <row r="788" spans="1:38" ht="13.8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1"/>
      <c r="AK788" s="1"/>
      <c r="AL788" s="1"/>
    </row>
    <row r="789" spans="1:38" ht="13.8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1"/>
      <c r="AK789" s="1"/>
      <c r="AL789" s="1"/>
    </row>
    <row r="790" spans="1:38" ht="13.8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1"/>
      <c r="AK790" s="1"/>
      <c r="AL790" s="1"/>
    </row>
    <row r="791" spans="1:38" ht="13.8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1"/>
      <c r="AK791" s="1"/>
      <c r="AL791" s="1"/>
    </row>
    <row r="792" spans="1:38" ht="13.8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1"/>
      <c r="AK792" s="1"/>
      <c r="AL792" s="1"/>
    </row>
    <row r="793" spans="1:38" ht="13.8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1"/>
      <c r="AK793" s="1"/>
      <c r="AL793" s="1"/>
    </row>
    <row r="794" spans="1:38" ht="13.8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1"/>
      <c r="AK794" s="1"/>
      <c r="AL794" s="1"/>
    </row>
    <row r="795" spans="1:38" ht="13.8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1"/>
      <c r="AK795" s="1"/>
      <c r="AL795" s="1"/>
    </row>
    <row r="796" spans="1:38" ht="13.8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1"/>
      <c r="AK796" s="1"/>
      <c r="AL796" s="1"/>
    </row>
    <row r="797" spans="1:38" ht="13.8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1"/>
      <c r="AK797" s="1"/>
      <c r="AL797" s="1"/>
    </row>
    <row r="798" spans="1:38" ht="13.8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1"/>
      <c r="AK798" s="1"/>
      <c r="AL798" s="1"/>
    </row>
    <row r="799" spans="1:38" ht="13.8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1"/>
      <c r="AK799" s="1"/>
      <c r="AL799" s="1"/>
    </row>
    <row r="800" spans="1:38" ht="13.8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1"/>
      <c r="AK800" s="1"/>
      <c r="AL800" s="1"/>
    </row>
    <row r="801" spans="1:38" ht="13.8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1"/>
      <c r="AK801" s="1"/>
      <c r="AL801" s="1"/>
    </row>
    <row r="802" spans="1:38" ht="13.8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1"/>
      <c r="AK802" s="1"/>
      <c r="AL802" s="1"/>
    </row>
    <row r="803" spans="1:38" ht="13.8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1"/>
      <c r="AK803" s="1"/>
      <c r="AL803" s="1"/>
    </row>
    <row r="804" spans="1:38" ht="13.8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1"/>
      <c r="AK804" s="1"/>
      <c r="AL804" s="1"/>
    </row>
    <row r="805" spans="1:38" ht="13.8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1"/>
      <c r="AK805" s="1"/>
      <c r="AL805" s="1"/>
    </row>
    <row r="806" spans="1:38" ht="13.8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1"/>
      <c r="AK806" s="1"/>
      <c r="AL806" s="1"/>
    </row>
    <row r="807" spans="1:38" ht="13.8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1"/>
      <c r="AK807" s="1"/>
      <c r="AL807" s="1"/>
    </row>
    <row r="808" spans="1:38" ht="13.8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1"/>
      <c r="AK808" s="1"/>
      <c r="AL808" s="1"/>
    </row>
    <row r="809" spans="1:38" ht="13.8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1"/>
      <c r="AK809" s="1"/>
      <c r="AL809" s="1"/>
    </row>
    <row r="810" spans="1:38" ht="13.8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1"/>
      <c r="AK810" s="1"/>
      <c r="AL810" s="1"/>
    </row>
    <row r="811" spans="1:38" ht="13.8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1"/>
      <c r="AK811" s="1"/>
      <c r="AL811" s="1"/>
    </row>
    <row r="812" spans="1:38" ht="13.8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1"/>
      <c r="AK812" s="1"/>
      <c r="AL812" s="1"/>
    </row>
    <row r="813" spans="1:38" ht="13.8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1"/>
      <c r="AK813" s="1"/>
      <c r="AL813" s="1"/>
    </row>
    <row r="814" spans="1:38" ht="13.8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1"/>
      <c r="AK814" s="1"/>
      <c r="AL814" s="1"/>
    </row>
    <row r="815" spans="1:38" ht="13.8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1"/>
      <c r="AK815" s="1"/>
      <c r="AL815" s="1"/>
    </row>
    <row r="816" spans="1:38" ht="13.8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1"/>
      <c r="AK816" s="1"/>
      <c r="AL816" s="1"/>
    </row>
    <row r="817" spans="1:38" ht="13.8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1"/>
      <c r="AK817" s="1"/>
      <c r="AL817" s="1"/>
    </row>
    <row r="818" spans="1:38" ht="13.8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1"/>
      <c r="AK818" s="1"/>
      <c r="AL818" s="1"/>
    </row>
    <row r="819" spans="1:38" ht="13.8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1"/>
      <c r="AK819" s="1"/>
      <c r="AL819" s="1"/>
    </row>
    <row r="820" spans="1:38" ht="13.8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1"/>
      <c r="AK820" s="1"/>
      <c r="AL820" s="1"/>
    </row>
    <row r="821" spans="1:38" ht="13.8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1"/>
      <c r="AK821" s="1"/>
      <c r="AL821" s="1"/>
    </row>
    <row r="822" spans="1:38" ht="13.8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1"/>
      <c r="AK822" s="1"/>
      <c r="AL822" s="1"/>
    </row>
    <row r="823" spans="1:38" ht="13.8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1"/>
      <c r="AK823" s="1"/>
      <c r="AL823" s="1"/>
    </row>
    <row r="824" spans="1:38" ht="13.8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1"/>
      <c r="AK824" s="1"/>
      <c r="AL824" s="1"/>
    </row>
    <row r="825" spans="1:38" ht="13.8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1"/>
      <c r="AK825" s="1"/>
      <c r="AL825" s="1"/>
    </row>
    <row r="826" spans="1:38" ht="13.8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1"/>
      <c r="AK826" s="1"/>
      <c r="AL826" s="1"/>
    </row>
    <row r="827" spans="1:38" ht="13.8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1"/>
      <c r="AK827" s="1"/>
      <c r="AL827" s="1"/>
    </row>
    <row r="828" spans="1:38" ht="13.8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1"/>
      <c r="AK828" s="1"/>
      <c r="AL828" s="1"/>
    </row>
    <row r="829" spans="1:38" ht="13.8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1"/>
      <c r="AK829" s="1"/>
      <c r="AL829" s="1"/>
    </row>
    <row r="830" spans="1:38" ht="13.8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1"/>
      <c r="AK830" s="1"/>
      <c r="AL830" s="1"/>
    </row>
    <row r="831" spans="1:38" ht="13.8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1"/>
      <c r="AK831" s="1"/>
      <c r="AL831" s="1"/>
    </row>
    <row r="832" spans="1:38" ht="13.8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1"/>
      <c r="AK832" s="1"/>
      <c r="AL832" s="1"/>
    </row>
    <row r="833" spans="1:38" ht="13.8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1"/>
      <c r="AK833" s="1"/>
      <c r="AL833" s="1"/>
    </row>
    <row r="834" spans="1:38" ht="13.8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1"/>
      <c r="AK834" s="1"/>
      <c r="AL834" s="1"/>
    </row>
    <row r="835" spans="1:38" ht="13.8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1"/>
      <c r="AK835" s="1"/>
      <c r="AL835" s="1"/>
    </row>
    <row r="836" spans="1:38" ht="13.8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1"/>
      <c r="AK836" s="1"/>
      <c r="AL836" s="1"/>
    </row>
    <row r="837" spans="1:38" ht="13.8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1"/>
      <c r="AK837" s="1"/>
      <c r="AL837" s="1"/>
    </row>
    <row r="838" spans="1:38" ht="13.8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1"/>
      <c r="AK838" s="1"/>
      <c r="AL838" s="1"/>
    </row>
    <row r="839" spans="1:38" ht="13.8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1"/>
      <c r="AK839" s="1"/>
      <c r="AL839" s="1"/>
    </row>
    <row r="840" spans="1:38" ht="13.8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1"/>
      <c r="AK840" s="1"/>
      <c r="AL840" s="1"/>
    </row>
    <row r="841" spans="1:38" ht="13.8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1"/>
      <c r="AK841" s="1"/>
      <c r="AL841" s="1"/>
    </row>
    <row r="842" spans="1:38" ht="13.8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1"/>
      <c r="AK842" s="1"/>
      <c r="AL842" s="1"/>
    </row>
    <row r="843" spans="1:38" ht="13.8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1"/>
      <c r="AK843" s="1"/>
      <c r="AL843" s="1"/>
    </row>
    <row r="844" spans="1:38" ht="13.8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1"/>
      <c r="AK844" s="1"/>
      <c r="AL844" s="1"/>
    </row>
    <row r="845" spans="1:38" ht="13.8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1"/>
      <c r="AK845" s="1"/>
      <c r="AL845" s="1"/>
    </row>
    <row r="846" spans="1:38" ht="13.8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1"/>
      <c r="AK846" s="1"/>
      <c r="AL846" s="1"/>
    </row>
    <row r="847" spans="1:38" ht="13.8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1"/>
      <c r="AK847" s="1"/>
      <c r="AL847" s="1"/>
    </row>
    <row r="848" spans="1:38" ht="13.8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1"/>
      <c r="AK848" s="1"/>
      <c r="AL848" s="1"/>
    </row>
    <row r="849" spans="1:38" ht="13.8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1"/>
      <c r="AK849" s="1"/>
      <c r="AL849" s="1"/>
    </row>
    <row r="850" spans="1:38" ht="13.8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1"/>
      <c r="AK850" s="1"/>
      <c r="AL850" s="1"/>
    </row>
    <row r="851" spans="1:38" ht="13.8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1"/>
      <c r="AK851" s="1"/>
      <c r="AL851" s="1"/>
    </row>
    <row r="852" spans="1:38" ht="13.8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1"/>
      <c r="AK852" s="1"/>
      <c r="AL852" s="1"/>
    </row>
    <row r="853" spans="1:38" ht="13.8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1"/>
      <c r="AK853" s="1"/>
      <c r="AL853" s="1"/>
    </row>
    <row r="854" spans="1:38" ht="13.8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1"/>
      <c r="AK854" s="1"/>
      <c r="AL854" s="1"/>
    </row>
    <row r="855" spans="1:38" ht="13.8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1"/>
      <c r="AK855" s="1"/>
      <c r="AL855" s="1"/>
    </row>
    <row r="856" spans="1:38" ht="13.8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1"/>
      <c r="AK856" s="1"/>
      <c r="AL856" s="1"/>
    </row>
    <row r="857" spans="1:38" ht="13.8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1"/>
      <c r="AK857" s="1"/>
      <c r="AL857" s="1"/>
    </row>
    <row r="858" spans="1:38" ht="13.8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1"/>
      <c r="AK858" s="1"/>
      <c r="AL858" s="1"/>
    </row>
    <row r="859" spans="1:38" ht="13.8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1"/>
      <c r="AK859" s="1"/>
      <c r="AL859" s="1"/>
    </row>
    <row r="860" spans="1:38" ht="13.8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1"/>
      <c r="AK860" s="1"/>
      <c r="AL860" s="1"/>
    </row>
    <row r="861" spans="1:38" ht="13.8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1"/>
      <c r="AK861" s="1"/>
      <c r="AL861" s="1"/>
    </row>
    <row r="862" spans="1:38" ht="13.8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1"/>
      <c r="AK862" s="1"/>
      <c r="AL862" s="1"/>
    </row>
    <row r="863" spans="1:38" ht="13.8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1"/>
      <c r="AK863" s="1"/>
      <c r="AL863" s="1"/>
    </row>
    <row r="864" spans="1:38" ht="13.8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1"/>
      <c r="AK864" s="1"/>
      <c r="AL864" s="1"/>
    </row>
    <row r="865" spans="1:38" ht="13.8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1"/>
      <c r="AK865" s="1"/>
      <c r="AL865" s="1"/>
    </row>
    <row r="866" spans="1:38" ht="13.8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1"/>
      <c r="AK866" s="1"/>
      <c r="AL866" s="1"/>
    </row>
    <row r="867" spans="1:38" ht="13.8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1"/>
      <c r="AK867" s="1"/>
      <c r="AL867" s="1"/>
    </row>
    <row r="868" spans="1:38" ht="13.8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1"/>
      <c r="AK868" s="1"/>
      <c r="AL868" s="1"/>
    </row>
    <row r="869" spans="1:38" ht="13.8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1"/>
      <c r="AK869" s="1"/>
      <c r="AL869" s="1"/>
    </row>
    <row r="870" spans="1:38" ht="13.8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1"/>
      <c r="AK870" s="1"/>
      <c r="AL870" s="1"/>
    </row>
    <row r="871" spans="1:38" ht="13.8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1"/>
      <c r="AK871" s="1"/>
      <c r="AL871" s="1"/>
    </row>
    <row r="872" spans="1:38" ht="13.8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1"/>
      <c r="AK872" s="1"/>
      <c r="AL872" s="1"/>
    </row>
    <row r="873" spans="1:38" ht="13.8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1"/>
      <c r="AK873" s="1"/>
      <c r="AL873" s="1"/>
    </row>
    <row r="874" spans="1:38" ht="13.8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1"/>
      <c r="AK874" s="1"/>
      <c r="AL874" s="1"/>
    </row>
    <row r="875" spans="1:38" ht="13.8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1"/>
      <c r="AK875" s="1"/>
      <c r="AL875" s="1"/>
    </row>
    <row r="876" spans="1:38" ht="13.8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1"/>
      <c r="AK876" s="1"/>
      <c r="AL876" s="1"/>
    </row>
    <row r="877" spans="1:38" ht="13.8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1"/>
      <c r="AK877" s="1"/>
      <c r="AL877" s="1"/>
    </row>
    <row r="878" spans="1:38" ht="13.8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1"/>
      <c r="AK878" s="1"/>
      <c r="AL878" s="1"/>
    </row>
    <row r="879" spans="1:38" ht="13.8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1"/>
      <c r="AK879" s="1"/>
      <c r="AL879" s="1"/>
    </row>
    <row r="880" spans="1:38" ht="13.8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1"/>
      <c r="AK880" s="1"/>
      <c r="AL880" s="1"/>
    </row>
    <row r="881" spans="1:38" ht="13.8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1"/>
      <c r="AK881" s="1"/>
      <c r="AL881" s="1"/>
    </row>
    <row r="882" spans="1:38" ht="13.8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1"/>
      <c r="AK882" s="1"/>
      <c r="AL882" s="1"/>
    </row>
    <row r="883" spans="1:38" ht="13.8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1"/>
      <c r="AK883" s="1"/>
      <c r="AL883" s="1"/>
    </row>
    <row r="884" spans="1:38" ht="13.8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1"/>
      <c r="AK884" s="1"/>
      <c r="AL884" s="1"/>
    </row>
    <row r="885" spans="1:38" ht="13.8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1"/>
      <c r="AK885" s="1"/>
      <c r="AL885" s="1"/>
    </row>
    <row r="886" spans="1:38" ht="13.8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1"/>
      <c r="AK886" s="1"/>
      <c r="AL886" s="1"/>
    </row>
    <row r="887" spans="1:38" ht="13.8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1"/>
      <c r="AK887" s="1"/>
      <c r="AL887" s="1"/>
    </row>
    <row r="888" spans="1:38" ht="13.8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1"/>
      <c r="AK888" s="1"/>
      <c r="AL888" s="1"/>
    </row>
    <row r="889" spans="1:38" ht="13.8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1"/>
      <c r="AK889" s="1"/>
      <c r="AL889" s="1"/>
    </row>
    <row r="890" spans="1:38" ht="13.8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1"/>
      <c r="AK890" s="1"/>
      <c r="AL890" s="1"/>
    </row>
    <row r="891" spans="1:38" ht="13.8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1"/>
      <c r="AK891" s="1"/>
      <c r="AL891" s="1"/>
    </row>
    <row r="892" spans="1:38" ht="13.8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1"/>
      <c r="AK892" s="1"/>
      <c r="AL892" s="1"/>
    </row>
    <row r="893" spans="1:38" ht="13.8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1"/>
      <c r="AK893" s="1"/>
      <c r="AL893" s="1"/>
    </row>
    <row r="894" spans="1:38" ht="13.8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1"/>
      <c r="AK894" s="1"/>
      <c r="AL894" s="1"/>
    </row>
    <row r="895" spans="1:38" ht="13.8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1"/>
      <c r="AK895" s="1"/>
      <c r="AL895" s="1"/>
    </row>
    <row r="896" spans="1:38" ht="13.8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1"/>
      <c r="AK896" s="1"/>
      <c r="AL896" s="1"/>
    </row>
    <row r="897" spans="1:38" ht="13.8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1"/>
      <c r="AK897" s="1"/>
      <c r="AL897" s="1"/>
    </row>
    <row r="898" spans="1:38" ht="13.8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1"/>
      <c r="AK898" s="1"/>
      <c r="AL898" s="1"/>
    </row>
    <row r="899" spans="1:38" ht="13.8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1"/>
      <c r="AK899" s="1"/>
      <c r="AL899" s="1"/>
    </row>
    <row r="900" spans="1:38" ht="13.8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1"/>
      <c r="AK900" s="1"/>
      <c r="AL900" s="1"/>
    </row>
    <row r="901" spans="1:38" ht="13.8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1"/>
      <c r="AK901" s="1"/>
      <c r="AL901" s="1"/>
    </row>
    <row r="902" spans="1:38" ht="13.8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1"/>
      <c r="AK902" s="1"/>
      <c r="AL902" s="1"/>
    </row>
    <row r="903" spans="1:38" ht="13.8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1"/>
      <c r="AK903" s="1"/>
      <c r="AL903" s="1"/>
    </row>
    <row r="904" spans="1:38" ht="13.8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1"/>
      <c r="AK904" s="1"/>
      <c r="AL904" s="1"/>
    </row>
    <row r="905" spans="1:38" ht="13.8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1"/>
      <c r="AK905" s="1"/>
      <c r="AL905" s="1"/>
    </row>
    <row r="906" spans="1:38" ht="13.8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1"/>
      <c r="AK906" s="1"/>
      <c r="AL906" s="1"/>
    </row>
    <row r="907" spans="1:38" ht="13.8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1"/>
      <c r="AK907" s="1"/>
      <c r="AL907" s="1"/>
    </row>
    <row r="908" spans="1:38" ht="13.8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1"/>
      <c r="AK908" s="1"/>
      <c r="AL908" s="1"/>
    </row>
    <row r="909" spans="1:38" ht="13.8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1"/>
      <c r="AK909" s="1"/>
      <c r="AL909" s="1"/>
    </row>
    <row r="910" spans="1:38" ht="13.8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1"/>
      <c r="AK910" s="1"/>
      <c r="AL910" s="1"/>
    </row>
    <row r="911" spans="1:38" ht="13.8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1"/>
      <c r="AK911" s="1"/>
      <c r="AL911" s="1"/>
    </row>
    <row r="912" spans="1:38" ht="13.8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1"/>
      <c r="AK912" s="1"/>
      <c r="AL912" s="1"/>
    </row>
    <row r="913" spans="1:38" ht="13.8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1"/>
      <c r="AK913" s="1"/>
      <c r="AL913" s="1"/>
    </row>
    <row r="914" spans="1:38" ht="13.8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1"/>
      <c r="AK914" s="1"/>
      <c r="AL914" s="1"/>
    </row>
    <row r="915" spans="1:38" ht="13.8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1"/>
      <c r="AK915" s="1"/>
      <c r="AL915" s="1"/>
    </row>
    <row r="916" spans="1:38" ht="13.8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1"/>
      <c r="AK916" s="1"/>
      <c r="AL916" s="1"/>
    </row>
    <row r="917" spans="1:38" ht="13.8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1"/>
      <c r="AK917" s="1"/>
      <c r="AL917" s="1"/>
    </row>
    <row r="918" spans="1:38" ht="13.8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1"/>
      <c r="AK918" s="1"/>
      <c r="AL918" s="1"/>
    </row>
    <row r="919" spans="1:38" ht="13.8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1"/>
      <c r="AK919" s="1"/>
      <c r="AL919" s="1"/>
    </row>
    <row r="920" spans="1:38" ht="13.8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1"/>
      <c r="AK920" s="1"/>
      <c r="AL920" s="1"/>
    </row>
    <row r="921" spans="1:38" ht="13.8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1"/>
      <c r="AK921" s="1"/>
      <c r="AL921" s="1"/>
    </row>
    <row r="922" spans="1:38" ht="13.8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1"/>
      <c r="AK922" s="1"/>
      <c r="AL922" s="1"/>
    </row>
    <row r="923" spans="1:38" ht="13.8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1"/>
      <c r="AK923" s="1"/>
      <c r="AL923" s="1"/>
    </row>
    <row r="924" spans="1:38" ht="13.8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1"/>
      <c r="AK924" s="1"/>
      <c r="AL924" s="1"/>
    </row>
    <row r="925" spans="1:38" ht="13.8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1"/>
      <c r="AK925" s="1"/>
      <c r="AL925" s="1"/>
    </row>
    <row r="926" spans="1:38" ht="13.8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1"/>
      <c r="AK926" s="1"/>
      <c r="AL926" s="1"/>
    </row>
    <row r="927" spans="1:38" ht="13.8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1"/>
      <c r="AK927" s="1"/>
      <c r="AL927" s="1"/>
    </row>
    <row r="928" spans="1:38" ht="13.8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1"/>
      <c r="AK928" s="1"/>
      <c r="AL928" s="1"/>
    </row>
    <row r="929" spans="1:38" ht="13.8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1"/>
      <c r="AK929" s="1"/>
      <c r="AL929" s="1"/>
    </row>
    <row r="930" spans="1:38" ht="13.8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1"/>
      <c r="AK930" s="1"/>
      <c r="AL930" s="1"/>
    </row>
    <row r="931" spans="1:38" ht="13.8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1"/>
      <c r="AK931" s="1"/>
      <c r="AL931" s="1"/>
    </row>
    <row r="932" spans="1:38" ht="13.8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1"/>
      <c r="AK932" s="1"/>
      <c r="AL932" s="1"/>
    </row>
    <row r="933" spans="1:38" ht="13.8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1"/>
      <c r="AK933" s="1"/>
      <c r="AL933" s="1"/>
    </row>
    <row r="934" spans="1:38" ht="13.8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1"/>
      <c r="AK934" s="1"/>
      <c r="AL934" s="1"/>
    </row>
    <row r="935" spans="1:38" ht="13.8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1"/>
      <c r="AK935" s="1"/>
      <c r="AL935" s="1"/>
    </row>
    <row r="936" spans="1:38" ht="13.8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1"/>
      <c r="AK936" s="1"/>
      <c r="AL936" s="1"/>
    </row>
    <row r="937" spans="1:38" ht="13.8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1"/>
      <c r="AK937" s="1"/>
      <c r="AL937" s="1"/>
    </row>
    <row r="938" spans="1:38" ht="13.8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1"/>
      <c r="AK938" s="1"/>
      <c r="AL938" s="1"/>
    </row>
    <row r="939" spans="1:38" ht="13.8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1"/>
      <c r="AK939" s="1"/>
      <c r="AL939" s="1"/>
    </row>
    <row r="940" spans="1:38" ht="13.8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1"/>
      <c r="AK940" s="1"/>
      <c r="AL940" s="1"/>
    </row>
    <row r="941" spans="1:38" ht="13.8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1"/>
      <c r="AK941" s="1"/>
      <c r="AL941" s="1"/>
    </row>
    <row r="942" spans="1:38" ht="13.8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1"/>
      <c r="AK942" s="1"/>
      <c r="AL942" s="1"/>
    </row>
    <row r="943" spans="1:38" ht="13.8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1"/>
      <c r="AK943" s="1"/>
      <c r="AL943" s="1"/>
    </row>
    <row r="944" spans="1:38" ht="13.8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1"/>
      <c r="AK944" s="1"/>
      <c r="AL944" s="1"/>
    </row>
    <row r="945" spans="1:38" ht="13.8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1"/>
      <c r="AK945" s="1"/>
      <c r="AL945" s="1"/>
    </row>
    <row r="946" spans="1:38" ht="13.8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1"/>
      <c r="AK946" s="1"/>
      <c r="AL946" s="1"/>
    </row>
    <row r="947" spans="1:38" ht="13.8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1"/>
      <c r="AK947" s="1"/>
      <c r="AL947" s="1"/>
    </row>
    <row r="948" spans="1:38" ht="13.8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1"/>
      <c r="AK948" s="1"/>
      <c r="AL948" s="1"/>
    </row>
    <row r="949" spans="1:38" ht="13.8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1"/>
      <c r="AK949" s="1"/>
      <c r="AL949" s="1"/>
    </row>
    <row r="950" spans="1:38" ht="13.8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1"/>
      <c r="AK950" s="1"/>
      <c r="AL950" s="1"/>
    </row>
    <row r="951" spans="1:38" ht="13.8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1"/>
      <c r="AK951" s="1"/>
      <c r="AL951" s="1"/>
    </row>
    <row r="952" spans="1:38" ht="13.8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1"/>
      <c r="AK952" s="1"/>
      <c r="AL952" s="1"/>
    </row>
    <row r="953" spans="1:38" ht="13.8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1"/>
      <c r="AK953" s="1"/>
      <c r="AL953" s="1"/>
    </row>
    <row r="954" spans="1:38" ht="13.8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1"/>
      <c r="AK954" s="1"/>
      <c r="AL954" s="1"/>
    </row>
    <row r="955" spans="1:38" ht="13.8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1"/>
      <c r="AK955" s="1"/>
      <c r="AL955" s="1"/>
    </row>
    <row r="956" spans="1:38" ht="13.8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1"/>
      <c r="AK956" s="1"/>
      <c r="AL956" s="1"/>
    </row>
    <row r="957" spans="1:38" ht="13.8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1"/>
      <c r="AK957" s="1"/>
      <c r="AL957" s="1"/>
    </row>
    <row r="958" spans="1:38" ht="13.8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1"/>
      <c r="AK958" s="1"/>
      <c r="AL958" s="1"/>
    </row>
    <row r="959" spans="1:38" ht="13.8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1"/>
      <c r="AK959" s="1"/>
      <c r="AL959" s="1"/>
    </row>
    <row r="960" spans="1:38" ht="13.8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1"/>
      <c r="AK960" s="1"/>
      <c r="AL960" s="1"/>
    </row>
    <row r="961" spans="1:38" ht="13.8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1"/>
      <c r="AK961" s="1"/>
      <c r="AL961" s="1"/>
    </row>
    <row r="962" spans="1:38" ht="13.8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1"/>
      <c r="AK962" s="1"/>
      <c r="AL962" s="1"/>
    </row>
    <row r="963" spans="1:38" ht="13.8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1"/>
      <c r="AK963" s="1"/>
      <c r="AL963" s="1"/>
    </row>
    <row r="964" spans="1:38" ht="13.8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1"/>
      <c r="AK964" s="1"/>
      <c r="AL964" s="1"/>
    </row>
    <row r="965" spans="1:38" ht="13.8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1"/>
      <c r="AK965" s="1"/>
      <c r="AL965" s="1"/>
    </row>
    <row r="966" spans="1:38" ht="13.8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1"/>
      <c r="AK966" s="1"/>
      <c r="AL966" s="1"/>
    </row>
    <row r="967" spans="1:38" ht="13.8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1"/>
      <c r="AK967" s="1"/>
      <c r="AL967" s="1"/>
    </row>
    <row r="968" spans="1:38" ht="13.8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1"/>
      <c r="AK968" s="1"/>
      <c r="AL968" s="1"/>
    </row>
    <row r="969" spans="1:38" ht="13.8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1"/>
      <c r="AK969" s="1"/>
      <c r="AL969" s="1"/>
    </row>
  </sheetData>
  <mergeCells count="24">
    <mergeCell ref="G66:G67"/>
    <mergeCell ref="G23:G28"/>
    <mergeCell ref="F23:F28"/>
    <mergeCell ref="F8:F9"/>
    <mergeCell ref="G8:G9"/>
    <mergeCell ref="F36:F37"/>
    <mergeCell ref="F62:F64"/>
    <mergeCell ref="G42:G59"/>
    <mergeCell ref="G39:G41"/>
    <mergeCell ref="D36:D37"/>
    <mergeCell ref="D62:D64"/>
    <mergeCell ref="D72:F72"/>
    <mergeCell ref="A79:C79"/>
    <mergeCell ref="A80:C80"/>
    <mergeCell ref="E36:E37"/>
    <mergeCell ref="H8:H9"/>
    <mergeCell ref="I8:AI8"/>
    <mergeCell ref="A1:AI1"/>
    <mergeCell ref="A2:AI2"/>
    <mergeCell ref="A3:AI3"/>
    <mergeCell ref="A8:A9"/>
    <mergeCell ref="B8:B9"/>
    <mergeCell ref="C8:C9"/>
    <mergeCell ref="E8:E9"/>
  </mergeCells>
  <pageMargins left="0.26332288401253923" right="0.23622047244094491" top="0.17554858934169279" bottom="0.40961337513061652" header="0" footer="0"/>
  <pageSetup paperSize="5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 Quarter PPMP 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Andrade</cp:lastModifiedBy>
  <dcterms:modified xsi:type="dcterms:W3CDTF">2024-10-04T02:07:41Z</dcterms:modified>
</cp:coreProperties>
</file>