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Scaffolds" sheetId="1" r:id="rId4"/>
    <sheet state="visible" name="Q2 - Scaffolds" sheetId="2" r:id="rId5"/>
    <sheet state="visible" name="Q3 Draft - Scaffolds" sheetId="3" r:id="rId6"/>
    <sheet state="visible" name="Q3 - Scaffolds" sheetId="4" r:id="rId7"/>
  </sheets>
  <definedNames/>
  <calcPr/>
  <extLst>
    <ext uri="GoogleSheetsCustomDataVersion2">
      <go:sheetsCustomData xmlns:go="http://customooxmlschemas.google.com/" r:id="rId8" roundtripDataChecksum="LL+iDypx0osb3MzglDrpYEa+Avyo/54v2DhIZz4GK1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2">
      <text>
        <t xml:space="preserve">======
ID#AAABLc58BBQ
wendel velasco    (2024-06-13 01:10:00)
Hi Ma'am Alec, Nag bawas po ako ng i charge sa Projects mo. delete ko po lahat ng non-consumables. TY</t>
      </text>
    </comment>
  </commentList>
  <extLst>
    <ext uri="GoogleSheetsCustomDataVersion2">
      <go:sheetsCustomData xmlns:go="http://customooxmlschemas.google.com/" r:id="rId1" roundtripDataSignature="AMtx7mgjY4v3r9XFyTGAM4BLJ+ZsUA8sTw=="/>
    </ext>
  </extLst>
</comments>
</file>

<file path=xl/sharedStrings.xml><?xml version="1.0" encoding="utf-8"?>
<sst xmlns="http://schemas.openxmlformats.org/spreadsheetml/2006/main" count="1184" uniqueCount="366">
  <si>
    <t xml:space="preserve">  PROJECT PROCUREMENT MANAGEMENT PLAN (PPMP) 2024</t>
  </si>
  <si>
    <t>For 1st Quarter of CY 2024</t>
  </si>
  <si>
    <t>END-USER/UNIT: RDD-NFUS</t>
  </si>
  <si>
    <t>Charged to: Biocompatible Electrospun Nanofiber-based Scaffolds for Drug Delivery and Wound Healing (BioNanoScaffolds)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</si>
  <si>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</si>
  <si>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</si>
  <si>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</si>
  <si>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</si>
  <si>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</si>
  <si>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</si>
  <si>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</si>
  <si>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</si>
  <si>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</si>
  <si>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</si>
  <si>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</si>
  <si>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</si>
  <si>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</si>
  <si>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</si>
  <si>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</si>
  <si>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</si>
  <si>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</si>
  <si>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</si>
  <si>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</si>
  <si>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</si>
  <si>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</si>
  <si>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</si>
  <si>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</si>
  <si>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</si>
  <si>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</si>
  <si>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</si>
  <si>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</si>
  <si>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</si>
  <si>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</si>
  <si>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</si>
  <si>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</si>
  <si>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</si>
  <si>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</si>
  <si>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</si>
  <si>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</si>
  <si>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</si>
  <si>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</si>
  <si>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</si>
  <si>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</si>
  <si>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</si>
  <si>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</si>
  <si>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</si>
  <si>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</si>
  <si>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</si>
  <si>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</si>
  <si>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</si>
  <si>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</si>
  <si>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</si>
  <si>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</si>
  <si>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</si>
  <si>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</si>
  <si>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</si>
  <si>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</si>
  <si>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</si>
  <si>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</si>
  <si>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</si>
  <si>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</si>
  <si>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</si>
  <si>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</si>
  <si>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</si>
  <si>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</si>
  <si>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</si>
  <si>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</si>
  <si>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</si>
  <si>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</si>
  <si>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</si>
  <si>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</si>
  <si>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</si>
  <si>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</si>
  <si>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</si>
  <si>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</si>
  <si>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</si>
  <si>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</si>
  <si>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50213050 02</t>
  </si>
  <si>
    <t>Repair and Maintenance – Office Equipment</t>
  </si>
  <si>
    <t>Repair of FTIR</t>
  </si>
  <si>
    <t>1 lot</t>
  </si>
  <si>
    <t>Negotiated Procurement-Small Value Procurement</t>
  </si>
  <si>
    <t>Repair of Split Type Wall Mounted Inverter Airconditioner</t>
  </si>
  <si>
    <t>4 lot</t>
  </si>
  <si>
    <t>Preventive Maintenance of Split Type Wall Mounted Inverter Airconditioner</t>
  </si>
  <si>
    <t>2 unit</t>
  </si>
  <si>
    <t>Negotiated ProcurementSmall Value Procurement</t>
  </si>
  <si>
    <t>50203010 02</t>
  </si>
  <si>
    <t>Office Supplies Expenses</t>
  </si>
  <si>
    <t>100 pieces Kraft expanding envelope with elastic band, legal size</t>
  </si>
  <si>
    <t>Shopping</t>
  </si>
  <si>
    <t>10 pieces Metal file organizer rack, 3-layer</t>
  </si>
  <si>
    <t>10 pieces Stand file organizer box, blue</t>
  </si>
  <si>
    <t>OS-122</t>
  </si>
  <si>
    <t>100 pieces Sign Pen, blue, liquid/gel ink, 0.5mm tip</t>
  </si>
  <si>
    <t>OS-182</t>
  </si>
  <si>
    <t>25 reams Paper, Multi-purpose, A4 size, 70gsm</t>
  </si>
  <si>
    <t>OS-183</t>
  </si>
  <si>
    <t>25 reams Paper, Multi-purpose, Legal size, 70gsm</t>
  </si>
  <si>
    <t>OS-074</t>
  </si>
  <si>
    <t>25 reams Paper, Pink, A4 size, 70gsm</t>
  </si>
  <si>
    <t>10 books Record Book, 300 pages, size: 214mm x 278mm (min)</t>
  </si>
  <si>
    <t>100 pieces 4 trolley 6-drawers Multi-purpose Storage Organizer Trolley</t>
  </si>
  <si>
    <t>10 pieces  Standard Scissors</t>
  </si>
  <si>
    <t>OS-217</t>
  </si>
  <si>
    <t>5 pieces  Tailor Scissors</t>
  </si>
  <si>
    <t>5 pieces Sewing Scissors</t>
  </si>
  <si>
    <t>20 pieces Glue stick</t>
  </si>
  <si>
    <t>4 pieces Presentation Clicker</t>
  </si>
  <si>
    <t>6 boxes Wireless HDMI Transmitter and Reciever</t>
  </si>
  <si>
    <t>20 pieces Ink Toner 001 Black</t>
  </si>
  <si>
    <t>20 pieces Ink Toner 001 Magenta</t>
  </si>
  <si>
    <t>20 pieces Ink Toner 001 Cyan</t>
  </si>
  <si>
    <t>20 pieces Ink Toner 001 Yellow</t>
  </si>
  <si>
    <t>50203080 00</t>
  </si>
  <si>
    <t>Medical, Dental  Laboratory Supplies Expenses</t>
  </si>
  <si>
    <t>MDL-080</t>
  </si>
  <si>
    <t>2 bottles Absolute Ethanol, CAS No. 64-17-5, AR Grade,  ≥98.5%, 2.5L</t>
  </si>
  <si>
    <t>1 bottle Aluminum Oxide Pellets, 3mm, CAS No. 1344-28-1, 95%, 250g</t>
  </si>
  <si>
    <t>1 bottle Barium Chloride Dihydrate,10361-37-2, ≥99%, 1kg</t>
  </si>
  <si>
    <t>1 bottle Barium Sulfate, CAS No. 7727-43-7, ≥99%, 1kg</t>
  </si>
  <si>
    <t>1 bottle Chitosan,  CAS No.9012-76-4, ≥75% deacetylation, 250g</t>
  </si>
  <si>
    <t>5 bottles Curcumin, CAS No. 458-37-7, ≥ 95%, 10g</t>
  </si>
  <si>
    <t>1 bottle Cyrene, CAS No. 53716-82-8, AR Grade,  ≥ 98.5%, 100mL</t>
  </si>
  <si>
    <t>1 bottle Dimethylformamide, CAS No. 68-12-2, AR Grade, ≥99.8%, 2.5L</t>
  </si>
  <si>
    <t>1 bottle Dimethylsulfoxide, CAS No. 67-68-5, AR Grade, ≥99.9%, 2.5L</t>
  </si>
  <si>
    <t>1 bottle Ethyl Acetate, CAS No.141-78-6, AR Grade, ≥99.8%, 2.5L</t>
  </si>
  <si>
    <t>1 bottle Europium (III) Oxide, CAS No.1308-96-9, ≥ 99.5%, 25g</t>
  </si>
  <si>
    <t>1 bottle Fluorescein Sodium Salt,518-47-8, ≥95%, 50g</t>
  </si>
  <si>
    <t>1 bottle Hexane, CAS No. 110-54-3, AR Grade,  ≥98.5%, 4L</t>
  </si>
  <si>
    <t>1 bottle I-Carrageenan, CAS No. 9062-07-1, Commercial Grade, 100g</t>
  </si>
  <si>
    <t>2 bottles Lithium Carbonate, CAS No. 554-13-2, ≥99.99%,50g</t>
  </si>
  <si>
    <t>1 bottle PDDA, CAS No. 26062-79-3, Mw 200,000-350,000, 1kg</t>
  </si>
  <si>
    <t>2 bottles Poly (4-stryneresulfonic acid), 100g</t>
  </si>
  <si>
    <t>4 bottles Quinine Sulfate, CAS No.207671-44-1, ≥99%, 25g</t>
  </si>
  <si>
    <t>4 bottles Silicon Dioxide, CAS No. 60676-86-0, ≥ 99.9%,25g</t>
  </si>
  <si>
    <t>1 bottle Terbium (III, IV) Oxide, CAS No. 12037-01-3, 99.9% trace metals basis, 10g</t>
  </si>
  <si>
    <t>2 bottles Urea, CAS No.57-13-6, ACS Grade, ≥95%, 500g</t>
  </si>
  <si>
    <t>1 bottle Zinc Chloride, CAS No. 7646-85-7, ≥97%, 1kg</t>
  </si>
  <si>
    <t>1 bottle λ-Carrageenan, CAS No. 9064-57-7, ≥90%, 25g, 50g</t>
  </si>
  <si>
    <t>MDL-178</t>
  </si>
  <si>
    <t>2 bottles Glacial Acetic Acid, CAS No. 64-19-7, AR Grade,  ≥99.8%, 2.5L</t>
  </si>
  <si>
    <t>10 carbouys  Sodium Hydroxide, 48% Purity, Technical Grade, 30kg</t>
  </si>
  <si>
    <t>1 bottle Sodium Lauryl Sulfate, CAS No. 151-21-3, ≥95%, 500g</t>
  </si>
  <si>
    <t>1 bottle Sodium Phosphate Dibasic, CAS No. 7558-79-4, 1kg</t>
  </si>
  <si>
    <t>1 bottle Sodium Selenite, CAS No. 10102-18-8,  100 g</t>
  </si>
  <si>
    <t>1 bottle Sodium Sulfate, CAS No. 7757-82-6, ≥99%, 1 kg</t>
  </si>
  <si>
    <t>MDL-228</t>
  </si>
  <si>
    <t>20 bottles Glacial Acetic Acid, Technical Grade, 1 Liter</t>
  </si>
  <si>
    <t>Agate Mortar and Pestle</t>
  </si>
  <si>
    <t xml:space="preserve">1 unit </t>
  </si>
  <si>
    <t>50203990 00</t>
  </si>
  <si>
    <t>Other Supplies Expenses</t>
  </si>
  <si>
    <t>Banana Fibers</t>
  </si>
  <si>
    <t>17.25 kg</t>
  </si>
  <si>
    <t>Negotiated Procurement/Shopping</t>
  </si>
  <si>
    <t>Ginned Cotton Fibers</t>
  </si>
  <si>
    <t>300 kg</t>
  </si>
  <si>
    <t>13 pieces Safety hard hat, adjustable chin strap and forehead cotton lining, white</t>
  </si>
  <si>
    <t>13 pieces Mesh safety reflective vest</t>
  </si>
  <si>
    <t>13 pieces Whistle, plastic</t>
  </si>
  <si>
    <t>13 pieces Flashlight, 100 lumens, rechargeable LIT battery</t>
  </si>
  <si>
    <t xml:space="preserve">10 pieces Universal Adaptor Plug </t>
  </si>
  <si>
    <t xml:space="preserve">5 pieces Universal Outlet Extension Cord Power Cable 10 Gang </t>
  </si>
  <si>
    <t>5 pieces Universal Extension Wheel Cord Power , 10 or 15 meters</t>
  </si>
  <si>
    <t>1 set Flash Speed Light</t>
  </si>
  <si>
    <t>1 set Camera Battery</t>
  </si>
  <si>
    <t>2 units Lavatory Faucet</t>
  </si>
  <si>
    <t>2 units Wash Basin Connection Pipe</t>
  </si>
  <si>
    <t>50203010 01</t>
  </si>
  <si>
    <t>Supplies and Materials Expenses ( Indirect Cost) (FAD-BTS)</t>
  </si>
  <si>
    <t>20 Reams Paper, Multi-purpose, Legal, 70 gsm</t>
  </si>
  <si>
    <t>40 Reams Paper, Multi-purpose, A4, 70 gsm</t>
  </si>
  <si>
    <t>2 packs White folder, legal size</t>
  </si>
  <si>
    <t>3 packs White folder, A4</t>
  </si>
  <si>
    <t>10 pads Note pad, stick on, yellow, (2"x3") min</t>
  </si>
  <si>
    <t>10 pads Note pad, stick on, green, (1.5"x2") min</t>
  </si>
  <si>
    <t>10 pads Note pad, stick on, pink, (3"x3") min</t>
  </si>
  <si>
    <t>50211990 00</t>
  </si>
  <si>
    <t>Other Professional Services</t>
  </si>
  <si>
    <t>Weaving Services</t>
  </si>
  <si>
    <t>Negotiated Procurement-Small Value Procurement/Cash Advance</t>
  </si>
  <si>
    <t>Cultural Performance (PHWC)</t>
  </si>
  <si>
    <t>50299020 00</t>
  </si>
  <si>
    <t>Printing and Publication Expenses</t>
  </si>
  <si>
    <t>Journal Article</t>
  </si>
  <si>
    <t>1 unit</t>
  </si>
  <si>
    <t>50205020 01</t>
  </si>
  <si>
    <t>Telephone Expenses – Mobile</t>
  </si>
  <si>
    <t xml:space="preserve">Mobile Load Card </t>
  </si>
  <si>
    <t>26 pc</t>
  </si>
  <si>
    <t>50299040 00</t>
  </si>
  <si>
    <t>Transportation and Delivery Expense</t>
  </si>
  <si>
    <t>Bus Rental for Weavers and Digitalization Staff (PHWC)</t>
  </si>
  <si>
    <t>Trucking Services (PHWC)</t>
  </si>
  <si>
    <t>Subscription Expenses</t>
  </si>
  <si>
    <t>Creative Cloud Apps Annual Subscription</t>
  </si>
  <si>
    <t>1 license</t>
  </si>
  <si>
    <t>Petty Cash Fund / Direct Retail</t>
  </si>
  <si>
    <t>50604050 14</t>
  </si>
  <si>
    <t>Technical &amp; Scientific Equipment - Equipment Outlay</t>
  </si>
  <si>
    <t>Automated Electrospinning Machine</t>
  </si>
  <si>
    <t>Public Bidding</t>
  </si>
  <si>
    <t>Laptop</t>
  </si>
  <si>
    <t>2 lots</t>
  </si>
  <si>
    <t>Biosafety cabinet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</si>
  <si>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</si>
  <si>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</si>
  <si>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</si>
  <si>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</si>
  <si>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</si>
  <si>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</si>
  <si>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</si>
  <si>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</si>
  <si>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</si>
  <si>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JULIUS L. LEAÑO JR., Ph.D.</t>
  </si>
  <si>
    <t>MARILOU G. AGUSTIN</t>
  </si>
  <si>
    <t>MERLITA R. ODI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</si>
  <si>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</si>
  <si>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</si>
  <si>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</si>
  <si>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</si>
  <si>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</si>
  <si>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</si>
  <si>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</si>
  <si>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50 pieces Kraft expanding envelope with elastic band, legal size</t>
  </si>
  <si>
    <t>Small Value Procurement</t>
  </si>
  <si>
    <t>15-30 working days</t>
  </si>
  <si>
    <t>5 pieces Metal file organizer rack, 3-layer</t>
  </si>
  <si>
    <t>5 pieces Stand file organizer box, blue</t>
  </si>
  <si>
    <t>50 pieces Sign Pen, blue, liquid/gel ink, 0.5mm tip</t>
  </si>
  <si>
    <t>15 reams Paper, Multi-purpose, A4 size, 70gsm</t>
  </si>
  <si>
    <t>15 reams Paper, Multi-purpose, Legal size, 70gsm</t>
  </si>
  <si>
    <t>15 reams Paper, Pink, A4 size, 70gsm</t>
  </si>
  <si>
    <t>8 books Record Book, 300 pages, size: 214mm x 278mm (min)</t>
  </si>
  <si>
    <t>4 trolley 6-drawers Multi-purpose Storage Organizer Trolley</t>
  </si>
  <si>
    <t>8 pieces  Standard Scissors</t>
  </si>
  <si>
    <t>8 pieces Glue stick</t>
  </si>
  <si>
    <t>White or Acrylic Dry Erase Board (60cm×90cm)</t>
  </si>
  <si>
    <t>4 pieces</t>
  </si>
  <si>
    <t>White Board Marker</t>
  </si>
  <si>
    <t>2 boxes</t>
  </si>
  <si>
    <t>Cash Advance</t>
  </si>
  <si>
    <t>4 Office Partition</t>
  </si>
  <si>
    <t>4 Office Mesh Chair</t>
  </si>
  <si>
    <t>16 pcs Notebook, steno, ≥60 leaves</t>
  </si>
  <si>
    <t>16 pieces</t>
  </si>
  <si>
    <t>7 Steel mobile pedestal cabinet</t>
  </si>
  <si>
    <r>
      <rPr>
        <rFont val="Arial"/>
        <color rgb="FF000000"/>
        <sz val="9.0"/>
      </rPr>
      <t xml:space="preserve">Hot Plate with Magnetic Stirring
</t>
    </r>
    <r>
      <rPr>
        <rFont val="Arial"/>
        <color rgb="FF000000"/>
        <sz val="9.0"/>
      </rPr>
      <t>Specifications:
280 mm x 280 mm or equivalent or better
200 - 1500 C temperature range, 1 increment or equivalent or better
100 - 1500 rpm speed or equivalent or better
Ceramic Plate</t>
    </r>
  </si>
  <si>
    <t>2 units</t>
  </si>
  <si>
    <t>30-45 working days</t>
  </si>
  <si>
    <r>
      <rPr>
        <rFont val="Arial"/>
        <color rgb="FF000000"/>
        <sz val="9.0"/>
      </rPr>
      <t>Tabletop Desiccator</t>
    </r>
    <r>
      <rPr>
        <rFont val="Arial"/>
        <color rgb="FF000000"/>
        <sz val="9.0"/>
      </rPr>
      <t>, 210mm diameter or equivalent or better</t>
    </r>
  </si>
  <si>
    <t>3 lots</t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</si>
  <si>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</si>
  <si>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5 packs</t>
  </si>
  <si>
    <t>25 carboys Sodium Hydroxide (NaOH), Concentration: 48% or equivalent or better
Volume: 40 L/carboy</t>
  </si>
  <si>
    <t>60-90 working days</t>
  </si>
  <si>
    <t>15 bottles Sodium Hydroxide (NaOH), Micropearls Pellets</t>
  </si>
  <si>
    <t>5 carboys Acetic Acid (CH3COOH), Concentration: 99.85% or equivalent or better
Volume: 40 L/carboy</t>
  </si>
  <si>
    <t>5 carboys</t>
  </si>
  <si>
    <t>3 bottles Acetic Acid (CH3COOH), Concentration: ≥99% or equivalent or better
Volume: 2.5 L
Analytical Reagent (AR)</t>
  </si>
  <si>
    <t>3 bottles</t>
  </si>
  <si>
    <t>3 bottles Sodium Sulphite (Na2SO3), Anhydrous ≥99% or equivalent or better
Analytical Reagent (AR)
500 g per bottle</t>
  </si>
  <si>
    <t>5 bottles Cleanmate (Liquid Detergent), 1 gallon</t>
  </si>
  <si>
    <t>5 gallons Sodium Silicate, Neutral Solution, pure</t>
  </si>
  <si>
    <t>5 carboys Hydrogen Peroxide (H2O2), 50% or equivalent or better, Volume: 30 kg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</si>
  <si>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</si>
  <si>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color theme="1"/>
        <sz val="9.0"/>
      </rPr>
      <t>5 bottles Sodium Metabisulfite</t>
    </r>
    <r>
      <rPr>
        <rFont val="Arial"/>
        <color theme="1"/>
        <sz val="9.0"/>
      </rPr>
      <t>, Technical Grade 97% or equivalent or better, 1kg per bottle</t>
    </r>
  </si>
  <si>
    <r>
      <rPr>
        <rFont val="Arial"/>
        <color theme="1"/>
        <sz val="9.0"/>
      </rPr>
      <t>5 bottles Sodium Hypochlorite, Zonrox</t>
    </r>
    <r>
      <rPr>
        <rFont val="Arial"/>
        <color theme="1"/>
        <sz val="9.0"/>
      </rPr>
      <t>, 1L per bottle</t>
    </r>
  </si>
  <si>
    <t>5 bottles</t>
  </si>
  <si>
    <t>8 pairs Heat Resistant and Slide Resistant Gloves</t>
  </si>
  <si>
    <t>8 pairs</t>
  </si>
  <si>
    <t>8 pieces Rectangular High-Density Polyethylene (HDPE) with handle Laboratory Basket</t>
  </si>
  <si>
    <t>8 pieces</t>
  </si>
  <si>
    <t>10 pieces Magnetic Stirrer (Spin Bar)</t>
  </si>
  <si>
    <t>3 pieces Magnetic Stirrer Stick</t>
  </si>
  <si>
    <t>10 boxes Nitrile Gloves (Medium)</t>
  </si>
  <si>
    <t>10 boxes Nitrile Gloves (Large)</t>
  </si>
  <si>
    <t>6 pieces Labgown (Medium)</t>
  </si>
  <si>
    <t>6  pieces Labgown (Large)</t>
  </si>
  <si>
    <t>20 pieces Beakers, borosilicate glass, 2L</t>
  </si>
  <si>
    <t>15 pieces Beakers, borosilicate glass, 1L</t>
  </si>
  <si>
    <t>15 pieces Beakers, borosilicate glass, 500 mL</t>
  </si>
  <si>
    <t>10 pieces Graduated cylinder, borosilicate glass, 1L</t>
  </si>
  <si>
    <t>10 pieces  Graduated cylinder, borosilicate glass, 500 mL</t>
  </si>
  <si>
    <t>10 pieces Graduated cylinder, borosilicate glass, 100 mL</t>
  </si>
  <si>
    <t>24 pieces Gooch Glass Filter</t>
  </si>
  <si>
    <r>
      <rPr>
        <rFont val="Arial"/>
        <color theme="1"/>
        <sz val="9.0"/>
      </rPr>
      <t xml:space="preserve">4 pieces Wired Headphones with Microphone
</t>
    </r>
    <r>
      <rPr>
        <rFont val="Arial"/>
        <color theme="1"/>
        <sz val="9.0"/>
      </rPr>
      <t>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</si>
  <si>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color theme="1"/>
        <sz val="9.0"/>
      </rPr>
      <t xml:space="preserve">4 pieces External and Portable Hard Drive for Windows
</t>
    </r>
    <r>
      <rPr>
        <rFont val="Arial"/>
        <color theme="1"/>
        <sz val="9.0"/>
      </rPr>
      <t>Specifications:
Storage: 1TB or equivalent or better
Color: Silver/Black</t>
    </r>
  </si>
  <si>
    <r>
      <rPr>
        <rFont val="Arial"/>
        <color theme="1"/>
        <sz val="9.0"/>
      </rPr>
      <t xml:space="preserve">4 pieces Flashdrive
</t>
    </r>
    <r>
      <rPr>
        <rFont val="Arial"/>
        <color theme="1"/>
        <sz val="9.0"/>
      </rPr>
      <t>Storage: 64GB or equivalent or better
Color: Black</t>
    </r>
  </si>
  <si>
    <t xml:space="preserve">8 pieces Universal Adaptor Plug </t>
  </si>
  <si>
    <t>First Aid Box with Medical Supplies</t>
  </si>
  <si>
    <t>2 sets</t>
  </si>
  <si>
    <t>Fire Extinguisher</t>
  </si>
  <si>
    <t>10 boxes Mask</t>
  </si>
  <si>
    <t>10 packs Facial Tissue</t>
  </si>
  <si>
    <t>10 packs Rolled Tissue</t>
  </si>
  <si>
    <t>10 packs Ziplock (Small)</t>
  </si>
  <si>
    <t>10 packs Ziplock (Medium)</t>
  </si>
  <si>
    <t>10 packs Ziplock (Large)</t>
  </si>
  <si>
    <t>10 packs Ziplock (Extra Large)</t>
  </si>
  <si>
    <t>25 boxes Binder Clips, 41mm</t>
  </si>
  <si>
    <t>25 boxes Binder Clips, 19mm</t>
  </si>
  <si>
    <t>25 boxes Binder Clips, 25mm</t>
  </si>
  <si>
    <t>10 packs Binder Clip 4 per pack black</t>
  </si>
  <si>
    <t>10 packs Binder clip 2 per pack black</t>
  </si>
  <si>
    <t>5 packs Paper clip vinyl coated assorted 100s</t>
  </si>
  <si>
    <t>3 pieces Stapler</t>
  </si>
  <si>
    <t>3 pieces</t>
  </si>
  <si>
    <t>Lateral Steel Office Cabinet</t>
  </si>
  <si>
    <t>2 pieces</t>
  </si>
  <si>
    <t>For 3rd Quarter of CY 2024</t>
  </si>
  <si>
    <t>Jul</t>
  </si>
  <si>
    <t>Aug</t>
  </si>
  <si>
    <t>Sep</t>
  </si>
  <si>
    <r>
      <rPr>
        <rFont val="Arial"/>
        <color rgb="FF000000"/>
        <sz val="9.0"/>
      </rPr>
      <t xml:space="preserve">Hot Plate with Magnetic Stirring
</t>
    </r>
    <r>
      <rPr>
        <rFont val="Arial"/>
        <color rgb="FF000000"/>
        <sz val="9.0"/>
      </rPr>
      <t>Specifications:
280 mm x 280 mm or equivalent or better
200 - 1500 C temperature range, 1 increment or equivalent or better
100 - 1500 rpm speed or equivalent or better
Ceramic Plate</t>
    </r>
  </si>
  <si>
    <r>
      <rPr>
        <rFont val="Arial"/>
        <color rgb="FF000000"/>
        <sz val="9.0"/>
      </rPr>
      <t>Tabletop Desiccator</t>
    </r>
    <r>
      <rPr>
        <rFont val="Arial"/>
        <color rgb="FF000000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</si>
  <si>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</si>
  <si>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</si>
  <si>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color theme="1"/>
        <sz val="9.0"/>
      </rPr>
      <t>5 bottles Sodium Metabisulfite</t>
    </r>
    <r>
      <rPr>
        <rFont val="Arial"/>
        <color theme="1"/>
        <sz val="9.0"/>
      </rPr>
      <t>, Technical Grade 97% or equivalent or better, 1kg per bottle</t>
    </r>
  </si>
  <si>
    <r>
      <rPr>
        <rFont val="Arial"/>
        <color theme="1"/>
        <sz val="9.0"/>
      </rPr>
      <t>5 bottles Sodium Hypochlorite, Zonrox</t>
    </r>
    <r>
      <rPr>
        <rFont val="Arial"/>
        <color theme="1"/>
        <sz val="9.0"/>
      </rPr>
      <t>, 1L per bottle</t>
    </r>
  </si>
  <si>
    <r>
      <rPr>
        <rFont val="Arial"/>
        <color theme="1"/>
        <sz val="9.0"/>
      </rPr>
      <t xml:space="preserve">4 pieces Wired Headphones with Microphone
</t>
    </r>
    <r>
      <rPr>
        <rFont val="Arial"/>
        <color theme="1"/>
        <sz val="9.0"/>
      </rPr>
      <t>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</si>
  <si>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color theme="1"/>
        <sz val="9.0"/>
      </rPr>
      <t xml:space="preserve">4 pieces External and Portable Hard Drive for Windows
</t>
    </r>
    <r>
      <rPr>
        <rFont val="Arial"/>
        <color theme="1"/>
        <sz val="9.0"/>
      </rPr>
      <t>Specifications:
Storage: 1TB or equivalent or better
Color: Silver/Black</t>
    </r>
  </si>
  <si>
    <r>
      <rPr>
        <rFont val="Arial"/>
        <color theme="1"/>
        <sz val="9.0"/>
      </rPr>
      <t xml:space="preserve">4 pieces Flashdrive
</t>
    </r>
    <r>
      <rPr>
        <rFont val="Arial"/>
        <color theme="1"/>
        <sz val="9.0"/>
      </rPr>
      <t>Storage: 64GB or equivalent or better
Color: Black</t>
    </r>
  </si>
  <si>
    <t>50 pieces</t>
  </si>
  <si>
    <t>5 pieces</t>
  </si>
  <si>
    <t>15 reams</t>
  </si>
  <si>
    <t>3 units</t>
  </si>
  <si>
    <t>2 pieces Presentation Clicker</t>
  </si>
  <si>
    <t>3 boxes Wireless HDMI Transmitter and Reciever</t>
  </si>
  <si>
    <t>3 boxes</t>
  </si>
  <si>
    <t>Office Partition</t>
  </si>
  <si>
    <t>8 lots</t>
  </si>
  <si>
    <t>Office Mesh Chair</t>
  </si>
  <si>
    <t>3 Steel mobile pedestal cabinet</t>
  </si>
  <si>
    <r>
      <rPr>
        <rFont val="Arial"/>
        <color rgb="FF000000"/>
        <sz val="9.0"/>
      </rPr>
      <t xml:space="preserve">Hot Plate with Magnetic Stirring
</t>
    </r>
    <r>
      <rPr>
        <rFont val="Arial"/>
        <color rgb="FF000000"/>
        <sz val="9.0"/>
      </rPr>
      <t>Specifications:
280 mm x 280 mm or equivalent or better
200 - 1500 C temperature range, 1 increment or equivalent or better
100 - 1500 rpm speed or equivalent or better
Ceramic Plate</t>
    </r>
  </si>
  <si>
    <r>
      <rPr>
        <rFont val="Arial"/>
        <color rgb="FF000000"/>
        <sz val="9.0"/>
      </rPr>
      <t>Tabletop Desiccator</t>
    </r>
    <r>
      <rPr>
        <rFont val="Arial"/>
        <color rgb="FF000000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</si>
  <si>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</si>
  <si>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25 carboys</t>
  </si>
  <si>
    <t>15 bottles</t>
  </si>
  <si>
    <t>5 gallons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</si>
  <si>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</si>
  <si>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color theme="1"/>
        <sz val="9.0"/>
      </rPr>
      <t>5 bottles Sodium Metabisulfite</t>
    </r>
    <r>
      <rPr>
        <rFont val="Arial"/>
        <color theme="1"/>
        <sz val="9.0"/>
      </rPr>
      <t>, Technical Grade 97% or equivalent or better, 1kg per bottle</t>
    </r>
  </si>
  <si>
    <r>
      <rPr>
        <rFont val="Arial"/>
        <color theme="1"/>
        <sz val="9.0"/>
      </rPr>
      <t>5 bottles Sodium Hypochlorite, Zonrox</t>
    </r>
    <r>
      <rPr>
        <rFont val="Arial"/>
        <color theme="1"/>
        <sz val="9.0"/>
      </rPr>
      <t>, 1L per bottle</t>
    </r>
  </si>
  <si>
    <t>10 pieces</t>
  </si>
  <si>
    <t>4 sacks PLA (polylactic acid) resin</t>
  </si>
  <si>
    <t>4 lots</t>
  </si>
  <si>
    <t>10 boxes</t>
  </si>
  <si>
    <t>6 pieces</t>
  </si>
  <si>
    <t>20 pieces</t>
  </si>
  <si>
    <t>15 pieces</t>
  </si>
  <si>
    <t>24 pieces</t>
  </si>
  <si>
    <t>HP 678 Ink Cartridge HPCZ107AA Black (Original)</t>
  </si>
  <si>
    <t>HP 678 Ink Cartridge HPCZ108AA Colored (Tri-Color) (Original)</t>
  </si>
  <si>
    <r>
      <rPr>
        <rFont val="Arial"/>
        <color theme="1"/>
        <sz val="9.0"/>
      </rPr>
      <t xml:space="preserve">4 pieces Wired Headphones with Microphone
</t>
    </r>
    <r>
      <rPr>
        <rFont val="Arial"/>
        <color theme="1"/>
        <sz val="9.0"/>
      </rPr>
      <t>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</si>
  <si>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color theme="1"/>
        <sz val="9.0"/>
      </rPr>
      <t xml:space="preserve">4 pieces External and Portable Hard Drive for Windows
</t>
    </r>
    <r>
      <rPr>
        <rFont val="Arial"/>
        <color theme="1"/>
        <sz val="9.0"/>
      </rPr>
      <t>Specifications:
Storage: 1TB or equivalent or better
Color: Silver/Black</t>
    </r>
  </si>
  <si>
    <r>
      <rPr>
        <rFont val="Arial"/>
        <color theme="1"/>
        <sz val="9.0"/>
      </rPr>
      <t xml:space="preserve">4 pieces Flashdrive
</t>
    </r>
    <r>
      <rPr>
        <rFont val="Arial"/>
        <color theme="1"/>
        <sz val="9.0"/>
      </rPr>
      <t>Storage: 64GB or equivalent or better
Color: Black</t>
    </r>
  </si>
  <si>
    <t xml:space="preserve">20 pieces Customized Certificate Holder </t>
  </si>
  <si>
    <t>Customized Corporate Polo Shirt with Logo Embroidery</t>
  </si>
  <si>
    <t>18 pieces</t>
  </si>
  <si>
    <t>FESEM Imaging</t>
  </si>
  <si>
    <t>25 samples</t>
  </si>
  <si>
    <t>Agency to Agency</t>
  </si>
  <si>
    <t>Thermogravimetric Analysis</t>
  </si>
  <si>
    <t>salary of OPS charged personnel</t>
  </si>
  <si>
    <t>Differential Scanning Calorimetry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</si>
</sst>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₱]#,##0.00"/>
    <numFmt numFmtId="166" formatCode="#,##0.00;(#,##0.00)"/>
  </numFmts>
  <fonts count="23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sz val="9.0"/>
      <color rgb="FF1F1F1F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rgb="FFFFFFFF"/>
      <name val="Arial"/>
    </font>
    <font>
      <sz val="9.0"/>
      <color rgb="FFFFFFFF"/>
      <name val="Arial"/>
    </font>
    <font>
      <sz val="12.0"/>
      <color theme="1"/>
      <name val="Arial"/>
    </font>
    <font>
      <sz val="9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quotePrefix="1" borderId="11" fillId="0" fontId="6" numFmtId="0" xfId="0" applyAlignment="1" applyBorder="1" applyFont="1">
      <alignment horizontal="center" shrinkToFit="0" vertical="center" wrapText="1"/>
    </xf>
    <xf quotePrefix="1" borderId="11" fillId="0" fontId="6" numFmtId="4" xfId="0" applyAlignment="1" applyBorder="1" applyFont="1" applyNumberFormat="1">
      <alignment horizontal="center" shrinkToFit="0" vertical="center" wrapText="1"/>
    </xf>
    <xf quotePrefix="1" borderId="11" fillId="0" fontId="6" numFmtId="164" xfId="0" applyAlignment="1" applyBorder="1" applyFont="1" applyNumberFormat="1">
      <alignment horizontal="center" shrinkToFit="0" vertical="center" wrapText="1"/>
    </xf>
    <xf quotePrefix="1" borderId="12" fillId="0" fontId="6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0" fillId="0" fontId="8" numFmtId="0" xfId="0" applyFont="1"/>
    <xf borderId="11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164" xfId="0" applyAlignment="1" applyBorder="1" applyFont="1" applyNumberForma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4" xfId="0" applyAlignment="1" applyBorder="1" applyFont="1" applyNumberFormat="1">
      <alignment horizontal="right" shrinkToFit="0" vertical="center" wrapText="1"/>
    </xf>
    <xf borderId="11" fillId="3" fontId="8" numFmtId="164" xfId="0" applyAlignment="1" applyBorder="1" applyFont="1" applyNumberForma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0" fillId="3" fontId="8" numFmtId="0" xfId="0" applyBorder="1" applyFont="1"/>
    <xf borderId="0" fillId="3" fontId="8" numFmtId="0" xfId="0" applyFont="1"/>
    <xf borderId="0" fillId="3" fontId="2" numFmtId="0" xfId="0" applyFont="1"/>
    <xf borderId="13" fillId="3" fontId="8" numFmtId="0" xfId="0" applyBorder="1" applyFont="1"/>
    <xf borderId="14" fillId="3" fontId="8" numFmtId="0" xfId="0" applyBorder="1" applyFont="1"/>
    <xf borderId="14" fillId="3" fontId="2" numFmtId="0" xfId="0" applyBorder="1" applyFont="1"/>
    <xf borderId="11" fillId="2" fontId="6" numFmtId="4" xfId="0" applyAlignment="1" applyBorder="1" applyFont="1" applyNumberFormat="1">
      <alignment horizontal="right"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horizontal="right" vertical="center"/>
    </xf>
    <xf borderId="15" fillId="0" fontId="8" numFmtId="4" xfId="0" applyAlignment="1" applyBorder="1" applyFont="1" applyNumberFormat="1">
      <alignment horizontal="right" vertical="center"/>
    </xf>
    <xf borderId="15" fillId="4" fontId="8" numFmtId="0" xfId="0" applyAlignment="1" applyBorder="1" applyFill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6" fillId="0" fontId="7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1" fillId="3" fontId="8" numFmtId="0" xfId="0" applyAlignment="1" applyBorder="1" applyFont="1">
      <alignment horizontal="left" shrinkToFit="0" vertical="center" wrapText="1"/>
    </xf>
    <xf borderId="11" fillId="3" fontId="8" numFmtId="4" xfId="0" applyAlignment="1" applyBorder="1" applyFont="1" applyNumberFormat="1">
      <alignment horizontal="right" vertical="center"/>
    </xf>
    <xf borderId="11" fillId="3" fontId="8" numFmtId="4" xfId="0" applyAlignment="1" applyBorder="1" applyFont="1" applyNumberFormat="1">
      <alignment horizontal="center" vertical="center"/>
    </xf>
    <xf borderId="11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0" fillId="3" fontId="10" numFmtId="0" xfId="0" applyFont="1"/>
    <xf borderId="17" fillId="0" fontId="7" numFmtId="0" xfId="0" applyBorder="1" applyFont="1"/>
    <xf borderId="11" fillId="0" fontId="8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2" fontId="6" numFmtId="0" xfId="0" applyAlignment="1" applyBorder="1" applyFont="1">
      <alignment horizontal="left" vertical="center"/>
    </xf>
    <xf borderId="11" fillId="2" fontId="8" numFmtId="0" xfId="0" applyAlignment="1" applyBorder="1" applyFont="1">
      <alignment vertical="center"/>
    </xf>
    <xf borderId="11" fillId="2" fontId="8" numFmtId="4" xfId="0" applyAlignment="1" applyBorder="1" applyFont="1" applyNumberFormat="1">
      <alignment horizontal="right" vertical="center"/>
    </xf>
    <xf borderId="11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1" fillId="3" fontId="11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shrinkToFit="0" vertical="center" wrapText="1"/>
    </xf>
    <xf borderId="15" fillId="3" fontId="8" numFmtId="0" xfId="0" applyAlignment="1" applyBorder="1" applyFont="1">
      <alignment horizontal="center" vertical="center"/>
    </xf>
    <xf borderId="15" fillId="3" fontId="8" numFmtId="4" xfId="0" applyAlignment="1" applyBorder="1" applyFont="1" applyNumberFormat="1">
      <alignment horizontal="right" vertical="center"/>
    </xf>
    <xf borderId="15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vertical="center"/>
    </xf>
    <xf borderId="15" fillId="3" fontId="8" numFmtId="164" xfId="0" applyAlignment="1" applyBorder="1" applyFont="1" applyNumberFormat="1">
      <alignment horizontal="center" shrinkToFit="0" vertical="center" wrapText="1"/>
    </xf>
    <xf borderId="11" fillId="3" fontId="12" numFmtId="0" xfId="0" applyAlignment="1" applyBorder="1" applyFont="1">
      <alignment shrinkToFit="0" vertical="center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left" vertical="center"/>
    </xf>
    <xf borderId="15" fillId="0" fontId="8" numFmtId="164" xfId="0" applyAlignment="1" applyBorder="1" applyFont="1" applyNumberFormat="1">
      <alignment horizontal="center" shrinkToFit="0" vertical="center" wrapText="1"/>
    </xf>
    <xf borderId="11" fillId="5" fontId="8" numFmtId="49" xfId="0" applyAlignment="1" applyBorder="1" applyFill="1" applyFont="1" applyNumberFormat="1">
      <alignment shrinkToFit="0" vertical="center" wrapText="1"/>
    </xf>
    <xf borderId="11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left" readingOrder="0" vertical="center"/>
    </xf>
    <xf borderId="11" fillId="5" fontId="6" numFmtId="0" xfId="0" applyAlignment="1" applyBorder="1" applyFont="1">
      <alignment horizontal="center" shrinkToFit="0" vertical="center" wrapText="1"/>
    </xf>
    <xf borderId="11" fillId="5" fontId="6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15" fillId="5" fontId="8" numFmtId="0" xfId="0" applyAlignment="1" applyBorder="1" applyFont="1">
      <alignment horizontal="center" readingOrder="0" shrinkToFit="0" vertical="center" wrapText="1"/>
    </xf>
    <xf borderId="11" fillId="5" fontId="8" numFmtId="4" xfId="0" applyAlignment="1" applyBorder="1" applyFont="1" applyNumberFormat="1">
      <alignment horizontal="right" readingOrder="0" shrinkToFit="0" vertical="center" wrapText="1"/>
    </xf>
    <xf borderId="15" fillId="5" fontId="8" numFmtId="164" xfId="0" applyAlignment="1" applyBorder="1" applyFont="1" applyNumberFormat="1">
      <alignment horizontal="center" readingOrder="0" shrinkToFit="0" vertical="center" wrapText="1"/>
    </xf>
    <xf borderId="15" fillId="5" fontId="8" numFmtId="0" xfId="0" applyAlignment="1" applyBorder="1" applyFont="1">
      <alignment horizontal="center" readingOrder="0" vertical="center"/>
    </xf>
    <xf borderId="11" fillId="5" fontId="8" numFmtId="0" xfId="0" applyAlignment="1" applyBorder="1" applyFont="1">
      <alignment vertical="center"/>
    </xf>
    <xf borderId="11" fillId="5" fontId="8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readingOrder="0" vertical="center"/>
    </xf>
    <xf borderId="12" fillId="5" fontId="8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11" fillId="5" fontId="6" numFmtId="0" xfId="0" applyAlignment="1" applyBorder="1" applyFont="1">
      <alignment horizontal="left" vertical="center"/>
    </xf>
    <xf borderId="11" fillId="5" fontId="8" numFmtId="4" xfId="0" applyAlignment="1" applyBorder="1" applyFont="1" applyNumberFormat="1">
      <alignment horizontal="right" shrinkToFit="0" vertical="center" wrapText="1"/>
    </xf>
    <xf borderId="11" fillId="3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8" fillId="0" fontId="8" numFmtId="0" xfId="0" applyAlignment="1" applyBorder="1" applyFont="1">
      <alignment readingOrder="0" vertical="center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4" xfId="0" applyAlignment="1" applyBorder="1" applyFont="1" applyNumberFormat="1">
      <alignment horizontal="right" readingOrder="0" shrinkToFit="0" vertical="center" wrapText="1"/>
    </xf>
    <xf borderId="18" fillId="0" fontId="8" numFmtId="164" xfId="0" applyAlignment="1" applyBorder="1" applyFont="1" applyNumberFormat="1">
      <alignment horizontal="center" readingOrder="0" shrinkToFit="0" vertical="center" wrapText="1"/>
    </xf>
    <xf borderId="18" fillId="5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7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0" fillId="0" fontId="8" numFmtId="0" xfId="0" applyAlignment="1" applyBorder="1" applyFont="1">
      <alignment readingOrder="0" vertical="center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8" numFmtId="4" xfId="0" applyAlignment="1" applyBorder="1" applyFont="1" applyNumberFormat="1">
      <alignment horizontal="right" readingOrder="0" shrinkToFit="0" vertical="center" wrapText="1"/>
    </xf>
    <xf borderId="20" fillId="0" fontId="8" numFmtId="164" xfId="0" applyAlignment="1" applyBorder="1" applyFont="1" applyNumberFormat="1">
      <alignment horizontal="center" readingOrder="0" shrinkToFit="0" vertical="center" wrapText="1"/>
    </xf>
    <xf borderId="20" fillId="5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7" fillId="0" fontId="8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8" numFmtId="4" xfId="0" applyAlignment="1" applyBorder="1" applyFont="1" applyNumberFormat="1">
      <alignment horizontal="right" readingOrder="0"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24" fillId="0" fontId="1" numFmtId="165" xfId="0" applyAlignment="1" applyBorder="1" applyFont="1" applyNumberFormat="1">
      <alignment horizontal="right"/>
    </xf>
    <xf borderId="24" fillId="0" fontId="7" numFmtId="0" xfId="0" applyBorder="1" applyFont="1"/>
    <xf borderId="17" fillId="0" fontId="6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20" fillId="0" fontId="7" numFmtId="0" xfId="0" applyBorder="1" applyFont="1"/>
    <xf borderId="0" fillId="0" fontId="8" numFmtId="0" xfId="0" applyAlignment="1" applyFont="1">
      <alignment horizontal="left"/>
    </xf>
    <xf borderId="11" fillId="0" fontId="6" numFmtId="0" xfId="0" applyAlignment="1" applyBorder="1" applyFont="1">
      <alignment vertical="center"/>
    </xf>
    <xf borderId="12" fillId="0" fontId="1" numFmtId="164" xfId="0" applyAlignment="1" applyBorder="1" applyFont="1" applyNumberFormat="1">
      <alignment horizontal="center"/>
    </xf>
    <xf borderId="27" fillId="0" fontId="7" numFmtId="0" xfId="0" applyBorder="1" applyFont="1"/>
    <xf borderId="18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18" numFmtId="4" xfId="0" applyAlignment="1" applyFont="1" applyNumberFormat="1">
      <alignment horizontal="right"/>
    </xf>
    <xf borderId="0" fillId="0" fontId="2" numFmtId="0" xfId="0" applyAlignment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20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shrinkToFit="0" wrapText="1"/>
    </xf>
    <xf borderId="21" fillId="0" fontId="6" numFmtId="0" xfId="0" applyAlignment="1" applyBorder="1" applyFont="1">
      <alignment horizontal="center"/>
    </xf>
    <xf quotePrefix="1" borderId="17" fillId="0" fontId="6" numFmtId="0" xfId="0" applyAlignment="1" applyBorder="1" applyFont="1">
      <alignment horizontal="center" shrinkToFit="0" wrapText="1"/>
    </xf>
    <xf quotePrefix="1" borderId="20" fillId="0" fontId="6" numFmtId="0" xfId="0" applyAlignment="1" applyBorder="1" applyFont="1">
      <alignment horizontal="center" shrinkToFit="0" wrapText="1"/>
    </xf>
    <xf quotePrefix="1" borderId="20" fillId="0" fontId="6" numFmtId="4" xfId="0" applyAlignment="1" applyBorder="1" applyFont="1" applyNumberFormat="1">
      <alignment horizontal="center" shrinkToFit="0" wrapText="1"/>
    </xf>
    <xf quotePrefix="1" borderId="20" fillId="0" fontId="6" numFmtId="164" xfId="0" applyAlignment="1" applyBorder="1" applyFont="1" applyNumberFormat="1">
      <alignment horizontal="center" shrinkToFit="0" wrapText="1"/>
    </xf>
    <xf quotePrefix="1" borderId="21" fillId="0" fontId="6" numFmtId="0" xfId="0" applyAlignment="1" applyBorder="1" applyFont="1">
      <alignment horizontal="center" shrinkToFit="0" wrapText="1"/>
    </xf>
    <xf borderId="17" fillId="2" fontId="6" numFmtId="0" xfId="0" applyAlignment="1" applyBorder="1" applyFont="1">
      <alignment horizontal="center" shrinkToFit="0" wrapText="1"/>
    </xf>
    <xf borderId="20" fillId="2" fontId="2" numFmtId="0" xfId="0" applyBorder="1" applyFont="1"/>
    <xf borderId="20" fillId="2" fontId="6" numFmtId="0" xfId="0" applyAlignment="1" applyBorder="1" applyFont="1">
      <alignment shrinkToFit="0" wrapText="1"/>
    </xf>
    <xf borderId="20" fillId="2" fontId="2" numFmtId="4" xfId="0" applyBorder="1" applyFont="1" applyNumberFormat="1"/>
    <xf borderId="20" fillId="2" fontId="2" numFmtId="164" xfId="0" applyBorder="1" applyFont="1" applyNumberFormat="1"/>
    <xf borderId="21" fillId="2" fontId="2" numFmtId="0" xfId="0" applyBorder="1" applyFont="1"/>
    <xf borderId="0" fillId="0" fontId="2" numFmtId="4" xfId="0" applyAlignment="1" applyFont="1" applyNumberFormat="1">
      <alignment readingOrder="0" vertical="bottom"/>
    </xf>
    <xf borderId="17" fillId="0" fontId="2" numFmtId="0" xfId="0" applyBorder="1" applyFont="1"/>
    <xf borderId="20" fillId="0" fontId="2" numFmtId="49" xfId="0" applyAlignment="1" applyBorder="1" applyFont="1" applyNumberFormat="1">
      <alignment vertical="bottom"/>
    </xf>
    <xf borderId="11" fillId="0" fontId="8" numFmtId="0" xfId="0" applyAlignment="1" applyBorder="1" applyFont="1">
      <alignment shrinkToFit="0" wrapText="1"/>
    </xf>
    <xf borderId="28" fillId="0" fontId="8" numFmtId="0" xfId="0" applyAlignment="1" applyBorder="1" applyFont="1">
      <alignment horizontal="center" readingOrder="0" shrinkToFit="0" wrapText="1"/>
    </xf>
    <xf borderId="18" fillId="0" fontId="8" numFmtId="4" xfId="0" applyAlignment="1" applyBorder="1" applyFont="1" applyNumberFormat="1">
      <alignment horizontal="right"/>
    </xf>
    <xf borderId="20" fillId="0" fontId="8" numFmtId="164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readingOrder="0" shrinkToFit="0" wrapText="1"/>
    </xf>
    <xf borderId="20" fillId="5" fontId="11" numFmtId="4" xfId="0" applyAlignment="1" applyBorder="1" applyFont="1" applyNumberFormat="1">
      <alignment horizontal="center" readingOrder="0" shrinkToFit="0" wrapText="1"/>
    </xf>
    <xf borderId="20" fillId="0" fontId="19" numFmtId="4" xfId="0" applyBorder="1" applyFont="1" applyNumberFormat="1"/>
    <xf borderId="20" fillId="0" fontId="20" numFmtId="0" xfId="0" applyAlignment="1" applyBorder="1" applyFont="1">
      <alignment horizontal="center" readingOrder="0"/>
    </xf>
    <xf borderId="20" fillId="0" fontId="8" numFmtId="0" xfId="0" applyAlignment="1" applyBorder="1" applyFont="1">
      <alignment horizontal="center" readingOrder="0"/>
    </xf>
    <xf borderId="20" fillId="0" fontId="2" numFmtId="0" xfId="0" applyBorder="1" applyFont="1"/>
    <xf borderId="21" fillId="0" fontId="2" numFmtId="0" xfId="0" applyBorder="1" applyFont="1"/>
    <xf borderId="20" fillId="0" fontId="8" numFmtId="0" xfId="0" applyAlignment="1" applyBorder="1" applyFont="1">
      <alignment readingOrder="0" shrinkToFit="0" wrapText="1"/>
    </xf>
    <xf borderId="8" fillId="0" fontId="7" numFmtId="0" xfId="0" applyBorder="1" applyFont="1"/>
    <xf borderId="20" fillId="0" fontId="8" numFmtId="4" xfId="0" applyAlignment="1" applyBorder="1" applyFont="1" applyNumberFormat="1">
      <alignment horizontal="right"/>
    </xf>
    <xf borderId="20" fillId="0" fontId="8" numFmtId="0" xfId="0" applyAlignment="1" applyBorder="1" applyFont="1">
      <alignment shrinkToFit="0" wrapText="1"/>
    </xf>
    <xf borderId="20" fillId="0" fontId="20" numFmtId="0" xfId="0" applyAlignment="1" applyBorder="1" applyFont="1">
      <alignment horizontal="center"/>
    </xf>
    <xf borderId="20" fillId="0" fontId="8" numFmtId="0" xfId="0" applyAlignment="1" applyBorder="1" applyFont="1">
      <alignment horizontal="center"/>
    </xf>
    <xf borderId="20" fillId="0" fontId="8" numFmtId="4" xfId="0" applyAlignment="1" applyBorder="1" applyFont="1" applyNumberFormat="1">
      <alignment horizontal="right" readingOrder="0"/>
    </xf>
    <xf borderId="17" fillId="0" fontId="2" numFmtId="0" xfId="0" applyAlignment="1" applyBorder="1" applyFont="1">
      <alignment vertical="bottom"/>
    </xf>
    <xf borderId="20" fillId="0" fontId="8" numFmtId="49" xfId="0" applyBorder="1" applyFont="1" applyNumberFormat="1"/>
    <xf borderId="20" fillId="0" fontId="8" numFmtId="4" xfId="0" applyAlignment="1" applyBorder="1" applyFont="1" applyNumberFormat="1">
      <alignment horizontal="right" shrinkToFit="0" wrapText="1"/>
    </xf>
    <xf borderId="20" fillId="0" fontId="2" numFmtId="0" xfId="0" applyAlignment="1" applyBorder="1" applyFont="1">
      <alignment vertical="bottom"/>
    </xf>
    <xf borderId="20" fillId="0" fontId="8" numFmtId="0" xfId="0" applyAlignment="1" applyBorder="1" applyFont="1">
      <alignment horizontal="center" shrinkToFit="0" wrapText="1"/>
    </xf>
    <xf borderId="29" fillId="0" fontId="2" numFmtId="0" xfId="0" applyAlignment="1" applyBorder="1" applyFont="1">
      <alignment vertical="bottom"/>
    </xf>
    <xf borderId="20" fillId="0" fontId="8" numFmtId="49" xfId="0" applyAlignment="1" applyBorder="1" applyFont="1" applyNumberFormat="1">
      <alignment readingOrder="0" shrinkToFit="0" wrapText="1"/>
    </xf>
    <xf borderId="8" fillId="0" fontId="8" numFmtId="3" xfId="0" applyAlignment="1" applyBorder="1" applyFont="1" applyNumberFormat="1">
      <alignment horizontal="center" readingOrder="0" shrinkToFit="0" wrapText="1"/>
    </xf>
    <xf borderId="20" fillId="0" fontId="8" numFmtId="164" xfId="0" applyAlignment="1" applyBorder="1" applyFont="1" applyNumberFormat="1">
      <alignment horizontal="right" readingOrder="0" shrinkToFit="0" wrapText="1"/>
    </xf>
    <xf borderId="20" fillId="0" fontId="20" numFmtId="4" xfId="0" applyAlignment="1" applyBorder="1" applyFont="1" applyNumberFormat="1">
      <alignment horizontal="center" readingOrder="0"/>
    </xf>
    <xf borderId="20" fillId="0" fontId="19" numFmtId="0" xfId="0" applyBorder="1" applyFont="1"/>
    <xf borderId="20" fillId="0" fontId="8" numFmtId="3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18" fillId="0" fontId="8" numFmtId="49" xfId="0" applyAlignment="1" applyBorder="1" applyFont="1" applyNumberFormat="1">
      <alignment readingOrder="0"/>
    </xf>
    <xf borderId="18" fillId="0" fontId="8" numFmtId="164" xfId="0" applyAlignment="1" applyBorder="1" applyFont="1" applyNumberFormat="1">
      <alignment horizontal="right" shrinkToFit="0" wrapText="1"/>
    </xf>
    <xf borderId="18" fillId="0" fontId="20" numFmtId="4" xfId="0" applyAlignment="1" applyBorder="1" applyFont="1" applyNumberFormat="1">
      <alignment horizontal="center" readingOrder="0"/>
    </xf>
    <xf borderId="18" fillId="0" fontId="19" numFmtId="0" xfId="0" applyBorder="1" applyFont="1"/>
    <xf borderId="18" fillId="0" fontId="8" numFmtId="3" xfId="0" applyAlignment="1" applyBorder="1" applyFont="1" applyNumberFormat="1">
      <alignment horizontal="center" readingOrder="0"/>
    </xf>
    <xf borderId="18" fillId="0" fontId="2" numFmtId="0" xfId="0" applyAlignment="1" applyBorder="1" applyFont="1">
      <alignment vertical="bottom"/>
    </xf>
    <xf borderId="19" fillId="0" fontId="2" numFmtId="0" xfId="0" applyBorder="1" applyFont="1"/>
    <xf borderId="20" fillId="0" fontId="8" numFmtId="4" xfId="0" applyAlignment="1" applyBorder="1" applyFont="1" applyNumberFormat="1">
      <alignment horizontal="center" readingOrder="0"/>
    </xf>
    <xf borderId="20" fillId="0" fontId="2" numFmtId="49" xfId="0" applyAlignment="1" applyBorder="1" applyFont="1" applyNumberFormat="1">
      <alignment readingOrder="0" vertical="bottom"/>
    </xf>
    <xf borderId="20" fillId="0" fontId="8" numFmtId="49" xfId="0" applyAlignment="1" applyBorder="1" applyFont="1" applyNumberFormat="1">
      <alignment readingOrder="0"/>
    </xf>
    <xf borderId="20" fillId="0" fontId="8" numFmtId="3" xfId="0" applyAlignment="1" applyBorder="1" applyFont="1" applyNumberFormat="1">
      <alignment horizontal="center" readingOrder="0" shrinkToFit="0" wrapText="1"/>
    </xf>
    <xf borderId="18" fillId="0" fontId="8" numFmtId="0" xfId="0" applyAlignment="1" applyBorder="1" applyFont="1">
      <alignment horizontal="center" shrinkToFit="0" wrapText="1"/>
    </xf>
    <xf borderId="20" fillId="2" fontId="6" numFmtId="0" xfId="0" applyBorder="1" applyFont="1"/>
    <xf borderId="20" fillId="2" fontId="19" numFmtId="0" xfId="0" applyBorder="1" applyFont="1"/>
    <xf borderId="0" fillId="0" fontId="2" numFmtId="166" xfId="0" applyAlignment="1" applyFont="1" applyNumberFormat="1">
      <alignment vertical="bottom"/>
    </xf>
    <xf borderId="0" fillId="0" fontId="21" numFmtId="4" xfId="0" applyAlignment="1" applyFont="1" applyNumberFormat="1">
      <alignment readingOrder="0" vertical="bottom"/>
    </xf>
    <xf borderId="20" fillId="0" fontId="11" numFmtId="0" xfId="0" applyAlignment="1" applyBorder="1" applyFont="1">
      <alignment readingOrder="0" shrinkToFit="0" wrapText="1"/>
    </xf>
    <xf borderId="20" fillId="0" fontId="8" numFmtId="166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shrinkToFit="0" vertical="bottom" wrapText="1"/>
    </xf>
    <xf borderId="20" fillId="0" fontId="20" numFmtId="0" xfId="0" applyAlignment="1" applyBorder="1" applyFont="1">
      <alignment horizontal="center" readingOrder="0" shrinkToFit="0" wrapText="1"/>
    </xf>
    <xf borderId="30" fillId="0" fontId="2" numFmtId="0" xfId="0" applyBorder="1" applyFont="1"/>
    <xf borderId="31" fillId="0" fontId="2" numFmtId="0" xfId="0" applyBorder="1" applyFont="1"/>
    <xf borderId="20" fillId="0" fontId="11" numFmtId="0" xfId="0" applyAlignment="1" applyBorder="1" applyFont="1">
      <alignment shrinkToFit="0" wrapText="1"/>
    </xf>
    <xf borderId="20" fillId="0" fontId="8" numFmtId="166" xfId="0" applyAlignment="1" applyBorder="1" applyFont="1" applyNumberFormat="1">
      <alignment horizontal="right" readingOrder="0" shrinkToFit="0" wrapText="1"/>
    </xf>
    <xf borderId="8" fillId="0" fontId="8" numFmtId="0" xfId="0" applyAlignment="1" applyBorder="1" applyFont="1">
      <alignment horizontal="center" readingOrder="0" shrinkToFit="0" wrapText="1"/>
    </xf>
    <xf borderId="8" fillId="0" fontId="8" numFmtId="166" xfId="0" applyAlignment="1" applyBorder="1" applyFont="1" applyNumberFormat="1">
      <alignment horizontal="right" shrinkToFit="0" wrapText="1"/>
    </xf>
    <xf borderId="8" fillId="0" fontId="8" numFmtId="0" xfId="0" applyAlignment="1" applyBorder="1" applyFont="1">
      <alignment horizontal="center" shrinkToFit="0" wrapText="1"/>
    </xf>
    <xf borderId="20" fillId="0" fontId="20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shrinkToFit="0" vertical="bottom" wrapText="1"/>
    </xf>
    <xf borderId="20" fillId="0" fontId="8" numFmtId="166" xfId="0" applyAlignment="1" applyBorder="1" applyFont="1" applyNumberFormat="1">
      <alignment horizontal="right"/>
    </xf>
    <xf borderId="31" fillId="0" fontId="2" numFmtId="0" xfId="0" applyAlignment="1" applyBorder="1" applyFont="1">
      <alignment vertical="bottom"/>
    </xf>
    <xf borderId="8" fillId="0" fontId="8" numFmtId="166" xfId="0" applyAlignment="1" applyBorder="1" applyFont="1" applyNumberFormat="1">
      <alignment horizontal="right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shrinkToFit="0" vertical="bottom" wrapText="1"/>
    </xf>
    <xf borderId="20" fillId="0" fontId="8" numFmtId="49" xfId="0" applyAlignment="1" applyBorder="1" applyFont="1" applyNumberFormat="1">
      <alignment shrinkToFit="0" wrapText="1"/>
    </xf>
    <xf borderId="8" fillId="0" fontId="8" numFmtId="164" xfId="0" applyAlignment="1" applyBorder="1" applyFont="1" applyNumberFormat="1">
      <alignment horizontal="right" shrinkToFit="0" wrapText="1"/>
    </xf>
    <xf borderId="20" fillId="0" fontId="8" numFmtId="49" xfId="0" applyAlignment="1" applyBorder="1" applyFont="1" applyNumberFormat="1">
      <alignment horizontal="center" shrinkToFit="0" vertical="bottom" wrapText="1"/>
    </xf>
    <xf borderId="21" fillId="0" fontId="2" numFmtId="0" xfId="0" applyAlignment="1" applyBorder="1" applyFont="1">
      <alignment vertical="bottom"/>
    </xf>
    <xf borderId="8" fillId="5" fontId="11" numFmtId="4" xfId="0" applyAlignment="1" applyBorder="1" applyFont="1" applyNumberFormat="1">
      <alignment horizontal="center" readingOrder="0" shrinkToFit="0" wrapText="1"/>
    </xf>
    <xf borderId="20" fillId="0" fontId="2" numFmtId="49" xfId="0" applyBorder="1" applyFont="1" applyNumberFormat="1"/>
    <xf borderId="20" fillId="0" fontId="8" numFmtId="0" xfId="0" applyBorder="1" applyFont="1"/>
    <xf borderId="15" fillId="0" fontId="8" numFmtId="4" xfId="0" applyAlignment="1" applyBorder="1" applyFont="1" applyNumberFormat="1">
      <alignment horizontal="right"/>
    </xf>
    <xf borderId="11" fillId="0" fontId="2" numFmtId="0" xfId="0" applyBorder="1" applyFont="1"/>
    <xf borderId="18" fillId="0" fontId="8" numFmtId="49" xfId="0" applyAlignment="1" applyBorder="1" applyFont="1" applyNumberFormat="1">
      <alignment horizontal="center" vertical="bottom"/>
    </xf>
    <xf borderId="18" fillId="0" fontId="8" numFmtId="49" xfId="0" applyAlignment="1" applyBorder="1" applyFont="1" applyNumberFormat="1">
      <alignment readingOrder="0" vertical="bottom"/>
    </xf>
    <xf borderId="18" fillId="0" fontId="8" numFmtId="4" xfId="0" applyAlignment="1" applyBorder="1" applyFont="1" applyNumberFormat="1">
      <alignment horizontal="right" shrinkToFit="0" wrapText="1"/>
    </xf>
    <xf borderId="28" fillId="0" fontId="8" numFmtId="0" xfId="0" applyAlignment="1" applyBorder="1" applyFont="1">
      <alignment horizontal="center"/>
    </xf>
    <xf borderId="18" fillId="0" fontId="20" numFmtId="0" xfId="0" applyAlignment="1" applyBorder="1" applyFont="1">
      <alignment horizontal="center" readingOrder="0" vertical="bottom"/>
    </xf>
    <xf borderId="18" fillId="0" fontId="19" numFmtId="0" xfId="0" applyAlignment="1" applyBorder="1" applyFont="1">
      <alignment vertical="bottom"/>
    </xf>
    <xf borderId="18" fillId="0" fontId="8" numFmtId="0" xfId="0" applyAlignment="1" applyBorder="1" applyFont="1">
      <alignment horizontal="center" readingOrder="0" vertical="bottom"/>
    </xf>
    <xf borderId="20" fillId="0" fontId="8" numFmtId="49" xfId="0" applyAlignment="1" applyBorder="1" applyFont="1" applyNumberFormat="1">
      <alignment horizontal="center" vertical="bottom"/>
    </xf>
    <xf borderId="20" fillId="0" fontId="8" numFmtId="49" xfId="0" applyAlignment="1" applyBorder="1" applyFont="1" applyNumberFormat="1">
      <alignment readingOrder="0" vertical="bottom"/>
    </xf>
    <xf borderId="20" fillId="0" fontId="20" numFmtId="0" xfId="0" applyAlignment="1" applyBorder="1" applyFont="1">
      <alignment horizontal="center" readingOrder="0" vertical="bottom"/>
    </xf>
    <xf borderId="20" fillId="0" fontId="19" numFmtId="0" xfId="0" applyAlignment="1" applyBorder="1" applyFont="1">
      <alignment vertical="bottom"/>
    </xf>
    <xf borderId="20" fillId="0" fontId="8" numFmtId="0" xfId="0" applyAlignment="1" applyBorder="1" applyFont="1">
      <alignment horizontal="center" readingOrder="0" vertical="bottom"/>
    </xf>
    <xf borderId="32" fillId="0" fontId="2" numFmtId="0" xfId="0" applyBorder="1" applyFont="1"/>
    <xf borderId="18" fillId="0" fontId="2" numFmtId="49" xfId="0" applyAlignment="1" applyBorder="1" applyFont="1" applyNumberFormat="1">
      <alignment vertical="bottom"/>
    </xf>
    <xf borderId="28" fillId="0" fontId="8" numFmtId="3" xfId="0" applyAlignment="1" applyBorder="1" applyFont="1" applyNumberFormat="1">
      <alignment horizontal="center" shrinkToFit="0" wrapText="1"/>
    </xf>
    <xf borderId="28" fillId="0" fontId="8" numFmtId="164" xfId="0" applyAlignment="1" applyBorder="1" applyFont="1" applyNumberFormat="1">
      <alignment horizontal="center" shrinkToFit="0" wrapText="1"/>
    </xf>
    <xf borderId="28" fillId="0" fontId="8" numFmtId="0" xfId="0" applyAlignment="1" applyBorder="1" applyFont="1">
      <alignment horizontal="center" shrinkToFit="0" wrapText="1"/>
    </xf>
    <xf borderId="29" fillId="0" fontId="2" numFmtId="0" xfId="0" applyBorder="1" applyFont="1"/>
    <xf borderId="20" fillId="0" fontId="8" numFmtId="49" xfId="0" applyAlignment="1" applyBorder="1" applyFont="1" applyNumberFormat="1">
      <alignment vertical="bottom"/>
    </xf>
    <xf borderId="20" fillId="0" fontId="20" numFmtId="0" xfId="0" applyAlignment="1" applyBorder="1" applyFont="1">
      <alignment horizontal="center" vertical="bottom"/>
    </xf>
    <xf borderId="20" fillId="0" fontId="8" numFmtId="0" xfId="0" applyAlignment="1" applyBorder="1" applyFont="1">
      <alignment horizontal="center" vertical="bottom"/>
    </xf>
    <xf borderId="18" fillId="0" fontId="8" numFmtId="49" xfId="0" applyAlignment="1" applyBorder="1" applyFont="1" applyNumberFormat="1">
      <alignment vertical="bottom"/>
    </xf>
    <xf borderId="18" fillId="0" fontId="8" numFmtId="3" xfId="0" applyAlignment="1" applyBorder="1" applyFont="1" applyNumberFormat="1">
      <alignment horizontal="center" readingOrder="0" shrinkToFit="0" wrapText="1"/>
    </xf>
    <xf borderId="18" fillId="0" fontId="8" numFmtId="164" xfId="0" applyAlignment="1" applyBorder="1" applyFont="1" applyNumberFormat="1">
      <alignment horizontal="center" shrinkToFit="0" wrapText="1"/>
    </xf>
    <xf borderId="18" fillId="0" fontId="8" numFmtId="0" xfId="0" applyAlignment="1" applyBorder="1" applyFont="1">
      <alignment horizontal="center" vertical="bottom"/>
    </xf>
    <xf borderId="18" fillId="0" fontId="8" numFmtId="3" xfId="0" applyAlignment="1" applyBorder="1" applyFont="1" applyNumberFormat="1">
      <alignment horizontal="center" shrinkToFit="0" wrapText="1"/>
    </xf>
    <xf borderId="20" fillId="5" fontId="8" numFmtId="0" xfId="0" applyAlignment="1" applyBorder="1" applyFont="1">
      <alignment horizontal="center" shrinkToFit="0" wrapText="1"/>
    </xf>
    <xf borderId="11" fillId="2" fontId="20" numFmtId="0" xfId="0" applyAlignment="1" applyBorder="1" applyFont="1">
      <alignment horizontal="center" vertical="center"/>
    </xf>
    <xf borderId="10" fillId="0" fontId="8" numFmtId="164" xfId="0" applyBorder="1" applyFont="1" applyNumberFormat="1"/>
    <xf borderId="11" fillId="5" fontId="11" numFmtId="0" xfId="0" applyAlignment="1" applyBorder="1" applyFont="1">
      <alignment horizontal="center" readingOrder="0" shrinkToFit="0" wrapText="1"/>
    </xf>
    <xf borderId="18" fillId="0" fontId="19" numFmtId="0" xfId="0" applyAlignment="1" applyBorder="1" applyFont="1">
      <alignment vertical="center"/>
    </xf>
    <xf borderId="18" fillId="0" fontId="20" numFmtId="0" xfId="0" applyAlignment="1" applyBorder="1" applyFont="1">
      <alignment horizontal="center" vertical="center"/>
    </xf>
    <xf borderId="20" fillId="0" fontId="19" numFmtId="0" xfId="0" applyAlignment="1" applyBorder="1" applyFont="1">
      <alignment vertical="center"/>
    </xf>
    <xf borderId="20" fillId="0" fontId="20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33" fillId="5" fontId="11" numFmtId="0" xfId="0" applyAlignment="1" applyBorder="1" applyFont="1">
      <alignment horizontal="center" readingOrder="0" shrinkToFit="0" wrapText="1"/>
    </xf>
    <xf borderId="7" fillId="0" fontId="19" numFmtId="0" xfId="0" applyAlignment="1" applyBorder="1" applyFont="1">
      <alignment vertical="center"/>
    </xf>
    <xf borderId="20" fillId="0" fontId="2" numFmtId="4" xfId="0" applyBorder="1" applyFont="1" applyNumberFormat="1"/>
    <xf borderId="20" fillId="0" fontId="2" numFmtId="164" xfId="0" applyBorder="1" applyFont="1" applyNumberFormat="1"/>
    <xf borderId="8" fillId="0" fontId="8" numFmtId="4" xfId="0" applyAlignment="1" applyBorder="1" applyFont="1" applyNumberFormat="1">
      <alignment horizontal="right"/>
    </xf>
    <xf borderId="20" fillId="6" fontId="2" numFmtId="0" xfId="0" applyBorder="1" applyFill="1" applyFont="1"/>
    <xf borderId="20" fillId="0" fontId="8" numFmtId="0" xfId="0" applyAlignment="1" applyBorder="1" applyFont="1">
      <alignment readingOrder="0"/>
    </xf>
    <xf borderId="20" fillId="6" fontId="2" numFmtId="49" xfId="0" applyAlignment="1" applyBorder="1" applyFont="1" applyNumberFormat="1">
      <alignment vertical="bottom"/>
    </xf>
    <xf borderId="20" fillId="0" fontId="2" numFmtId="4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center" shrinkToFit="0" wrapText="1"/>
    </xf>
    <xf borderId="20" fillId="0" fontId="8" numFmtId="4" xfId="0" applyAlignment="1" applyBorder="1" applyFont="1" applyNumberFormat="1">
      <alignment horizontal="center"/>
    </xf>
    <xf borderId="18" fillId="0" fontId="2" numFmtId="49" xfId="0" applyAlignment="1" applyBorder="1" applyFont="1" applyNumberFormat="1">
      <alignment readingOrder="0" vertical="bottom"/>
    </xf>
    <xf borderId="18" fillId="0" fontId="8" numFmtId="49" xfId="0" applyBorder="1" applyFont="1" applyNumberFormat="1"/>
    <xf borderId="18" fillId="0" fontId="2" numFmtId="4" xfId="0" applyAlignment="1" applyBorder="1" applyFont="1" applyNumberFormat="1">
      <alignment vertical="bottom"/>
    </xf>
    <xf borderId="18" fillId="0" fontId="8" numFmtId="4" xfId="0" applyAlignment="1" applyBorder="1" applyFont="1" applyNumberFormat="1">
      <alignment horizontal="center" readingOrder="0"/>
    </xf>
    <xf borderId="18" fillId="0" fontId="2" numFmtId="0" xfId="0" applyBorder="1" applyFont="1"/>
    <xf borderId="8" fillId="0" fontId="2" numFmtId="0" xfId="0" applyAlignment="1" applyBorder="1" applyFont="1">
      <alignment vertical="bottom"/>
    </xf>
    <xf borderId="20" fillId="0" fontId="22" numFmtId="49" xfId="0" applyAlignment="1" applyBorder="1" applyFont="1" applyNumberFormat="1">
      <alignment horizontal="center" vertical="bottom"/>
    </xf>
    <xf borderId="20" fillId="0" fontId="22" numFmtId="49" xfId="0" applyBorder="1" applyFont="1" applyNumberFormat="1"/>
    <xf borderId="20" fillId="0" fontId="8" numFmtId="3" xfId="0" applyAlignment="1" applyBorder="1" applyFont="1" applyNumberFormat="1">
      <alignment horizontal="center"/>
    </xf>
    <xf borderId="8" fillId="0" fontId="2" numFmtId="0" xfId="0" applyBorder="1" applyFont="1"/>
    <xf borderId="0" fillId="0" fontId="21" numFmtId="0" xfId="0" applyAlignment="1" applyFont="1">
      <alignment readingOrder="0" vertical="bottom"/>
    </xf>
    <xf borderId="18" fillId="0" fontId="2" numFmtId="49" xfId="0" applyBorder="1" applyFont="1" applyNumberFormat="1"/>
    <xf borderId="18" fillId="0" fontId="8" numFmtId="0" xfId="0" applyAlignment="1" applyBorder="1" applyFont="1">
      <alignment horizontal="center" shrinkToFit="0" vertical="bottom" wrapText="1"/>
    </xf>
    <xf borderId="20" fillId="0" fontId="8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7" t="s">
        <v>15</v>
      </c>
      <c r="J9" s="27" t="s">
        <v>16</v>
      </c>
      <c r="K9" s="27" t="s">
        <v>17</v>
      </c>
      <c r="L9" s="28" t="s">
        <v>18</v>
      </c>
      <c r="M9" s="28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29" t="s">
        <v>41</v>
      </c>
      <c r="AJ9" s="30"/>
      <c r="AK9" s="23"/>
      <c r="AL9" s="24"/>
      <c r="AM9" s="24"/>
    </row>
    <row r="10">
      <c r="A10" s="31" t="s">
        <v>42</v>
      </c>
      <c r="B10" s="31" t="s">
        <v>43</v>
      </c>
      <c r="C10" s="31" t="s">
        <v>44</v>
      </c>
      <c r="D10" s="31" t="s">
        <v>45</v>
      </c>
      <c r="E10" s="32" t="s">
        <v>46</v>
      </c>
      <c r="F10" s="33" t="s">
        <v>47</v>
      </c>
      <c r="G10" s="31" t="s">
        <v>48</v>
      </c>
      <c r="H10" s="31" t="s">
        <v>49</v>
      </c>
      <c r="I10" s="31" t="s">
        <v>50</v>
      </c>
      <c r="J10" s="31" t="s">
        <v>51</v>
      </c>
      <c r="K10" s="31" t="s">
        <v>52</v>
      </c>
      <c r="L10" s="31" t="s">
        <v>53</v>
      </c>
      <c r="M10" s="31" t="s">
        <v>54</v>
      </c>
      <c r="N10" s="31" t="s">
        <v>55</v>
      </c>
      <c r="O10" s="31" t="s">
        <v>56</v>
      </c>
      <c r="P10" s="31" t="s">
        <v>57</v>
      </c>
      <c r="Q10" s="31" t="s">
        <v>58</v>
      </c>
      <c r="R10" s="31" t="s">
        <v>59</v>
      </c>
      <c r="S10" s="31" t="s">
        <v>60</v>
      </c>
      <c r="T10" s="31" t="s">
        <v>61</v>
      </c>
      <c r="U10" s="31" t="s">
        <v>62</v>
      </c>
      <c r="V10" s="31" t="s">
        <v>63</v>
      </c>
      <c r="W10" s="31" t="s">
        <v>64</v>
      </c>
      <c r="X10" s="31" t="s">
        <v>65</v>
      </c>
      <c r="Y10" s="31" t="s">
        <v>66</v>
      </c>
      <c r="Z10" s="31" t="s">
        <v>67</v>
      </c>
      <c r="AA10" s="31" t="s">
        <v>68</v>
      </c>
      <c r="AB10" s="31" t="s">
        <v>69</v>
      </c>
      <c r="AC10" s="31" t="s">
        <v>70</v>
      </c>
      <c r="AD10" s="31" t="s">
        <v>71</v>
      </c>
      <c r="AE10" s="31" t="s">
        <v>72</v>
      </c>
      <c r="AF10" s="31" t="s">
        <v>73</v>
      </c>
      <c r="AG10" s="31" t="s">
        <v>74</v>
      </c>
      <c r="AH10" s="31" t="s">
        <v>75</v>
      </c>
      <c r="AI10" s="34" t="s">
        <v>76</v>
      </c>
      <c r="AJ10" s="35"/>
      <c r="AK10" s="36"/>
    </row>
    <row r="11">
      <c r="A11" s="37" t="s">
        <v>77</v>
      </c>
      <c r="B11" s="38"/>
      <c r="C11" s="38" t="s">
        <v>78</v>
      </c>
      <c r="D11" s="39"/>
      <c r="E11" s="40"/>
      <c r="F11" s="41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7"/>
      <c r="AI11" s="42"/>
      <c r="AJ11" s="35"/>
      <c r="AK11" s="36"/>
    </row>
    <row r="12">
      <c r="A12" s="43"/>
      <c r="B12" s="44"/>
      <c r="C12" s="44" t="s">
        <v>79</v>
      </c>
      <c r="D12" s="45" t="s">
        <v>80</v>
      </c>
      <c r="E12" s="46">
        <v>25000.0</v>
      </c>
      <c r="F12" s="47">
        <v>25000.0</v>
      </c>
      <c r="G12" s="45" t="s">
        <v>81</v>
      </c>
      <c r="H12" s="45"/>
      <c r="I12" s="45"/>
      <c r="J12" s="45"/>
      <c r="K12" s="45">
        <v>1.0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3"/>
      <c r="AI12" s="48"/>
      <c r="AJ12" s="49"/>
      <c r="AK12" s="50"/>
      <c r="AL12" s="51"/>
      <c r="AM12" s="51"/>
    </row>
    <row r="13">
      <c r="A13" s="43"/>
      <c r="B13" s="44"/>
      <c r="C13" s="44" t="s">
        <v>82</v>
      </c>
      <c r="D13" s="45" t="s">
        <v>83</v>
      </c>
      <c r="E13" s="46">
        <v>8000.0</v>
      </c>
      <c r="F13" s="47">
        <v>32000.0</v>
      </c>
      <c r="G13" s="45" t="s">
        <v>81</v>
      </c>
      <c r="H13" s="45"/>
      <c r="I13" s="45">
        <v>2.0</v>
      </c>
      <c r="J13" s="45"/>
      <c r="K13" s="45">
        <v>2.0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3"/>
      <c r="AI13" s="48"/>
      <c r="AJ13" s="52"/>
      <c r="AK13" s="53"/>
      <c r="AL13" s="54"/>
      <c r="AM13" s="54"/>
    </row>
    <row r="14">
      <c r="A14" s="43"/>
      <c r="B14" s="44"/>
      <c r="C14" s="44" t="s">
        <v>84</v>
      </c>
      <c r="D14" s="45" t="s">
        <v>85</v>
      </c>
      <c r="E14" s="46">
        <v>8000.0</v>
      </c>
      <c r="F14" s="47">
        <v>16000.0</v>
      </c>
      <c r="G14" s="45" t="s">
        <v>86</v>
      </c>
      <c r="H14" s="45"/>
      <c r="I14" s="45">
        <v>1.0</v>
      </c>
      <c r="J14" s="45"/>
      <c r="K14" s="45">
        <v>1.0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3"/>
      <c r="AI14" s="48"/>
      <c r="AJ14" s="52"/>
      <c r="AK14" s="53"/>
      <c r="AL14" s="54"/>
      <c r="AM14" s="54"/>
    </row>
    <row r="15">
      <c r="A15" s="37" t="s">
        <v>87</v>
      </c>
      <c r="B15" s="38"/>
      <c r="C15" s="38" t="s">
        <v>88</v>
      </c>
      <c r="D15" s="37"/>
      <c r="E15" s="55"/>
      <c r="F15" s="5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42"/>
      <c r="AJ15" s="35"/>
      <c r="AK15" s="36"/>
    </row>
    <row r="16">
      <c r="A16" s="57"/>
      <c r="B16" s="58"/>
      <c r="C16" s="58" t="s">
        <v>89</v>
      </c>
      <c r="D16" s="59" t="s">
        <v>80</v>
      </c>
      <c r="E16" s="60">
        <v>80.0</v>
      </c>
      <c r="F16" s="61">
        <v>79000.0</v>
      </c>
      <c r="G16" s="62" t="s">
        <v>90</v>
      </c>
      <c r="H16" s="60"/>
      <c r="I16" s="63"/>
      <c r="J16" s="64">
        <v>100.0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5"/>
      <c r="AJ16" s="35"/>
      <c r="AK16" s="36"/>
    </row>
    <row r="17">
      <c r="A17" s="57"/>
      <c r="B17" s="58"/>
      <c r="C17" s="58" t="s">
        <v>91</v>
      </c>
      <c r="D17" s="66"/>
      <c r="E17" s="60">
        <v>850.0</v>
      </c>
      <c r="F17" s="66"/>
      <c r="G17" s="66"/>
      <c r="H17" s="60"/>
      <c r="I17" s="63"/>
      <c r="J17" s="64">
        <v>10.0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5"/>
      <c r="AJ17" s="35"/>
      <c r="AK17" s="36"/>
    </row>
    <row r="18">
      <c r="A18" s="57"/>
      <c r="B18" s="67"/>
      <c r="C18" s="58" t="s">
        <v>92</v>
      </c>
      <c r="D18" s="66"/>
      <c r="E18" s="60">
        <v>450.0</v>
      </c>
      <c r="F18" s="66"/>
      <c r="G18" s="66"/>
      <c r="H18" s="60"/>
      <c r="I18" s="63"/>
      <c r="J18" s="64">
        <v>10.0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5"/>
      <c r="AJ18" s="35"/>
      <c r="AK18" s="36"/>
    </row>
    <row r="19">
      <c r="A19" s="57"/>
      <c r="B19" s="67" t="s">
        <v>93</v>
      </c>
      <c r="C19" s="58" t="s">
        <v>94</v>
      </c>
      <c r="D19" s="66"/>
      <c r="E19" s="60">
        <v>80.0</v>
      </c>
      <c r="F19" s="66"/>
      <c r="G19" s="66"/>
      <c r="H19" s="60"/>
      <c r="I19" s="63"/>
      <c r="J19" s="64">
        <v>100.0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5"/>
      <c r="AJ19" s="35"/>
      <c r="AK19" s="36"/>
    </row>
    <row r="20">
      <c r="A20" s="57"/>
      <c r="B20" s="67" t="s">
        <v>95</v>
      </c>
      <c r="C20" s="58" t="s">
        <v>96</v>
      </c>
      <c r="D20" s="66"/>
      <c r="E20" s="60">
        <v>300.0</v>
      </c>
      <c r="F20" s="66"/>
      <c r="G20" s="66"/>
      <c r="H20" s="60"/>
      <c r="I20" s="63"/>
      <c r="J20" s="64">
        <v>25.0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5"/>
      <c r="AJ20" s="35"/>
      <c r="AK20" s="36"/>
    </row>
    <row r="21">
      <c r="A21" s="57"/>
      <c r="B21" s="67" t="s">
        <v>97</v>
      </c>
      <c r="C21" s="58" t="s">
        <v>98</v>
      </c>
      <c r="D21" s="66"/>
      <c r="E21" s="60">
        <v>350.0</v>
      </c>
      <c r="F21" s="66"/>
      <c r="G21" s="66"/>
      <c r="H21" s="60"/>
      <c r="I21" s="63"/>
      <c r="J21" s="64">
        <v>25.0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5"/>
      <c r="AJ21" s="35"/>
      <c r="AK21" s="36"/>
    </row>
    <row r="22">
      <c r="A22" s="57"/>
      <c r="B22" s="67" t="s">
        <v>99</v>
      </c>
      <c r="C22" s="58" t="s">
        <v>100</v>
      </c>
      <c r="D22" s="66"/>
      <c r="E22" s="60">
        <v>500.0</v>
      </c>
      <c r="F22" s="66"/>
      <c r="G22" s="66"/>
      <c r="H22" s="60"/>
      <c r="I22" s="63"/>
      <c r="J22" s="64">
        <v>5.0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5"/>
      <c r="AJ22" s="35"/>
      <c r="AK22" s="36"/>
    </row>
    <row r="23" ht="15.75" customHeight="1">
      <c r="A23" s="57"/>
      <c r="B23" s="67"/>
      <c r="C23" s="58" t="s">
        <v>101</v>
      </c>
      <c r="D23" s="66"/>
      <c r="E23" s="60">
        <v>350.0</v>
      </c>
      <c r="F23" s="66"/>
      <c r="G23" s="66"/>
      <c r="H23" s="60"/>
      <c r="I23" s="63"/>
      <c r="J23" s="64">
        <v>10.0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5"/>
      <c r="AJ23" s="35"/>
      <c r="AK23" s="36"/>
    </row>
    <row r="24" ht="15.75" customHeight="1">
      <c r="A24" s="57"/>
      <c r="B24" s="67"/>
      <c r="C24" s="68" t="s">
        <v>102</v>
      </c>
      <c r="D24" s="66"/>
      <c r="E24" s="60">
        <v>6000.0</v>
      </c>
      <c r="F24" s="66"/>
      <c r="G24" s="66"/>
      <c r="H24" s="60"/>
      <c r="I24" s="63"/>
      <c r="J24" s="64">
        <v>4.0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5"/>
      <c r="AJ24" s="35"/>
      <c r="AK24" s="36"/>
    </row>
    <row r="25" ht="15.75" customHeight="1">
      <c r="A25" s="57"/>
      <c r="B25" s="67"/>
      <c r="C25" s="68" t="s">
        <v>103</v>
      </c>
      <c r="D25" s="66"/>
      <c r="E25" s="60">
        <v>50.0</v>
      </c>
      <c r="F25" s="66"/>
      <c r="G25" s="66"/>
      <c r="H25" s="60"/>
      <c r="I25" s="63"/>
      <c r="J25" s="64">
        <v>10.0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5"/>
      <c r="AJ25" s="35"/>
      <c r="AK25" s="36"/>
    </row>
    <row r="26" ht="15.75" customHeight="1">
      <c r="A26" s="43"/>
      <c r="B26" s="45" t="s">
        <v>104</v>
      </c>
      <c r="C26" s="69" t="s">
        <v>105</v>
      </c>
      <c r="D26" s="66"/>
      <c r="E26" s="70">
        <v>150.0</v>
      </c>
      <c r="F26" s="66"/>
      <c r="G26" s="66"/>
      <c r="H26" s="70"/>
      <c r="I26" s="71"/>
      <c r="J26" s="72">
        <v>5.0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3"/>
      <c r="AJ26" s="49"/>
      <c r="AK26" s="50"/>
      <c r="AL26" s="74"/>
      <c r="AM26" s="74"/>
    </row>
    <row r="27" ht="15.75" customHeight="1">
      <c r="A27" s="43"/>
      <c r="B27" s="45"/>
      <c r="C27" s="69" t="s">
        <v>106</v>
      </c>
      <c r="D27" s="66"/>
      <c r="E27" s="70">
        <v>180.0</v>
      </c>
      <c r="F27" s="66"/>
      <c r="G27" s="66"/>
      <c r="H27" s="70"/>
      <c r="I27" s="71"/>
      <c r="J27" s="72">
        <v>5.0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3"/>
      <c r="AJ27" s="49"/>
      <c r="AK27" s="50"/>
      <c r="AL27" s="74"/>
      <c r="AM27" s="74"/>
    </row>
    <row r="28" ht="15.75" customHeight="1">
      <c r="A28" s="43"/>
      <c r="B28" s="45"/>
      <c r="C28" s="69" t="s">
        <v>107</v>
      </c>
      <c r="D28" s="75"/>
      <c r="E28" s="70">
        <v>80.0</v>
      </c>
      <c r="F28" s="75"/>
      <c r="G28" s="75"/>
      <c r="H28" s="70"/>
      <c r="I28" s="71"/>
      <c r="J28" s="72">
        <v>20.0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3"/>
      <c r="AJ28" s="49"/>
      <c r="AK28" s="50"/>
      <c r="AL28" s="74"/>
      <c r="AM28" s="74"/>
    </row>
    <row r="29" ht="15.75" customHeight="1">
      <c r="A29" s="57"/>
      <c r="B29" s="64"/>
      <c r="C29" s="76" t="s">
        <v>108</v>
      </c>
      <c r="D29" s="77" t="s">
        <v>80</v>
      </c>
      <c r="E29" s="60">
        <v>9000.0</v>
      </c>
      <c r="F29" s="61">
        <v>111000.0</v>
      </c>
      <c r="G29" s="62" t="s">
        <v>90</v>
      </c>
      <c r="H29" s="60"/>
      <c r="I29" s="63"/>
      <c r="J29" s="64"/>
      <c r="K29" s="64">
        <v>4.0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5"/>
      <c r="AJ29" s="35"/>
      <c r="AK29" s="36"/>
    </row>
    <row r="30" ht="15.75" customHeight="1">
      <c r="A30" s="57"/>
      <c r="B30" s="67"/>
      <c r="C30" s="58" t="s">
        <v>109</v>
      </c>
      <c r="D30" s="66"/>
      <c r="E30" s="60">
        <v>2500.0</v>
      </c>
      <c r="F30" s="66"/>
      <c r="G30" s="66"/>
      <c r="H30" s="60"/>
      <c r="I30" s="63"/>
      <c r="J30" s="64"/>
      <c r="K30" s="64">
        <v>6.0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5"/>
      <c r="AJ30" s="35"/>
      <c r="AK30" s="36"/>
    </row>
    <row r="31" ht="15.75" customHeight="1">
      <c r="A31" s="57"/>
      <c r="B31" s="64"/>
      <c r="C31" s="78" t="s">
        <v>110</v>
      </c>
      <c r="D31" s="66"/>
      <c r="E31" s="60">
        <v>750.0</v>
      </c>
      <c r="F31" s="66"/>
      <c r="G31" s="66"/>
      <c r="H31" s="60"/>
      <c r="I31" s="63"/>
      <c r="J31" s="64"/>
      <c r="K31" s="64">
        <v>20.0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5"/>
      <c r="AJ31" s="35"/>
      <c r="AK31" s="36"/>
    </row>
    <row r="32" ht="15.75" customHeight="1">
      <c r="A32" s="57"/>
      <c r="B32" s="78"/>
      <c r="C32" s="78" t="s">
        <v>111</v>
      </c>
      <c r="D32" s="66"/>
      <c r="E32" s="60">
        <v>750.0</v>
      </c>
      <c r="F32" s="66"/>
      <c r="G32" s="66"/>
      <c r="H32" s="60"/>
      <c r="I32" s="63"/>
      <c r="J32" s="64"/>
      <c r="K32" s="64">
        <v>20.0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5"/>
      <c r="AJ32" s="35"/>
      <c r="AK32" s="36"/>
    </row>
    <row r="33" ht="15.75" customHeight="1">
      <c r="A33" s="57"/>
      <c r="B33" s="78"/>
      <c r="C33" s="78" t="s">
        <v>112</v>
      </c>
      <c r="D33" s="66"/>
      <c r="E33" s="60">
        <v>750.0</v>
      </c>
      <c r="F33" s="66"/>
      <c r="G33" s="66"/>
      <c r="H33" s="60"/>
      <c r="I33" s="63"/>
      <c r="J33" s="64"/>
      <c r="K33" s="64">
        <v>20.0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5"/>
      <c r="AJ33" s="35"/>
      <c r="AK33" s="36"/>
    </row>
    <row r="34" ht="15.75" customHeight="1">
      <c r="A34" s="57"/>
      <c r="B34" s="78"/>
      <c r="C34" s="78" t="s">
        <v>113</v>
      </c>
      <c r="D34" s="75"/>
      <c r="E34" s="60">
        <v>750.0</v>
      </c>
      <c r="F34" s="75"/>
      <c r="G34" s="75"/>
      <c r="H34" s="60"/>
      <c r="I34" s="63"/>
      <c r="J34" s="64"/>
      <c r="K34" s="64">
        <v>20.0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5"/>
      <c r="AJ34" s="35"/>
      <c r="AK34" s="36"/>
    </row>
    <row r="35" ht="15.75" customHeight="1">
      <c r="A35" s="37" t="s">
        <v>114</v>
      </c>
      <c r="B35" s="79"/>
      <c r="C35" s="79" t="s">
        <v>115</v>
      </c>
      <c r="D35" s="80"/>
      <c r="E35" s="81"/>
      <c r="F35" s="80"/>
      <c r="G35" s="80"/>
      <c r="H35" s="80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3"/>
      <c r="AJ35" s="35"/>
      <c r="AK35" s="36"/>
    </row>
    <row r="36" ht="27.75" customHeight="1">
      <c r="A36" s="43"/>
      <c r="B36" s="84" t="s">
        <v>116</v>
      </c>
      <c r="C36" s="85" t="s">
        <v>117</v>
      </c>
      <c r="D36" s="86" t="s">
        <v>80</v>
      </c>
      <c r="E36" s="70">
        <v>3750.0</v>
      </c>
      <c r="F36" s="87">
        <v>145600.0</v>
      </c>
      <c r="G36" s="88" t="s">
        <v>81</v>
      </c>
      <c r="H36" s="89"/>
      <c r="I36" s="72"/>
      <c r="J36" s="72">
        <v>2.0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3"/>
      <c r="AJ36" s="49"/>
      <c r="AK36" s="50"/>
      <c r="AL36" s="74"/>
      <c r="AM36" s="74"/>
    </row>
    <row r="37" ht="27.75" customHeight="1">
      <c r="A37" s="43"/>
      <c r="B37" s="85"/>
      <c r="C37" s="85" t="s">
        <v>118</v>
      </c>
      <c r="D37" s="66"/>
      <c r="E37" s="70">
        <v>11900.0</v>
      </c>
      <c r="F37" s="66"/>
      <c r="G37" s="66"/>
      <c r="H37" s="89"/>
      <c r="I37" s="72"/>
      <c r="J37" s="72">
        <v>1.0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3"/>
      <c r="AJ37" s="49"/>
      <c r="AK37" s="50"/>
      <c r="AL37" s="74"/>
      <c r="AM37" s="74"/>
    </row>
    <row r="38" ht="27.75" customHeight="1">
      <c r="A38" s="43"/>
      <c r="B38" s="85"/>
      <c r="C38" s="85" t="s">
        <v>119</v>
      </c>
      <c r="D38" s="66"/>
      <c r="E38" s="70">
        <v>8500.0</v>
      </c>
      <c r="F38" s="66"/>
      <c r="G38" s="66"/>
      <c r="H38" s="89"/>
      <c r="I38" s="72"/>
      <c r="J38" s="72">
        <v>1.0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3"/>
      <c r="AJ38" s="49"/>
      <c r="AK38" s="50"/>
      <c r="AL38" s="74"/>
      <c r="AM38" s="74"/>
    </row>
    <row r="39" ht="27.75" customHeight="1">
      <c r="A39" s="43"/>
      <c r="B39" s="85"/>
      <c r="C39" s="85" t="s">
        <v>120</v>
      </c>
      <c r="D39" s="66"/>
      <c r="E39" s="70">
        <v>20000.0</v>
      </c>
      <c r="F39" s="66"/>
      <c r="G39" s="66"/>
      <c r="H39" s="89"/>
      <c r="I39" s="72"/>
      <c r="J39" s="72">
        <v>1.0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3"/>
      <c r="AJ39" s="49"/>
      <c r="AK39" s="50"/>
      <c r="AL39" s="74"/>
      <c r="AM39" s="74"/>
    </row>
    <row r="40" ht="27.75" customHeight="1">
      <c r="A40" s="43"/>
      <c r="B40" s="85"/>
      <c r="C40" s="85" t="s">
        <v>121</v>
      </c>
      <c r="D40" s="66"/>
      <c r="E40" s="70">
        <v>40000.0</v>
      </c>
      <c r="F40" s="66"/>
      <c r="G40" s="66"/>
      <c r="H40" s="89"/>
      <c r="I40" s="72"/>
      <c r="J40" s="72">
        <v>1.0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3"/>
      <c r="AJ40" s="49"/>
      <c r="AK40" s="50"/>
      <c r="AL40" s="74"/>
      <c r="AM40" s="74"/>
    </row>
    <row r="41" ht="25.5" customHeight="1">
      <c r="A41" s="43"/>
      <c r="B41" s="85"/>
      <c r="C41" s="85" t="s">
        <v>122</v>
      </c>
      <c r="D41" s="66"/>
      <c r="E41" s="70">
        <v>4740.0</v>
      </c>
      <c r="F41" s="66"/>
      <c r="G41" s="66"/>
      <c r="H41" s="89"/>
      <c r="I41" s="72"/>
      <c r="J41" s="72">
        <v>5.0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3"/>
      <c r="AJ41" s="49"/>
      <c r="AK41" s="50"/>
      <c r="AL41" s="74"/>
      <c r="AM41" s="74"/>
    </row>
    <row r="42" ht="27.75" customHeight="1">
      <c r="A42" s="43"/>
      <c r="B42" s="85"/>
      <c r="C42" s="85" t="s">
        <v>123</v>
      </c>
      <c r="D42" s="66"/>
      <c r="E42" s="70">
        <v>14000.0</v>
      </c>
      <c r="F42" s="66"/>
      <c r="G42" s="66"/>
      <c r="H42" s="89"/>
      <c r="I42" s="72"/>
      <c r="J42" s="72">
        <v>1.0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3"/>
      <c r="AJ42" s="49"/>
      <c r="AK42" s="50"/>
      <c r="AL42" s="74"/>
      <c r="AM42" s="74"/>
    </row>
    <row r="43" ht="27.75" customHeight="1">
      <c r="A43" s="43"/>
      <c r="B43" s="85"/>
      <c r="C43" s="85" t="s">
        <v>124</v>
      </c>
      <c r="D43" s="66"/>
      <c r="E43" s="70">
        <v>10000.0</v>
      </c>
      <c r="F43" s="66"/>
      <c r="G43" s="66"/>
      <c r="H43" s="89"/>
      <c r="I43" s="72"/>
      <c r="J43" s="72">
        <v>1.0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3"/>
      <c r="AJ43" s="49"/>
      <c r="AK43" s="50"/>
      <c r="AL43" s="74"/>
      <c r="AM43" s="74"/>
    </row>
    <row r="44" ht="27.75" customHeight="1">
      <c r="A44" s="43"/>
      <c r="B44" s="85"/>
      <c r="C44" s="85" t="s">
        <v>125</v>
      </c>
      <c r="D44" s="75"/>
      <c r="E44" s="70">
        <v>10000.0</v>
      </c>
      <c r="F44" s="75"/>
      <c r="G44" s="75"/>
      <c r="H44" s="89"/>
      <c r="I44" s="72"/>
      <c r="J44" s="72">
        <v>1.0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3"/>
      <c r="AJ44" s="49"/>
      <c r="AK44" s="50"/>
      <c r="AL44" s="74"/>
      <c r="AM44" s="74"/>
    </row>
    <row r="45" ht="27.75" customHeight="1">
      <c r="A45" s="43"/>
      <c r="B45" s="44"/>
      <c r="C45" s="44" t="s">
        <v>126</v>
      </c>
      <c r="D45" s="88" t="s">
        <v>80</v>
      </c>
      <c r="E45" s="70">
        <v>10000.0</v>
      </c>
      <c r="F45" s="90">
        <v>139425.0</v>
      </c>
      <c r="G45" s="88" t="s">
        <v>81</v>
      </c>
      <c r="H45" s="89"/>
      <c r="I45" s="72"/>
      <c r="J45" s="72">
        <v>1.0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3"/>
      <c r="AJ45" s="49"/>
      <c r="AK45" s="50"/>
      <c r="AL45" s="74"/>
      <c r="AM45" s="74"/>
    </row>
    <row r="46" ht="27.75" customHeight="1">
      <c r="A46" s="43"/>
      <c r="B46" s="85"/>
      <c r="C46" s="85" t="s">
        <v>127</v>
      </c>
      <c r="D46" s="66"/>
      <c r="E46" s="70">
        <v>43200.0</v>
      </c>
      <c r="F46" s="66"/>
      <c r="G46" s="66"/>
      <c r="H46" s="89"/>
      <c r="I46" s="72"/>
      <c r="J46" s="72">
        <v>1.0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3"/>
      <c r="AJ46" s="49"/>
      <c r="AK46" s="50"/>
      <c r="AL46" s="74"/>
      <c r="AM46" s="74"/>
    </row>
    <row r="47" ht="27.75" customHeight="1">
      <c r="A47" s="43"/>
      <c r="B47" s="85"/>
      <c r="C47" s="85" t="s">
        <v>128</v>
      </c>
      <c r="D47" s="66"/>
      <c r="E47" s="70">
        <v>10000.0</v>
      </c>
      <c r="F47" s="66"/>
      <c r="G47" s="66"/>
      <c r="H47" s="89"/>
      <c r="I47" s="72"/>
      <c r="J47" s="72">
        <v>1.0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3"/>
      <c r="AJ47" s="49"/>
      <c r="AK47" s="50"/>
      <c r="AL47" s="74"/>
      <c r="AM47" s="74"/>
    </row>
    <row r="48" ht="27.75" customHeight="1">
      <c r="A48" s="43"/>
      <c r="B48" s="85"/>
      <c r="C48" s="85" t="s">
        <v>129</v>
      </c>
      <c r="D48" s="66"/>
      <c r="E48" s="70">
        <v>5325.0</v>
      </c>
      <c r="F48" s="66"/>
      <c r="G48" s="66"/>
      <c r="H48" s="89"/>
      <c r="I48" s="72"/>
      <c r="J48" s="72">
        <v>1.0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3"/>
      <c r="AJ48" s="49"/>
      <c r="AK48" s="50"/>
      <c r="AL48" s="74"/>
      <c r="AM48" s="74"/>
    </row>
    <row r="49" ht="27.75" customHeight="1">
      <c r="A49" s="43"/>
      <c r="B49" s="91"/>
      <c r="C49" s="91" t="s">
        <v>130</v>
      </c>
      <c r="D49" s="66"/>
      <c r="E49" s="70">
        <v>6000.0</v>
      </c>
      <c r="F49" s="66"/>
      <c r="G49" s="66"/>
      <c r="H49" s="89"/>
      <c r="I49" s="72"/>
      <c r="J49" s="72">
        <v>1.0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3"/>
      <c r="AJ49" s="49"/>
      <c r="AK49" s="50"/>
      <c r="AL49" s="74"/>
      <c r="AM49" s="74"/>
    </row>
    <row r="50" ht="27.75" customHeight="1">
      <c r="A50" s="43"/>
      <c r="B50" s="85"/>
      <c r="C50" s="85" t="s">
        <v>131</v>
      </c>
      <c r="D50" s="66"/>
      <c r="E50" s="70">
        <v>23000.0</v>
      </c>
      <c r="F50" s="66"/>
      <c r="G50" s="66"/>
      <c r="H50" s="89"/>
      <c r="I50" s="72"/>
      <c r="J50" s="72">
        <v>2.0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3"/>
      <c r="AJ50" s="49"/>
      <c r="AK50" s="50"/>
      <c r="AL50" s="74"/>
      <c r="AM50" s="74"/>
    </row>
    <row r="51" ht="27.75" customHeight="1">
      <c r="A51" s="43"/>
      <c r="B51" s="85"/>
      <c r="C51" s="85" t="s">
        <v>132</v>
      </c>
      <c r="D51" s="66"/>
      <c r="E51" s="70">
        <v>4500.0</v>
      </c>
      <c r="F51" s="66"/>
      <c r="G51" s="66"/>
      <c r="H51" s="89"/>
      <c r="I51" s="72"/>
      <c r="J51" s="72">
        <v>1.0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3"/>
      <c r="AJ51" s="49"/>
      <c r="AK51" s="50"/>
      <c r="AL51" s="74"/>
      <c r="AM51" s="74"/>
    </row>
    <row r="52" ht="29.25" customHeight="1">
      <c r="A52" s="43"/>
      <c r="B52" s="85"/>
      <c r="C52" s="85" t="s">
        <v>133</v>
      </c>
      <c r="D52" s="75"/>
      <c r="E52" s="70">
        <v>7200.0</v>
      </c>
      <c r="F52" s="75"/>
      <c r="G52" s="75"/>
      <c r="H52" s="89"/>
      <c r="I52" s="72"/>
      <c r="J52" s="72">
        <v>2.0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3"/>
      <c r="AJ52" s="49"/>
      <c r="AK52" s="50"/>
      <c r="AL52" s="74"/>
      <c r="AM52" s="74"/>
    </row>
    <row r="53" ht="27.75" customHeight="1">
      <c r="A53" s="43"/>
      <c r="B53" s="44"/>
      <c r="C53" s="44" t="s">
        <v>134</v>
      </c>
      <c r="D53" s="88" t="s">
        <v>80</v>
      </c>
      <c r="E53" s="70">
        <v>9000.0</v>
      </c>
      <c r="F53" s="90">
        <v>164180.0</v>
      </c>
      <c r="G53" s="88" t="s">
        <v>81</v>
      </c>
      <c r="H53" s="89"/>
      <c r="I53" s="72"/>
      <c r="J53" s="72">
        <v>4.0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3"/>
      <c r="AJ53" s="49"/>
      <c r="AK53" s="50"/>
      <c r="AL53" s="74"/>
      <c r="AM53" s="74"/>
    </row>
    <row r="54" ht="27.75" customHeight="1">
      <c r="A54" s="43"/>
      <c r="B54" s="85"/>
      <c r="C54" s="85" t="s">
        <v>135</v>
      </c>
      <c r="D54" s="66"/>
      <c r="E54" s="70">
        <v>7800.0</v>
      </c>
      <c r="F54" s="66"/>
      <c r="G54" s="66"/>
      <c r="H54" s="89"/>
      <c r="I54" s="72"/>
      <c r="J54" s="72">
        <v>4.0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3"/>
      <c r="AJ54" s="49"/>
      <c r="AK54" s="50"/>
      <c r="AL54" s="74"/>
      <c r="AM54" s="74"/>
    </row>
    <row r="55" ht="27.75" customHeight="1">
      <c r="A55" s="43"/>
      <c r="B55" s="85"/>
      <c r="C55" s="85" t="s">
        <v>136</v>
      </c>
      <c r="D55" s="66"/>
      <c r="E55" s="70">
        <v>45480.0</v>
      </c>
      <c r="F55" s="66"/>
      <c r="G55" s="66"/>
      <c r="H55" s="89"/>
      <c r="I55" s="72"/>
      <c r="J55" s="72">
        <v>1.0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3"/>
      <c r="AJ55" s="49"/>
      <c r="AK55" s="50"/>
      <c r="AL55" s="74"/>
      <c r="AM55" s="74"/>
    </row>
    <row r="56" ht="27.75" customHeight="1">
      <c r="A56" s="43"/>
      <c r="B56" s="85"/>
      <c r="C56" s="85" t="s">
        <v>137</v>
      </c>
      <c r="D56" s="66"/>
      <c r="E56" s="70">
        <v>4000.0</v>
      </c>
      <c r="F56" s="66"/>
      <c r="G56" s="66"/>
      <c r="H56" s="89"/>
      <c r="I56" s="72"/>
      <c r="J56" s="72">
        <v>2.0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3"/>
      <c r="AJ56" s="49"/>
      <c r="AK56" s="50"/>
      <c r="AL56" s="74"/>
      <c r="AM56" s="74"/>
    </row>
    <row r="57" ht="27.75" customHeight="1">
      <c r="A57" s="43"/>
      <c r="B57" s="85"/>
      <c r="C57" s="85" t="s">
        <v>138</v>
      </c>
      <c r="D57" s="66"/>
      <c r="E57" s="70">
        <v>16500.0</v>
      </c>
      <c r="F57" s="66"/>
      <c r="G57" s="66"/>
      <c r="H57" s="89"/>
      <c r="I57" s="72"/>
      <c r="J57" s="72">
        <v>1.0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3"/>
      <c r="AJ57" s="49"/>
      <c r="AK57" s="50"/>
      <c r="AL57" s="74"/>
      <c r="AM57" s="74"/>
    </row>
    <row r="58" ht="27.75" customHeight="1">
      <c r="A58" s="43"/>
      <c r="B58" s="85"/>
      <c r="C58" s="85" t="s">
        <v>139</v>
      </c>
      <c r="D58" s="75"/>
      <c r="E58" s="70">
        <v>27000.0</v>
      </c>
      <c r="F58" s="75"/>
      <c r="G58" s="75"/>
      <c r="H58" s="89"/>
      <c r="I58" s="72"/>
      <c r="J58" s="72">
        <v>1.0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3"/>
      <c r="AJ58" s="49"/>
      <c r="AK58" s="50"/>
      <c r="AL58" s="74"/>
      <c r="AM58" s="74"/>
    </row>
    <row r="59" ht="27.75" customHeight="1">
      <c r="A59" s="43"/>
      <c r="B59" s="84" t="s">
        <v>140</v>
      </c>
      <c r="C59" s="85" t="s">
        <v>141</v>
      </c>
      <c r="D59" s="88" t="s">
        <v>80</v>
      </c>
      <c r="E59" s="70">
        <v>3750.0</v>
      </c>
      <c r="F59" s="90">
        <v>96200.0</v>
      </c>
      <c r="G59" s="88" t="s">
        <v>81</v>
      </c>
      <c r="H59" s="89"/>
      <c r="I59" s="72"/>
      <c r="J59" s="72">
        <v>2.0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3"/>
      <c r="AJ59" s="49"/>
      <c r="AK59" s="50"/>
      <c r="AL59" s="74"/>
      <c r="AM59" s="74"/>
    </row>
    <row r="60" ht="27.75" customHeight="1">
      <c r="A60" s="43"/>
      <c r="B60" s="85"/>
      <c r="C60" s="85" t="s">
        <v>142</v>
      </c>
      <c r="D60" s="66"/>
      <c r="E60" s="70">
        <v>2500.0</v>
      </c>
      <c r="F60" s="66"/>
      <c r="G60" s="66"/>
      <c r="H60" s="89"/>
      <c r="I60" s="72"/>
      <c r="J60" s="72">
        <v>10.0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3"/>
      <c r="AJ60" s="49"/>
      <c r="AK60" s="50"/>
      <c r="AL60" s="74"/>
      <c r="AM60" s="74"/>
    </row>
    <row r="61" ht="27.75" customHeight="1">
      <c r="A61" s="43"/>
      <c r="B61" s="84"/>
      <c r="C61" s="85" t="s">
        <v>143</v>
      </c>
      <c r="D61" s="66"/>
      <c r="E61" s="70">
        <v>7200.0</v>
      </c>
      <c r="F61" s="66"/>
      <c r="G61" s="66"/>
      <c r="H61" s="89"/>
      <c r="I61" s="72"/>
      <c r="J61" s="72">
        <v>1.0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3"/>
      <c r="AJ61" s="49"/>
      <c r="AK61" s="50"/>
      <c r="AL61" s="74"/>
      <c r="AM61" s="74"/>
    </row>
    <row r="62" ht="27.75" customHeight="1">
      <c r="A62" s="43"/>
      <c r="B62" s="84"/>
      <c r="C62" s="85" t="s">
        <v>144</v>
      </c>
      <c r="D62" s="66"/>
      <c r="E62" s="70">
        <v>21000.0</v>
      </c>
      <c r="F62" s="66"/>
      <c r="G62" s="66"/>
      <c r="H62" s="89"/>
      <c r="I62" s="72"/>
      <c r="J62" s="72">
        <v>1.0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3"/>
      <c r="AJ62" s="49"/>
      <c r="AK62" s="50"/>
      <c r="AL62" s="74"/>
      <c r="AM62" s="74"/>
    </row>
    <row r="63" ht="27.75" customHeight="1">
      <c r="A63" s="43"/>
      <c r="B63" s="84"/>
      <c r="C63" s="85" t="s">
        <v>145</v>
      </c>
      <c r="D63" s="66"/>
      <c r="E63" s="70">
        <v>20000.0</v>
      </c>
      <c r="F63" s="66"/>
      <c r="G63" s="66"/>
      <c r="H63" s="89"/>
      <c r="I63" s="72"/>
      <c r="J63" s="72">
        <v>1.0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3"/>
      <c r="AJ63" s="49"/>
      <c r="AK63" s="50"/>
      <c r="AL63" s="74"/>
      <c r="AM63" s="74"/>
    </row>
    <row r="64" ht="27.75" customHeight="1">
      <c r="A64" s="43"/>
      <c r="B64" s="85"/>
      <c r="C64" s="85" t="s">
        <v>146</v>
      </c>
      <c r="D64" s="66"/>
      <c r="E64" s="70">
        <v>9500.0</v>
      </c>
      <c r="F64" s="66"/>
      <c r="G64" s="66"/>
      <c r="H64" s="89"/>
      <c r="I64" s="72"/>
      <c r="J64" s="72">
        <v>1.0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3"/>
      <c r="AJ64" s="49"/>
      <c r="AK64" s="50"/>
      <c r="AL64" s="74"/>
      <c r="AM64" s="74"/>
    </row>
    <row r="65" ht="27.75" customHeight="1">
      <c r="A65" s="43"/>
      <c r="B65" s="84" t="s">
        <v>147</v>
      </c>
      <c r="C65" s="85" t="s">
        <v>148</v>
      </c>
      <c r="D65" s="75"/>
      <c r="E65" s="70">
        <v>300.0</v>
      </c>
      <c r="F65" s="75"/>
      <c r="G65" s="75"/>
      <c r="H65" s="89"/>
      <c r="I65" s="72"/>
      <c r="J65" s="72">
        <v>20.0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3"/>
      <c r="AJ65" s="49"/>
      <c r="AK65" s="50"/>
      <c r="AL65" s="74"/>
      <c r="AM65" s="74"/>
    </row>
    <row r="66" ht="27.75" customHeight="1">
      <c r="A66" s="43"/>
      <c r="B66" s="85"/>
      <c r="C66" s="85" t="s">
        <v>149</v>
      </c>
      <c r="D66" s="45" t="s">
        <v>150</v>
      </c>
      <c r="E66" s="70">
        <v>49000.0</v>
      </c>
      <c r="F66" s="47">
        <v>49000.0</v>
      </c>
      <c r="G66" s="45" t="s">
        <v>90</v>
      </c>
      <c r="H66" s="89"/>
      <c r="I66" s="72"/>
      <c r="J66" s="72">
        <v>1.0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3"/>
      <c r="AJ66" s="49"/>
      <c r="AK66" s="50"/>
      <c r="AL66" s="74"/>
      <c r="AM66" s="74"/>
    </row>
    <row r="67" ht="15.75" customHeight="1">
      <c r="A67" s="37" t="s">
        <v>151</v>
      </c>
      <c r="B67" s="79"/>
      <c r="C67" s="79" t="s">
        <v>152</v>
      </c>
      <c r="D67" s="39"/>
      <c r="E67" s="40"/>
      <c r="F67" s="41"/>
      <c r="G67" s="80"/>
      <c r="H67" s="80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3"/>
      <c r="AJ67" s="35"/>
      <c r="AK67" s="36"/>
    </row>
    <row r="68" ht="27.0" customHeight="1">
      <c r="A68" s="57"/>
      <c r="B68" s="76"/>
      <c r="C68" s="76" t="s">
        <v>153</v>
      </c>
      <c r="D68" s="67" t="s">
        <v>154</v>
      </c>
      <c r="E68" s="92">
        <v>400.0</v>
      </c>
      <c r="F68" s="93">
        <v>6900.0</v>
      </c>
      <c r="G68" s="94" t="s">
        <v>155</v>
      </c>
      <c r="H68" s="78"/>
      <c r="I68" s="64"/>
      <c r="J68" s="64">
        <v>17.25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5"/>
      <c r="AJ68" s="35"/>
      <c r="AK68" s="36"/>
    </row>
    <row r="69" ht="25.5" customHeight="1">
      <c r="A69" s="43"/>
      <c r="B69" s="95"/>
      <c r="C69" s="95" t="s">
        <v>156</v>
      </c>
      <c r="D69" s="45" t="s">
        <v>157</v>
      </c>
      <c r="E69" s="46">
        <v>300.0</v>
      </c>
      <c r="F69" s="47">
        <f>300*300</f>
        <v>90000</v>
      </c>
      <c r="G69" s="45" t="s">
        <v>81</v>
      </c>
      <c r="H69" s="89"/>
      <c r="I69" s="72"/>
      <c r="J69" s="72"/>
      <c r="K69" s="72">
        <v>300.0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3"/>
      <c r="AJ69" s="49"/>
      <c r="AK69" s="50"/>
      <c r="AL69" s="74"/>
      <c r="AM69" s="74"/>
    </row>
    <row r="70" ht="29.25" customHeight="1">
      <c r="A70" s="57"/>
      <c r="B70" s="68"/>
      <c r="C70" s="68" t="s">
        <v>158</v>
      </c>
      <c r="D70" s="77" t="s">
        <v>80</v>
      </c>
      <c r="E70" s="92">
        <v>1500.0</v>
      </c>
      <c r="F70" s="96">
        <v>40300.0</v>
      </c>
      <c r="G70" s="62" t="s">
        <v>90</v>
      </c>
      <c r="H70" s="78"/>
      <c r="I70" s="64"/>
      <c r="J70" s="64">
        <v>13.0</v>
      </c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5"/>
      <c r="AJ70" s="35"/>
      <c r="AK70" s="36"/>
    </row>
    <row r="71" ht="15.75" customHeight="1">
      <c r="A71" s="57"/>
      <c r="B71" s="78"/>
      <c r="C71" s="78" t="s">
        <v>159</v>
      </c>
      <c r="D71" s="66"/>
      <c r="E71" s="92">
        <v>800.0</v>
      </c>
      <c r="F71" s="66"/>
      <c r="G71" s="66"/>
      <c r="H71" s="78"/>
      <c r="I71" s="64"/>
      <c r="J71" s="64">
        <v>13.0</v>
      </c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5"/>
      <c r="AJ71" s="35"/>
      <c r="AK71" s="36"/>
    </row>
    <row r="72" ht="15.75" customHeight="1">
      <c r="A72" s="57"/>
      <c r="B72" s="78"/>
      <c r="C72" s="78" t="s">
        <v>160</v>
      </c>
      <c r="D72" s="66"/>
      <c r="E72" s="92">
        <v>300.0</v>
      </c>
      <c r="F72" s="66"/>
      <c r="G72" s="66"/>
      <c r="H72" s="78"/>
      <c r="I72" s="64"/>
      <c r="J72" s="64">
        <v>13.0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5"/>
      <c r="AJ72" s="35"/>
      <c r="AK72" s="36"/>
    </row>
    <row r="73" ht="27.75" customHeight="1">
      <c r="A73" s="57"/>
      <c r="B73" s="58"/>
      <c r="C73" s="58" t="s">
        <v>161</v>
      </c>
      <c r="D73" s="66"/>
      <c r="E73" s="92">
        <v>500.0</v>
      </c>
      <c r="F73" s="75"/>
      <c r="G73" s="75"/>
      <c r="H73" s="78"/>
      <c r="I73" s="64"/>
      <c r="J73" s="64">
        <v>13.0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5"/>
      <c r="AJ73" s="35"/>
      <c r="AK73" s="36"/>
    </row>
    <row r="74" ht="15.75" customHeight="1">
      <c r="A74" s="57"/>
      <c r="B74" s="97"/>
      <c r="C74" s="97" t="s">
        <v>162</v>
      </c>
      <c r="D74" s="77" t="s">
        <v>80</v>
      </c>
      <c r="E74" s="92">
        <v>1000.0</v>
      </c>
      <c r="F74" s="96">
        <v>40000.0</v>
      </c>
      <c r="G74" s="62" t="s">
        <v>90</v>
      </c>
      <c r="H74" s="78"/>
      <c r="I74" s="64"/>
      <c r="J74" s="64"/>
      <c r="K74" s="64">
        <v>10.0</v>
      </c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5"/>
      <c r="AJ74" s="35"/>
      <c r="AK74" s="36"/>
    </row>
    <row r="75" ht="26.25" customHeight="1">
      <c r="A75" s="57"/>
      <c r="B75" s="97"/>
      <c r="C75" s="97" t="s">
        <v>163</v>
      </c>
      <c r="D75" s="66"/>
      <c r="E75" s="92">
        <v>3000.0</v>
      </c>
      <c r="F75" s="66"/>
      <c r="G75" s="66"/>
      <c r="H75" s="78"/>
      <c r="I75" s="64"/>
      <c r="J75" s="64"/>
      <c r="K75" s="64">
        <v>5.0</v>
      </c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5"/>
      <c r="AJ75" s="35"/>
      <c r="AK75" s="36"/>
    </row>
    <row r="76" ht="26.25" customHeight="1">
      <c r="A76" s="57"/>
      <c r="B76" s="97"/>
      <c r="C76" s="97" t="s">
        <v>164</v>
      </c>
      <c r="D76" s="75"/>
      <c r="E76" s="92">
        <v>3000.0</v>
      </c>
      <c r="F76" s="75"/>
      <c r="G76" s="75"/>
      <c r="H76" s="78"/>
      <c r="I76" s="64"/>
      <c r="J76" s="64"/>
      <c r="K76" s="64">
        <v>5.0</v>
      </c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5"/>
      <c r="AJ76" s="35"/>
      <c r="AK76" s="36"/>
    </row>
    <row r="77" ht="15.75" customHeight="1">
      <c r="A77" s="57"/>
      <c r="B77" s="76"/>
      <c r="C77" s="76" t="s">
        <v>165</v>
      </c>
      <c r="D77" s="77" t="s">
        <v>80</v>
      </c>
      <c r="E77" s="92">
        <v>8000.0</v>
      </c>
      <c r="F77" s="96">
        <v>11000.0</v>
      </c>
      <c r="G77" s="62" t="s">
        <v>90</v>
      </c>
      <c r="H77" s="78"/>
      <c r="I77" s="64"/>
      <c r="J77" s="64"/>
      <c r="K77" s="64">
        <v>1.0</v>
      </c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5"/>
      <c r="AJ77" s="35"/>
      <c r="AK77" s="36"/>
    </row>
    <row r="78" ht="15.75" customHeight="1">
      <c r="A78" s="57"/>
      <c r="B78" s="76"/>
      <c r="C78" s="76" t="s">
        <v>166</v>
      </c>
      <c r="D78" s="75"/>
      <c r="E78" s="92">
        <v>3000.0</v>
      </c>
      <c r="F78" s="75"/>
      <c r="G78" s="75"/>
      <c r="H78" s="78"/>
      <c r="I78" s="64"/>
      <c r="J78" s="64"/>
      <c r="K78" s="64">
        <v>1.0</v>
      </c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5"/>
      <c r="AJ78" s="35"/>
      <c r="AK78" s="36"/>
    </row>
    <row r="79">
      <c r="A79" s="43"/>
      <c r="B79" s="44"/>
      <c r="C79" s="44" t="s">
        <v>167</v>
      </c>
      <c r="D79" s="88" t="s">
        <v>80</v>
      </c>
      <c r="E79" s="46">
        <v>7000.0</v>
      </c>
      <c r="F79" s="90">
        <v>18000.0</v>
      </c>
      <c r="G79" s="45" t="s">
        <v>90</v>
      </c>
      <c r="H79" s="45"/>
      <c r="I79" s="45"/>
      <c r="J79" s="45">
        <v>2.0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3"/>
      <c r="AI79" s="48"/>
      <c r="AJ79" s="49"/>
      <c r="AK79" s="50"/>
      <c r="AL79" s="51"/>
      <c r="AM79" s="51"/>
    </row>
    <row r="80">
      <c r="A80" s="43"/>
      <c r="B80" s="44"/>
      <c r="C80" s="44" t="s">
        <v>168</v>
      </c>
      <c r="D80" s="75"/>
      <c r="E80" s="46">
        <v>2000.0</v>
      </c>
      <c r="F80" s="75"/>
      <c r="G80" s="45" t="s">
        <v>90</v>
      </c>
      <c r="H80" s="45"/>
      <c r="I80" s="45"/>
      <c r="J80" s="45">
        <v>2.0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3"/>
      <c r="AI80" s="48"/>
      <c r="AJ80" s="49"/>
      <c r="AK80" s="50"/>
      <c r="AL80" s="51"/>
      <c r="AM80" s="51"/>
    </row>
    <row r="81" ht="15.75" customHeight="1">
      <c r="A81" s="98" t="s">
        <v>169</v>
      </c>
      <c r="B81" s="79"/>
      <c r="C81" s="99" t="s">
        <v>170</v>
      </c>
      <c r="D81" s="39"/>
      <c r="E81" s="40"/>
      <c r="F81" s="41"/>
      <c r="G81" s="80"/>
      <c r="H81" s="80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3"/>
      <c r="AJ81" s="35"/>
      <c r="AK81" s="36"/>
    </row>
    <row r="82" ht="15.75" customHeight="1">
      <c r="A82" s="100"/>
      <c r="B82" s="101"/>
      <c r="C82" s="102" t="s">
        <v>171</v>
      </c>
      <c r="D82" s="103" t="s">
        <v>80</v>
      </c>
      <c r="E82" s="104">
        <v>300.0</v>
      </c>
      <c r="F82" s="105">
        <v>26000.0</v>
      </c>
      <c r="G82" s="106" t="s">
        <v>90</v>
      </c>
      <c r="H82" s="107"/>
      <c r="I82" s="108"/>
      <c r="J82" s="109">
        <v>20.0</v>
      </c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10"/>
      <c r="AJ82" s="35"/>
      <c r="AK82" s="111"/>
    </row>
    <row r="83" ht="15.75" customHeight="1">
      <c r="A83" s="100"/>
      <c r="B83" s="101"/>
      <c r="C83" s="102" t="s">
        <v>172</v>
      </c>
      <c r="D83" s="66"/>
      <c r="E83" s="104">
        <v>300.0</v>
      </c>
      <c r="F83" s="66"/>
      <c r="G83" s="66"/>
      <c r="H83" s="107"/>
      <c r="I83" s="108"/>
      <c r="J83" s="109">
        <v>40.0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10"/>
      <c r="AJ83" s="35"/>
      <c r="AK83" s="111"/>
    </row>
    <row r="84" ht="15.75" customHeight="1">
      <c r="A84" s="100"/>
      <c r="B84" s="101"/>
      <c r="C84" s="76" t="s">
        <v>173</v>
      </c>
      <c r="D84" s="66"/>
      <c r="E84" s="104">
        <v>1000.0</v>
      </c>
      <c r="F84" s="66"/>
      <c r="G84" s="66"/>
      <c r="H84" s="107"/>
      <c r="I84" s="108"/>
      <c r="J84" s="109">
        <v>2.0</v>
      </c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10"/>
      <c r="AJ84" s="35"/>
      <c r="AK84" s="111"/>
    </row>
    <row r="85" ht="15.75" customHeight="1">
      <c r="A85" s="100"/>
      <c r="B85" s="101"/>
      <c r="C85" s="76" t="s">
        <v>174</v>
      </c>
      <c r="D85" s="66"/>
      <c r="E85" s="104">
        <v>1000.0</v>
      </c>
      <c r="F85" s="66"/>
      <c r="G85" s="66"/>
      <c r="H85" s="107"/>
      <c r="I85" s="108"/>
      <c r="J85" s="109">
        <v>3.0</v>
      </c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10"/>
      <c r="AJ85" s="35"/>
      <c r="AK85" s="111"/>
    </row>
    <row r="86" ht="15.75" customHeight="1">
      <c r="A86" s="100"/>
      <c r="B86" s="101"/>
      <c r="C86" s="102" t="s">
        <v>175</v>
      </c>
      <c r="D86" s="66"/>
      <c r="E86" s="104">
        <v>100.0</v>
      </c>
      <c r="F86" s="66"/>
      <c r="G86" s="66"/>
      <c r="H86" s="107"/>
      <c r="I86" s="108"/>
      <c r="J86" s="109">
        <v>10.0</v>
      </c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10"/>
      <c r="AJ86" s="35"/>
      <c r="AK86" s="111"/>
    </row>
    <row r="87" ht="15.75" customHeight="1">
      <c r="A87" s="100"/>
      <c r="B87" s="101"/>
      <c r="C87" s="102" t="s">
        <v>176</v>
      </c>
      <c r="D87" s="66"/>
      <c r="E87" s="104">
        <v>100.0</v>
      </c>
      <c r="F87" s="66"/>
      <c r="G87" s="66"/>
      <c r="H87" s="107"/>
      <c r="I87" s="108"/>
      <c r="J87" s="109">
        <v>10.0</v>
      </c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10"/>
      <c r="AJ87" s="35"/>
      <c r="AK87" s="111"/>
    </row>
    <row r="88" ht="15.75" customHeight="1">
      <c r="A88" s="100"/>
      <c r="B88" s="101"/>
      <c r="C88" s="102" t="s">
        <v>177</v>
      </c>
      <c r="D88" s="66"/>
      <c r="E88" s="104">
        <v>100.0</v>
      </c>
      <c r="F88" s="66"/>
      <c r="G88" s="66"/>
      <c r="H88" s="107"/>
      <c r="I88" s="108"/>
      <c r="J88" s="109">
        <v>10.0</v>
      </c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10"/>
      <c r="AJ88" s="35"/>
      <c r="AK88" s="111"/>
    </row>
    <row r="89" ht="15.75" customHeight="1">
      <c r="A89" s="100"/>
      <c r="B89" s="112"/>
      <c r="C89" s="112"/>
      <c r="D89" s="75"/>
      <c r="E89" s="113"/>
      <c r="F89" s="75"/>
      <c r="G89" s="75"/>
      <c r="H89" s="107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10"/>
      <c r="AJ89" s="35"/>
      <c r="AK89" s="111"/>
    </row>
    <row r="90" ht="15.75" customHeight="1">
      <c r="A90" s="37" t="s">
        <v>178</v>
      </c>
      <c r="B90" s="79"/>
      <c r="C90" s="79" t="s">
        <v>179</v>
      </c>
      <c r="D90" s="39"/>
      <c r="E90" s="40"/>
      <c r="F90" s="41"/>
      <c r="G90" s="80"/>
      <c r="H90" s="80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3"/>
      <c r="AJ90" s="35"/>
      <c r="AK90" s="36"/>
    </row>
    <row r="91" ht="38.25" customHeight="1">
      <c r="A91" s="43"/>
      <c r="B91" s="95"/>
      <c r="C91" s="95" t="s">
        <v>180</v>
      </c>
      <c r="D91" s="45" t="s">
        <v>80</v>
      </c>
      <c r="E91" s="46">
        <v>2500.0</v>
      </c>
      <c r="F91" s="47">
        <f>2500*1</f>
        <v>2500</v>
      </c>
      <c r="G91" s="45" t="s">
        <v>181</v>
      </c>
      <c r="H91" s="89"/>
      <c r="I91" s="72">
        <v>1.0</v>
      </c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3"/>
      <c r="AJ91" s="49"/>
      <c r="AK91" s="50"/>
      <c r="AL91" s="74"/>
      <c r="AM91" s="74"/>
    </row>
    <row r="92">
      <c r="A92" s="43"/>
      <c r="B92" s="114"/>
      <c r="C92" s="95" t="s">
        <v>182</v>
      </c>
      <c r="D92" s="45" t="s">
        <v>80</v>
      </c>
      <c r="E92" s="46">
        <v>40000.0</v>
      </c>
      <c r="F92" s="47">
        <v>40000.0</v>
      </c>
      <c r="G92" s="45" t="s">
        <v>181</v>
      </c>
      <c r="H92" s="89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3"/>
      <c r="AJ92" s="49"/>
      <c r="AK92" s="50"/>
      <c r="AL92" s="74"/>
      <c r="AM92" s="74"/>
    </row>
    <row r="93" ht="15.75" customHeight="1">
      <c r="A93" s="37" t="s">
        <v>183</v>
      </c>
      <c r="B93" s="79"/>
      <c r="C93" s="79" t="s">
        <v>184</v>
      </c>
      <c r="D93" s="39"/>
      <c r="E93" s="40"/>
      <c r="F93" s="41"/>
      <c r="G93" s="80"/>
      <c r="H93" s="80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3"/>
      <c r="AJ93" s="35"/>
      <c r="AK93" s="36"/>
    </row>
    <row r="94" ht="38.25" customHeight="1">
      <c r="A94" s="57"/>
      <c r="B94" s="68"/>
      <c r="C94" s="68" t="s">
        <v>185</v>
      </c>
      <c r="D94" s="67" t="s">
        <v>186</v>
      </c>
      <c r="E94" s="92">
        <v>41443.4</v>
      </c>
      <c r="F94" s="92">
        <v>41443.4</v>
      </c>
      <c r="G94" s="94" t="s">
        <v>155</v>
      </c>
      <c r="H94" s="68"/>
      <c r="I94" s="67">
        <v>1.0</v>
      </c>
      <c r="J94" s="67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5"/>
      <c r="AJ94" s="35"/>
      <c r="AK94" s="36"/>
    </row>
    <row r="95" ht="15.75" customHeight="1">
      <c r="A95" s="37" t="s">
        <v>187</v>
      </c>
      <c r="B95" s="79"/>
      <c r="C95" s="79" t="s">
        <v>188</v>
      </c>
      <c r="D95" s="39"/>
      <c r="E95" s="40"/>
      <c r="F95" s="41"/>
      <c r="G95" s="80"/>
      <c r="H95" s="80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3"/>
      <c r="AJ95" s="35"/>
      <c r="AK95" s="36"/>
    </row>
    <row r="96" ht="15.75" customHeight="1">
      <c r="A96" s="57"/>
      <c r="B96" s="58"/>
      <c r="C96" s="58" t="s">
        <v>189</v>
      </c>
      <c r="D96" s="67" t="s">
        <v>190</v>
      </c>
      <c r="E96" s="92">
        <v>150.0</v>
      </c>
      <c r="F96" s="92">
        <f>150*26</f>
        <v>3900</v>
      </c>
      <c r="G96" s="94" t="s">
        <v>90</v>
      </c>
      <c r="H96" s="68"/>
      <c r="I96" s="67"/>
      <c r="J96" s="67">
        <v>13.0</v>
      </c>
      <c r="K96" s="64">
        <v>13.0</v>
      </c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5"/>
      <c r="AJ96" s="35"/>
      <c r="AK96" s="36"/>
    </row>
    <row r="97" ht="15.75" customHeight="1">
      <c r="A97" s="37" t="s">
        <v>191</v>
      </c>
      <c r="B97" s="79"/>
      <c r="C97" s="79" t="s">
        <v>192</v>
      </c>
      <c r="D97" s="39"/>
      <c r="E97" s="40"/>
      <c r="F97" s="41"/>
      <c r="G97" s="80"/>
      <c r="H97" s="80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3"/>
      <c r="AJ97" s="35"/>
      <c r="AK97" s="36"/>
    </row>
    <row r="98" ht="15.75" customHeight="1">
      <c r="A98" s="43"/>
      <c r="B98" s="114"/>
      <c r="C98" s="95" t="s">
        <v>193</v>
      </c>
      <c r="D98" s="45" t="s">
        <v>80</v>
      </c>
      <c r="E98" s="46">
        <v>70000.0</v>
      </c>
      <c r="F98" s="47">
        <v>70000.0</v>
      </c>
      <c r="G98" s="45" t="s">
        <v>90</v>
      </c>
      <c r="H98" s="89"/>
      <c r="I98" s="72"/>
      <c r="J98" s="72">
        <v>1.0</v>
      </c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3"/>
      <c r="AJ98" s="49"/>
      <c r="AK98" s="50"/>
      <c r="AL98" s="74"/>
      <c r="AM98" s="74"/>
    </row>
    <row r="99" ht="15.75" customHeight="1">
      <c r="A99" s="43"/>
      <c r="B99" s="114"/>
      <c r="C99" s="95" t="s">
        <v>194</v>
      </c>
      <c r="D99" s="45" t="s">
        <v>80</v>
      </c>
      <c r="E99" s="46">
        <v>30000.0</v>
      </c>
      <c r="F99" s="47">
        <v>30000.0</v>
      </c>
      <c r="G99" s="45" t="s">
        <v>90</v>
      </c>
      <c r="H99" s="89"/>
      <c r="I99" s="72"/>
      <c r="J99" s="72">
        <v>1.0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3"/>
      <c r="AJ99" s="49"/>
      <c r="AK99" s="50"/>
      <c r="AL99" s="74"/>
      <c r="AM99" s="74"/>
    </row>
    <row r="100" ht="15.75" customHeight="1">
      <c r="A100" s="37" t="s">
        <v>191</v>
      </c>
      <c r="B100" s="79"/>
      <c r="C100" s="79" t="s">
        <v>195</v>
      </c>
      <c r="D100" s="39"/>
      <c r="E100" s="40"/>
      <c r="F100" s="41"/>
      <c r="G100" s="80"/>
      <c r="H100" s="80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3"/>
      <c r="AJ100" s="35"/>
      <c r="AK100" s="36"/>
    </row>
    <row r="101" ht="15.75" customHeight="1">
      <c r="A101" s="57"/>
      <c r="B101" s="115"/>
      <c r="C101" s="76" t="s">
        <v>196</v>
      </c>
      <c r="D101" s="67" t="s">
        <v>197</v>
      </c>
      <c r="E101" s="92">
        <v>4850.0</v>
      </c>
      <c r="F101" s="93">
        <v>4850.0</v>
      </c>
      <c r="G101" s="78" t="s">
        <v>198</v>
      </c>
      <c r="H101" s="78"/>
      <c r="I101" s="64"/>
      <c r="J101" s="64"/>
      <c r="K101" s="64">
        <v>1.0</v>
      </c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5"/>
      <c r="AJ101" s="35"/>
      <c r="AK101" s="36"/>
    </row>
    <row r="102" ht="15.75" customHeight="1">
      <c r="A102" s="37" t="s">
        <v>199</v>
      </c>
      <c r="B102" s="79"/>
      <c r="C102" s="79" t="s">
        <v>200</v>
      </c>
      <c r="D102" s="39"/>
      <c r="E102" s="40"/>
      <c r="F102" s="41"/>
      <c r="G102" s="80"/>
      <c r="H102" s="80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3"/>
      <c r="AJ102" s="35"/>
      <c r="AK102" s="36"/>
    </row>
    <row r="103" ht="15.75" customHeight="1">
      <c r="A103" s="116"/>
      <c r="B103" s="117"/>
      <c r="C103" s="118" t="s">
        <v>201</v>
      </c>
      <c r="D103" s="119" t="s">
        <v>80</v>
      </c>
      <c r="E103" s="120">
        <v>4000000.0</v>
      </c>
      <c r="F103" s="121">
        <v>4000000.0</v>
      </c>
      <c r="G103" s="122" t="s">
        <v>202</v>
      </c>
      <c r="H103" s="117"/>
      <c r="I103" s="117"/>
      <c r="J103" s="123">
        <v>1.0</v>
      </c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24"/>
      <c r="AJ103" s="125"/>
      <c r="AK103" s="125"/>
      <c r="AL103" s="126"/>
      <c r="AM103" s="126"/>
    </row>
    <row r="104">
      <c r="A104" s="127"/>
      <c r="B104" s="128"/>
      <c r="C104" s="129" t="s">
        <v>203</v>
      </c>
      <c r="D104" s="130" t="s">
        <v>204</v>
      </c>
      <c r="E104" s="131">
        <v>120000.0</v>
      </c>
      <c r="F104" s="132">
        <v>240000.0</v>
      </c>
      <c r="G104" s="133" t="s">
        <v>155</v>
      </c>
      <c r="H104" s="128"/>
      <c r="I104" s="128"/>
      <c r="J104" s="134">
        <v>2.0</v>
      </c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35"/>
      <c r="AJ104" s="125"/>
      <c r="AK104" s="125"/>
      <c r="AL104" s="126"/>
      <c r="AM104" s="126"/>
    </row>
    <row r="105" ht="15.75" customHeight="1">
      <c r="A105" s="136"/>
      <c r="B105" s="137"/>
      <c r="C105" s="138" t="s">
        <v>205</v>
      </c>
      <c r="D105" s="139" t="s">
        <v>80</v>
      </c>
      <c r="E105" s="140">
        <v>1500000.0</v>
      </c>
      <c r="F105" s="140">
        <v>1500000.0</v>
      </c>
      <c r="G105" s="141" t="s">
        <v>202</v>
      </c>
      <c r="H105" s="137"/>
      <c r="I105" s="137"/>
      <c r="J105" s="137"/>
      <c r="K105" s="142">
        <v>1.0</v>
      </c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43"/>
      <c r="AJ105" s="125"/>
      <c r="AK105" s="125"/>
      <c r="AL105" s="126"/>
      <c r="AM105" s="126"/>
    </row>
    <row r="106" ht="15.75" customHeight="1">
      <c r="A106" s="144"/>
      <c r="B106" s="145"/>
      <c r="C106" s="145"/>
      <c r="D106" s="2"/>
      <c r="E106" s="9"/>
      <c r="F106" s="10"/>
      <c r="G106" s="11"/>
      <c r="H106" s="1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ht="15.75" customHeight="1">
      <c r="A107" s="146" t="s">
        <v>206</v>
      </c>
      <c r="B107" s="6"/>
      <c r="C107" s="6"/>
      <c r="D107" s="147">
        <f>SUM(F12:F103)</f>
        <v>5282298.4</v>
      </c>
      <c r="E107" s="148"/>
      <c r="F107" s="148"/>
      <c r="G107" s="11"/>
      <c r="H107" s="1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ht="15.75" hidden="1" customHeight="1">
      <c r="A108" s="149" t="s">
        <v>207</v>
      </c>
      <c r="B108" s="127"/>
      <c r="C108" s="127"/>
      <c r="D108" s="150">
        <f>PRODUCT(D107,0.1)</f>
        <v>528229.84</v>
      </c>
      <c r="E108" s="151"/>
      <c r="F108" s="152"/>
      <c r="G108" s="11"/>
      <c r="H108" s="11"/>
      <c r="I108" s="153"/>
      <c r="K108" s="153"/>
      <c r="AH108" s="153"/>
      <c r="AI108" s="2"/>
      <c r="AJ108" s="2"/>
      <c r="AK108" s="2"/>
    </row>
    <row r="109" ht="15.75" hidden="1" customHeight="1">
      <c r="A109" s="154" t="s">
        <v>208</v>
      </c>
      <c r="B109" s="116"/>
      <c r="C109" s="116"/>
      <c r="D109" s="155">
        <f>PRODUCT(D107,0.1)</f>
        <v>528229.84</v>
      </c>
      <c r="E109" s="156"/>
      <c r="F109" s="157"/>
      <c r="G109" s="11"/>
      <c r="H109" s="11"/>
      <c r="I109" s="158"/>
      <c r="J109" s="158"/>
      <c r="K109" s="159"/>
      <c r="AH109" s="159"/>
      <c r="AI109" s="2"/>
      <c r="AJ109" s="2"/>
      <c r="AK109" s="2"/>
    </row>
    <row r="110" ht="15.75" hidden="1" customHeight="1">
      <c r="A110" s="154" t="s">
        <v>209</v>
      </c>
      <c r="B110" s="116"/>
      <c r="C110" s="116"/>
      <c r="D110" s="155">
        <f>SUM(D107:F109)</f>
        <v>6338758.08</v>
      </c>
      <c r="E110" s="156"/>
      <c r="F110" s="157"/>
      <c r="G110" s="11"/>
      <c r="H110" s="11"/>
      <c r="I110" s="158"/>
      <c r="J110" s="158"/>
      <c r="K110" s="159"/>
      <c r="AH110" s="159"/>
      <c r="AI110" s="2"/>
      <c r="AJ110" s="2"/>
      <c r="AK110" s="2"/>
    </row>
    <row r="111" ht="15.75" customHeight="1">
      <c r="A111" s="160"/>
      <c r="B111" s="6"/>
      <c r="C111" s="6"/>
      <c r="D111" s="2"/>
      <c r="E111" s="9"/>
      <c r="F111" s="10"/>
      <c r="G111" s="11"/>
      <c r="H111" s="11"/>
      <c r="I111" s="158"/>
      <c r="J111" s="158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2"/>
      <c r="AJ111" s="2"/>
      <c r="AK111" s="2"/>
    </row>
    <row r="112" ht="15.75" customHeight="1">
      <c r="A112" s="161" t="s">
        <v>210</v>
      </c>
      <c r="B112" s="6"/>
      <c r="C112" s="6"/>
      <c r="D112" s="2"/>
      <c r="E112" s="9"/>
      <c r="F112" s="10"/>
      <c r="G112" s="11"/>
      <c r="H112" s="1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5.75" customHeight="1">
      <c r="A113" s="23"/>
      <c r="B113" s="6"/>
      <c r="C113" s="6"/>
      <c r="D113" s="2"/>
      <c r="E113" s="9"/>
      <c r="F113" s="10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ht="15.75" customHeight="1">
      <c r="A114" s="162" t="s">
        <v>211</v>
      </c>
      <c r="B114" s="6"/>
      <c r="C114" s="6"/>
      <c r="D114" s="163" t="s">
        <v>212</v>
      </c>
      <c r="E114" s="164"/>
      <c r="F114" s="165"/>
      <c r="G114" s="166" t="s">
        <v>213</v>
      </c>
      <c r="H114" s="125"/>
      <c r="I114" s="125"/>
      <c r="J114" s="163" t="s">
        <v>214</v>
      </c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2"/>
      <c r="AK114" s="158"/>
    </row>
    <row r="115" ht="15.75" customHeight="1">
      <c r="A115" s="162"/>
      <c r="B115" s="6"/>
      <c r="C115" s="6"/>
      <c r="D115" s="125"/>
      <c r="E115" s="164"/>
      <c r="F115" s="16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58"/>
      <c r="AK115" s="158"/>
    </row>
    <row r="116" ht="15.75" customHeight="1">
      <c r="A116" s="6"/>
      <c r="B116" s="6"/>
      <c r="C116" s="6"/>
      <c r="D116" s="125"/>
      <c r="E116" s="164"/>
      <c r="F116" s="16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58"/>
      <c r="AK116" s="158"/>
    </row>
    <row r="117" ht="15.75" customHeight="1">
      <c r="A117" s="167" t="s">
        <v>215</v>
      </c>
      <c r="D117" s="163" t="s">
        <v>216</v>
      </c>
      <c r="E117" s="164"/>
      <c r="F117" s="165"/>
      <c r="G117" s="166" t="s">
        <v>217</v>
      </c>
      <c r="H117" s="125"/>
      <c r="I117" s="125"/>
      <c r="J117" s="163" t="s">
        <v>215</v>
      </c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2"/>
      <c r="AK117" s="2"/>
    </row>
    <row r="118" ht="15.0" customHeight="1">
      <c r="A118" s="168" t="s">
        <v>218</v>
      </c>
      <c r="D118" s="169" t="s">
        <v>219</v>
      </c>
      <c r="E118" s="164"/>
      <c r="F118" s="165"/>
      <c r="G118" s="125" t="s">
        <v>220</v>
      </c>
      <c r="H118" s="125"/>
      <c r="I118" s="125"/>
      <c r="J118" s="169" t="s">
        <v>221</v>
      </c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58"/>
      <c r="AK118" s="158"/>
    </row>
    <row r="119" ht="15.75" customHeight="1">
      <c r="A119" s="2"/>
      <c r="B119" s="2"/>
      <c r="C119" s="2"/>
      <c r="D119" s="125"/>
      <c r="E119" s="164"/>
      <c r="F119" s="16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2"/>
      <c r="AK119" s="2"/>
    </row>
    <row r="120" ht="15.75" customHeight="1">
      <c r="A120" s="2" t="s">
        <v>222</v>
      </c>
      <c r="B120" s="2"/>
      <c r="C120" s="2"/>
      <c r="D120" s="169" t="s">
        <v>223</v>
      </c>
      <c r="E120" s="164"/>
      <c r="F120" s="165"/>
      <c r="G120" s="125" t="s">
        <v>223</v>
      </c>
      <c r="H120" s="125"/>
      <c r="I120" s="125"/>
      <c r="J120" s="169" t="s">
        <v>223</v>
      </c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2"/>
      <c r="AK120" s="2"/>
    </row>
    <row r="121" ht="15.75" customHeight="1">
      <c r="D121" s="2"/>
      <c r="E121" s="9"/>
      <c r="F121" s="10"/>
      <c r="G121" s="11"/>
      <c r="H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5.75" customHeight="1">
      <c r="D122" s="2"/>
      <c r="E122" s="9"/>
      <c r="F122" s="10"/>
      <c r="G122" s="11"/>
      <c r="H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5.75" customHeight="1">
      <c r="D123" s="2"/>
      <c r="E123" s="9"/>
      <c r="F123" s="10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5.75" customHeight="1">
      <c r="D124" s="2"/>
      <c r="E124" s="9"/>
      <c r="F124" s="10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5.75" customHeight="1">
      <c r="D125" s="2"/>
      <c r="E125" s="9"/>
      <c r="F125" s="10"/>
      <c r="G125" s="11"/>
      <c r="H125" s="1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5.75" customHeight="1">
      <c r="E126" s="170"/>
    </row>
    <row r="127" ht="15.75" customHeight="1">
      <c r="E127" s="170"/>
    </row>
    <row r="128" ht="15.75" customHeight="1">
      <c r="E128" s="170"/>
    </row>
    <row r="129" ht="15.75" customHeight="1">
      <c r="E129" s="170"/>
    </row>
    <row r="130" ht="15.75" customHeight="1">
      <c r="E130" s="170"/>
    </row>
    <row r="131" ht="15.75" customHeight="1">
      <c r="E131" s="170"/>
    </row>
    <row r="132" ht="15.75" customHeight="1">
      <c r="E132" s="170"/>
    </row>
    <row r="133" ht="15.75" customHeight="1">
      <c r="E133" s="170"/>
    </row>
    <row r="134" ht="15.75" customHeight="1">
      <c r="E134" s="170"/>
    </row>
    <row r="135" ht="15.75" customHeight="1">
      <c r="E135" s="170"/>
    </row>
    <row r="136" ht="15.75" customHeight="1">
      <c r="E136" s="170"/>
    </row>
    <row r="137" ht="15.75" customHeight="1">
      <c r="E137" s="170"/>
    </row>
    <row r="138" ht="15.75" customHeight="1">
      <c r="E138" s="170"/>
    </row>
    <row r="139" ht="15.75" customHeight="1">
      <c r="E139" s="170"/>
    </row>
    <row r="140" ht="15.75" customHeight="1">
      <c r="E140" s="170"/>
    </row>
    <row r="141" ht="15.75" customHeight="1">
      <c r="E141" s="170"/>
    </row>
    <row r="142" ht="15.75" customHeight="1">
      <c r="E142" s="170"/>
    </row>
    <row r="143" ht="15.75" customHeight="1">
      <c r="E143" s="170"/>
    </row>
    <row r="144" ht="15.75" customHeight="1">
      <c r="E144" s="170"/>
    </row>
    <row r="145" ht="15.75" customHeight="1">
      <c r="E145" s="170"/>
    </row>
    <row r="146" ht="15.75" customHeight="1">
      <c r="E146" s="170"/>
    </row>
    <row r="147" ht="15.75" customHeight="1">
      <c r="E147" s="170"/>
    </row>
    <row r="148" ht="15.75" customHeight="1">
      <c r="E148" s="170"/>
    </row>
    <row r="149" ht="15.75" customHeight="1">
      <c r="E149" s="170"/>
    </row>
    <row r="150" ht="15.75" customHeight="1">
      <c r="E150" s="170"/>
    </row>
    <row r="151" ht="15.75" customHeight="1">
      <c r="E151" s="170"/>
    </row>
    <row r="152" ht="15.75" customHeight="1">
      <c r="E152" s="170"/>
    </row>
    <row r="153" ht="15.75" customHeight="1">
      <c r="E153" s="170"/>
    </row>
    <row r="154" ht="15.75" customHeight="1">
      <c r="E154" s="170"/>
    </row>
    <row r="155" ht="15.75" customHeight="1">
      <c r="E155" s="170"/>
    </row>
    <row r="156" ht="15.75" customHeight="1">
      <c r="E156" s="170"/>
    </row>
    <row r="157" ht="15.75" customHeight="1">
      <c r="E157" s="170"/>
    </row>
    <row r="158" ht="15.75" customHeight="1">
      <c r="E158" s="170"/>
    </row>
    <row r="159" ht="15.75" customHeight="1">
      <c r="E159" s="170"/>
    </row>
    <row r="160" ht="15.75" customHeight="1">
      <c r="E160" s="170"/>
    </row>
    <row r="161" ht="15.75" customHeight="1">
      <c r="E161" s="170"/>
    </row>
    <row r="162" ht="15.75" customHeight="1">
      <c r="E162" s="170"/>
    </row>
    <row r="163" ht="15.75" customHeight="1">
      <c r="E163" s="170"/>
    </row>
    <row r="164" ht="15.75" customHeight="1">
      <c r="E164" s="170"/>
    </row>
    <row r="165" ht="15.75" customHeight="1">
      <c r="E165" s="170"/>
    </row>
    <row r="166" ht="15.75" customHeight="1">
      <c r="E166" s="170"/>
    </row>
    <row r="167" ht="15.75" customHeight="1">
      <c r="E167" s="170"/>
    </row>
    <row r="168" ht="15.75" customHeight="1">
      <c r="E168" s="170"/>
    </row>
    <row r="169" ht="15.75" customHeight="1">
      <c r="E169" s="170"/>
    </row>
    <row r="170" ht="15.75" customHeight="1">
      <c r="E170" s="170"/>
    </row>
    <row r="171" ht="15.75" customHeight="1">
      <c r="E171" s="170"/>
    </row>
    <row r="172" ht="15.75" customHeight="1">
      <c r="E172" s="170"/>
    </row>
    <row r="173" ht="15.75" customHeight="1">
      <c r="E173" s="170"/>
    </row>
    <row r="174" ht="15.75" customHeight="1">
      <c r="E174" s="170"/>
    </row>
    <row r="175" ht="15.75" customHeight="1">
      <c r="E175" s="170"/>
    </row>
    <row r="176" ht="15.75" customHeight="1">
      <c r="E176" s="170"/>
    </row>
    <row r="177" ht="15.75" customHeight="1">
      <c r="E177" s="170"/>
    </row>
    <row r="178" ht="15.75" customHeight="1">
      <c r="E178" s="170"/>
    </row>
    <row r="179" ht="15.75" customHeight="1">
      <c r="E179" s="170"/>
    </row>
    <row r="180" ht="15.75" customHeight="1">
      <c r="E180" s="170"/>
    </row>
    <row r="181" ht="15.75" customHeight="1">
      <c r="E181" s="170"/>
    </row>
    <row r="182" ht="15.75" customHeight="1">
      <c r="E182" s="170"/>
    </row>
    <row r="183" ht="15.75" customHeight="1">
      <c r="E183" s="170"/>
    </row>
    <row r="184" ht="15.75" customHeight="1">
      <c r="E184" s="170"/>
    </row>
    <row r="185" ht="15.75" customHeight="1">
      <c r="E185" s="170"/>
    </row>
    <row r="186" ht="15.75" customHeight="1">
      <c r="E186" s="170"/>
    </row>
    <row r="187" ht="15.75" customHeight="1">
      <c r="E187" s="170"/>
    </row>
    <row r="188" ht="15.75" customHeight="1">
      <c r="E188" s="170"/>
    </row>
    <row r="189" ht="15.75" customHeight="1">
      <c r="E189" s="170"/>
    </row>
    <row r="190" ht="15.75" customHeight="1">
      <c r="E190" s="170"/>
    </row>
    <row r="191" ht="15.75" customHeight="1">
      <c r="E191" s="170"/>
    </row>
    <row r="192" ht="15.75" customHeight="1">
      <c r="E192" s="170"/>
    </row>
    <row r="193" ht="15.75" customHeight="1">
      <c r="E193" s="170"/>
    </row>
    <row r="194" ht="15.75" customHeight="1">
      <c r="E194" s="170"/>
    </row>
    <row r="195" ht="15.75" customHeight="1">
      <c r="E195" s="170"/>
    </row>
    <row r="196" ht="15.75" customHeight="1">
      <c r="E196" s="170"/>
    </row>
    <row r="197" ht="15.75" customHeight="1">
      <c r="E197" s="170"/>
    </row>
    <row r="198" ht="15.75" customHeight="1">
      <c r="E198" s="170"/>
    </row>
    <row r="199" ht="15.75" customHeight="1">
      <c r="E199" s="170"/>
    </row>
    <row r="200" ht="15.75" customHeight="1">
      <c r="E200" s="170"/>
    </row>
    <row r="201" ht="15.75" customHeight="1">
      <c r="E201" s="170"/>
    </row>
    <row r="202" ht="15.75" customHeight="1">
      <c r="E202" s="170"/>
    </row>
    <row r="203" ht="15.75" customHeight="1">
      <c r="E203" s="170"/>
    </row>
    <row r="204" ht="15.75" customHeight="1">
      <c r="E204" s="170"/>
    </row>
    <row r="205" ht="15.75" customHeight="1">
      <c r="E205" s="170"/>
    </row>
    <row r="206" ht="15.75" customHeight="1">
      <c r="E206" s="170"/>
    </row>
    <row r="207" ht="15.75" customHeight="1">
      <c r="E207" s="170"/>
    </row>
    <row r="208" ht="15.75" customHeight="1">
      <c r="E208" s="170"/>
    </row>
    <row r="209" ht="15.75" customHeight="1">
      <c r="E209" s="170"/>
    </row>
    <row r="210" ht="15.75" customHeight="1">
      <c r="E210" s="170"/>
    </row>
    <row r="211" ht="15.75" customHeight="1">
      <c r="E211" s="170"/>
    </row>
    <row r="212" ht="15.75" customHeight="1">
      <c r="E212" s="170"/>
    </row>
    <row r="213" ht="15.75" customHeight="1">
      <c r="E213" s="170"/>
    </row>
    <row r="214" ht="15.75" customHeight="1">
      <c r="E214" s="170"/>
    </row>
    <row r="215" ht="15.75" customHeight="1">
      <c r="E215" s="170"/>
    </row>
    <row r="216" ht="15.75" customHeight="1">
      <c r="E216" s="170"/>
    </row>
    <row r="217" ht="15.75" customHeight="1">
      <c r="E217" s="170"/>
    </row>
    <row r="218" ht="15.75" customHeight="1">
      <c r="E218" s="170"/>
    </row>
    <row r="219" ht="15.75" customHeight="1">
      <c r="E219" s="170"/>
    </row>
    <row r="220" ht="15.75" customHeight="1">
      <c r="E220" s="170"/>
    </row>
    <row r="221" ht="15.75" customHeight="1">
      <c r="E221" s="170"/>
    </row>
    <row r="222" ht="15.75" customHeight="1">
      <c r="E222" s="170"/>
    </row>
    <row r="223" ht="15.75" customHeight="1">
      <c r="E223" s="170"/>
    </row>
    <row r="224" ht="15.75" customHeight="1">
      <c r="E224" s="170"/>
    </row>
    <row r="225" ht="15.75" customHeight="1">
      <c r="E225" s="170"/>
    </row>
    <row r="226" ht="15.75" customHeight="1">
      <c r="E226" s="170"/>
    </row>
    <row r="227" ht="15.75" customHeight="1">
      <c r="E227" s="170"/>
    </row>
    <row r="228" ht="15.75" customHeight="1">
      <c r="E228" s="170"/>
    </row>
    <row r="229" ht="15.75" customHeight="1">
      <c r="E229" s="170"/>
    </row>
    <row r="230" ht="15.75" customHeight="1">
      <c r="E230" s="170"/>
    </row>
    <row r="231" ht="15.75" customHeight="1">
      <c r="E231" s="170"/>
    </row>
    <row r="232" ht="15.75" customHeight="1">
      <c r="E232" s="170"/>
    </row>
    <row r="233" ht="15.75" customHeight="1">
      <c r="E233" s="170"/>
    </row>
    <row r="234" ht="15.75" customHeight="1">
      <c r="E234" s="170"/>
    </row>
    <row r="235" ht="15.75" customHeight="1">
      <c r="E235" s="170"/>
    </row>
    <row r="236" ht="15.75" customHeight="1">
      <c r="E236" s="170"/>
    </row>
    <row r="237" ht="15.75" customHeight="1">
      <c r="E237" s="170"/>
    </row>
    <row r="238" ht="15.75" customHeight="1">
      <c r="E238" s="170"/>
    </row>
    <row r="239" ht="15.75" customHeight="1">
      <c r="E239" s="170"/>
    </row>
    <row r="240" ht="15.75" customHeight="1">
      <c r="E240" s="170"/>
    </row>
    <row r="241" ht="15.75" customHeight="1">
      <c r="E241" s="170"/>
    </row>
    <row r="242" ht="15.75" customHeight="1">
      <c r="E242" s="170"/>
    </row>
    <row r="243" ht="15.75" customHeight="1">
      <c r="E243" s="170"/>
    </row>
    <row r="244" ht="15.75" customHeight="1">
      <c r="E244" s="170"/>
    </row>
    <row r="245" ht="15.75" customHeight="1">
      <c r="E245" s="170"/>
    </row>
    <row r="246" ht="15.75" customHeight="1">
      <c r="E246" s="170"/>
    </row>
    <row r="247" ht="15.75" customHeight="1">
      <c r="E247" s="170"/>
    </row>
    <row r="248" ht="15.75" customHeight="1">
      <c r="E248" s="170"/>
    </row>
    <row r="249" ht="15.75" customHeight="1">
      <c r="E249" s="170"/>
    </row>
    <row r="250" ht="15.75" customHeight="1">
      <c r="E250" s="170"/>
    </row>
    <row r="251" ht="15.75" customHeight="1">
      <c r="E251" s="170"/>
    </row>
    <row r="252" ht="15.75" customHeight="1">
      <c r="E252" s="170"/>
    </row>
    <row r="253" ht="15.75" customHeight="1">
      <c r="E253" s="170"/>
    </row>
    <row r="254" ht="15.75" customHeight="1">
      <c r="E254" s="170"/>
    </row>
    <row r="255" ht="15.75" customHeight="1">
      <c r="E255" s="170"/>
    </row>
    <row r="256" ht="15.75" customHeight="1">
      <c r="E256" s="170"/>
    </row>
    <row r="257" ht="15.75" customHeight="1">
      <c r="E257" s="170"/>
    </row>
    <row r="258" ht="15.75" customHeight="1">
      <c r="E258" s="170"/>
    </row>
    <row r="259" ht="15.75" customHeight="1">
      <c r="E259" s="170"/>
    </row>
    <row r="260" ht="15.75" customHeight="1">
      <c r="E260" s="170"/>
    </row>
    <row r="261" ht="15.75" customHeight="1">
      <c r="E261" s="170"/>
    </row>
    <row r="262" ht="15.75" customHeight="1">
      <c r="E262" s="170"/>
    </row>
    <row r="263" ht="15.75" customHeight="1">
      <c r="E263" s="170"/>
    </row>
    <row r="264" ht="15.75" customHeight="1">
      <c r="E264" s="170"/>
    </row>
    <row r="265" ht="15.75" customHeight="1">
      <c r="E265" s="170"/>
    </row>
    <row r="266" ht="15.75" customHeight="1">
      <c r="E266" s="170"/>
    </row>
    <row r="267" ht="15.75" customHeight="1">
      <c r="E267" s="170"/>
    </row>
    <row r="268" ht="15.75" customHeight="1">
      <c r="E268" s="170"/>
    </row>
    <row r="269" ht="15.75" customHeight="1">
      <c r="E269" s="170"/>
    </row>
    <row r="270" ht="15.75" customHeight="1">
      <c r="E270" s="170"/>
    </row>
    <row r="271" ht="15.75" customHeight="1">
      <c r="E271" s="170"/>
    </row>
    <row r="272" ht="15.75" customHeight="1">
      <c r="E272" s="170"/>
    </row>
    <row r="273" ht="15.75" customHeight="1">
      <c r="E273" s="170"/>
    </row>
    <row r="274" ht="15.75" customHeight="1">
      <c r="E274" s="170"/>
    </row>
    <row r="275" ht="15.75" customHeight="1">
      <c r="E275" s="170"/>
    </row>
    <row r="276" ht="15.75" customHeight="1">
      <c r="E276" s="170"/>
    </row>
    <row r="277" ht="15.75" customHeight="1">
      <c r="E277" s="170"/>
    </row>
    <row r="278" ht="15.75" customHeight="1">
      <c r="E278" s="170"/>
    </row>
    <row r="279" ht="15.75" customHeight="1">
      <c r="E279" s="170"/>
    </row>
    <row r="280" ht="15.75" customHeight="1">
      <c r="E280" s="170"/>
    </row>
    <row r="281" ht="15.75" customHeight="1">
      <c r="E281" s="170"/>
    </row>
    <row r="282" ht="15.75" customHeight="1">
      <c r="E282" s="170"/>
    </row>
    <row r="283" ht="15.75" customHeight="1">
      <c r="E283" s="170"/>
    </row>
    <row r="284" ht="15.75" customHeight="1">
      <c r="E284" s="170"/>
    </row>
    <row r="285" ht="15.75" customHeight="1">
      <c r="E285" s="170"/>
    </row>
    <row r="286" ht="15.75" customHeight="1">
      <c r="E286" s="170"/>
    </row>
    <row r="287" ht="15.75" customHeight="1">
      <c r="E287" s="170"/>
    </row>
    <row r="288" ht="15.75" customHeight="1">
      <c r="E288" s="170"/>
    </row>
    <row r="289" ht="15.75" customHeight="1">
      <c r="E289" s="170"/>
    </row>
    <row r="290" ht="15.75" customHeight="1">
      <c r="E290" s="170"/>
    </row>
    <row r="291" ht="15.75" customHeight="1">
      <c r="E291" s="170"/>
    </row>
    <row r="292" ht="15.75" customHeight="1">
      <c r="E292" s="170"/>
    </row>
    <row r="293" ht="15.75" customHeight="1">
      <c r="E293" s="170"/>
    </row>
    <row r="294" ht="15.75" customHeight="1">
      <c r="E294" s="170"/>
    </row>
    <row r="295" ht="15.75" customHeight="1">
      <c r="E295" s="170"/>
    </row>
    <row r="296" ht="15.75" customHeight="1">
      <c r="E296" s="170"/>
    </row>
    <row r="297" ht="15.75" customHeight="1">
      <c r="E297" s="170"/>
    </row>
    <row r="298" ht="15.75" customHeight="1">
      <c r="E298" s="170"/>
    </row>
    <row r="299" ht="15.75" customHeight="1">
      <c r="E299" s="170"/>
    </row>
    <row r="300" ht="15.75" customHeight="1">
      <c r="E300" s="170"/>
    </row>
    <row r="301" ht="15.75" customHeight="1">
      <c r="E301" s="170"/>
    </row>
    <row r="302" ht="15.75" customHeight="1">
      <c r="E302" s="170"/>
    </row>
    <row r="303" ht="15.75" customHeight="1">
      <c r="E303" s="170"/>
    </row>
    <row r="304" ht="15.75" customHeight="1">
      <c r="E304" s="170"/>
    </row>
    <row r="305" ht="15.75" customHeight="1">
      <c r="E305" s="170"/>
    </row>
    <row r="306" ht="15.75" customHeight="1">
      <c r="E306" s="170"/>
    </row>
    <row r="307" ht="15.75" customHeight="1">
      <c r="E307" s="170"/>
    </row>
    <row r="308" ht="15.75" customHeight="1">
      <c r="E308" s="170"/>
    </row>
    <row r="309" ht="15.75" customHeight="1">
      <c r="E309" s="170"/>
    </row>
    <row r="310" ht="15.75" customHeight="1">
      <c r="E310" s="170"/>
    </row>
    <row r="311" ht="15.75" customHeight="1">
      <c r="E311" s="170"/>
    </row>
    <row r="312" ht="15.75" customHeight="1">
      <c r="E312" s="170"/>
    </row>
    <row r="313" ht="15.75" customHeight="1">
      <c r="E313" s="170"/>
    </row>
    <row r="314" ht="15.75" customHeight="1">
      <c r="E314" s="170"/>
    </row>
    <row r="315" ht="15.75" customHeight="1">
      <c r="E315" s="170"/>
    </row>
    <row r="316" ht="15.75" customHeight="1">
      <c r="E316" s="170"/>
    </row>
    <row r="317" ht="15.75" customHeight="1">
      <c r="E317" s="170"/>
    </row>
    <row r="318" ht="15.75" customHeight="1">
      <c r="E318" s="170"/>
    </row>
    <row r="319" ht="15.75" customHeight="1">
      <c r="E319" s="170"/>
    </row>
    <row r="320" ht="15.75" customHeight="1">
      <c r="E320" s="170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53">
    <mergeCell ref="D109:F109"/>
    <mergeCell ref="D110:F110"/>
    <mergeCell ref="A117:C117"/>
    <mergeCell ref="A118:C118"/>
    <mergeCell ref="F74:F76"/>
    <mergeCell ref="F77:F78"/>
    <mergeCell ref="F79:F80"/>
    <mergeCell ref="F82:F89"/>
    <mergeCell ref="G82:G89"/>
    <mergeCell ref="D107:F107"/>
    <mergeCell ref="D108:F108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6:D28"/>
    <mergeCell ref="F16:F28"/>
    <mergeCell ref="G16:G28"/>
    <mergeCell ref="F29:F34"/>
    <mergeCell ref="G29:G34"/>
    <mergeCell ref="D53:D58"/>
    <mergeCell ref="D59:D65"/>
    <mergeCell ref="D70:D73"/>
    <mergeCell ref="D74:D76"/>
    <mergeCell ref="D77:D78"/>
    <mergeCell ref="D79:D80"/>
    <mergeCell ref="D82:D89"/>
    <mergeCell ref="D29:D34"/>
    <mergeCell ref="D36:D44"/>
    <mergeCell ref="F36:F44"/>
    <mergeCell ref="G36:G44"/>
    <mergeCell ref="D45:D52"/>
    <mergeCell ref="G45:G52"/>
    <mergeCell ref="G53:G58"/>
    <mergeCell ref="F45:F52"/>
    <mergeCell ref="F53:F58"/>
    <mergeCell ref="F59:F65"/>
    <mergeCell ref="G59:G65"/>
    <mergeCell ref="F70:F73"/>
    <mergeCell ref="G70:G73"/>
    <mergeCell ref="G74:G76"/>
    <mergeCell ref="G77:G78"/>
    <mergeCell ref="I108:J108"/>
    <mergeCell ref="K108:AG108"/>
    <mergeCell ref="K109:AG109"/>
    <mergeCell ref="K110:AG110"/>
  </mergeCells>
  <printOptions/>
  <pageMargins bottom="0.75" footer="0.0" header="0.0" left="0.7" right="0.33527454242928456" top="0.75"/>
  <pageSetup fitToHeight="0" paperSize="14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11.75"/>
  </cols>
  <sheetData>
    <row r="1">
      <c r="A1" s="1" t="s">
        <v>0</v>
      </c>
      <c r="AJ1" s="2"/>
      <c r="AK1" s="2"/>
    </row>
    <row r="2">
      <c r="A2" s="171" t="s">
        <v>224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72" t="s">
        <v>5</v>
      </c>
      <c r="B8" s="173" t="s">
        <v>6</v>
      </c>
      <c r="C8" s="173" t="s">
        <v>7</v>
      </c>
      <c r="D8" s="174" t="s">
        <v>8</v>
      </c>
      <c r="E8" s="175" t="s">
        <v>9</v>
      </c>
      <c r="F8" s="176" t="s">
        <v>10</v>
      </c>
      <c r="G8" s="173" t="s">
        <v>11</v>
      </c>
      <c r="H8" s="173" t="s">
        <v>12</v>
      </c>
      <c r="I8" s="177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"/>
      <c r="AK8" s="2"/>
      <c r="AL8" s="2"/>
      <c r="AM8" s="2"/>
    </row>
    <row r="9">
      <c r="A9" s="25"/>
      <c r="B9" s="26"/>
      <c r="C9" s="26"/>
      <c r="D9" s="178" t="s">
        <v>14</v>
      </c>
      <c r="E9" s="26"/>
      <c r="F9" s="26"/>
      <c r="G9" s="26"/>
      <c r="H9" s="26"/>
      <c r="I9" s="179" t="s">
        <v>15</v>
      </c>
      <c r="J9" s="179" t="s">
        <v>16</v>
      </c>
      <c r="K9" s="179" t="s">
        <v>17</v>
      </c>
      <c r="L9" s="180" t="s">
        <v>18</v>
      </c>
      <c r="M9" s="180" t="s">
        <v>19</v>
      </c>
      <c r="N9" s="178" t="s">
        <v>20</v>
      </c>
      <c r="O9" s="178" t="s">
        <v>21</v>
      </c>
      <c r="P9" s="178" t="s">
        <v>22</v>
      </c>
      <c r="Q9" s="178" t="s">
        <v>23</v>
      </c>
      <c r="R9" s="178" t="s">
        <v>24</v>
      </c>
      <c r="S9" s="178" t="s">
        <v>25</v>
      </c>
      <c r="T9" s="178" t="s">
        <v>26</v>
      </c>
      <c r="U9" s="178" t="s">
        <v>27</v>
      </c>
      <c r="V9" s="178" t="s">
        <v>28</v>
      </c>
      <c r="W9" s="178" t="s">
        <v>29</v>
      </c>
      <c r="X9" s="178" t="s">
        <v>30</v>
      </c>
      <c r="Y9" s="178" t="s">
        <v>31</v>
      </c>
      <c r="Z9" s="178" t="s">
        <v>32</v>
      </c>
      <c r="AA9" s="178" t="s">
        <v>33</v>
      </c>
      <c r="AB9" s="178" t="s">
        <v>34</v>
      </c>
      <c r="AC9" s="178" t="s">
        <v>35</v>
      </c>
      <c r="AD9" s="178" t="s">
        <v>36</v>
      </c>
      <c r="AE9" s="178" t="s">
        <v>37</v>
      </c>
      <c r="AF9" s="178" t="s">
        <v>38</v>
      </c>
      <c r="AG9" s="178" t="s">
        <v>39</v>
      </c>
      <c r="AH9" s="178" t="s">
        <v>40</v>
      </c>
      <c r="AI9" s="181" t="s">
        <v>41</v>
      </c>
      <c r="AJ9" s="2"/>
      <c r="AK9" s="2"/>
      <c r="AL9" s="2"/>
      <c r="AM9" s="2"/>
    </row>
    <row r="10">
      <c r="A10" s="182" t="s">
        <v>42</v>
      </c>
      <c r="B10" s="183" t="s">
        <v>43</v>
      </c>
      <c r="C10" s="183" t="s">
        <v>44</v>
      </c>
      <c r="D10" s="183" t="s">
        <v>45</v>
      </c>
      <c r="E10" s="184" t="s">
        <v>46</v>
      </c>
      <c r="F10" s="185" t="s">
        <v>47</v>
      </c>
      <c r="G10" s="183" t="s">
        <v>48</v>
      </c>
      <c r="H10" s="183" t="s">
        <v>49</v>
      </c>
      <c r="I10" s="183" t="s">
        <v>50</v>
      </c>
      <c r="J10" s="183" t="s">
        <v>51</v>
      </c>
      <c r="K10" s="183" t="s">
        <v>52</v>
      </c>
      <c r="L10" s="183" t="s">
        <v>53</v>
      </c>
      <c r="M10" s="183" t="s">
        <v>54</v>
      </c>
      <c r="N10" s="183" t="s">
        <v>55</v>
      </c>
      <c r="O10" s="183" t="s">
        <v>56</v>
      </c>
      <c r="P10" s="183" t="s">
        <v>57</v>
      </c>
      <c r="Q10" s="183" t="s">
        <v>58</v>
      </c>
      <c r="R10" s="183" t="s">
        <v>59</v>
      </c>
      <c r="S10" s="183" t="s">
        <v>60</v>
      </c>
      <c r="T10" s="183" t="s">
        <v>61</v>
      </c>
      <c r="U10" s="183" t="s">
        <v>62</v>
      </c>
      <c r="V10" s="183" t="s">
        <v>63</v>
      </c>
      <c r="W10" s="183" t="s">
        <v>64</v>
      </c>
      <c r="X10" s="183" t="s">
        <v>65</v>
      </c>
      <c r="Y10" s="183" t="s">
        <v>66</v>
      </c>
      <c r="Z10" s="183" t="s">
        <v>67</v>
      </c>
      <c r="AA10" s="183" t="s">
        <v>68</v>
      </c>
      <c r="AB10" s="183" t="s">
        <v>69</v>
      </c>
      <c r="AC10" s="183" t="s">
        <v>70</v>
      </c>
      <c r="AD10" s="183" t="s">
        <v>71</v>
      </c>
      <c r="AE10" s="183" t="s">
        <v>72</v>
      </c>
      <c r="AF10" s="183" t="s">
        <v>73</v>
      </c>
      <c r="AG10" s="183" t="s">
        <v>74</v>
      </c>
      <c r="AH10" s="183" t="s">
        <v>75</v>
      </c>
      <c r="AI10" s="186" t="s">
        <v>76</v>
      </c>
      <c r="AJ10" s="125"/>
      <c r="AK10" s="125"/>
      <c r="AL10" s="126"/>
      <c r="AM10" s="126"/>
    </row>
    <row r="11">
      <c r="A11" s="187" t="s">
        <v>87</v>
      </c>
      <c r="B11" s="188"/>
      <c r="C11" s="189" t="s">
        <v>88</v>
      </c>
      <c r="D11" s="188"/>
      <c r="E11" s="190"/>
      <c r="F11" s="191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92"/>
      <c r="AJ11" s="165">
        <f>SUM(F12:F28)</f>
        <v>197250</v>
      </c>
      <c r="AK11" s="193">
        <v>200000.0</v>
      </c>
      <c r="AL11" s="126"/>
      <c r="AM11" s="126"/>
    </row>
    <row r="12">
      <c r="A12" s="194"/>
      <c r="B12" s="195"/>
      <c r="C12" s="196" t="s">
        <v>225</v>
      </c>
      <c r="D12" s="197" t="s">
        <v>80</v>
      </c>
      <c r="E12" s="198">
        <v>80.0</v>
      </c>
      <c r="F12" s="199">
        <f t="shared" ref="F12:F24" si="1">E12*J12</f>
        <v>4000</v>
      </c>
      <c r="G12" s="200" t="s">
        <v>226</v>
      </c>
      <c r="H12" s="201" t="s">
        <v>227</v>
      </c>
      <c r="I12" s="202"/>
      <c r="J12" s="203">
        <v>50.0</v>
      </c>
      <c r="K12" s="204">
        <v>50.0</v>
      </c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6"/>
      <c r="AJ12" s="125"/>
      <c r="AK12" s="125"/>
      <c r="AL12" s="126"/>
      <c r="AM12" s="126"/>
    </row>
    <row r="13">
      <c r="A13" s="194"/>
      <c r="B13" s="195"/>
      <c r="C13" s="207" t="s">
        <v>228</v>
      </c>
      <c r="D13" s="208"/>
      <c r="E13" s="209">
        <v>850.0</v>
      </c>
      <c r="F13" s="199">
        <f t="shared" si="1"/>
        <v>4250</v>
      </c>
      <c r="G13" s="200" t="s">
        <v>226</v>
      </c>
      <c r="H13" s="201"/>
      <c r="I13" s="202"/>
      <c r="J13" s="203">
        <v>5.0</v>
      </c>
      <c r="K13" s="204">
        <v>5.0</v>
      </c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6"/>
      <c r="AJ13" s="125"/>
      <c r="AK13" s="125"/>
      <c r="AL13" s="126"/>
      <c r="AM13" s="126"/>
    </row>
    <row r="14">
      <c r="A14" s="194"/>
      <c r="B14" s="195"/>
      <c r="C14" s="207" t="s">
        <v>229</v>
      </c>
      <c r="D14" s="208"/>
      <c r="E14" s="209">
        <v>450.0</v>
      </c>
      <c r="F14" s="199">
        <f t="shared" si="1"/>
        <v>2250</v>
      </c>
      <c r="G14" s="200" t="s">
        <v>226</v>
      </c>
      <c r="H14" s="201"/>
      <c r="I14" s="202"/>
      <c r="J14" s="203">
        <v>5.0</v>
      </c>
      <c r="K14" s="204">
        <v>5.0</v>
      </c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6"/>
      <c r="AJ14" s="125"/>
      <c r="AK14" s="125"/>
      <c r="AL14" s="126"/>
      <c r="AM14" s="126"/>
    </row>
    <row r="15">
      <c r="A15" s="194"/>
      <c r="B15" s="195"/>
      <c r="C15" s="207" t="s">
        <v>230</v>
      </c>
      <c r="D15" s="208"/>
      <c r="E15" s="209">
        <v>80.0</v>
      </c>
      <c r="F15" s="199">
        <f t="shared" si="1"/>
        <v>4000</v>
      </c>
      <c r="G15" s="200" t="s">
        <v>226</v>
      </c>
      <c r="H15" s="201"/>
      <c r="I15" s="202"/>
      <c r="J15" s="203">
        <v>50.0</v>
      </c>
      <c r="K15" s="204">
        <v>50.0</v>
      </c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6"/>
      <c r="AJ15" s="125"/>
      <c r="AK15" s="125"/>
      <c r="AL15" s="126"/>
      <c r="AM15" s="126"/>
    </row>
    <row r="16">
      <c r="A16" s="194"/>
      <c r="B16" s="195"/>
      <c r="C16" s="207" t="s">
        <v>231</v>
      </c>
      <c r="D16" s="208"/>
      <c r="E16" s="209">
        <v>300.0</v>
      </c>
      <c r="F16" s="199">
        <f t="shared" si="1"/>
        <v>4500</v>
      </c>
      <c r="G16" s="200" t="s">
        <v>226</v>
      </c>
      <c r="H16" s="201"/>
      <c r="I16" s="202"/>
      <c r="J16" s="203">
        <v>15.0</v>
      </c>
      <c r="K16" s="204">
        <v>15.0</v>
      </c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6"/>
      <c r="AJ16" s="125"/>
      <c r="AK16" s="125"/>
      <c r="AL16" s="126"/>
      <c r="AM16" s="126"/>
    </row>
    <row r="17">
      <c r="A17" s="194"/>
      <c r="B17" s="195"/>
      <c r="C17" s="207" t="s">
        <v>232</v>
      </c>
      <c r="D17" s="208"/>
      <c r="E17" s="209">
        <v>350.0</v>
      </c>
      <c r="F17" s="199">
        <f t="shared" si="1"/>
        <v>5250</v>
      </c>
      <c r="G17" s="200" t="s">
        <v>226</v>
      </c>
      <c r="H17" s="201"/>
      <c r="I17" s="202"/>
      <c r="J17" s="203">
        <v>15.0</v>
      </c>
      <c r="K17" s="204">
        <v>15.0</v>
      </c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6"/>
      <c r="AJ17" s="125"/>
      <c r="AK17" s="125"/>
      <c r="AL17" s="126"/>
      <c r="AM17" s="126"/>
    </row>
    <row r="18">
      <c r="A18" s="194"/>
      <c r="B18" s="195"/>
      <c r="C18" s="207" t="s">
        <v>233</v>
      </c>
      <c r="D18" s="208"/>
      <c r="E18" s="209">
        <v>500.0</v>
      </c>
      <c r="F18" s="199">
        <f t="shared" si="1"/>
        <v>7500</v>
      </c>
      <c r="G18" s="200" t="s">
        <v>226</v>
      </c>
      <c r="H18" s="201"/>
      <c r="I18" s="202"/>
      <c r="J18" s="203">
        <v>15.0</v>
      </c>
      <c r="K18" s="204">
        <v>15.0</v>
      </c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6"/>
      <c r="AJ18" s="125"/>
      <c r="AK18" s="125"/>
      <c r="AL18" s="126"/>
      <c r="AM18" s="126"/>
    </row>
    <row r="19" ht="15.75" customHeight="1">
      <c r="A19" s="194"/>
      <c r="B19" s="195"/>
      <c r="C19" s="210" t="s">
        <v>234</v>
      </c>
      <c r="D19" s="208"/>
      <c r="E19" s="209">
        <v>350.0</v>
      </c>
      <c r="F19" s="199">
        <f t="shared" si="1"/>
        <v>2800</v>
      </c>
      <c r="G19" s="200" t="s">
        <v>226</v>
      </c>
      <c r="H19" s="201"/>
      <c r="I19" s="202"/>
      <c r="J19" s="211">
        <v>8.0</v>
      </c>
      <c r="K19" s="212">
        <v>8.0</v>
      </c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6"/>
      <c r="AJ19" s="125"/>
      <c r="AK19" s="125"/>
      <c r="AL19" s="126"/>
      <c r="AM19" s="126"/>
    </row>
    <row r="20" ht="15.75" customHeight="1">
      <c r="A20" s="194"/>
      <c r="B20" s="195"/>
      <c r="C20" s="207" t="s">
        <v>235</v>
      </c>
      <c r="D20" s="208"/>
      <c r="E20" s="213">
        <v>2000.0</v>
      </c>
      <c r="F20" s="199">
        <f t="shared" si="1"/>
        <v>6000</v>
      </c>
      <c r="G20" s="200" t="s">
        <v>226</v>
      </c>
      <c r="H20" s="201"/>
      <c r="I20" s="202"/>
      <c r="J20" s="203">
        <v>3.0</v>
      </c>
      <c r="K20" s="204">
        <v>3.0</v>
      </c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6"/>
      <c r="AJ20" s="125"/>
      <c r="AK20" s="125"/>
      <c r="AL20" s="126"/>
      <c r="AM20" s="126"/>
    </row>
    <row r="21" ht="15.75" customHeight="1">
      <c r="A21" s="194"/>
      <c r="B21" s="195"/>
      <c r="C21" s="210" t="s">
        <v>236</v>
      </c>
      <c r="D21" s="208"/>
      <c r="E21" s="209">
        <v>50.0</v>
      </c>
      <c r="F21" s="199">
        <f t="shared" si="1"/>
        <v>400</v>
      </c>
      <c r="G21" s="200" t="s">
        <v>226</v>
      </c>
      <c r="H21" s="201"/>
      <c r="I21" s="202"/>
      <c r="J21" s="211">
        <v>8.0</v>
      </c>
      <c r="K21" s="212">
        <v>8.0</v>
      </c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6"/>
      <c r="AJ21" s="125"/>
      <c r="AK21" s="125"/>
      <c r="AL21" s="126"/>
      <c r="AM21" s="126"/>
    </row>
    <row r="22" ht="15.75" customHeight="1">
      <c r="A22" s="194"/>
      <c r="B22" s="195"/>
      <c r="C22" s="210" t="s">
        <v>237</v>
      </c>
      <c r="D22" s="152"/>
      <c r="E22" s="209">
        <v>80.0</v>
      </c>
      <c r="F22" s="199">
        <f t="shared" si="1"/>
        <v>640</v>
      </c>
      <c r="G22" s="200" t="s">
        <v>226</v>
      </c>
      <c r="H22" s="201"/>
      <c r="I22" s="202"/>
      <c r="J22" s="211">
        <v>8.0</v>
      </c>
      <c r="K22" s="212">
        <v>8.0</v>
      </c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6"/>
      <c r="AJ22" s="125"/>
      <c r="AK22" s="125"/>
      <c r="AL22" s="126"/>
      <c r="AM22" s="126"/>
    </row>
    <row r="23">
      <c r="A23" s="214"/>
      <c r="B23" s="195"/>
      <c r="C23" s="215" t="s">
        <v>238</v>
      </c>
      <c r="D23" s="200" t="s">
        <v>239</v>
      </c>
      <c r="E23" s="216">
        <v>650.0</v>
      </c>
      <c r="F23" s="199">
        <f t="shared" si="1"/>
        <v>2600</v>
      </c>
      <c r="G23" s="200" t="s">
        <v>226</v>
      </c>
      <c r="H23" s="201"/>
      <c r="I23" s="202"/>
      <c r="J23" s="203">
        <v>4.0</v>
      </c>
      <c r="K23" s="204">
        <v>4.0</v>
      </c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06"/>
      <c r="AJ23" s="125"/>
      <c r="AK23" s="125"/>
      <c r="AL23" s="126"/>
      <c r="AM23" s="126"/>
    </row>
    <row r="24">
      <c r="A24" s="214"/>
      <c r="B24" s="195"/>
      <c r="C24" s="215" t="s">
        <v>240</v>
      </c>
      <c r="D24" s="218" t="s">
        <v>241</v>
      </c>
      <c r="E24" s="216">
        <v>800.0</v>
      </c>
      <c r="F24" s="199">
        <f t="shared" si="1"/>
        <v>1600</v>
      </c>
      <c r="G24" s="218" t="s">
        <v>242</v>
      </c>
      <c r="H24" s="201"/>
      <c r="I24" s="202"/>
      <c r="J24" s="211">
        <v>2.0</v>
      </c>
      <c r="K24" s="212">
        <v>2.0</v>
      </c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06"/>
      <c r="AJ24" s="125"/>
      <c r="AK24" s="125"/>
      <c r="AL24" s="126"/>
      <c r="AM24" s="126"/>
    </row>
    <row r="25" ht="27.75" customHeight="1">
      <c r="A25" s="219"/>
      <c r="B25" s="195"/>
      <c r="C25" s="220" t="s">
        <v>243</v>
      </c>
      <c r="D25" s="221" t="s">
        <v>80</v>
      </c>
      <c r="E25" s="222">
        <v>28000.0</v>
      </c>
      <c r="F25" s="199">
        <f t="shared" ref="F25:F28" si="2">E25*I25</f>
        <v>112000</v>
      </c>
      <c r="G25" s="200" t="s">
        <v>81</v>
      </c>
      <c r="H25" s="201"/>
      <c r="I25" s="223">
        <v>4.0</v>
      </c>
      <c r="J25" s="224"/>
      <c r="K25" s="225">
        <v>4.0</v>
      </c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06"/>
      <c r="AJ25" s="125"/>
      <c r="AK25" s="125"/>
      <c r="AL25" s="126"/>
      <c r="AM25" s="126"/>
    </row>
    <row r="26" ht="27.75" customHeight="1">
      <c r="A26" s="226"/>
      <c r="B26" s="195"/>
      <c r="C26" s="227" t="s">
        <v>244</v>
      </c>
      <c r="D26" s="152"/>
      <c r="E26" s="228">
        <v>3500.0</v>
      </c>
      <c r="F26" s="228">
        <f t="shared" si="2"/>
        <v>14000</v>
      </c>
      <c r="G26" s="200" t="s">
        <v>81</v>
      </c>
      <c r="H26" s="201"/>
      <c r="I26" s="229">
        <v>4.0</v>
      </c>
      <c r="J26" s="230"/>
      <c r="K26" s="231">
        <v>4.0</v>
      </c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3"/>
      <c r="AJ26" s="125"/>
      <c r="AK26" s="125"/>
      <c r="AL26" s="126"/>
      <c r="AM26" s="126"/>
    </row>
    <row r="27" ht="27.75" customHeight="1">
      <c r="A27" s="219"/>
      <c r="B27" s="195"/>
      <c r="C27" s="215" t="s">
        <v>245</v>
      </c>
      <c r="D27" s="218" t="s">
        <v>246</v>
      </c>
      <c r="E27" s="209">
        <v>60.0</v>
      </c>
      <c r="F27" s="199">
        <f t="shared" si="2"/>
        <v>960</v>
      </c>
      <c r="G27" s="218" t="s">
        <v>90</v>
      </c>
      <c r="H27" s="201"/>
      <c r="I27" s="223">
        <v>16.0</v>
      </c>
      <c r="J27" s="224"/>
      <c r="K27" s="234">
        <v>16.0</v>
      </c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06"/>
      <c r="AJ27" s="125"/>
      <c r="AK27" s="125"/>
      <c r="AL27" s="126"/>
      <c r="AM27" s="126"/>
    </row>
    <row r="28" ht="27.75" customHeight="1">
      <c r="A28" s="214"/>
      <c r="B28" s="235"/>
      <c r="C28" s="236" t="s">
        <v>247</v>
      </c>
      <c r="D28" s="237" t="s">
        <v>80</v>
      </c>
      <c r="E28" s="222">
        <v>3500.0</v>
      </c>
      <c r="F28" s="199">
        <f t="shared" si="2"/>
        <v>24500</v>
      </c>
      <c r="G28" s="238" t="s">
        <v>90</v>
      </c>
      <c r="H28" s="201"/>
      <c r="I28" s="223">
        <v>7.0</v>
      </c>
      <c r="J28" s="224"/>
      <c r="K28" s="234">
        <v>7.0</v>
      </c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06"/>
      <c r="AJ28" s="125"/>
      <c r="AK28" s="125"/>
      <c r="AL28" s="126"/>
      <c r="AM28" s="126"/>
    </row>
    <row r="29" ht="27.75" customHeight="1">
      <c r="A29" s="187" t="s">
        <v>114</v>
      </c>
      <c r="B29" s="188"/>
      <c r="C29" s="239" t="s">
        <v>115</v>
      </c>
      <c r="D29" s="188"/>
      <c r="E29" s="190"/>
      <c r="F29" s="191"/>
      <c r="G29" s="188"/>
      <c r="H29" s="188"/>
      <c r="I29" s="240"/>
      <c r="J29" s="240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92"/>
      <c r="AJ29" s="241">
        <f>SUM(F30:F58)</f>
        <v>551550</v>
      </c>
      <c r="AK29" s="242">
        <v>1050000.0</v>
      </c>
      <c r="AL29" s="126"/>
      <c r="AM29" s="126"/>
    </row>
    <row r="30">
      <c r="A30" s="214"/>
      <c r="B30" s="217"/>
      <c r="C30" s="243" t="s">
        <v>248</v>
      </c>
      <c r="D30" s="200" t="s">
        <v>249</v>
      </c>
      <c r="E30" s="244">
        <v>40000.0</v>
      </c>
      <c r="F30" s="244">
        <f>E30*I30</f>
        <v>80000</v>
      </c>
      <c r="G30" s="218" t="s">
        <v>81</v>
      </c>
      <c r="H30" s="245" t="s">
        <v>250</v>
      </c>
      <c r="I30" s="246">
        <v>2.0</v>
      </c>
      <c r="J30" s="224"/>
      <c r="K30" s="200">
        <v>2.0</v>
      </c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47"/>
      <c r="AJ30" s="125"/>
      <c r="AK30" s="125"/>
      <c r="AL30" s="126"/>
      <c r="AM30" s="126"/>
    </row>
    <row r="31" ht="27.75" customHeight="1">
      <c r="A31" s="214"/>
      <c r="B31" s="217"/>
      <c r="C31" s="243" t="s">
        <v>251</v>
      </c>
      <c r="D31" s="218" t="s">
        <v>252</v>
      </c>
      <c r="E31" s="244">
        <v>5000.0</v>
      </c>
      <c r="F31" s="244">
        <f t="shared" ref="F31:F32" si="3">E31*J31</f>
        <v>15000</v>
      </c>
      <c r="G31" s="212" t="s">
        <v>90</v>
      </c>
      <c r="H31" s="245" t="s">
        <v>250</v>
      </c>
      <c r="I31" s="224"/>
      <c r="J31" s="211">
        <v>3.0</v>
      </c>
      <c r="K31" s="212">
        <v>3.0</v>
      </c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48"/>
      <c r="AJ31" s="125"/>
      <c r="AK31" s="125"/>
      <c r="AL31" s="126"/>
      <c r="AM31" s="126"/>
    </row>
    <row r="32" ht="27.75" customHeight="1">
      <c r="A32" s="214"/>
      <c r="B32" s="217"/>
      <c r="C32" s="249" t="s">
        <v>253</v>
      </c>
      <c r="D32" s="218" t="s">
        <v>254</v>
      </c>
      <c r="E32" s="250">
        <v>2500.0</v>
      </c>
      <c r="F32" s="244">
        <f t="shared" si="3"/>
        <v>12500</v>
      </c>
      <c r="G32" s="212" t="s">
        <v>90</v>
      </c>
      <c r="H32" s="245" t="s">
        <v>250</v>
      </c>
      <c r="I32" s="224"/>
      <c r="J32" s="211">
        <v>5.0</v>
      </c>
      <c r="K32" s="212">
        <v>5.0</v>
      </c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48"/>
      <c r="AJ32" s="125"/>
      <c r="AK32" s="125"/>
      <c r="AL32" s="126"/>
      <c r="AM32" s="126"/>
    </row>
    <row r="33">
      <c r="A33" s="214"/>
      <c r="B33" s="245"/>
      <c r="C33" s="210" t="s">
        <v>255</v>
      </c>
      <c r="D33" s="251" t="s">
        <v>80</v>
      </c>
      <c r="E33" s="244">
        <v>3500.0</v>
      </c>
      <c r="F33" s="252">
        <f>(E33*I33)+(E34*I34)</f>
        <v>125000</v>
      </c>
      <c r="G33" s="253" t="s">
        <v>81</v>
      </c>
      <c r="H33" s="245" t="s">
        <v>256</v>
      </c>
      <c r="I33" s="254">
        <v>25.0</v>
      </c>
      <c r="J33" s="224"/>
      <c r="K33" s="218">
        <v>25.0</v>
      </c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48"/>
      <c r="AJ33" s="125"/>
      <c r="AK33" s="125"/>
      <c r="AL33" s="126"/>
      <c r="AM33" s="126"/>
    </row>
    <row r="34" ht="27.75" customHeight="1">
      <c r="A34" s="214"/>
      <c r="B34" s="217"/>
      <c r="C34" s="210" t="s">
        <v>257</v>
      </c>
      <c r="D34" s="152"/>
      <c r="E34" s="244">
        <v>2500.0</v>
      </c>
      <c r="F34" s="152"/>
      <c r="G34" s="152"/>
      <c r="H34" s="245" t="s">
        <v>250</v>
      </c>
      <c r="I34" s="211">
        <v>15.0</v>
      </c>
      <c r="J34" s="224"/>
      <c r="K34" s="212">
        <v>15.0</v>
      </c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48"/>
      <c r="AJ34" s="125"/>
      <c r="AK34" s="125"/>
      <c r="AL34" s="126"/>
      <c r="AM34" s="126"/>
    </row>
    <row r="35">
      <c r="A35" s="214"/>
      <c r="B35" s="217"/>
      <c r="C35" s="210" t="s">
        <v>258</v>
      </c>
      <c r="D35" s="218" t="s">
        <v>259</v>
      </c>
      <c r="E35" s="244">
        <v>5000.0</v>
      </c>
      <c r="F35" s="244">
        <f t="shared" ref="F35:F36" si="4">E35*I35</f>
        <v>25000</v>
      </c>
      <c r="G35" s="218" t="s">
        <v>81</v>
      </c>
      <c r="H35" s="245" t="s">
        <v>256</v>
      </c>
      <c r="I35" s="254">
        <v>5.0</v>
      </c>
      <c r="J35" s="224"/>
      <c r="K35" s="218">
        <v>5.0</v>
      </c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48"/>
      <c r="AJ35" s="125"/>
      <c r="AK35" s="125"/>
      <c r="AL35" s="126"/>
      <c r="AM35" s="126"/>
    </row>
    <row r="36">
      <c r="A36" s="214"/>
      <c r="B36" s="245"/>
      <c r="C36" s="210" t="s">
        <v>260</v>
      </c>
      <c r="D36" s="212" t="s">
        <v>261</v>
      </c>
      <c r="E36" s="244">
        <v>3000.0</v>
      </c>
      <c r="F36" s="244">
        <f t="shared" si="4"/>
        <v>9000</v>
      </c>
      <c r="G36" s="218" t="s">
        <v>81</v>
      </c>
      <c r="H36" s="245" t="s">
        <v>256</v>
      </c>
      <c r="I36" s="254">
        <v>3.0</v>
      </c>
      <c r="J36" s="224"/>
      <c r="K36" s="218">
        <v>3.0</v>
      </c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48"/>
      <c r="AJ36" s="125"/>
      <c r="AK36" s="125"/>
      <c r="AL36" s="126"/>
      <c r="AM36" s="126"/>
    </row>
    <row r="37">
      <c r="A37" s="214"/>
      <c r="B37" s="217"/>
      <c r="C37" s="210" t="s">
        <v>262</v>
      </c>
      <c r="D37" s="255" t="s">
        <v>80</v>
      </c>
      <c r="E37" s="244">
        <v>3000.0</v>
      </c>
      <c r="F37" s="252">
        <f>(E37*I37)+(E38*I38)+(E39*I39)+(E40*I40)+(E41*I41)+(E42*I42)</f>
        <v>89000</v>
      </c>
      <c r="G37" s="253" t="s">
        <v>81</v>
      </c>
      <c r="H37" s="256" t="s">
        <v>250</v>
      </c>
      <c r="I37" s="254">
        <v>3.0</v>
      </c>
      <c r="J37" s="224"/>
      <c r="K37" s="218">
        <v>3.0</v>
      </c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48"/>
      <c r="AJ37" s="125"/>
      <c r="AK37" s="125"/>
      <c r="AL37" s="126"/>
      <c r="AM37" s="126"/>
    </row>
    <row r="38" ht="27.75" customHeight="1">
      <c r="A38" s="214"/>
      <c r="B38" s="217"/>
      <c r="C38" s="210" t="s">
        <v>263</v>
      </c>
      <c r="D38" s="208"/>
      <c r="E38" s="244">
        <v>1000.0</v>
      </c>
      <c r="F38" s="208"/>
      <c r="G38" s="208"/>
      <c r="H38" s="208"/>
      <c r="I38" s="254">
        <v>5.0</v>
      </c>
      <c r="J38" s="224"/>
      <c r="K38" s="218">
        <v>5.0</v>
      </c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48"/>
      <c r="AJ38" s="125"/>
      <c r="AK38" s="125"/>
      <c r="AL38" s="126"/>
      <c r="AM38" s="126"/>
    </row>
    <row r="39" ht="27.75" customHeight="1">
      <c r="A39" s="214"/>
      <c r="B39" s="217"/>
      <c r="C39" s="210" t="s">
        <v>264</v>
      </c>
      <c r="D39" s="208"/>
      <c r="E39" s="257">
        <v>2500.0</v>
      </c>
      <c r="F39" s="208"/>
      <c r="G39" s="208"/>
      <c r="H39" s="208"/>
      <c r="I39" s="254">
        <v>5.0</v>
      </c>
      <c r="J39" s="224"/>
      <c r="K39" s="218">
        <v>5.0</v>
      </c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48"/>
      <c r="AJ39" s="125"/>
      <c r="AK39" s="125"/>
      <c r="AL39" s="126"/>
      <c r="AM39" s="126"/>
    </row>
    <row r="40">
      <c r="A40" s="214"/>
      <c r="B40" s="217"/>
      <c r="C40" s="210" t="s">
        <v>265</v>
      </c>
      <c r="D40" s="208"/>
      <c r="E40" s="244">
        <v>5000.0</v>
      </c>
      <c r="F40" s="208"/>
      <c r="G40" s="208"/>
      <c r="H40" s="208"/>
      <c r="I40" s="254">
        <v>5.0</v>
      </c>
      <c r="J40" s="224"/>
      <c r="K40" s="218">
        <v>5.0</v>
      </c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48"/>
      <c r="AJ40" s="125"/>
      <c r="AK40" s="125"/>
      <c r="AL40" s="126"/>
      <c r="AM40" s="126"/>
    </row>
    <row r="41">
      <c r="A41" s="214"/>
      <c r="B41" s="245"/>
      <c r="C41" s="249" t="s">
        <v>266</v>
      </c>
      <c r="D41" s="208"/>
      <c r="E41" s="244">
        <v>2500.0</v>
      </c>
      <c r="F41" s="208"/>
      <c r="G41" s="208"/>
      <c r="H41" s="208"/>
      <c r="I41" s="254">
        <v>5.0</v>
      </c>
      <c r="J41" s="224"/>
      <c r="K41" s="218">
        <v>5.0</v>
      </c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58"/>
      <c r="AJ41" s="125"/>
      <c r="AK41" s="125"/>
      <c r="AL41" s="126"/>
      <c r="AM41" s="126"/>
    </row>
    <row r="42" ht="27.75" customHeight="1">
      <c r="A42" s="214"/>
      <c r="B42" s="245"/>
      <c r="C42" s="210" t="s">
        <v>267</v>
      </c>
      <c r="D42" s="152"/>
      <c r="E42" s="244">
        <v>5000.0</v>
      </c>
      <c r="F42" s="152"/>
      <c r="G42" s="152"/>
      <c r="H42" s="152"/>
      <c r="I42" s="254">
        <v>5.0</v>
      </c>
      <c r="J42" s="224"/>
      <c r="K42" s="218">
        <v>5.0</v>
      </c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48"/>
      <c r="AJ42" s="125"/>
      <c r="AK42" s="125"/>
      <c r="AL42" s="126"/>
      <c r="AM42" s="126"/>
    </row>
    <row r="43" ht="27.75" customHeight="1">
      <c r="A43" s="214"/>
      <c r="B43" s="245"/>
      <c r="C43" s="207" t="s">
        <v>268</v>
      </c>
      <c r="D43" s="204" t="s">
        <v>269</v>
      </c>
      <c r="E43" s="250">
        <v>60.0</v>
      </c>
      <c r="F43" s="244">
        <f>E43*I43</f>
        <v>300</v>
      </c>
      <c r="G43" s="212" t="s">
        <v>90</v>
      </c>
      <c r="H43" s="245" t="s">
        <v>250</v>
      </c>
      <c r="I43" s="246">
        <v>5.0</v>
      </c>
      <c r="J43" s="224"/>
      <c r="K43" s="200">
        <v>5.0</v>
      </c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48"/>
      <c r="AJ43" s="125"/>
      <c r="AK43" s="125"/>
      <c r="AL43" s="126"/>
      <c r="AM43" s="126"/>
    </row>
    <row r="44" ht="27.75" customHeight="1">
      <c r="A44" s="214"/>
      <c r="B44" s="217"/>
      <c r="C44" s="210" t="s">
        <v>270</v>
      </c>
      <c r="D44" s="212" t="s">
        <v>271</v>
      </c>
      <c r="E44" s="257">
        <v>1000.0</v>
      </c>
      <c r="F44" s="244">
        <f t="shared" ref="F44:F45" si="5">E44*J44</f>
        <v>8000</v>
      </c>
      <c r="G44" s="212" t="s">
        <v>90</v>
      </c>
      <c r="H44" s="245" t="s">
        <v>250</v>
      </c>
      <c r="I44" s="224"/>
      <c r="J44" s="211">
        <v>8.0</v>
      </c>
      <c r="K44" s="212">
        <v>8.0</v>
      </c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47"/>
      <c r="AJ44" s="125"/>
      <c r="AK44" s="125"/>
      <c r="AL44" s="126"/>
      <c r="AM44" s="126"/>
    </row>
    <row r="45" ht="27.75" customHeight="1">
      <c r="A45" s="214"/>
      <c r="B45" s="217"/>
      <c r="C45" s="210" t="s">
        <v>272</v>
      </c>
      <c r="D45" s="212" t="s">
        <v>273</v>
      </c>
      <c r="E45" s="257">
        <v>1000.0</v>
      </c>
      <c r="F45" s="257">
        <f t="shared" si="5"/>
        <v>8000</v>
      </c>
      <c r="G45" s="212" t="s">
        <v>90</v>
      </c>
      <c r="H45" s="245" t="s">
        <v>250</v>
      </c>
      <c r="I45" s="224"/>
      <c r="J45" s="211">
        <v>8.0</v>
      </c>
      <c r="K45" s="212">
        <v>8.0</v>
      </c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48"/>
      <c r="AJ45" s="125"/>
      <c r="AK45" s="125"/>
      <c r="AL45" s="126"/>
      <c r="AM45" s="126"/>
    </row>
    <row r="46" ht="27.75" customHeight="1">
      <c r="A46" s="214"/>
      <c r="B46" s="217"/>
      <c r="C46" s="210" t="s">
        <v>274</v>
      </c>
      <c r="D46" s="255" t="s">
        <v>80</v>
      </c>
      <c r="E46" s="257">
        <v>1000.0</v>
      </c>
      <c r="F46" s="259">
        <f>(E46*K46)+(E47*K47)</f>
        <v>16000</v>
      </c>
      <c r="G46" s="260" t="s">
        <v>90</v>
      </c>
      <c r="H46" s="261" t="s">
        <v>250</v>
      </c>
      <c r="I46" s="224"/>
      <c r="J46" s="224"/>
      <c r="K46" s="212">
        <v>10.0</v>
      </c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48"/>
      <c r="AJ46" s="125"/>
      <c r="AK46" s="125"/>
      <c r="AL46" s="126"/>
      <c r="AM46" s="126"/>
    </row>
    <row r="47" ht="27.75" customHeight="1">
      <c r="A47" s="214"/>
      <c r="B47" s="217"/>
      <c r="C47" s="210" t="s">
        <v>275</v>
      </c>
      <c r="D47" s="152"/>
      <c r="E47" s="257">
        <v>2000.0</v>
      </c>
      <c r="F47" s="152"/>
      <c r="G47" s="152"/>
      <c r="H47" s="152"/>
      <c r="I47" s="224"/>
      <c r="J47" s="224"/>
      <c r="K47" s="212">
        <v>3.0</v>
      </c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48"/>
      <c r="AJ47" s="125"/>
      <c r="AK47" s="125"/>
      <c r="AL47" s="126"/>
      <c r="AM47" s="126"/>
    </row>
    <row r="48" ht="27.75" customHeight="1">
      <c r="A48" s="219"/>
      <c r="B48" s="245"/>
      <c r="C48" s="262" t="s">
        <v>276</v>
      </c>
      <c r="D48" s="255" t="s">
        <v>80</v>
      </c>
      <c r="E48" s="216">
        <v>300.0</v>
      </c>
      <c r="F48" s="263">
        <f>(E48*J48)+(E49*J49)+(E50*J50)+(E51*J51)</f>
        <v>8000</v>
      </c>
      <c r="G48" s="260" t="s">
        <v>90</v>
      </c>
      <c r="H48" s="261" t="s">
        <v>250</v>
      </c>
      <c r="I48" s="224"/>
      <c r="J48" s="211">
        <v>10.0</v>
      </c>
      <c r="K48" s="212">
        <v>10.0</v>
      </c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48"/>
      <c r="AJ48" s="125"/>
      <c r="AK48" s="125"/>
      <c r="AL48" s="126"/>
      <c r="AM48" s="126"/>
    </row>
    <row r="49" ht="27.75" customHeight="1">
      <c r="A49" s="219"/>
      <c r="B49" s="245"/>
      <c r="C49" s="262" t="s">
        <v>277</v>
      </c>
      <c r="D49" s="208"/>
      <c r="E49" s="216">
        <v>300.0</v>
      </c>
      <c r="F49" s="208"/>
      <c r="G49" s="208"/>
      <c r="H49" s="208"/>
      <c r="I49" s="224"/>
      <c r="J49" s="211">
        <v>10.0</v>
      </c>
      <c r="K49" s="212">
        <v>10.0</v>
      </c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48"/>
      <c r="AJ49" s="125"/>
      <c r="AK49" s="125"/>
      <c r="AL49" s="126"/>
      <c r="AM49" s="126"/>
    </row>
    <row r="50" ht="15.75" customHeight="1">
      <c r="A50" s="219"/>
      <c r="B50" s="217"/>
      <c r="C50" s="262" t="s">
        <v>278</v>
      </c>
      <c r="D50" s="208"/>
      <c r="E50" s="216">
        <v>500.0</v>
      </c>
      <c r="F50" s="208"/>
      <c r="G50" s="208"/>
      <c r="H50" s="208"/>
      <c r="I50" s="224"/>
      <c r="J50" s="211">
        <v>2.0</v>
      </c>
      <c r="K50" s="212">
        <v>2.0</v>
      </c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48"/>
      <c r="AJ50" s="125"/>
      <c r="AK50" s="125"/>
      <c r="AL50" s="126"/>
      <c r="AM50" s="126"/>
    </row>
    <row r="51" ht="27.0" customHeight="1">
      <c r="A51" s="219"/>
      <c r="B51" s="217"/>
      <c r="C51" s="262" t="s">
        <v>279</v>
      </c>
      <c r="D51" s="152"/>
      <c r="E51" s="216">
        <v>500.0</v>
      </c>
      <c r="F51" s="152"/>
      <c r="G51" s="152"/>
      <c r="H51" s="152"/>
      <c r="I51" s="224"/>
      <c r="J51" s="211">
        <v>2.0</v>
      </c>
      <c r="K51" s="212">
        <v>2.0</v>
      </c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48"/>
      <c r="AJ51" s="125"/>
      <c r="AK51" s="125"/>
      <c r="AL51" s="126"/>
      <c r="AM51" s="126"/>
    </row>
    <row r="52" ht="25.5" customHeight="1">
      <c r="A52" s="219"/>
      <c r="B52" s="217"/>
      <c r="C52" s="262" t="s">
        <v>280</v>
      </c>
      <c r="D52" s="255" t="s">
        <v>80</v>
      </c>
      <c r="E52" s="209">
        <v>1300.0</v>
      </c>
      <c r="F52" s="263">
        <f>(E52*J52)+(E53*J53)+(E54*J54)+(E55*J55)+(E56*J56)+(E57*J57)+(E58*J58)</f>
        <v>155750</v>
      </c>
      <c r="G52" s="253" t="s">
        <v>81</v>
      </c>
      <c r="H52" s="261" t="s">
        <v>250</v>
      </c>
      <c r="I52" s="224"/>
      <c r="J52" s="211">
        <v>20.0</v>
      </c>
      <c r="K52" s="212">
        <v>20.0</v>
      </c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48"/>
      <c r="AJ52" s="125"/>
      <c r="AK52" s="125"/>
      <c r="AL52" s="126"/>
      <c r="AM52" s="126"/>
    </row>
    <row r="53" ht="29.25" customHeight="1">
      <c r="A53" s="219"/>
      <c r="B53" s="217"/>
      <c r="C53" s="262" t="s">
        <v>281</v>
      </c>
      <c r="D53" s="208"/>
      <c r="E53" s="209">
        <v>800.0</v>
      </c>
      <c r="F53" s="208"/>
      <c r="G53" s="208"/>
      <c r="H53" s="208"/>
      <c r="I53" s="224"/>
      <c r="J53" s="211">
        <v>15.0</v>
      </c>
      <c r="K53" s="212">
        <v>15.0</v>
      </c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48"/>
      <c r="AJ53" s="125"/>
      <c r="AK53" s="125"/>
      <c r="AL53" s="126"/>
      <c r="AM53" s="126"/>
    </row>
    <row r="54" ht="15.75" customHeight="1">
      <c r="A54" s="219"/>
      <c r="B54" s="217"/>
      <c r="C54" s="262" t="s">
        <v>282</v>
      </c>
      <c r="D54" s="208"/>
      <c r="E54" s="209">
        <v>250.0</v>
      </c>
      <c r="F54" s="208"/>
      <c r="G54" s="208"/>
      <c r="H54" s="208"/>
      <c r="I54" s="224"/>
      <c r="J54" s="211">
        <v>15.0</v>
      </c>
      <c r="K54" s="212">
        <v>15.0</v>
      </c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58"/>
      <c r="AJ54" s="125"/>
      <c r="AK54" s="125"/>
      <c r="AL54" s="126"/>
      <c r="AM54" s="126"/>
    </row>
    <row r="55" ht="15.75" customHeight="1">
      <c r="A55" s="219"/>
      <c r="B55" s="245"/>
      <c r="C55" s="262" t="s">
        <v>283</v>
      </c>
      <c r="D55" s="208"/>
      <c r="E55" s="209">
        <v>2400.0</v>
      </c>
      <c r="F55" s="208"/>
      <c r="G55" s="208"/>
      <c r="H55" s="208"/>
      <c r="I55" s="224"/>
      <c r="J55" s="211">
        <v>10.0</v>
      </c>
      <c r="K55" s="212">
        <v>10.0</v>
      </c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48"/>
      <c r="AJ55" s="125"/>
      <c r="AK55" s="125"/>
      <c r="AL55" s="126"/>
      <c r="AM55" s="126"/>
    </row>
    <row r="56" ht="27.75" customHeight="1">
      <c r="A56" s="219"/>
      <c r="B56" s="245"/>
      <c r="C56" s="262" t="s">
        <v>284</v>
      </c>
      <c r="D56" s="208"/>
      <c r="E56" s="209">
        <v>2000.0</v>
      </c>
      <c r="F56" s="208"/>
      <c r="G56" s="208"/>
      <c r="H56" s="208"/>
      <c r="I56" s="224"/>
      <c r="J56" s="211">
        <v>10.0</v>
      </c>
      <c r="K56" s="212">
        <v>10.0</v>
      </c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48"/>
      <c r="AJ56" s="125"/>
      <c r="AK56" s="125"/>
      <c r="AL56" s="126"/>
      <c r="AM56" s="126"/>
    </row>
    <row r="57" ht="15.75" customHeight="1">
      <c r="A57" s="219"/>
      <c r="B57" s="264"/>
      <c r="C57" s="262" t="s">
        <v>285</v>
      </c>
      <c r="D57" s="208"/>
      <c r="E57" s="209">
        <v>1000.0</v>
      </c>
      <c r="F57" s="208"/>
      <c r="G57" s="208"/>
      <c r="H57" s="208"/>
      <c r="I57" s="224"/>
      <c r="J57" s="211">
        <v>10.0</v>
      </c>
      <c r="K57" s="212">
        <v>10.0</v>
      </c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48"/>
      <c r="AJ57" s="125"/>
      <c r="AK57" s="125"/>
      <c r="AL57" s="126"/>
      <c r="AM57" s="126"/>
    </row>
    <row r="58" ht="26.25" customHeight="1">
      <c r="A58" s="219"/>
      <c r="B58" s="195"/>
      <c r="C58" s="262" t="s">
        <v>286</v>
      </c>
      <c r="D58" s="152"/>
      <c r="E58" s="199">
        <v>2500.0</v>
      </c>
      <c r="F58" s="152"/>
      <c r="G58" s="152"/>
      <c r="H58" s="152"/>
      <c r="I58" s="224"/>
      <c r="J58" s="211">
        <v>24.0</v>
      </c>
      <c r="K58" s="212">
        <v>24.0</v>
      </c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65"/>
      <c r="AJ58" s="125"/>
      <c r="AK58" s="125"/>
      <c r="AL58" s="126"/>
      <c r="AM58" s="126"/>
    </row>
    <row r="59" ht="15.75" customHeight="1">
      <c r="A59" s="187" t="s">
        <v>151</v>
      </c>
      <c r="B59" s="188"/>
      <c r="C59" s="239" t="s">
        <v>152</v>
      </c>
      <c r="D59" s="188"/>
      <c r="E59" s="190"/>
      <c r="F59" s="191"/>
      <c r="G59" s="188"/>
      <c r="H59" s="188"/>
      <c r="I59" s="240"/>
      <c r="J59" s="240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92"/>
      <c r="AJ59" s="165">
        <f>SUM(F60:F82)</f>
        <v>137775</v>
      </c>
      <c r="AK59" s="193">
        <v>150000.0</v>
      </c>
      <c r="AL59" s="126"/>
      <c r="AM59" s="126"/>
    </row>
    <row r="60">
      <c r="A60" s="214"/>
      <c r="B60" s="217"/>
      <c r="C60" s="207" t="s">
        <v>287</v>
      </c>
      <c r="D60" s="253" t="s">
        <v>80</v>
      </c>
      <c r="E60" s="244">
        <v>3000.0</v>
      </c>
      <c r="F60" s="263">
        <f>(E60*J60)+(E61*J61)+(E62*J62)</f>
        <v>36000</v>
      </c>
      <c r="G60" s="253" t="s">
        <v>90</v>
      </c>
      <c r="H60" s="266" t="s">
        <v>227</v>
      </c>
      <c r="I60" s="224"/>
      <c r="J60" s="246">
        <v>4.0</v>
      </c>
      <c r="K60" s="200">
        <v>4.0</v>
      </c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47"/>
      <c r="AJ60" s="125"/>
      <c r="AK60" s="125"/>
      <c r="AL60" s="126"/>
      <c r="AM60" s="126"/>
    </row>
    <row r="61">
      <c r="A61" s="214"/>
      <c r="B61" s="195"/>
      <c r="C61" s="220" t="s">
        <v>288</v>
      </c>
      <c r="D61" s="208"/>
      <c r="E61" s="244">
        <v>5000.0</v>
      </c>
      <c r="F61" s="208"/>
      <c r="G61" s="208"/>
      <c r="H61" s="208"/>
      <c r="I61" s="224"/>
      <c r="J61" s="203">
        <v>4.0</v>
      </c>
      <c r="K61" s="204">
        <v>4.0</v>
      </c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48"/>
      <c r="AJ61" s="125"/>
      <c r="AK61" s="125"/>
      <c r="AL61" s="126"/>
      <c r="AM61" s="126"/>
    </row>
    <row r="62">
      <c r="A62" s="214"/>
      <c r="B62" s="195"/>
      <c r="C62" s="220" t="s">
        <v>289</v>
      </c>
      <c r="D62" s="152"/>
      <c r="E62" s="244">
        <v>1000.0</v>
      </c>
      <c r="F62" s="152"/>
      <c r="G62" s="152"/>
      <c r="H62" s="152"/>
      <c r="I62" s="224"/>
      <c r="J62" s="203">
        <v>4.0</v>
      </c>
      <c r="K62" s="204">
        <v>4.0</v>
      </c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48"/>
      <c r="AJ62" s="125"/>
      <c r="AK62" s="125"/>
      <c r="AL62" s="126"/>
      <c r="AM62" s="126"/>
    </row>
    <row r="63">
      <c r="A63" s="194"/>
      <c r="B63" s="267"/>
      <c r="C63" s="220" t="s">
        <v>290</v>
      </c>
      <c r="D63" s="253" t="s">
        <v>80</v>
      </c>
      <c r="E63" s="216">
        <v>1000.0</v>
      </c>
      <c r="F63" s="263">
        <f>(E63*K63)+(E64*K64)+(E65*K65)</f>
        <v>38000</v>
      </c>
      <c r="G63" s="253" t="s">
        <v>90</v>
      </c>
      <c r="H63" s="201" t="s">
        <v>227</v>
      </c>
      <c r="I63" s="224"/>
      <c r="J63" s="224"/>
      <c r="K63" s="204">
        <v>8.0</v>
      </c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48"/>
      <c r="AJ63" s="125"/>
      <c r="AK63" s="125"/>
      <c r="AL63" s="126"/>
      <c r="AM63" s="126"/>
    </row>
    <row r="64">
      <c r="A64" s="194"/>
      <c r="B64" s="267"/>
      <c r="C64" s="262" t="s">
        <v>163</v>
      </c>
      <c r="D64" s="208"/>
      <c r="E64" s="216">
        <v>3000.0</v>
      </c>
      <c r="F64" s="208"/>
      <c r="G64" s="208"/>
      <c r="H64" s="201" t="s">
        <v>227</v>
      </c>
      <c r="I64" s="224"/>
      <c r="J64" s="224"/>
      <c r="K64" s="212">
        <v>5.0</v>
      </c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48"/>
      <c r="AJ64" s="125"/>
      <c r="AK64" s="125"/>
      <c r="AL64" s="126"/>
      <c r="AM64" s="126"/>
    </row>
    <row r="65">
      <c r="A65" s="194"/>
      <c r="B65" s="267"/>
      <c r="C65" s="262" t="s">
        <v>164</v>
      </c>
      <c r="D65" s="152"/>
      <c r="E65" s="216">
        <v>3000.0</v>
      </c>
      <c r="F65" s="152"/>
      <c r="G65" s="152"/>
      <c r="H65" s="201" t="s">
        <v>227</v>
      </c>
      <c r="I65" s="224"/>
      <c r="J65" s="224"/>
      <c r="K65" s="212">
        <v>5.0</v>
      </c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48"/>
      <c r="AJ65" s="125"/>
      <c r="AK65" s="125"/>
      <c r="AL65" s="126"/>
      <c r="AM65" s="126"/>
    </row>
    <row r="66">
      <c r="A66" s="214"/>
      <c r="B66" s="217"/>
      <c r="C66" s="268" t="s">
        <v>291</v>
      </c>
      <c r="D66" s="200" t="s">
        <v>292</v>
      </c>
      <c r="E66" s="216">
        <v>4500.0</v>
      </c>
      <c r="F66" s="199">
        <f>4500*I66</f>
        <v>9000</v>
      </c>
      <c r="G66" s="218" t="s">
        <v>226</v>
      </c>
      <c r="H66" s="245" t="s">
        <v>227</v>
      </c>
      <c r="I66" s="203">
        <v>2.0</v>
      </c>
      <c r="J66" s="224"/>
      <c r="K66" s="204">
        <v>2.0</v>
      </c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47"/>
      <c r="AJ66" s="125"/>
      <c r="AK66" s="125"/>
      <c r="AL66" s="126"/>
      <c r="AM66" s="126"/>
    </row>
    <row r="67">
      <c r="A67" s="214"/>
      <c r="B67" s="217"/>
      <c r="C67" s="210" t="s">
        <v>293</v>
      </c>
      <c r="D67" s="204" t="s">
        <v>186</v>
      </c>
      <c r="E67" s="209">
        <v>3000.0</v>
      </c>
      <c r="F67" s="209">
        <f>E67*I67</f>
        <v>3000</v>
      </c>
      <c r="G67" s="218" t="s">
        <v>90</v>
      </c>
      <c r="H67" s="245" t="s">
        <v>227</v>
      </c>
      <c r="I67" s="203">
        <v>1.0</v>
      </c>
      <c r="J67" s="224"/>
      <c r="K67" s="204">
        <v>1.0</v>
      </c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48"/>
      <c r="AJ67" s="125"/>
      <c r="AK67" s="125"/>
      <c r="AL67" s="126"/>
      <c r="AM67" s="126"/>
    </row>
    <row r="68" ht="15.75" customHeight="1">
      <c r="A68" s="219"/>
      <c r="B68" s="195"/>
      <c r="C68" s="262" t="s">
        <v>294</v>
      </c>
      <c r="D68" s="221" t="s">
        <v>80</v>
      </c>
      <c r="E68" s="216">
        <v>200.0</v>
      </c>
      <c r="F68" s="269">
        <f>(E68*I68)+(E69*I69)+(E70*I70)+(E71*I71)+(E72*I72)+(E73*I73)+(E74*I74)</f>
        <v>18000</v>
      </c>
      <c r="G68" s="260" t="s">
        <v>90</v>
      </c>
      <c r="H68" s="266" t="s">
        <v>227</v>
      </c>
      <c r="I68" s="211">
        <v>10.0</v>
      </c>
      <c r="J68" s="224"/>
      <c r="K68" s="212">
        <v>10.0</v>
      </c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48"/>
      <c r="AJ68" s="125"/>
      <c r="AK68" s="125"/>
      <c r="AL68" s="126"/>
      <c r="AM68" s="126"/>
    </row>
    <row r="69" ht="15.75" customHeight="1">
      <c r="A69" s="219"/>
      <c r="B69" s="264"/>
      <c r="C69" s="262" t="s">
        <v>295</v>
      </c>
      <c r="D69" s="208"/>
      <c r="E69" s="216">
        <v>200.0</v>
      </c>
      <c r="F69" s="66"/>
      <c r="G69" s="208"/>
      <c r="H69" s="208"/>
      <c r="I69" s="211">
        <v>10.0</v>
      </c>
      <c r="J69" s="224"/>
      <c r="K69" s="212">
        <v>10.0</v>
      </c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48"/>
      <c r="AJ69" s="125"/>
      <c r="AK69" s="125"/>
      <c r="AL69" s="126"/>
      <c r="AM69" s="126"/>
    </row>
    <row r="70" ht="15.75" customHeight="1">
      <c r="A70" s="219"/>
      <c r="B70" s="264"/>
      <c r="C70" s="262" t="s">
        <v>296</v>
      </c>
      <c r="D70" s="208"/>
      <c r="E70" s="216">
        <v>200.0</v>
      </c>
      <c r="F70" s="66"/>
      <c r="G70" s="208"/>
      <c r="H70" s="208"/>
      <c r="I70" s="211">
        <v>10.0</v>
      </c>
      <c r="J70" s="224"/>
      <c r="K70" s="212">
        <v>10.0</v>
      </c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48"/>
      <c r="AJ70" s="125"/>
      <c r="AK70" s="125"/>
      <c r="AL70" s="126"/>
      <c r="AM70" s="126"/>
    </row>
    <row r="71" ht="15.75" customHeight="1">
      <c r="A71" s="219"/>
      <c r="B71" s="195"/>
      <c r="C71" s="262" t="s">
        <v>297</v>
      </c>
      <c r="D71" s="208"/>
      <c r="E71" s="216">
        <v>200.0</v>
      </c>
      <c r="F71" s="66"/>
      <c r="G71" s="208"/>
      <c r="H71" s="208"/>
      <c r="I71" s="211">
        <v>10.0</v>
      </c>
      <c r="J71" s="224"/>
      <c r="K71" s="212">
        <v>10.0</v>
      </c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48"/>
      <c r="AJ71" s="125"/>
      <c r="AK71" s="125"/>
      <c r="AL71" s="126"/>
      <c r="AM71" s="126"/>
    </row>
    <row r="72" ht="15.75" customHeight="1">
      <c r="A72" s="219"/>
      <c r="B72" s="195"/>
      <c r="C72" s="262" t="s">
        <v>298</v>
      </c>
      <c r="D72" s="208"/>
      <c r="E72" s="216">
        <v>250.0</v>
      </c>
      <c r="F72" s="66"/>
      <c r="G72" s="208"/>
      <c r="H72" s="208"/>
      <c r="I72" s="211">
        <v>10.0</v>
      </c>
      <c r="J72" s="224"/>
      <c r="K72" s="212">
        <v>10.0</v>
      </c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48"/>
      <c r="AJ72" s="125"/>
      <c r="AK72" s="125"/>
      <c r="AL72" s="126"/>
      <c r="AM72" s="126"/>
    </row>
    <row r="73" ht="15.75" customHeight="1">
      <c r="A73" s="219"/>
      <c r="B73" s="195"/>
      <c r="C73" s="262" t="s">
        <v>299</v>
      </c>
      <c r="D73" s="208"/>
      <c r="E73" s="199">
        <v>350.0</v>
      </c>
      <c r="F73" s="66"/>
      <c r="G73" s="208"/>
      <c r="H73" s="208"/>
      <c r="I73" s="211">
        <v>10.0</v>
      </c>
      <c r="J73" s="224"/>
      <c r="K73" s="212">
        <v>10.0</v>
      </c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48"/>
      <c r="AJ73" s="125"/>
      <c r="AK73" s="125"/>
      <c r="AL73" s="126"/>
      <c r="AM73" s="126"/>
    </row>
    <row r="74" ht="15.75" customHeight="1">
      <c r="A74" s="219"/>
      <c r="B74" s="195"/>
      <c r="C74" s="262" t="s">
        <v>300</v>
      </c>
      <c r="D74" s="152"/>
      <c r="E74" s="199">
        <v>400.0</v>
      </c>
      <c r="F74" s="75"/>
      <c r="G74" s="152"/>
      <c r="H74" s="152"/>
      <c r="I74" s="211">
        <v>10.0</v>
      </c>
      <c r="J74" s="224"/>
      <c r="K74" s="212">
        <v>10.0</v>
      </c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48"/>
      <c r="AJ74" s="125"/>
      <c r="AK74" s="125"/>
      <c r="AL74" s="126"/>
      <c r="AM74" s="126"/>
    </row>
    <row r="75" ht="15.75" customHeight="1">
      <c r="A75" s="270"/>
      <c r="B75" s="271"/>
      <c r="C75" s="272" t="s">
        <v>301</v>
      </c>
      <c r="D75" s="221" t="s">
        <v>80</v>
      </c>
      <c r="E75" s="273">
        <v>125.0</v>
      </c>
      <c r="F75" s="269">
        <f>(E75*I75)+(E76*I76)+(E77*I77)</f>
        <v>6875</v>
      </c>
      <c r="G75" s="274" t="s">
        <v>90</v>
      </c>
      <c r="H75" s="266" t="s">
        <v>227</v>
      </c>
      <c r="I75" s="275">
        <v>25.0</v>
      </c>
      <c r="J75" s="276"/>
      <c r="K75" s="277">
        <v>25.0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48"/>
      <c r="AJ75" s="125"/>
      <c r="AK75" s="125"/>
      <c r="AL75" s="126"/>
      <c r="AM75" s="126"/>
    </row>
    <row r="76" ht="15.75" customHeight="1">
      <c r="A76" s="194"/>
      <c r="B76" s="278"/>
      <c r="C76" s="279" t="s">
        <v>302</v>
      </c>
      <c r="D76" s="208"/>
      <c r="E76" s="216">
        <v>75.0</v>
      </c>
      <c r="F76" s="66"/>
      <c r="G76" s="208"/>
      <c r="H76" s="208"/>
      <c r="I76" s="280">
        <v>25.0</v>
      </c>
      <c r="J76" s="281"/>
      <c r="K76" s="282">
        <v>25.0</v>
      </c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58"/>
      <c r="AJ76" s="125"/>
      <c r="AK76" s="125"/>
      <c r="AL76" s="126"/>
      <c r="AM76" s="126"/>
    </row>
    <row r="77" ht="15.75" customHeight="1">
      <c r="A77" s="194"/>
      <c r="B77" s="278"/>
      <c r="C77" s="279" t="s">
        <v>303</v>
      </c>
      <c r="D77" s="152"/>
      <c r="E77" s="216">
        <v>75.0</v>
      </c>
      <c r="F77" s="75"/>
      <c r="G77" s="152"/>
      <c r="H77" s="152"/>
      <c r="I77" s="280">
        <v>25.0</v>
      </c>
      <c r="J77" s="281"/>
      <c r="K77" s="282">
        <v>25.0</v>
      </c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48"/>
      <c r="AJ77" s="125"/>
      <c r="AK77" s="125"/>
      <c r="AL77" s="126"/>
      <c r="AM77" s="126"/>
    </row>
    <row r="78" ht="15.75" customHeight="1">
      <c r="A78" s="283"/>
      <c r="B78" s="284"/>
      <c r="C78" s="272" t="s">
        <v>304</v>
      </c>
      <c r="D78" s="285" t="s">
        <v>80</v>
      </c>
      <c r="E78" s="273">
        <f>500/20</f>
        <v>25</v>
      </c>
      <c r="F78" s="286">
        <f>(E78*I78)+(E79*I79)+(E80*I80)</f>
        <v>600</v>
      </c>
      <c r="G78" s="274" t="s">
        <v>90</v>
      </c>
      <c r="H78" s="287" t="s">
        <v>227</v>
      </c>
      <c r="I78" s="275">
        <v>10.0</v>
      </c>
      <c r="J78" s="276"/>
      <c r="K78" s="277">
        <v>10.0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48"/>
      <c r="AJ78" s="125"/>
      <c r="AK78" s="125"/>
      <c r="AL78" s="126"/>
      <c r="AM78" s="126"/>
    </row>
    <row r="79" ht="15.75" customHeight="1">
      <c r="A79" s="288"/>
      <c r="B79" s="195"/>
      <c r="C79" s="279" t="s">
        <v>305</v>
      </c>
      <c r="D79" s="208"/>
      <c r="E79" s="216">
        <f>300/15</f>
        <v>20</v>
      </c>
      <c r="F79" s="208"/>
      <c r="G79" s="208"/>
      <c r="H79" s="208"/>
      <c r="I79" s="280">
        <v>10.0</v>
      </c>
      <c r="J79" s="281"/>
      <c r="K79" s="282">
        <v>10.0</v>
      </c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48"/>
      <c r="AJ79" s="125"/>
      <c r="AK79" s="125"/>
      <c r="AL79" s="126"/>
      <c r="AM79" s="126"/>
    </row>
    <row r="80" ht="15.75" customHeight="1">
      <c r="A80" s="288"/>
      <c r="B80" s="278"/>
      <c r="C80" s="289" t="s">
        <v>306</v>
      </c>
      <c r="D80" s="152"/>
      <c r="E80" s="216">
        <f>150/5</f>
        <v>30</v>
      </c>
      <c r="F80" s="152"/>
      <c r="G80" s="152"/>
      <c r="H80" s="152"/>
      <c r="I80" s="290">
        <v>5.0</v>
      </c>
      <c r="J80" s="281"/>
      <c r="K80" s="291">
        <v>5.0</v>
      </c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48"/>
      <c r="AJ80" s="125"/>
      <c r="AK80" s="125"/>
      <c r="AL80" s="126"/>
      <c r="AM80" s="126"/>
    </row>
    <row r="81">
      <c r="A81" s="283"/>
      <c r="B81" s="271"/>
      <c r="C81" s="292" t="s">
        <v>307</v>
      </c>
      <c r="D81" s="293" t="s">
        <v>308</v>
      </c>
      <c r="E81" s="273">
        <f>300/3</f>
        <v>100</v>
      </c>
      <c r="F81" s="294">
        <f t="shared" ref="F81:F82" si="6">E81*K81</f>
        <v>300</v>
      </c>
      <c r="G81" s="205"/>
      <c r="H81" s="201" t="s">
        <v>227</v>
      </c>
      <c r="I81" s="276"/>
      <c r="J81" s="276"/>
      <c r="K81" s="295">
        <v>3.0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48"/>
      <c r="AJ81" s="125"/>
      <c r="AK81" s="125"/>
      <c r="AL81" s="126"/>
      <c r="AM81" s="126"/>
    </row>
    <row r="82">
      <c r="A82" s="283"/>
      <c r="B82" s="284"/>
      <c r="C82" s="292" t="s">
        <v>309</v>
      </c>
      <c r="D82" s="296" t="s">
        <v>310</v>
      </c>
      <c r="E82" s="273">
        <v>13000.0</v>
      </c>
      <c r="F82" s="294">
        <f t="shared" si="6"/>
        <v>26000</v>
      </c>
      <c r="G82" s="295" t="s">
        <v>90</v>
      </c>
      <c r="H82" s="238" t="s">
        <v>227</v>
      </c>
      <c r="I82" s="276"/>
      <c r="J82" s="276"/>
      <c r="K82" s="295">
        <v>2.0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48"/>
      <c r="AJ82" s="125"/>
      <c r="AK82" s="125"/>
      <c r="AL82" s="126"/>
      <c r="AM82" s="126"/>
    </row>
    <row r="83" ht="15.75" customHeight="1">
      <c r="A83" s="98" t="s">
        <v>169</v>
      </c>
      <c r="B83" s="79"/>
      <c r="C83" s="99" t="s">
        <v>170</v>
      </c>
      <c r="D83" s="39"/>
      <c r="E83" s="40"/>
      <c r="F83" s="41"/>
      <c r="G83" s="80"/>
      <c r="H83" s="80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3"/>
      <c r="AJ83" s="35"/>
      <c r="AK83" s="36"/>
    </row>
    <row r="84" ht="15.75" customHeight="1">
      <c r="A84" s="100"/>
      <c r="B84" s="101"/>
      <c r="C84" s="102" t="s">
        <v>171</v>
      </c>
      <c r="D84" s="103" t="s">
        <v>80</v>
      </c>
      <c r="E84" s="104">
        <v>300.0</v>
      </c>
      <c r="F84" s="105">
        <v>26000.0</v>
      </c>
      <c r="G84" s="106" t="s">
        <v>90</v>
      </c>
      <c r="H84" s="107"/>
      <c r="I84" s="108"/>
      <c r="J84" s="109"/>
      <c r="K84" s="109">
        <v>20.0</v>
      </c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10"/>
      <c r="AJ84" s="35"/>
      <c r="AK84" s="111"/>
    </row>
    <row r="85" ht="15.75" customHeight="1">
      <c r="A85" s="100"/>
      <c r="B85" s="101"/>
      <c r="C85" s="102" t="s">
        <v>172</v>
      </c>
      <c r="D85" s="66"/>
      <c r="E85" s="104">
        <v>300.0</v>
      </c>
      <c r="F85" s="66"/>
      <c r="G85" s="66"/>
      <c r="H85" s="107"/>
      <c r="I85" s="108"/>
      <c r="J85" s="109"/>
      <c r="K85" s="109">
        <v>40.0</v>
      </c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10"/>
      <c r="AJ85" s="35"/>
      <c r="AK85" s="111"/>
    </row>
    <row r="86" ht="15.75" customHeight="1">
      <c r="A86" s="100"/>
      <c r="B86" s="101"/>
      <c r="C86" s="76" t="s">
        <v>173</v>
      </c>
      <c r="D86" s="66"/>
      <c r="E86" s="104">
        <v>1000.0</v>
      </c>
      <c r="F86" s="66"/>
      <c r="G86" s="66"/>
      <c r="H86" s="107"/>
      <c r="I86" s="108"/>
      <c r="J86" s="109"/>
      <c r="K86" s="109">
        <v>2.0</v>
      </c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10"/>
      <c r="AJ86" s="35"/>
      <c r="AK86" s="111"/>
    </row>
    <row r="87" ht="15.75" customHeight="1">
      <c r="A87" s="100"/>
      <c r="B87" s="101"/>
      <c r="C87" s="76" t="s">
        <v>174</v>
      </c>
      <c r="D87" s="66"/>
      <c r="E87" s="104">
        <v>1000.0</v>
      </c>
      <c r="F87" s="66"/>
      <c r="G87" s="66"/>
      <c r="H87" s="107"/>
      <c r="I87" s="108"/>
      <c r="J87" s="109"/>
      <c r="K87" s="109">
        <v>3.0</v>
      </c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10"/>
      <c r="AJ87" s="35"/>
      <c r="AK87" s="111"/>
    </row>
    <row r="88" ht="15.75" customHeight="1">
      <c r="A88" s="100"/>
      <c r="B88" s="101"/>
      <c r="C88" s="102" t="s">
        <v>175</v>
      </c>
      <c r="D88" s="66"/>
      <c r="E88" s="104">
        <v>100.0</v>
      </c>
      <c r="F88" s="66"/>
      <c r="G88" s="66"/>
      <c r="H88" s="107"/>
      <c r="I88" s="108"/>
      <c r="J88" s="109"/>
      <c r="K88" s="109">
        <v>10.0</v>
      </c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10"/>
      <c r="AJ88" s="35"/>
      <c r="AK88" s="111"/>
    </row>
    <row r="89" ht="15.75" customHeight="1">
      <c r="A89" s="100"/>
      <c r="B89" s="101"/>
      <c r="C89" s="102" t="s">
        <v>176</v>
      </c>
      <c r="D89" s="66"/>
      <c r="E89" s="104">
        <v>100.0</v>
      </c>
      <c r="F89" s="66"/>
      <c r="G89" s="66"/>
      <c r="H89" s="107"/>
      <c r="I89" s="108"/>
      <c r="J89" s="109"/>
      <c r="K89" s="109">
        <v>10.0</v>
      </c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10"/>
      <c r="AJ89" s="35"/>
      <c r="AK89" s="111"/>
    </row>
    <row r="90" ht="15.75" customHeight="1">
      <c r="A90" s="100"/>
      <c r="B90" s="101"/>
      <c r="C90" s="102" t="s">
        <v>177</v>
      </c>
      <c r="D90" s="66"/>
      <c r="E90" s="104">
        <v>100.0</v>
      </c>
      <c r="F90" s="66"/>
      <c r="G90" s="66"/>
      <c r="H90" s="107"/>
      <c r="I90" s="108"/>
      <c r="J90" s="109"/>
      <c r="K90" s="109">
        <v>10.0</v>
      </c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10"/>
      <c r="AJ90" s="35"/>
      <c r="AK90" s="111"/>
    </row>
    <row r="91" ht="15.75" customHeight="1">
      <c r="A91" s="100"/>
      <c r="B91" s="112"/>
      <c r="C91" s="112"/>
      <c r="D91" s="75"/>
      <c r="E91" s="113"/>
      <c r="F91" s="75"/>
      <c r="G91" s="75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10"/>
      <c r="AJ91" s="35"/>
      <c r="AK91" s="111"/>
    </row>
    <row r="92" ht="15.75" customHeight="1">
      <c r="A92" s="187" t="s">
        <v>187</v>
      </c>
      <c r="B92" s="188"/>
      <c r="C92" s="239" t="s">
        <v>188</v>
      </c>
      <c r="D92" s="188"/>
      <c r="E92" s="190"/>
      <c r="F92" s="191"/>
      <c r="G92" s="188"/>
      <c r="H92" s="188"/>
      <c r="I92" s="240"/>
      <c r="J92" s="240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92"/>
      <c r="AJ92" s="125"/>
      <c r="AK92" s="125"/>
      <c r="AL92" s="126"/>
      <c r="AM92" s="126"/>
    </row>
    <row r="93">
      <c r="A93" s="194"/>
      <c r="B93" s="205"/>
      <c r="C93" s="210" t="s">
        <v>189</v>
      </c>
      <c r="D93" s="218" t="s">
        <v>190</v>
      </c>
      <c r="E93" s="216">
        <v>150.0</v>
      </c>
      <c r="F93" s="216">
        <f>150*26</f>
        <v>3900</v>
      </c>
      <c r="G93" s="297" t="s">
        <v>90</v>
      </c>
      <c r="H93" s="238" t="s">
        <v>227</v>
      </c>
      <c r="I93" s="224"/>
      <c r="J93" s="254">
        <v>13.0</v>
      </c>
      <c r="K93" s="204">
        <v>26.0</v>
      </c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6"/>
      <c r="AJ93" s="125"/>
      <c r="AK93" s="125"/>
      <c r="AL93" s="126"/>
      <c r="AM93" s="126"/>
    </row>
    <row r="94" ht="15.75" customHeight="1">
      <c r="A94" s="37" t="s">
        <v>199</v>
      </c>
      <c r="B94" s="79"/>
      <c r="C94" s="79" t="s">
        <v>200</v>
      </c>
      <c r="D94" s="39"/>
      <c r="E94" s="40"/>
      <c r="F94" s="41"/>
      <c r="G94" s="80"/>
      <c r="H94" s="80"/>
      <c r="I94" s="298"/>
      <c r="J94" s="298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3"/>
      <c r="AJ94" s="299">
        <f>SUM(F95:F97)</f>
        <v>6740000</v>
      </c>
      <c r="AK94" s="36"/>
    </row>
    <row r="95">
      <c r="A95" s="116"/>
      <c r="B95" s="117"/>
      <c r="C95" s="118" t="s">
        <v>201</v>
      </c>
      <c r="D95" s="119" t="s">
        <v>80</v>
      </c>
      <c r="E95" s="120">
        <v>5000000.0</v>
      </c>
      <c r="F95" s="121">
        <v>5000000.0</v>
      </c>
      <c r="G95" s="122" t="s">
        <v>202</v>
      </c>
      <c r="H95" s="300" t="s">
        <v>256</v>
      </c>
      <c r="I95" s="301"/>
      <c r="J95" s="302">
        <v>1.0</v>
      </c>
      <c r="K95" s="142">
        <v>1.0</v>
      </c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24"/>
      <c r="AJ95" s="125"/>
      <c r="AK95" s="125"/>
      <c r="AL95" s="126"/>
      <c r="AM95" s="126"/>
    </row>
    <row r="96">
      <c r="A96" s="127"/>
      <c r="B96" s="128"/>
      <c r="C96" s="129" t="s">
        <v>203</v>
      </c>
      <c r="D96" s="130" t="s">
        <v>204</v>
      </c>
      <c r="E96" s="131">
        <v>120000.0</v>
      </c>
      <c r="F96" s="132">
        <v>240000.0</v>
      </c>
      <c r="G96" s="133" t="s">
        <v>155</v>
      </c>
      <c r="H96" s="300" t="s">
        <v>256</v>
      </c>
      <c r="I96" s="303"/>
      <c r="J96" s="304">
        <v>2.0</v>
      </c>
      <c r="K96" s="305">
        <v>2.0</v>
      </c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35"/>
      <c r="AJ96" s="125"/>
      <c r="AK96" s="125"/>
      <c r="AL96" s="126"/>
      <c r="AM96" s="126"/>
    </row>
    <row r="97">
      <c r="A97" s="136"/>
      <c r="B97" s="137"/>
      <c r="C97" s="138" t="s">
        <v>205</v>
      </c>
      <c r="D97" s="139" t="s">
        <v>80</v>
      </c>
      <c r="E97" s="140">
        <v>1500000.0</v>
      </c>
      <c r="F97" s="140">
        <v>1500000.0</v>
      </c>
      <c r="G97" s="141" t="s">
        <v>202</v>
      </c>
      <c r="H97" s="306" t="s">
        <v>256</v>
      </c>
      <c r="I97" s="307"/>
      <c r="J97" s="307"/>
      <c r="K97" s="142">
        <v>1.0</v>
      </c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43"/>
      <c r="AJ97" s="125"/>
      <c r="AK97" s="125"/>
      <c r="AL97" s="126"/>
      <c r="AM97" s="126"/>
    </row>
    <row r="98" ht="15.75" customHeight="1">
      <c r="A98" s="144"/>
      <c r="B98" s="145"/>
      <c r="C98" s="145"/>
      <c r="D98" s="2"/>
      <c r="E98" s="9"/>
      <c r="F98" s="10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5.75" customHeight="1">
      <c r="A99" s="146" t="s">
        <v>206</v>
      </c>
      <c r="B99" s="6"/>
      <c r="C99" s="6"/>
      <c r="D99" s="147">
        <f>SUM(F11:F97)</f>
        <v>7656475</v>
      </c>
      <c r="E99" s="148"/>
      <c r="F99" s="148"/>
      <c r="G99" s="11"/>
      <c r="H99" s="1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5.75" hidden="1" customHeight="1">
      <c r="A100" s="149" t="s">
        <v>207</v>
      </c>
      <c r="B100" s="127"/>
      <c r="C100" s="127"/>
      <c r="D100" s="150">
        <f>PRODUCT(D99,0.1)</f>
        <v>765647.5</v>
      </c>
      <c r="E100" s="151"/>
      <c r="F100" s="152"/>
      <c r="G100" s="11"/>
      <c r="H100" s="11"/>
      <c r="I100" s="153"/>
      <c r="K100" s="153"/>
      <c r="AH100" s="153"/>
      <c r="AI100" s="2"/>
      <c r="AJ100" s="2"/>
      <c r="AK100" s="2"/>
    </row>
    <row r="101" ht="15.75" hidden="1" customHeight="1">
      <c r="A101" s="154" t="s">
        <v>208</v>
      </c>
      <c r="B101" s="116"/>
      <c r="C101" s="116"/>
      <c r="D101" s="155">
        <f>PRODUCT(D99,0.1)</f>
        <v>765647.5</v>
      </c>
      <c r="E101" s="156"/>
      <c r="F101" s="157"/>
      <c r="G101" s="11"/>
      <c r="H101" s="11"/>
      <c r="I101" s="158"/>
      <c r="J101" s="158"/>
      <c r="K101" s="159"/>
      <c r="AH101" s="159"/>
      <c r="AI101" s="2"/>
      <c r="AJ101" s="2"/>
      <c r="AK101" s="2"/>
    </row>
    <row r="102" ht="15.75" hidden="1" customHeight="1">
      <c r="A102" s="154" t="s">
        <v>209</v>
      </c>
      <c r="B102" s="116"/>
      <c r="C102" s="116"/>
      <c r="D102" s="155">
        <f>SUM(D99:F101)</f>
        <v>9187770</v>
      </c>
      <c r="E102" s="156"/>
      <c r="F102" s="157"/>
      <c r="G102" s="11"/>
      <c r="H102" s="11"/>
      <c r="I102" s="158"/>
      <c r="J102" s="158"/>
      <c r="K102" s="159"/>
      <c r="AH102" s="159"/>
      <c r="AI102" s="2"/>
      <c r="AJ102" s="2"/>
      <c r="AK102" s="2"/>
    </row>
    <row r="103" ht="15.75" customHeight="1">
      <c r="A103" s="160"/>
      <c r="B103" s="6"/>
      <c r="C103" s="6"/>
      <c r="D103" s="2"/>
      <c r="E103" s="9"/>
      <c r="F103" s="10"/>
      <c r="G103" s="11"/>
      <c r="H103" s="11"/>
      <c r="I103" s="158"/>
      <c r="J103" s="158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2"/>
      <c r="AJ103" s="2"/>
      <c r="AK103" s="2"/>
    </row>
    <row r="104" ht="15.75" customHeight="1">
      <c r="A104" s="161" t="s">
        <v>210</v>
      </c>
      <c r="B104" s="6"/>
      <c r="C104" s="6"/>
      <c r="D104" s="2"/>
      <c r="E104" s="9"/>
      <c r="F104" s="10"/>
      <c r="G104" s="11"/>
      <c r="H104" s="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5.75" customHeight="1">
      <c r="A105" s="23"/>
      <c r="B105" s="6"/>
      <c r="C105" s="6"/>
      <c r="D105" s="2"/>
      <c r="E105" s="9"/>
      <c r="F105" s="10"/>
      <c r="G105" s="11"/>
      <c r="H105" s="1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75" customHeight="1">
      <c r="A106" s="162" t="s">
        <v>211</v>
      </c>
      <c r="B106" s="6"/>
      <c r="C106" s="6"/>
      <c r="D106" s="163" t="s">
        <v>212</v>
      </c>
      <c r="E106" s="164"/>
      <c r="F106" s="165"/>
      <c r="G106" s="166" t="s">
        <v>213</v>
      </c>
      <c r="H106" s="125"/>
      <c r="I106" s="125"/>
      <c r="J106" s="163" t="s">
        <v>214</v>
      </c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2"/>
      <c r="AK106" s="158"/>
    </row>
    <row r="107" ht="15.75" customHeight="1">
      <c r="A107" s="162"/>
      <c r="B107" s="6"/>
      <c r="C107" s="6"/>
      <c r="D107" s="125"/>
      <c r="E107" s="164"/>
      <c r="F107" s="16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58"/>
      <c r="AK107" s="158"/>
    </row>
    <row r="108" ht="15.75" customHeight="1">
      <c r="A108" s="6"/>
      <c r="B108" s="6"/>
      <c r="C108" s="6"/>
      <c r="D108" s="125"/>
      <c r="E108" s="164"/>
      <c r="F108" s="16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58"/>
      <c r="AK108" s="158"/>
    </row>
    <row r="109" ht="15.75" customHeight="1">
      <c r="A109" s="167" t="s">
        <v>215</v>
      </c>
      <c r="D109" s="163" t="s">
        <v>216</v>
      </c>
      <c r="E109" s="164"/>
      <c r="F109" s="165"/>
      <c r="G109" s="166" t="s">
        <v>217</v>
      </c>
      <c r="H109" s="125"/>
      <c r="I109" s="125"/>
      <c r="J109" s="163" t="s">
        <v>215</v>
      </c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2"/>
      <c r="AK109" s="2"/>
    </row>
    <row r="110" ht="15.0" customHeight="1">
      <c r="A110" s="168" t="s">
        <v>218</v>
      </c>
      <c r="D110" s="169" t="s">
        <v>219</v>
      </c>
      <c r="E110" s="164"/>
      <c r="F110" s="165"/>
      <c r="G110" s="125" t="s">
        <v>220</v>
      </c>
      <c r="H110" s="125"/>
      <c r="I110" s="125"/>
      <c r="J110" s="169" t="s">
        <v>221</v>
      </c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58"/>
      <c r="AK110" s="158"/>
    </row>
    <row r="111" ht="15.75" customHeight="1">
      <c r="A111" s="2"/>
      <c r="B111" s="2"/>
      <c r="C111" s="2"/>
      <c r="D111" s="125"/>
      <c r="E111" s="164"/>
      <c r="F111" s="16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2"/>
      <c r="AK111" s="2"/>
    </row>
    <row r="112" ht="15.75" customHeight="1">
      <c r="A112" s="2" t="s">
        <v>222</v>
      </c>
      <c r="B112" s="2"/>
      <c r="C112" s="2"/>
      <c r="D112" s="169" t="s">
        <v>223</v>
      </c>
      <c r="E112" s="164"/>
      <c r="F112" s="165"/>
      <c r="G112" s="125" t="s">
        <v>223</v>
      </c>
      <c r="H112" s="125"/>
      <c r="I112" s="125"/>
      <c r="J112" s="169" t="s">
        <v>223</v>
      </c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2"/>
      <c r="AK112" s="2"/>
    </row>
    <row r="113" ht="15.75" customHeight="1">
      <c r="D113" s="2"/>
      <c r="E113" s="9"/>
      <c r="F113" s="10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D114" s="2"/>
      <c r="E114" s="9"/>
      <c r="F114" s="10"/>
      <c r="G114" s="11"/>
      <c r="H114" s="1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D116" s="2"/>
      <c r="E116" s="9"/>
      <c r="F116" s="10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5.75" customHeight="1">
      <c r="D117" s="2"/>
      <c r="E117" s="9"/>
      <c r="F117" s="10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E118" s="170"/>
    </row>
    <row r="119" ht="15.75" customHeight="1">
      <c r="E119" s="170"/>
    </row>
    <row r="120" ht="15.75" customHeight="1">
      <c r="E120" s="170"/>
    </row>
    <row r="121" ht="15.75" customHeight="1">
      <c r="E121" s="170"/>
    </row>
    <row r="122" ht="15.75" customHeight="1">
      <c r="E122" s="170"/>
    </row>
    <row r="123" ht="15.75" customHeight="1">
      <c r="E123" s="170"/>
    </row>
    <row r="124" ht="15.75" customHeight="1">
      <c r="E124" s="170"/>
    </row>
    <row r="125" ht="15.75" customHeight="1">
      <c r="E125" s="170"/>
    </row>
    <row r="126" ht="15.75" customHeight="1">
      <c r="E126" s="170"/>
    </row>
    <row r="127" ht="15.75" customHeight="1">
      <c r="E127" s="170"/>
    </row>
    <row r="128" ht="15.75" customHeight="1">
      <c r="E128" s="170"/>
    </row>
    <row r="129" ht="15.75" customHeight="1">
      <c r="E129" s="170"/>
    </row>
    <row r="130" ht="15.75" customHeight="1">
      <c r="E130" s="170"/>
    </row>
    <row r="131" ht="15.75" customHeight="1">
      <c r="E131" s="170"/>
    </row>
    <row r="132" ht="15.75" customHeight="1">
      <c r="E132" s="170"/>
    </row>
    <row r="133" ht="15.75" customHeight="1">
      <c r="E133" s="170"/>
    </row>
    <row r="134" ht="15.75" customHeight="1">
      <c r="E134" s="170"/>
    </row>
    <row r="135" ht="15.75" customHeight="1">
      <c r="E135" s="170"/>
    </row>
    <row r="136" ht="15.75" customHeight="1">
      <c r="E136" s="170"/>
    </row>
    <row r="137" ht="15.75" customHeight="1">
      <c r="E137" s="170"/>
    </row>
    <row r="138" ht="15.75" customHeight="1">
      <c r="E138" s="170"/>
    </row>
    <row r="139" ht="15.75" customHeight="1">
      <c r="E139" s="170"/>
    </row>
    <row r="140" ht="15.75" customHeight="1">
      <c r="E140" s="170"/>
    </row>
    <row r="141" ht="15.75" customHeight="1">
      <c r="E141" s="170"/>
    </row>
    <row r="142" ht="15.75" customHeight="1">
      <c r="E142" s="170"/>
    </row>
    <row r="143" ht="15.75" customHeight="1">
      <c r="E143" s="170"/>
    </row>
    <row r="144" ht="15.75" customHeight="1">
      <c r="E144" s="170"/>
    </row>
    <row r="145" ht="15.75" customHeight="1">
      <c r="E145" s="170"/>
    </row>
    <row r="146" ht="15.75" customHeight="1">
      <c r="E146" s="170"/>
    </row>
    <row r="147" ht="15.75" customHeight="1">
      <c r="E147" s="170"/>
    </row>
    <row r="148" ht="15.75" customHeight="1">
      <c r="E148" s="170"/>
    </row>
    <row r="149" ht="15.75" customHeight="1">
      <c r="E149" s="170"/>
    </row>
    <row r="150" ht="15.75" customHeight="1">
      <c r="E150" s="170"/>
    </row>
    <row r="151" ht="15.75" customHeight="1">
      <c r="E151" s="170"/>
    </row>
    <row r="152" ht="15.75" customHeight="1">
      <c r="E152" s="170"/>
    </row>
    <row r="153" ht="15.75" customHeight="1">
      <c r="E153" s="170"/>
    </row>
    <row r="154" ht="15.75" customHeight="1">
      <c r="E154" s="170"/>
    </row>
    <row r="155" ht="15.75" customHeight="1">
      <c r="E155" s="170"/>
    </row>
    <row r="156" ht="15.75" customHeight="1">
      <c r="E156" s="170"/>
    </row>
    <row r="157" ht="15.75" customHeight="1">
      <c r="E157" s="170"/>
    </row>
    <row r="158" ht="15.75" customHeight="1">
      <c r="E158" s="170"/>
    </row>
    <row r="159" ht="15.75" customHeight="1">
      <c r="E159" s="170"/>
    </row>
    <row r="160" ht="15.75" customHeight="1">
      <c r="E160" s="170"/>
    </row>
    <row r="161" ht="15.75" customHeight="1">
      <c r="E161" s="170"/>
    </row>
    <row r="162" ht="15.75" customHeight="1">
      <c r="E162" s="170"/>
    </row>
    <row r="163" ht="15.75" customHeight="1">
      <c r="E163" s="170"/>
    </row>
    <row r="164" ht="15.75" customHeight="1">
      <c r="E164" s="170"/>
    </row>
    <row r="165" ht="15.75" customHeight="1">
      <c r="E165" s="170"/>
    </row>
    <row r="166" ht="15.75" customHeight="1">
      <c r="E166" s="170"/>
    </row>
    <row r="167" ht="15.75" customHeight="1">
      <c r="E167" s="170"/>
    </row>
    <row r="168" ht="15.75" customHeight="1">
      <c r="E168" s="170"/>
    </row>
    <row r="169" ht="15.75" customHeight="1">
      <c r="E169" s="170"/>
    </row>
    <row r="170" ht="15.75" customHeight="1">
      <c r="E170" s="170"/>
    </row>
    <row r="171" ht="15.75" customHeight="1">
      <c r="E171" s="170"/>
    </row>
    <row r="172" ht="15.75" customHeight="1">
      <c r="E172" s="170"/>
    </row>
    <row r="173" ht="15.75" customHeight="1">
      <c r="E173" s="170"/>
    </row>
    <row r="174" ht="15.75" customHeight="1">
      <c r="E174" s="170"/>
    </row>
    <row r="175" ht="15.75" customHeight="1">
      <c r="E175" s="170"/>
    </row>
    <row r="176" ht="15.75" customHeight="1">
      <c r="E176" s="170"/>
    </row>
    <row r="177" ht="15.75" customHeight="1">
      <c r="E177" s="170"/>
    </row>
    <row r="178" ht="15.75" customHeight="1">
      <c r="E178" s="170"/>
    </row>
    <row r="179" ht="15.75" customHeight="1">
      <c r="E179" s="170"/>
    </row>
    <row r="180" ht="15.75" customHeight="1">
      <c r="E180" s="170"/>
    </row>
    <row r="181" ht="15.75" customHeight="1">
      <c r="E181" s="170"/>
    </row>
    <row r="182" ht="15.75" customHeight="1">
      <c r="E182" s="170"/>
    </row>
    <row r="183" ht="15.75" customHeight="1">
      <c r="E183" s="170"/>
    </row>
    <row r="184" ht="15.75" customHeight="1">
      <c r="E184" s="170"/>
    </row>
    <row r="185" ht="15.75" customHeight="1">
      <c r="E185" s="170"/>
    </row>
    <row r="186" ht="15.75" customHeight="1">
      <c r="E186" s="170"/>
    </row>
    <row r="187" ht="15.75" customHeight="1">
      <c r="E187" s="170"/>
    </row>
    <row r="188" ht="15.75" customHeight="1">
      <c r="E188" s="170"/>
    </row>
    <row r="189" ht="15.75" customHeight="1">
      <c r="E189" s="170"/>
    </row>
    <row r="190" ht="15.75" customHeight="1">
      <c r="E190" s="170"/>
    </row>
    <row r="191" ht="15.75" customHeight="1">
      <c r="E191" s="170"/>
    </row>
    <row r="192" ht="15.75" customHeight="1">
      <c r="E192" s="170"/>
    </row>
    <row r="193" ht="15.75" customHeight="1">
      <c r="E193" s="170"/>
    </row>
    <row r="194" ht="15.75" customHeight="1">
      <c r="E194" s="170"/>
    </row>
    <row r="195" ht="15.75" customHeight="1">
      <c r="E195" s="170"/>
    </row>
    <row r="196" ht="15.75" customHeight="1">
      <c r="E196" s="170"/>
    </row>
    <row r="197" ht="15.75" customHeight="1">
      <c r="E197" s="170"/>
    </row>
    <row r="198" ht="15.75" customHeight="1">
      <c r="E198" s="170"/>
    </row>
    <row r="199" ht="15.75" customHeight="1">
      <c r="E199" s="170"/>
    </row>
    <row r="200" ht="15.75" customHeight="1">
      <c r="E200" s="170"/>
    </row>
    <row r="201" ht="15.75" customHeight="1">
      <c r="E201" s="170"/>
    </row>
    <row r="202" ht="15.75" customHeight="1">
      <c r="E202" s="170"/>
    </row>
    <row r="203" ht="15.75" customHeight="1">
      <c r="E203" s="170"/>
    </row>
    <row r="204" ht="15.75" customHeight="1">
      <c r="E204" s="170"/>
    </row>
    <row r="205" ht="15.75" customHeight="1">
      <c r="E205" s="170"/>
    </row>
    <row r="206" ht="15.75" customHeight="1">
      <c r="E206" s="170"/>
    </row>
    <row r="207" ht="15.75" customHeight="1">
      <c r="E207" s="170"/>
    </row>
    <row r="208" ht="15.75" customHeight="1">
      <c r="E208" s="170"/>
    </row>
    <row r="209" ht="15.75" customHeight="1">
      <c r="E209" s="170"/>
    </row>
    <row r="210" ht="15.75" customHeight="1">
      <c r="E210" s="170"/>
    </row>
    <row r="211" ht="15.75" customHeight="1">
      <c r="E211" s="170"/>
    </row>
    <row r="212" ht="15.75" customHeight="1">
      <c r="E212" s="170"/>
    </row>
    <row r="213" ht="15.75" customHeight="1">
      <c r="E213" s="170"/>
    </row>
    <row r="214" ht="15.75" customHeight="1">
      <c r="E214" s="170"/>
    </row>
    <row r="215" ht="15.75" customHeight="1">
      <c r="E215" s="170"/>
    </row>
    <row r="216" ht="15.75" customHeight="1">
      <c r="E216" s="170"/>
    </row>
    <row r="217" ht="15.75" customHeight="1">
      <c r="E217" s="170"/>
    </row>
    <row r="218" ht="15.75" customHeight="1">
      <c r="E218" s="170"/>
    </row>
    <row r="219" ht="15.75" customHeight="1">
      <c r="E219" s="170"/>
    </row>
    <row r="220" ht="15.75" customHeight="1">
      <c r="E220" s="170"/>
    </row>
    <row r="221" ht="15.75" customHeight="1">
      <c r="E221" s="170"/>
    </row>
    <row r="222" ht="15.75" customHeight="1">
      <c r="E222" s="170"/>
    </row>
    <row r="223" ht="15.75" customHeight="1">
      <c r="E223" s="170"/>
    </row>
    <row r="224" ht="15.75" customHeight="1">
      <c r="E224" s="170"/>
    </row>
    <row r="225" ht="15.75" customHeight="1">
      <c r="E225" s="170"/>
    </row>
    <row r="226" ht="15.75" customHeight="1">
      <c r="E226" s="170"/>
    </row>
    <row r="227" ht="15.75" customHeight="1">
      <c r="E227" s="170"/>
    </row>
    <row r="228" ht="15.75" customHeight="1">
      <c r="E228" s="170"/>
    </row>
    <row r="229" ht="15.75" customHeight="1">
      <c r="E229" s="170"/>
    </row>
    <row r="230" ht="15.75" customHeight="1">
      <c r="E230" s="170"/>
    </row>
    <row r="231" ht="15.75" customHeight="1">
      <c r="E231" s="170"/>
    </row>
    <row r="232" ht="15.75" customHeight="1">
      <c r="E232" s="170"/>
    </row>
    <row r="233" ht="15.75" customHeight="1">
      <c r="E233" s="170"/>
    </row>
    <row r="234" ht="15.75" customHeight="1">
      <c r="E234" s="170"/>
    </row>
    <row r="235" ht="15.75" customHeight="1">
      <c r="E235" s="170"/>
    </row>
    <row r="236" ht="15.75" customHeight="1">
      <c r="E236" s="170"/>
    </row>
    <row r="237" ht="15.75" customHeight="1">
      <c r="E237" s="170"/>
    </row>
    <row r="238" ht="15.75" customHeight="1">
      <c r="E238" s="170"/>
    </row>
    <row r="239" ht="15.75" customHeight="1">
      <c r="E239" s="170"/>
    </row>
    <row r="240" ht="15.75" customHeight="1">
      <c r="E240" s="170"/>
    </row>
    <row r="241" ht="15.75" customHeight="1">
      <c r="E241" s="170"/>
    </row>
    <row r="242" ht="15.75" customHeight="1">
      <c r="E242" s="170"/>
    </row>
    <row r="243" ht="15.75" customHeight="1">
      <c r="E243" s="170"/>
    </row>
    <row r="244" ht="15.75" customHeight="1">
      <c r="E244" s="170"/>
    </row>
    <row r="245" ht="15.75" customHeight="1">
      <c r="E245" s="170"/>
    </row>
    <row r="246" ht="15.75" customHeight="1">
      <c r="E246" s="170"/>
    </row>
    <row r="247" ht="15.75" customHeight="1">
      <c r="E247" s="170"/>
    </row>
    <row r="248" ht="15.75" customHeight="1">
      <c r="E248" s="170"/>
    </row>
    <row r="249" ht="15.75" customHeight="1">
      <c r="E249" s="170"/>
    </row>
    <row r="250" ht="15.75" customHeight="1">
      <c r="E250" s="170"/>
    </row>
    <row r="251" ht="15.75" customHeight="1">
      <c r="E251" s="170"/>
    </row>
    <row r="252" ht="15.75" customHeight="1">
      <c r="E252" s="170"/>
    </row>
    <row r="253" ht="15.75" customHeight="1">
      <c r="E253" s="170"/>
    </row>
    <row r="254" ht="15.75" customHeight="1">
      <c r="E254" s="170"/>
    </row>
    <row r="255" ht="15.75" customHeight="1">
      <c r="E255" s="170"/>
    </row>
    <row r="256" ht="15.75" customHeight="1">
      <c r="E256" s="170"/>
    </row>
    <row r="257" ht="15.75" customHeight="1">
      <c r="E257" s="170"/>
    </row>
    <row r="258" ht="15.75" customHeight="1">
      <c r="E258" s="170"/>
    </row>
    <row r="259" ht="15.75" customHeight="1">
      <c r="E259" s="170"/>
    </row>
    <row r="260" ht="15.75" customHeight="1">
      <c r="E260" s="170"/>
    </row>
    <row r="261" ht="15.75" customHeight="1">
      <c r="E261" s="170"/>
    </row>
    <row r="262" ht="15.75" customHeight="1">
      <c r="E262" s="170"/>
    </row>
    <row r="263" ht="15.75" customHeight="1">
      <c r="E263" s="170"/>
    </row>
    <row r="264" ht="15.75" customHeight="1">
      <c r="E264" s="170"/>
    </row>
    <row r="265" ht="15.75" customHeight="1">
      <c r="E265" s="170"/>
    </row>
    <row r="266" ht="15.75" customHeight="1">
      <c r="E266" s="170"/>
    </row>
    <row r="267" ht="15.75" customHeight="1">
      <c r="E267" s="170"/>
    </row>
    <row r="268" ht="15.75" customHeight="1">
      <c r="E268" s="170"/>
    </row>
    <row r="269" ht="15.75" customHeight="1">
      <c r="E269" s="170"/>
    </row>
    <row r="270" ht="15.75" customHeight="1">
      <c r="E270" s="170"/>
    </row>
    <row r="271" ht="15.75" customHeight="1">
      <c r="E271" s="170"/>
    </row>
    <row r="272" ht="15.75" customHeight="1">
      <c r="E272" s="170"/>
    </row>
    <row r="273" ht="15.75" customHeight="1">
      <c r="E273" s="170"/>
    </row>
    <row r="274" ht="15.75" customHeight="1">
      <c r="E274" s="170"/>
    </row>
    <row r="275" ht="15.75" customHeight="1">
      <c r="E275" s="170"/>
    </row>
    <row r="276" ht="15.75" customHeight="1">
      <c r="E276" s="170"/>
    </row>
    <row r="277" ht="15.75" customHeight="1">
      <c r="E277" s="170"/>
    </row>
    <row r="278" ht="15.75" customHeight="1">
      <c r="E278" s="170"/>
    </row>
    <row r="279" ht="15.75" customHeight="1">
      <c r="E279" s="170"/>
    </row>
    <row r="280" ht="15.75" customHeight="1">
      <c r="E280" s="170"/>
    </row>
    <row r="281" ht="15.75" customHeight="1">
      <c r="E281" s="170"/>
    </row>
    <row r="282" ht="15.75" customHeight="1">
      <c r="E282" s="170"/>
    </row>
    <row r="283" ht="15.75" customHeight="1">
      <c r="E283" s="170"/>
    </row>
    <row r="284" ht="15.75" customHeight="1">
      <c r="E284" s="170"/>
    </row>
    <row r="285" ht="15.75" customHeight="1">
      <c r="E285" s="170"/>
    </row>
    <row r="286" ht="15.75" customHeight="1">
      <c r="E286" s="170"/>
    </row>
    <row r="287" ht="15.75" customHeight="1">
      <c r="E287" s="170"/>
    </row>
    <row r="288" ht="15.75" customHeight="1">
      <c r="E288" s="170"/>
    </row>
    <row r="289" ht="15.75" customHeight="1">
      <c r="E289" s="170"/>
    </row>
    <row r="290" ht="15.75" customHeight="1">
      <c r="E290" s="170"/>
    </row>
    <row r="291" ht="15.75" customHeight="1">
      <c r="E291" s="170"/>
    </row>
    <row r="292" ht="15.75" customHeight="1">
      <c r="E292" s="170"/>
    </row>
    <row r="293" ht="15.75" customHeight="1">
      <c r="E293" s="170"/>
    </row>
    <row r="294" ht="15.75" customHeight="1">
      <c r="E294" s="170"/>
    </row>
    <row r="295" ht="15.75" customHeight="1">
      <c r="E295" s="170"/>
    </row>
    <row r="296" ht="15.75" customHeight="1">
      <c r="E296" s="170"/>
    </row>
    <row r="297" ht="15.75" customHeight="1">
      <c r="E297" s="170"/>
    </row>
    <row r="298" ht="15.75" customHeight="1">
      <c r="E298" s="170"/>
    </row>
    <row r="299" ht="15.75" customHeight="1">
      <c r="E299" s="170"/>
    </row>
    <row r="300" ht="15.75" customHeight="1">
      <c r="E300" s="170"/>
    </row>
    <row r="301" ht="15.75" customHeight="1">
      <c r="E301" s="170"/>
    </row>
    <row r="302" ht="15.75" customHeight="1">
      <c r="E302" s="170"/>
    </row>
    <row r="303" ht="15.75" customHeight="1">
      <c r="E303" s="170"/>
    </row>
    <row r="304" ht="15.75" customHeight="1">
      <c r="E304" s="170"/>
    </row>
    <row r="305" ht="15.75" customHeight="1">
      <c r="E305" s="170"/>
    </row>
    <row r="306" ht="15.75" customHeight="1">
      <c r="E306" s="170"/>
    </row>
    <row r="307" ht="15.75" customHeight="1">
      <c r="E307" s="170"/>
    </row>
    <row r="308" ht="15.75" customHeight="1">
      <c r="E308" s="170"/>
    </row>
    <row r="309" ht="15.75" customHeight="1">
      <c r="E309" s="170"/>
    </row>
    <row r="310" ht="15.75" customHeight="1">
      <c r="E310" s="170"/>
    </row>
    <row r="311" ht="15.75" customHeight="1">
      <c r="E311" s="170"/>
    </row>
    <row r="312" ht="15.75" customHeight="1">
      <c r="E312" s="170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64">
    <mergeCell ref="D37:D42"/>
    <mergeCell ref="D46:D47"/>
    <mergeCell ref="D48:D51"/>
    <mergeCell ref="D52:D58"/>
    <mergeCell ref="D60:D62"/>
    <mergeCell ref="D63:D65"/>
    <mergeCell ref="D68:D74"/>
    <mergeCell ref="D84:D91"/>
    <mergeCell ref="D99:F99"/>
    <mergeCell ref="D100:F100"/>
    <mergeCell ref="I100:J100"/>
    <mergeCell ref="D101:F101"/>
    <mergeCell ref="D102:F102"/>
    <mergeCell ref="D75:D77"/>
    <mergeCell ref="D78:D80"/>
    <mergeCell ref="F78:F80"/>
    <mergeCell ref="G78:G80"/>
    <mergeCell ref="H78:H80"/>
    <mergeCell ref="F84:F91"/>
    <mergeCell ref="G84:G91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2"/>
    <mergeCell ref="D25:D26"/>
    <mergeCell ref="D33:D34"/>
    <mergeCell ref="G33:G34"/>
    <mergeCell ref="G37:G42"/>
    <mergeCell ref="G48:G51"/>
    <mergeCell ref="H48:H51"/>
    <mergeCell ref="F33:F34"/>
    <mergeCell ref="F37:F42"/>
    <mergeCell ref="H37:H42"/>
    <mergeCell ref="F46:F47"/>
    <mergeCell ref="G46:G47"/>
    <mergeCell ref="H46:H47"/>
    <mergeCell ref="F48:F51"/>
    <mergeCell ref="F52:F58"/>
    <mergeCell ref="G52:G58"/>
    <mergeCell ref="H52:H58"/>
    <mergeCell ref="F60:F62"/>
    <mergeCell ref="G60:G62"/>
    <mergeCell ref="H60:H62"/>
    <mergeCell ref="G63:G65"/>
    <mergeCell ref="K100:AG100"/>
    <mergeCell ref="K101:AG101"/>
    <mergeCell ref="K102:AG102"/>
    <mergeCell ref="A109:C109"/>
    <mergeCell ref="A110:C110"/>
    <mergeCell ref="F63:F65"/>
    <mergeCell ref="F68:F74"/>
    <mergeCell ref="G68:G74"/>
    <mergeCell ref="H68:H74"/>
    <mergeCell ref="F75:F77"/>
    <mergeCell ref="G75:G77"/>
    <mergeCell ref="H75:H77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11.75"/>
  </cols>
  <sheetData>
    <row r="1">
      <c r="A1" s="1" t="s">
        <v>0</v>
      </c>
      <c r="AJ1" s="2"/>
      <c r="AK1" s="2"/>
    </row>
    <row r="2">
      <c r="A2" s="171" t="s">
        <v>311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72" t="s">
        <v>5</v>
      </c>
      <c r="B8" s="173" t="s">
        <v>6</v>
      </c>
      <c r="C8" s="173" t="s">
        <v>7</v>
      </c>
      <c r="D8" s="174" t="s">
        <v>8</v>
      </c>
      <c r="E8" s="175" t="s">
        <v>9</v>
      </c>
      <c r="F8" s="176" t="s">
        <v>10</v>
      </c>
      <c r="G8" s="173" t="s">
        <v>11</v>
      </c>
      <c r="H8" s="173" t="s">
        <v>12</v>
      </c>
      <c r="I8" s="177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"/>
      <c r="AK8" s="2"/>
      <c r="AL8" s="2"/>
      <c r="AM8" s="2"/>
    </row>
    <row r="9">
      <c r="A9" s="25"/>
      <c r="B9" s="26"/>
      <c r="C9" s="26"/>
      <c r="D9" s="178" t="s">
        <v>14</v>
      </c>
      <c r="E9" s="26"/>
      <c r="F9" s="26"/>
      <c r="G9" s="26"/>
      <c r="H9" s="26"/>
      <c r="I9" s="179" t="s">
        <v>312</v>
      </c>
      <c r="J9" s="179" t="s">
        <v>313</v>
      </c>
      <c r="K9" s="179" t="s">
        <v>314</v>
      </c>
      <c r="L9" s="180" t="s">
        <v>18</v>
      </c>
      <c r="M9" s="180" t="s">
        <v>19</v>
      </c>
      <c r="N9" s="178" t="s">
        <v>20</v>
      </c>
      <c r="O9" s="178" t="s">
        <v>21</v>
      </c>
      <c r="P9" s="178" t="s">
        <v>22</v>
      </c>
      <c r="Q9" s="178" t="s">
        <v>23</v>
      </c>
      <c r="R9" s="178" t="s">
        <v>24</v>
      </c>
      <c r="S9" s="178" t="s">
        <v>25</v>
      </c>
      <c r="T9" s="178" t="s">
        <v>26</v>
      </c>
      <c r="U9" s="178" t="s">
        <v>27</v>
      </c>
      <c r="V9" s="178" t="s">
        <v>28</v>
      </c>
      <c r="W9" s="178" t="s">
        <v>29</v>
      </c>
      <c r="X9" s="178" t="s">
        <v>30</v>
      </c>
      <c r="Y9" s="178" t="s">
        <v>31</v>
      </c>
      <c r="Z9" s="178" t="s">
        <v>32</v>
      </c>
      <c r="AA9" s="178" t="s">
        <v>33</v>
      </c>
      <c r="AB9" s="178" t="s">
        <v>34</v>
      </c>
      <c r="AC9" s="178" t="s">
        <v>35</v>
      </c>
      <c r="AD9" s="178" t="s">
        <v>36</v>
      </c>
      <c r="AE9" s="178" t="s">
        <v>37</v>
      </c>
      <c r="AF9" s="178" t="s">
        <v>38</v>
      </c>
      <c r="AG9" s="178" t="s">
        <v>39</v>
      </c>
      <c r="AH9" s="178" t="s">
        <v>40</v>
      </c>
      <c r="AI9" s="181" t="s">
        <v>41</v>
      </c>
      <c r="AJ9" s="2"/>
      <c r="AK9" s="2"/>
      <c r="AL9" s="2"/>
      <c r="AM9" s="2"/>
    </row>
    <row r="10">
      <c r="A10" s="182" t="s">
        <v>42</v>
      </c>
      <c r="B10" s="183" t="s">
        <v>43</v>
      </c>
      <c r="C10" s="183" t="s">
        <v>44</v>
      </c>
      <c r="D10" s="183" t="s">
        <v>45</v>
      </c>
      <c r="E10" s="184" t="s">
        <v>46</v>
      </c>
      <c r="F10" s="185" t="s">
        <v>47</v>
      </c>
      <c r="G10" s="183" t="s">
        <v>48</v>
      </c>
      <c r="H10" s="183" t="s">
        <v>49</v>
      </c>
      <c r="I10" s="183" t="s">
        <v>50</v>
      </c>
      <c r="J10" s="183" t="s">
        <v>51</v>
      </c>
      <c r="K10" s="183" t="s">
        <v>52</v>
      </c>
      <c r="L10" s="183" t="s">
        <v>53</v>
      </c>
      <c r="M10" s="183" t="s">
        <v>54</v>
      </c>
      <c r="N10" s="183" t="s">
        <v>55</v>
      </c>
      <c r="O10" s="183" t="s">
        <v>56</v>
      </c>
      <c r="P10" s="183" t="s">
        <v>57</v>
      </c>
      <c r="Q10" s="183" t="s">
        <v>58</v>
      </c>
      <c r="R10" s="183" t="s">
        <v>59</v>
      </c>
      <c r="S10" s="183" t="s">
        <v>60</v>
      </c>
      <c r="T10" s="183" t="s">
        <v>61</v>
      </c>
      <c r="U10" s="183" t="s">
        <v>62</v>
      </c>
      <c r="V10" s="183" t="s">
        <v>63</v>
      </c>
      <c r="W10" s="183" t="s">
        <v>64</v>
      </c>
      <c r="X10" s="183" t="s">
        <v>65</v>
      </c>
      <c r="Y10" s="183" t="s">
        <v>66</v>
      </c>
      <c r="Z10" s="183" t="s">
        <v>67</v>
      </c>
      <c r="AA10" s="183" t="s">
        <v>68</v>
      </c>
      <c r="AB10" s="183" t="s">
        <v>69</v>
      </c>
      <c r="AC10" s="183" t="s">
        <v>70</v>
      </c>
      <c r="AD10" s="183" t="s">
        <v>71</v>
      </c>
      <c r="AE10" s="183" t="s">
        <v>72</v>
      </c>
      <c r="AF10" s="183" t="s">
        <v>73</v>
      </c>
      <c r="AG10" s="183" t="s">
        <v>74</v>
      </c>
      <c r="AH10" s="183" t="s">
        <v>75</v>
      </c>
      <c r="AI10" s="186" t="s">
        <v>76</v>
      </c>
      <c r="AJ10" s="125"/>
      <c r="AK10" s="125"/>
      <c r="AL10" s="126"/>
      <c r="AM10" s="126"/>
    </row>
    <row r="11">
      <c r="A11" s="187" t="s">
        <v>87</v>
      </c>
      <c r="B11" s="188"/>
      <c r="C11" s="189" t="s">
        <v>88</v>
      </c>
      <c r="D11" s="188"/>
      <c r="E11" s="190"/>
      <c r="F11" s="191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92"/>
      <c r="AJ11" s="165">
        <f>SUM(F12:F28)</f>
        <v>197250</v>
      </c>
      <c r="AK11" s="193">
        <v>200000.0</v>
      </c>
      <c r="AL11" s="126"/>
      <c r="AM11" s="126"/>
    </row>
    <row r="12">
      <c r="A12" s="194"/>
      <c r="B12" s="195"/>
      <c r="C12" s="196" t="s">
        <v>225</v>
      </c>
      <c r="D12" s="197" t="s">
        <v>80</v>
      </c>
      <c r="E12" s="198">
        <v>80.0</v>
      </c>
      <c r="F12" s="199">
        <f t="shared" ref="F12:F28" si="1">E12*I12</f>
        <v>4000</v>
      </c>
      <c r="G12" s="200" t="s">
        <v>226</v>
      </c>
      <c r="H12" s="201" t="s">
        <v>227</v>
      </c>
      <c r="I12" s="204">
        <v>50.0</v>
      </c>
      <c r="J12" s="203">
        <v>50.0</v>
      </c>
      <c r="K12" s="204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6"/>
      <c r="AJ12" s="125"/>
      <c r="AK12" s="125"/>
      <c r="AL12" s="126"/>
      <c r="AM12" s="126"/>
    </row>
    <row r="13">
      <c r="A13" s="194"/>
      <c r="B13" s="195"/>
      <c r="C13" s="207" t="s">
        <v>228</v>
      </c>
      <c r="D13" s="208"/>
      <c r="E13" s="209">
        <v>850.0</v>
      </c>
      <c r="F13" s="199">
        <f t="shared" si="1"/>
        <v>4250</v>
      </c>
      <c r="G13" s="200" t="s">
        <v>226</v>
      </c>
      <c r="H13" s="201"/>
      <c r="I13" s="204">
        <v>5.0</v>
      </c>
      <c r="J13" s="203">
        <v>5.0</v>
      </c>
      <c r="K13" s="204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6"/>
      <c r="AJ13" s="125"/>
      <c r="AK13" s="125"/>
      <c r="AL13" s="126"/>
      <c r="AM13" s="126"/>
    </row>
    <row r="14">
      <c r="A14" s="194"/>
      <c r="B14" s="195"/>
      <c r="C14" s="207" t="s">
        <v>229</v>
      </c>
      <c r="D14" s="208"/>
      <c r="E14" s="209">
        <v>450.0</v>
      </c>
      <c r="F14" s="199">
        <f t="shared" si="1"/>
        <v>2250</v>
      </c>
      <c r="G14" s="200" t="s">
        <v>226</v>
      </c>
      <c r="H14" s="201"/>
      <c r="I14" s="204">
        <v>5.0</v>
      </c>
      <c r="J14" s="203">
        <v>5.0</v>
      </c>
      <c r="K14" s="204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6"/>
      <c r="AJ14" s="125"/>
      <c r="AK14" s="125"/>
      <c r="AL14" s="126"/>
      <c r="AM14" s="126"/>
    </row>
    <row r="15">
      <c r="A15" s="194"/>
      <c r="B15" s="195"/>
      <c r="C15" s="207" t="s">
        <v>230</v>
      </c>
      <c r="D15" s="208"/>
      <c r="E15" s="209">
        <v>80.0</v>
      </c>
      <c r="F15" s="199">
        <f t="shared" si="1"/>
        <v>4000</v>
      </c>
      <c r="G15" s="200" t="s">
        <v>226</v>
      </c>
      <c r="H15" s="201"/>
      <c r="I15" s="204">
        <v>50.0</v>
      </c>
      <c r="J15" s="203">
        <v>50.0</v>
      </c>
      <c r="K15" s="204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6"/>
      <c r="AJ15" s="125"/>
      <c r="AK15" s="125"/>
      <c r="AL15" s="126"/>
      <c r="AM15" s="126"/>
    </row>
    <row r="16">
      <c r="A16" s="194"/>
      <c r="B16" s="195"/>
      <c r="C16" s="207" t="s">
        <v>231</v>
      </c>
      <c r="D16" s="208"/>
      <c r="E16" s="209">
        <v>300.0</v>
      </c>
      <c r="F16" s="199">
        <f t="shared" si="1"/>
        <v>4500</v>
      </c>
      <c r="G16" s="200" t="s">
        <v>226</v>
      </c>
      <c r="H16" s="201"/>
      <c r="I16" s="204">
        <v>15.0</v>
      </c>
      <c r="J16" s="203">
        <v>15.0</v>
      </c>
      <c r="K16" s="204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6"/>
      <c r="AJ16" s="125"/>
      <c r="AK16" s="125"/>
      <c r="AL16" s="126"/>
      <c r="AM16" s="126"/>
    </row>
    <row r="17">
      <c r="A17" s="194"/>
      <c r="B17" s="195"/>
      <c r="C17" s="207" t="s">
        <v>232</v>
      </c>
      <c r="D17" s="208"/>
      <c r="E17" s="209">
        <v>350.0</v>
      </c>
      <c r="F17" s="199">
        <f t="shared" si="1"/>
        <v>5250</v>
      </c>
      <c r="G17" s="200" t="s">
        <v>226</v>
      </c>
      <c r="H17" s="201"/>
      <c r="I17" s="204">
        <v>15.0</v>
      </c>
      <c r="J17" s="203">
        <v>15.0</v>
      </c>
      <c r="K17" s="204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6"/>
      <c r="AJ17" s="125"/>
      <c r="AK17" s="125"/>
      <c r="AL17" s="126"/>
      <c r="AM17" s="126"/>
    </row>
    <row r="18">
      <c r="A18" s="194"/>
      <c r="B18" s="195"/>
      <c r="C18" s="207" t="s">
        <v>233</v>
      </c>
      <c r="D18" s="208"/>
      <c r="E18" s="209">
        <v>500.0</v>
      </c>
      <c r="F18" s="199">
        <f t="shared" si="1"/>
        <v>7500</v>
      </c>
      <c r="G18" s="200" t="s">
        <v>226</v>
      </c>
      <c r="H18" s="201"/>
      <c r="I18" s="204">
        <v>15.0</v>
      </c>
      <c r="J18" s="203">
        <v>15.0</v>
      </c>
      <c r="K18" s="204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6"/>
      <c r="AJ18" s="125"/>
      <c r="AK18" s="125"/>
      <c r="AL18" s="126"/>
      <c r="AM18" s="126"/>
    </row>
    <row r="19" ht="15.75" customHeight="1">
      <c r="A19" s="194"/>
      <c r="B19" s="195"/>
      <c r="C19" s="210" t="s">
        <v>234</v>
      </c>
      <c r="D19" s="208"/>
      <c r="E19" s="209">
        <v>350.0</v>
      </c>
      <c r="F19" s="199">
        <f t="shared" si="1"/>
        <v>2800</v>
      </c>
      <c r="G19" s="200" t="s">
        <v>226</v>
      </c>
      <c r="H19" s="201"/>
      <c r="I19" s="212">
        <v>8.0</v>
      </c>
      <c r="J19" s="211">
        <v>8.0</v>
      </c>
      <c r="K19" s="212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6"/>
      <c r="AJ19" s="125"/>
      <c r="AK19" s="125"/>
      <c r="AL19" s="126"/>
      <c r="AM19" s="126"/>
    </row>
    <row r="20" ht="15.75" customHeight="1">
      <c r="A20" s="194"/>
      <c r="B20" s="195"/>
      <c r="C20" s="207" t="s">
        <v>235</v>
      </c>
      <c r="D20" s="208"/>
      <c r="E20" s="213">
        <v>2000.0</v>
      </c>
      <c r="F20" s="199">
        <f t="shared" si="1"/>
        <v>6000</v>
      </c>
      <c r="G20" s="200" t="s">
        <v>226</v>
      </c>
      <c r="H20" s="201"/>
      <c r="I20" s="204">
        <v>3.0</v>
      </c>
      <c r="J20" s="203">
        <v>3.0</v>
      </c>
      <c r="K20" s="204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6"/>
      <c r="AJ20" s="125"/>
      <c r="AK20" s="125"/>
      <c r="AL20" s="126"/>
      <c r="AM20" s="126"/>
    </row>
    <row r="21" ht="15.75" customHeight="1">
      <c r="A21" s="194"/>
      <c r="B21" s="195"/>
      <c r="C21" s="210" t="s">
        <v>236</v>
      </c>
      <c r="D21" s="208"/>
      <c r="E21" s="209">
        <v>50.0</v>
      </c>
      <c r="F21" s="199">
        <f t="shared" si="1"/>
        <v>400</v>
      </c>
      <c r="G21" s="200" t="s">
        <v>226</v>
      </c>
      <c r="H21" s="201"/>
      <c r="I21" s="212">
        <v>8.0</v>
      </c>
      <c r="J21" s="211">
        <v>8.0</v>
      </c>
      <c r="K21" s="212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6"/>
      <c r="AJ21" s="125"/>
      <c r="AK21" s="125"/>
      <c r="AL21" s="126"/>
      <c r="AM21" s="126"/>
    </row>
    <row r="22" ht="15.75" customHeight="1">
      <c r="A22" s="194"/>
      <c r="B22" s="195"/>
      <c r="C22" s="210" t="s">
        <v>237</v>
      </c>
      <c r="D22" s="152"/>
      <c r="E22" s="209">
        <v>80.0</v>
      </c>
      <c r="F22" s="199">
        <f t="shared" si="1"/>
        <v>640</v>
      </c>
      <c r="G22" s="200" t="s">
        <v>226</v>
      </c>
      <c r="H22" s="201"/>
      <c r="I22" s="212">
        <v>8.0</v>
      </c>
      <c r="J22" s="211">
        <v>8.0</v>
      </c>
      <c r="K22" s="212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6"/>
      <c r="AJ22" s="125"/>
      <c r="AK22" s="125"/>
      <c r="AL22" s="126"/>
      <c r="AM22" s="126"/>
    </row>
    <row r="23">
      <c r="A23" s="214"/>
      <c r="B23" s="195"/>
      <c r="C23" s="215" t="s">
        <v>238</v>
      </c>
      <c r="D23" s="200" t="s">
        <v>239</v>
      </c>
      <c r="E23" s="216">
        <v>650.0</v>
      </c>
      <c r="F23" s="199">
        <f t="shared" si="1"/>
        <v>2600</v>
      </c>
      <c r="G23" s="200" t="s">
        <v>226</v>
      </c>
      <c r="H23" s="201"/>
      <c r="I23" s="204">
        <v>4.0</v>
      </c>
      <c r="J23" s="203">
        <v>4.0</v>
      </c>
      <c r="K23" s="204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06"/>
      <c r="AJ23" s="125"/>
      <c r="AK23" s="125"/>
      <c r="AL23" s="126"/>
      <c r="AM23" s="126"/>
    </row>
    <row r="24">
      <c r="A24" s="214"/>
      <c r="B24" s="195"/>
      <c r="C24" s="215" t="s">
        <v>240</v>
      </c>
      <c r="D24" s="218" t="s">
        <v>241</v>
      </c>
      <c r="E24" s="216">
        <v>800.0</v>
      </c>
      <c r="F24" s="199">
        <f t="shared" si="1"/>
        <v>1600</v>
      </c>
      <c r="G24" s="218" t="s">
        <v>242</v>
      </c>
      <c r="H24" s="201"/>
      <c r="I24" s="212">
        <v>2.0</v>
      </c>
      <c r="J24" s="211">
        <v>2.0</v>
      </c>
      <c r="K24" s="212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06"/>
      <c r="AJ24" s="125"/>
      <c r="AK24" s="125"/>
      <c r="AL24" s="126"/>
      <c r="AM24" s="126"/>
    </row>
    <row r="25" ht="27.75" customHeight="1">
      <c r="A25" s="219"/>
      <c r="B25" s="195"/>
      <c r="C25" s="220" t="s">
        <v>243</v>
      </c>
      <c r="D25" s="221" t="s">
        <v>80</v>
      </c>
      <c r="E25" s="222">
        <v>28000.0</v>
      </c>
      <c r="F25" s="199">
        <f t="shared" si="1"/>
        <v>112000</v>
      </c>
      <c r="G25" s="200" t="s">
        <v>81</v>
      </c>
      <c r="H25" s="201"/>
      <c r="I25" s="225">
        <v>4.0</v>
      </c>
      <c r="J25" s="224"/>
      <c r="K25" s="225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06"/>
      <c r="AJ25" s="125"/>
      <c r="AK25" s="125"/>
      <c r="AL25" s="126"/>
      <c r="AM25" s="126"/>
    </row>
    <row r="26" ht="27.75" customHeight="1">
      <c r="A26" s="226"/>
      <c r="B26" s="195"/>
      <c r="C26" s="227" t="s">
        <v>244</v>
      </c>
      <c r="D26" s="152"/>
      <c r="E26" s="228">
        <v>3500.0</v>
      </c>
      <c r="F26" s="199">
        <f t="shared" si="1"/>
        <v>14000</v>
      </c>
      <c r="G26" s="200" t="s">
        <v>81</v>
      </c>
      <c r="H26" s="201"/>
      <c r="I26" s="231">
        <v>4.0</v>
      </c>
      <c r="J26" s="230"/>
      <c r="K26" s="231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3"/>
      <c r="AJ26" s="125"/>
      <c r="AK26" s="125"/>
      <c r="AL26" s="126"/>
      <c r="AM26" s="126"/>
    </row>
    <row r="27" ht="27.75" customHeight="1">
      <c r="A27" s="219"/>
      <c r="B27" s="195"/>
      <c r="C27" s="215" t="s">
        <v>245</v>
      </c>
      <c r="D27" s="218" t="s">
        <v>246</v>
      </c>
      <c r="E27" s="209">
        <v>60.0</v>
      </c>
      <c r="F27" s="199">
        <f t="shared" si="1"/>
        <v>960</v>
      </c>
      <c r="G27" s="218" t="s">
        <v>90</v>
      </c>
      <c r="H27" s="201"/>
      <c r="I27" s="225">
        <v>16.0</v>
      </c>
      <c r="J27" s="224"/>
      <c r="K27" s="234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06"/>
      <c r="AJ27" s="125"/>
      <c r="AK27" s="125"/>
      <c r="AL27" s="126"/>
      <c r="AM27" s="126"/>
    </row>
    <row r="28" ht="27.75" customHeight="1">
      <c r="A28" s="214"/>
      <c r="B28" s="235"/>
      <c r="C28" s="236" t="s">
        <v>247</v>
      </c>
      <c r="D28" s="237" t="s">
        <v>80</v>
      </c>
      <c r="E28" s="222">
        <v>3500.0</v>
      </c>
      <c r="F28" s="199">
        <f t="shared" si="1"/>
        <v>24500</v>
      </c>
      <c r="G28" s="238" t="s">
        <v>90</v>
      </c>
      <c r="H28" s="201"/>
      <c r="I28" s="225">
        <v>7.0</v>
      </c>
      <c r="J28" s="224"/>
      <c r="K28" s="234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06"/>
      <c r="AJ28" s="125"/>
      <c r="AK28" s="125"/>
      <c r="AL28" s="126"/>
      <c r="AM28" s="126"/>
    </row>
    <row r="29" ht="27.75" customHeight="1">
      <c r="A29" s="187" t="s">
        <v>114</v>
      </c>
      <c r="B29" s="188"/>
      <c r="C29" s="239" t="s">
        <v>115</v>
      </c>
      <c r="D29" s="188"/>
      <c r="E29" s="190"/>
      <c r="F29" s="191"/>
      <c r="G29" s="188"/>
      <c r="H29" s="188"/>
      <c r="I29" s="240"/>
      <c r="J29" s="240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92"/>
      <c r="AJ29" s="241">
        <f>SUM(F30:F58)</f>
        <v>555550</v>
      </c>
      <c r="AK29" s="242">
        <v>1050000.0</v>
      </c>
      <c r="AL29" s="126"/>
      <c r="AM29" s="126"/>
    </row>
    <row r="30">
      <c r="A30" s="214"/>
      <c r="B30" s="217"/>
      <c r="C30" s="243" t="s">
        <v>315</v>
      </c>
      <c r="D30" s="200" t="s">
        <v>249</v>
      </c>
      <c r="E30" s="244">
        <v>40000.0</v>
      </c>
      <c r="F30" s="244">
        <f t="shared" ref="F30:F58" si="2">E30*I30</f>
        <v>80000</v>
      </c>
      <c r="G30" s="218" t="s">
        <v>81</v>
      </c>
      <c r="H30" s="245" t="s">
        <v>250</v>
      </c>
      <c r="I30" s="200">
        <v>2.0</v>
      </c>
      <c r="J30" s="224"/>
      <c r="K30" s="200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47"/>
      <c r="AJ30" s="125"/>
      <c r="AK30" s="125"/>
      <c r="AL30" s="126"/>
      <c r="AM30" s="126"/>
    </row>
    <row r="31" ht="27.75" customHeight="1">
      <c r="A31" s="214"/>
      <c r="B31" s="217"/>
      <c r="C31" s="243" t="s">
        <v>316</v>
      </c>
      <c r="D31" s="218" t="s">
        <v>252</v>
      </c>
      <c r="E31" s="244">
        <v>5000.0</v>
      </c>
      <c r="F31" s="244">
        <f t="shared" si="2"/>
        <v>15000</v>
      </c>
      <c r="G31" s="212" t="s">
        <v>90</v>
      </c>
      <c r="H31" s="245" t="s">
        <v>250</v>
      </c>
      <c r="I31" s="212">
        <v>3.0</v>
      </c>
      <c r="J31" s="211">
        <v>3.0</v>
      </c>
      <c r="K31" s="212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48"/>
      <c r="AJ31" s="125"/>
      <c r="AK31" s="125"/>
      <c r="AL31" s="126"/>
      <c r="AM31" s="126"/>
    </row>
    <row r="32" ht="27.75" customHeight="1">
      <c r="A32" s="214"/>
      <c r="B32" s="217"/>
      <c r="C32" s="249" t="s">
        <v>317</v>
      </c>
      <c r="D32" s="218" t="s">
        <v>254</v>
      </c>
      <c r="E32" s="250">
        <v>2500.0</v>
      </c>
      <c r="F32" s="244">
        <f t="shared" si="2"/>
        <v>12500</v>
      </c>
      <c r="G32" s="212" t="s">
        <v>90</v>
      </c>
      <c r="H32" s="245" t="s">
        <v>250</v>
      </c>
      <c r="I32" s="212">
        <v>5.0</v>
      </c>
      <c r="J32" s="211">
        <v>5.0</v>
      </c>
      <c r="K32" s="212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48"/>
      <c r="AJ32" s="125"/>
      <c r="AK32" s="125"/>
      <c r="AL32" s="126"/>
      <c r="AM32" s="126"/>
    </row>
    <row r="33">
      <c r="A33" s="214"/>
      <c r="B33" s="245"/>
      <c r="C33" s="210" t="s">
        <v>255</v>
      </c>
      <c r="D33" s="251" t="s">
        <v>80</v>
      </c>
      <c r="E33" s="244">
        <v>3500.0</v>
      </c>
      <c r="F33" s="244">
        <f t="shared" si="2"/>
        <v>87500</v>
      </c>
      <c r="G33" s="253" t="s">
        <v>81</v>
      </c>
      <c r="H33" s="245" t="s">
        <v>256</v>
      </c>
      <c r="I33" s="218">
        <v>25.0</v>
      </c>
      <c r="J33" s="224"/>
      <c r="K33" s="218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48"/>
      <c r="AJ33" s="125"/>
      <c r="AK33" s="125"/>
      <c r="AL33" s="126"/>
      <c r="AM33" s="126"/>
    </row>
    <row r="34" ht="27.75" customHeight="1">
      <c r="A34" s="214"/>
      <c r="B34" s="217"/>
      <c r="C34" s="210" t="s">
        <v>257</v>
      </c>
      <c r="D34" s="152"/>
      <c r="E34" s="244">
        <v>2500.0</v>
      </c>
      <c r="F34" s="244">
        <f t="shared" si="2"/>
        <v>37500</v>
      </c>
      <c r="G34" s="152"/>
      <c r="H34" s="245" t="s">
        <v>250</v>
      </c>
      <c r="I34" s="212">
        <v>15.0</v>
      </c>
      <c r="J34" s="224"/>
      <c r="K34" s="212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48"/>
      <c r="AJ34" s="125"/>
      <c r="AK34" s="125"/>
      <c r="AL34" s="126"/>
      <c r="AM34" s="126"/>
    </row>
    <row r="35">
      <c r="A35" s="214"/>
      <c r="B35" s="217"/>
      <c r="C35" s="210" t="s">
        <v>258</v>
      </c>
      <c r="D35" s="218" t="s">
        <v>259</v>
      </c>
      <c r="E35" s="244">
        <v>5000.0</v>
      </c>
      <c r="F35" s="244">
        <f t="shared" si="2"/>
        <v>25000</v>
      </c>
      <c r="G35" s="218" t="s">
        <v>81</v>
      </c>
      <c r="H35" s="245" t="s">
        <v>256</v>
      </c>
      <c r="I35" s="218">
        <v>5.0</v>
      </c>
      <c r="J35" s="224"/>
      <c r="K35" s="218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48"/>
      <c r="AJ35" s="125"/>
      <c r="AK35" s="125"/>
      <c r="AL35" s="126"/>
      <c r="AM35" s="126"/>
    </row>
    <row r="36">
      <c r="A36" s="214"/>
      <c r="B36" s="245"/>
      <c r="C36" s="210" t="s">
        <v>260</v>
      </c>
      <c r="D36" s="212" t="s">
        <v>261</v>
      </c>
      <c r="E36" s="244">
        <v>3000.0</v>
      </c>
      <c r="F36" s="244">
        <f t="shared" si="2"/>
        <v>9000</v>
      </c>
      <c r="G36" s="218" t="s">
        <v>81</v>
      </c>
      <c r="H36" s="245" t="s">
        <v>256</v>
      </c>
      <c r="I36" s="218">
        <v>3.0</v>
      </c>
      <c r="J36" s="224"/>
      <c r="K36" s="218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48"/>
      <c r="AJ36" s="125"/>
      <c r="AK36" s="125"/>
      <c r="AL36" s="126"/>
      <c r="AM36" s="126"/>
    </row>
    <row r="37">
      <c r="A37" s="214"/>
      <c r="B37" s="217"/>
      <c r="C37" s="210" t="s">
        <v>262</v>
      </c>
      <c r="D37" s="255" t="s">
        <v>80</v>
      </c>
      <c r="E37" s="244">
        <v>3000.0</v>
      </c>
      <c r="F37" s="244">
        <f t="shared" si="2"/>
        <v>9000</v>
      </c>
      <c r="G37" s="253" t="s">
        <v>81</v>
      </c>
      <c r="H37" s="256" t="s">
        <v>250</v>
      </c>
      <c r="I37" s="218">
        <v>3.0</v>
      </c>
      <c r="J37" s="224"/>
      <c r="K37" s="218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48"/>
      <c r="AJ37" s="125"/>
      <c r="AK37" s="125"/>
      <c r="AL37" s="126"/>
      <c r="AM37" s="126"/>
    </row>
    <row r="38" ht="27.75" customHeight="1">
      <c r="A38" s="214"/>
      <c r="B38" s="217"/>
      <c r="C38" s="210" t="s">
        <v>263</v>
      </c>
      <c r="D38" s="208"/>
      <c r="E38" s="244">
        <v>1000.0</v>
      </c>
      <c r="F38" s="244">
        <f t="shared" si="2"/>
        <v>5000</v>
      </c>
      <c r="G38" s="208"/>
      <c r="H38" s="208"/>
      <c r="I38" s="218">
        <v>5.0</v>
      </c>
      <c r="J38" s="224"/>
      <c r="K38" s="218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48"/>
      <c r="AJ38" s="125"/>
      <c r="AK38" s="125"/>
      <c r="AL38" s="126"/>
      <c r="AM38" s="126"/>
    </row>
    <row r="39" ht="27.75" customHeight="1">
      <c r="A39" s="214"/>
      <c r="B39" s="217"/>
      <c r="C39" s="210" t="s">
        <v>264</v>
      </c>
      <c r="D39" s="208"/>
      <c r="E39" s="257">
        <v>2500.0</v>
      </c>
      <c r="F39" s="244">
        <f t="shared" si="2"/>
        <v>12500</v>
      </c>
      <c r="G39" s="208"/>
      <c r="H39" s="208"/>
      <c r="I39" s="218">
        <v>5.0</v>
      </c>
      <c r="J39" s="224"/>
      <c r="K39" s="218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48"/>
      <c r="AJ39" s="125"/>
      <c r="AK39" s="125"/>
      <c r="AL39" s="126"/>
      <c r="AM39" s="126"/>
    </row>
    <row r="40">
      <c r="A40" s="214"/>
      <c r="B40" s="217"/>
      <c r="C40" s="210" t="s">
        <v>265</v>
      </c>
      <c r="D40" s="208"/>
      <c r="E40" s="244">
        <v>5000.0</v>
      </c>
      <c r="F40" s="244">
        <f t="shared" si="2"/>
        <v>25000</v>
      </c>
      <c r="G40" s="208"/>
      <c r="H40" s="208"/>
      <c r="I40" s="218">
        <v>5.0</v>
      </c>
      <c r="J40" s="224"/>
      <c r="K40" s="218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48"/>
      <c r="AJ40" s="125"/>
      <c r="AK40" s="125"/>
      <c r="AL40" s="126"/>
      <c r="AM40" s="126"/>
    </row>
    <row r="41">
      <c r="A41" s="214"/>
      <c r="B41" s="245"/>
      <c r="C41" s="249" t="s">
        <v>318</v>
      </c>
      <c r="D41" s="208"/>
      <c r="E41" s="244">
        <v>2500.0</v>
      </c>
      <c r="F41" s="244">
        <f t="shared" si="2"/>
        <v>12500</v>
      </c>
      <c r="G41" s="208"/>
      <c r="H41" s="208"/>
      <c r="I41" s="218">
        <v>5.0</v>
      </c>
      <c r="J41" s="224"/>
      <c r="K41" s="218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58"/>
      <c r="AJ41" s="125"/>
      <c r="AK41" s="125"/>
      <c r="AL41" s="126"/>
      <c r="AM41" s="126"/>
    </row>
    <row r="42" ht="27.75" customHeight="1">
      <c r="A42" s="214"/>
      <c r="B42" s="245"/>
      <c r="C42" s="210" t="s">
        <v>319</v>
      </c>
      <c r="D42" s="152"/>
      <c r="E42" s="244">
        <v>5000.0</v>
      </c>
      <c r="F42" s="244">
        <f t="shared" si="2"/>
        <v>25000</v>
      </c>
      <c r="G42" s="152"/>
      <c r="H42" s="152"/>
      <c r="I42" s="218">
        <v>5.0</v>
      </c>
      <c r="J42" s="224"/>
      <c r="K42" s="218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48"/>
      <c r="AJ42" s="125"/>
      <c r="AK42" s="125"/>
      <c r="AL42" s="126"/>
      <c r="AM42" s="126"/>
    </row>
    <row r="43" ht="27.75" customHeight="1">
      <c r="A43" s="214"/>
      <c r="B43" s="245"/>
      <c r="C43" s="207" t="s">
        <v>320</v>
      </c>
      <c r="D43" s="204" t="s">
        <v>269</v>
      </c>
      <c r="E43" s="250">
        <v>60.0</v>
      </c>
      <c r="F43" s="244">
        <f t="shared" si="2"/>
        <v>300</v>
      </c>
      <c r="G43" s="212" t="s">
        <v>90</v>
      </c>
      <c r="H43" s="245" t="s">
        <v>250</v>
      </c>
      <c r="I43" s="200">
        <v>5.0</v>
      </c>
      <c r="J43" s="224"/>
      <c r="K43" s="200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48"/>
      <c r="AJ43" s="125"/>
      <c r="AK43" s="125"/>
      <c r="AL43" s="126"/>
      <c r="AM43" s="126"/>
    </row>
    <row r="44" ht="27.75" customHeight="1">
      <c r="A44" s="214"/>
      <c r="B44" s="217"/>
      <c r="C44" s="210" t="s">
        <v>270</v>
      </c>
      <c r="D44" s="212" t="s">
        <v>271</v>
      </c>
      <c r="E44" s="257">
        <v>1000.0</v>
      </c>
      <c r="F44" s="244">
        <f t="shared" si="2"/>
        <v>8000</v>
      </c>
      <c r="G44" s="212" t="s">
        <v>90</v>
      </c>
      <c r="H44" s="245" t="s">
        <v>250</v>
      </c>
      <c r="I44" s="212">
        <v>8.0</v>
      </c>
      <c r="J44" s="211">
        <v>8.0</v>
      </c>
      <c r="K44" s="212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47"/>
      <c r="AJ44" s="125"/>
      <c r="AK44" s="125"/>
      <c r="AL44" s="126"/>
      <c r="AM44" s="126"/>
    </row>
    <row r="45" ht="27.75" customHeight="1">
      <c r="A45" s="214"/>
      <c r="B45" s="217"/>
      <c r="C45" s="210" t="s">
        <v>272</v>
      </c>
      <c r="D45" s="212" t="s">
        <v>273</v>
      </c>
      <c r="E45" s="257">
        <v>1000.0</v>
      </c>
      <c r="F45" s="244">
        <f t="shared" si="2"/>
        <v>8000</v>
      </c>
      <c r="G45" s="212" t="s">
        <v>90</v>
      </c>
      <c r="H45" s="245" t="s">
        <v>250</v>
      </c>
      <c r="I45" s="212">
        <v>8.0</v>
      </c>
      <c r="J45" s="211">
        <v>8.0</v>
      </c>
      <c r="K45" s="212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48"/>
      <c r="AJ45" s="125"/>
      <c r="AK45" s="125"/>
      <c r="AL45" s="126"/>
      <c r="AM45" s="126"/>
    </row>
    <row r="46" ht="27.75" customHeight="1">
      <c r="A46" s="214"/>
      <c r="B46" s="217"/>
      <c r="C46" s="210" t="s">
        <v>274</v>
      </c>
      <c r="D46" s="255" t="s">
        <v>80</v>
      </c>
      <c r="E46" s="257">
        <v>1000.0</v>
      </c>
      <c r="F46" s="244">
        <f t="shared" si="2"/>
        <v>10000</v>
      </c>
      <c r="G46" s="260" t="s">
        <v>90</v>
      </c>
      <c r="H46" s="261" t="s">
        <v>250</v>
      </c>
      <c r="I46" s="212">
        <v>10.0</v>
      </c>
      <c r="J46" s="224"/>
      <c r="K46" s="212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48"/>
      <c r="AJ46" s="125"/>
      <c r="AK46" s="125"/>
      <c r="AL46" s="126"/>
      <c r="AM46" s="126"/>
    </row>
    <row r="47" ht="27.75" customHeight="1">
      <c r="A47" s="214"/>
      <c r="B47" s="217"/>
      <c r="C47" s="210" t="s">
        <v>275</v>
      </c>
      <c r="D47" s="152"/>
      <c r="E47" s="257">
        <v>2000.0</v>
      </c>
      <c r="F47" s="244">
        <f t="shared" si="2"/>
        <v>6000</v>
      </c>
      <c r="G47" s="152"/>
      <c r="H47" s="152"/>
      <c r="I47" s="212">
        <v>3.0</v>
      </c>
      <c r="J47" s="224"/>
      <c r="K47" s="212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48"/>
      <c r="AJ47" s="125"/>
      <c r="AK47" s="125"/>
      <c r="AL47" s="126"/>
      <c r="AM47" s="126"/>
    </row>
    <row r="48" ht="27.75" customHeight="1">
      <c r="A48" s="219"/>
      <c r="B48" s="245"/>
      <c r="C48" s="262" t="s">
        <v>276</v>
      </c>
      <c r="D48" s="255" t="s">
        <v>80</v>
      </c>
      <c r="E48" s="216">
        <v>300.0</v>
      </c>
      <c r="F48" s="244">
        <f t="shared" si="2"/>
        <v>3000</v>
      </c>
      <c r="G48" s="260" t="s">
        <v>90</v>
      </c>
      <c r="H48" s="261" t="s">
        <v>250</v>
      </c>
      <c r="I48" s="212">
        <v>10.0</v>
      </c>
      <c r="J48" s="211">
        <v>10.0</v>
      </c>
      <c r="K48" s="212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48"/>
      <c r="AJ48" s="125"/>
      <c r="AK48" s="125"/>
      <c r="AL48" s="126"/>
      <c r="AM48" s="126"/>
    </row>
    <row r="49" ht="27.75" customHeight="1">
      <c r="A49" s="219"/>
      <c r="B49" s="245"/>
      <c r="C49" s="262" t="s">
        <v>277</v>
      </c>
      <c r="D49" s="208"/>
      <c r="E49" s="216">
        <v>300.0</v>
      </c>
      <c r="F49" s="244">
        <f t="shared" si="2"/>
        <v>3000</v>
      </c>
      <c r="G49" s="208"/>
      <c r="H49" s="208"/>
      <c r="I49" s="212">
        <v>10.0</v>
      </c>
      <c r="J49" s="211">
        <v>10.0</v>
      </c>
      <c r="K49" s="212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48"/>
      <c r="AJ49" s="125"/>
      <c r="AK49" s="125"/>
      <c r="AL49" s="126"/>
      <c r="AM49" s="126"/>
    </row>
    <row r="50" ht="15.75" customHeight="1">
      <c r="A50" s="219"/>
      <c r="B50" s="217"/>
      <c r="C50" s="262" t="s">
        <v>278</v>
      </c>
      <c r="D50" s="208"/>
      <c r="E50" s="216">
        <v>500.0</v>
      </c>
      <c r="F50" s="244">
        <f t="shared" si="2"/>
        <v>3000</v>
      </c>
      <c r="G50" s="208"/>
      <c r="H50" s="208"/>
      <c r="I50" s="204">
        <v>6.0</v>
      </c>
      <c r="J50" s="211">
        <v>2.0</v>
      </c>
      <c r="K50" s="212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48"/>
      <c r="AJ50" s="125"/>
      <c r="AK50" s="125"/>
      <c r="AL50" s="126"/>
      <c r="AM50" s="126"/>
    </row>
    <row r="51" ht="27.0" customHeight="1">
      <c r="A51" s="219"/>
      <c r="B51" s="217"/>
      <c r="C51" s="262" t="s">
        <v>279</v>
      </c>
      <c r="D51" s="152"/>
      <c r="E51" s="216">
        <v>500.0</v>
      </c>
      <c r="F51" s="244">
        <f t="shared" si="2"/>
        <v>3000</v>
      </c>
      <c r="G51" s="152"/>
      <c r="H51" s="152"/>
      <c r="I51" s="204">
        <v>6.0</v>
      </c>
      <c r="J51" s="211">
        <v>2.0</v>
      </c>
      <c r="K51" s="212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48"/>
      <c r="AJ51" s="125"/>
      <c r="AK51" s="125"/>
      <c r="AL51" s="126"/>
      <c r="AM51" s="126"/>
    </row>
    <row r="52" ht="25.5" customHeight="1">
      <c r="A52" s="219"/>
      <c r="B52" s="217"/>
      <c r="C52" s="262" t="s">
        <v>280</v>
      </c>
      <c r="D52" s="255" t="s">
        <v>80</v>
      </c>
      <c r="E52" s="209">
        <v>1300.0</v>
      </c>
      <c r="F52" s="244">
        <f t="shared" si="2"/>
        <v>26000</v>
      </c>
      <c r="G52" s="253" t="s">
        <v>81</v>
      </c>
      <c r="H52" s="261" t="s">
        <v>250</v>
      </c>
      <c r="I52" s="212">
        <v>20.0</v>
      </c>
      <c r="J52" s="211">
        <v>20.0</v>
      </c>
      <c r="K52" s="212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48"/>
      <c r="AJ52" s="125"/>
      <c r="AK52" s="125"/>
      <c r="AL52" s="126"/>
      <c r="AM52" s="126"/>
    </row>
    <row r="53" ht="29.25" customHeight="1">
      <c r="A53" s="219"/>
      <c r="B53" s="217"/>
      <c r="C53" s="262" t="s">
        <v>281</v>
      </c>
      <c r="D53" s="208"/>
      <c r="E53" s="209">
        <v>800.0</v>
      </c>
      <c r="F53" s="244">
        <f t="shared" si="2"/>
        <v>12000</v>
      </c>
      <c r="G53" s="208"/>
      <c r="H53" s="208"/>
      <c r="I53" s="212">
        <v>15.0</v>
      </c>
      <c r="J53" s="211">
        <v>15.0</v>
      </c>
      <c r="K53" s="212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48"/>
      <c r="AJ53" s="125"/>
      <c r="AK53" s="125"/>
      <c r="AL53" s="126"/>
      <c r="AM53" s="126"/>
    </row>
    <row r="54" ht="15.75" customHeight="1">
      <c r="A54" s="219"/>
      <c r="B54" s="217"/>
      <c r="C54" s="262" t="s">
        <v>282</v>
      </c>
      <c r="D54" s="208"/>
      <c r="E54" s="209">
        <v>250.0</v>
      </c>
      <c r="F54" s="244">
        <f t="shared" si="2"/>
        <v>3750</v>
      </c>
      <c r="G54" s="208"/>
      <c r="H54" s="208"/>
      <c r="I54" s="212">
        <v>15.0</v>
      </c>
      <c r="J54" s="211">
        <v>15.0</v>
      </c>
      <c r="K54" s="212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58"/>
      <c r="AJ54" s="125"/>
      <c r="AK54" s="125"/>
      <c r="AL54" s="126"/>
      <c r="AM54" s="126"/>
    </row>
    <row r="55" ht="15.75" customHeight="1">
      <c r="A55" s="219"/>
      <c r="B55" s="245"/>
      <c r="C55" s="262" t="s">
        <v>283</v>
      </c>
      <c r="D55" s="208"/>
      <c r="E55" s="209">
        <v>2400.0</v>
      </c>
      <c r="F55" s="244">
        <f t="shared" si="2"/>
        <v>24000</v>
      </c>
      <c r="G55" s="208"/>
      <c r="H55" s="208"/>
      <c r="I55" s="212">
        <v>10.0</v>
      </c>
      <c r="J55" s="211">
        <v>10.0</v>
      </c>
      <c r="K55" s="212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48"/>
      <c r="AJ55" s="125"/>
      <c r="AK55" s="125"/>
      <c r="AL55" s="126"/>
      <c r="AM55" s="126"/>
    </row>
    <row r="56" ht="27.75" customHeight="1">
      <c r="A56" s="219"/>
      <c r="B56" s="245"/>
      <c r="C56" s="262" t="s">
        <v>284</v>
      </c>
      <c r="D56" s="208"/>
      <c r="E56" s="209">
        <v>2000.0</v>
      </c>
      <c r="F56" s="244">
        <f t="shared" si="2"/>
        <v>20000</v>
      </c>
      <c r="G56" s="208"/>
      <c r="H56" s="208"/>
      <c r="I56" s="212">
        <v>10.0</v>
      </c>
      <c r="J56" s="211">
        <v>10.0</v>
      </c>
      <c r="K56" s="212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48"/>
      <c r="AJ56" s="125"/>
      <c r="AK56" s="125"/>
      <c r="AL56" s="126"/>
      <c r="AM56" s="126"/>
    </row>
    <row r="57" ht="15.75" customHeight="1">
      <c r="A57" s="219"/>
      <c r="B57" s="264"/>
      <c r="C57" s="262" t="s">
        <v>285</v>
      </c>
      <c r="D57" s="208"/>
      <c r="E57" s="209">
        <v>1000.0</v>
      </c>
      <c r="F57" s="244">
        <f t="shared" si="2"/>
        <v>10000</v>
      </c>
      <c r="G57" s="208"/>
      <c r="H57" s="208"/>
      <c r="I57" s="212">
        <v>10.0</v>
      </c>
      <c r="J57" s="211">
        <v>10.0</v>
      </c>
      <c r="K57" s="212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48"/>
      <c r="AJ57" s="125"/>
      <c r="AK57" s="125"/>
      <c r="AL57" s="126"/>
      <c r="AM57" s="126"/>
    </row>
    <row r="58" ht="26.25" customHeight="1">
      <c r="A58" s="219"/>
      <c r="B58" s="195"/>
      <c r="C58" s="262" t="s">
        <v>286</v>
      </c>
      <c r="D58" s="152"/>
      <c r="E58" s="199">
        <v>2500.0</v>
      </c>
      <c r="F58" s="244">
        <f t="shared" si="2"/>
        <v>60000</v>
      </c>
      <c r="G58" s="152"/>
      <c r="H58" s="152"/>
      <c r="I58" s="212">
        <v>24.0</v>
      </c>
      <c r="J58" s="211">
        <v>24.0</v>
      </c>
      <c r="K58" s="212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65"/>
      <c r="AJ58" s="125"/>
      <c r="AK58" s="125"/>
      <c r="AL58" s="126"/>
      <c r="AM58" s="126"/>
    </row>
    <row r="59" ht="15.75" customHeight="1">
      <c r="A59" s="187" t="s">
        <v>151</v>
      </c>
      <c r="B59" s="188"/>
      <c r="C59" s="239" t="s">
        <v>152</v>
      </c>
      <c r="D59" s="188"/>
      <c r="E59" s="190"/>
      <c r="F59" s="191"/>
      <c r="G59" s="188"/>
      <c r="H59" s="188"/>
      <c r="I59" s="240"/>
      <c r="J59" s="240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92"/>
      <c r="AJ59" s="165">
        <f>SUM(F60:F82)</f>
        <v>137775</v>
      </c>
      <c r="AK59" s="193">
        <v>150000.0</v>
      </c>
      <c r="AL59" s="126"/>
      <c r="AM59" s="126"/>
    </row>
    <row r="60">
      <c r="A60" s="214"/>
      <c r="B60" s="217"/>
      <c r="C60" s="207" t="s">
        <v>321</v>
      </c>
      <c r="D60" s="253" t="s">
        <v>80</v>
      </c>
      <c r="E60" s="244">
        <v>3000.0</v>
      </c>
      <c r="F60" s="263">
        <f>(E60*I60)+(E61*I61)+(E62*I62)</f>
        <v>36000</v>
      </c>
      <c r="G60" s="253" t="s">
        <v>90</v>
      </c>
      <c r="H60" s="266" t="s">
        <v>227</v>
      </c>
      <c r="I60" s="200">
        <v>4.0</v>
      </c>
      <c r="J60" s="246">
        <v>4.0</v>
      </c>
      <c r="K60" s="200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47"/>
      <c r="AJ60" s="125"/>
      <c r="AK60" s="125"/>
      <c r="AL60" s="126"/>
      <c r="AM60" s="126"/>
    </row>
    <row r="61">
      <c r="A61" s="214"/>
      <c r="B61" s="195"/>
      <c r="C61" s="220" t="s">
        <v>322</v>
      </c>
      <c r="D61" s="208"/>
      <c r="E61" s="244">
        <v>5000.0</v>
      </c>
      <c r="F61" s="208"/>
      <c r="G61" s="208"/>
      <c r="H61" s="208"/>
      <c r="I61" s="204">
        <v>4.0</v>
      </c>
      <c r="J61" s="203">
        <v>4.0</v>
      </c>
      <c r="K61" s="204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48"/>
      <c r="AJ61" s="125"/>
      <c r="AK61" s="125"/>
      <c r="AL61" s="126"/>
      <c r="AM61" s="126"/>
    </row>
    <row r="62">
      <c r="A62" s="214"/>
      <c r="B62" s="195"/>
      <c r="C62" s="220" t="s">
        <v>323</v>
      </c>
      <c r="D62" s="152"/>
      <c r="E62" s="244">
        <v>1000.0</v>
      </c>
      <c r="F62" s="152"/>
      <c r="G62" s="152"/>
      <c r="H62" s="152"/>
      <c r="I62" s="204">
        <v>4.0</v>
      </c>
      <c r="J62" s="203">
        <v>4.0</v>
      </c>
      <c r="K62" s="204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48"/>
      <c r="AJ62" s="125"/>
      <c r="AK62" s="125"/>
      <c r="AL62" s="126"/>
      <c r="AM62" s="126"/>
    </row>
    <row r="63">
      <c r="A63" s="194"/>
      <c r="B63" s="267"/>
      <c r="C63" s="220" t="s">
        <v>290</v>
      </c>
      <c r="D63" s="253" t="s">
        <v>80</v>
      </c>
      <c r="E63" s="216">
        <v>1000.0</v>
      </c>
      <c r="F63" s="263">
        <f>(E63*I63)+(E64*I64)+(E65*I65)</f>
        <v>38000</v>
      </c>
      <c r="G63" s="253" t="s">
        <v>90</v>
      </c>
      <c r="H63" s="201" t="s">
        <v>227</v>
      </c>
      <c r="I63" s="204">
        <v>8.0</v>
      </c>
      <c r="J63" s="224"/>
      <c r="K63" s="204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48"/>
      <c r="AJ63" s="125"/>
      <c r="AK63" s="125"/>
      <c r="AL63" s="126"/>
      <c r="AM63" s="126"/>
    </row>
    <row r="64">
      <c r="A64" s="194"/>
      <c r="B64" s="267"/>
      <c r="C64" s="262" t="s">
        <v>163</v>
      </c>
      <c r="D64" s="208"/>
      <c r="E64" s="216">
        <v>3000.0</v>
      </c>
      <c r="F64" s="208"/>
      <c r="G64" s="208"/>
      <c r="H64" s="201" t="s">
        <v>227</v>
      </c>
      <c r="I64" s="212">
        <v>5.0</v>
      </c>
      <c r="J64" s="224"/>
      <c r="K64" s="212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48"/>
      <c r="AJ64" s="125"/>
      <c r="AK64" s="125"/>
      <c r="AL64" s="126"/>
      <c r="AM64" s="126"/>
    </row>
    <row r="65">
      <c r="A65" s="194"/>
      <c r="B65" s="267"/>
      <c r="C65" s="262" t="s">
        <v>164</v>
      </c>
      <c r="D65" s="152"/>
      <c r="E65" s="216">
        <v>3000.0</v>
      </c>
      <c r="F65" s="152"/>
      <c r="G65" s="152"/>
      <c r="H65" s="201" t="s">
        <v>227</v>
      </c>
      <c r="I65" s="212">
        <v>5.0</v>
      </c>
      <c r="J65" s="224"/>
      <c r="K65" s="212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48"/>
      <c r="AJ65" s="125"/>
      <c r="AK65" s="125"/>
      <c r="AL65" s="126"/>
      <c r="AM65" s="126"/>
    </row>
    <row r="66">
      <c r="A66" s="214"/>
      <c r="B66" s="217"/>
      <c r="C66" s="268" t="s">
        <v>291</v>
      </c>
      <c r="D66" s="200" t="s">
        <v>292</v>
      </c>
      <c r="E66" s="216">
        <v>4500.0</v>
      </c>
      <c r="F66" s="199">
        <f>4500*I66</f>
        <v>9000</v>
      </c>
      <c r="G66" s="218" t="s">
        <v>226</v>
      </c>
      <c r="H66" s="245" t="s">
        <v>227</v>
      </c>
      <c r="I66" s="204">
        <v>2.0</v>
      </c>
      <c r="J66" s="224"/>
      <c r="K66" s="204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47"/>
      <c r="AJ66" s="125"/>
      <c r="AK66" s="125"/>
      <c r="AL66" s="126"/>
      <c r="AM66" s="126"/>
    </row>
    <row r="67">
      <c r="A67" s="214"/>
      <c r="B67" s="217"/>
      <c r="C67" s="210" t="s">
        <v>293</v>
      </c>
      <c r="D67" s="204" t="s">
        <v>186</v>
      </c>
      <c r="E67" s="209">
        <v>3000.0</v>
      </c>
      <c r="F67" s="209">
        <f>E67*I67</f>
        <v>3000</v>
      </c>
      <c r="G67" s="218" t="s">
        <v>90</v>
      </c>
      <c r="H67" s="245" t="s">
        <v>227</v>
      </c>
      <c r="I67" s="204">
        <v>1.0</v>
      </c>
      <c r="J67" s="224"/>
      <c r="K67" s="204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48"/>
      <c r="AJ67" s="125"/>
      <c r="AK67" s="125"/>
      <c r="AL67" s="126"/>
      <c r="AM67" s="126"/>
    </row>
    <row r="68" ht="15.75" customHeight="1">
      <c r="A68" s="219"/>
      <c r="B68" s="195"/>
      <c r="C68" s="262" t="s">
        <v>294</v>
      </c>
      <c r="D68" s="221" t="s">
        <v>80</v>
      </c>
      <c r="E68" s="216">
        <v>200.0</v>
      </c>
      <c r="F68" s="269">
        <f>(E68*I68)+(E69*I69)+(E70*I70)+(E71*I71)+(E72*I72)+(E73*I73)+(E74*I74)</f>
        <v>18000</v>
      </c>
      <c r="G68" s="260" t="s">
        <v>90</v>
      </c>
      <c r="H68" s="266" t="s">
        <v>227</v>
      </c>
      <c r="I68" s="212">
        <v>10.0</v>
      </c>
      <c r="J68" s="224"/>
      <c r="K68" s="212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48"/>
      <c r="AJ68" s="125"/>
      <c r="AK68" s="125"/>
      <c r="AL68" s="126"/>
      <c r="AM68" s="126"/>
    </row>
    <row r="69" ht="15.75" customHeight="1">
      <c r="A69" s="219"/>
      <c r="B69" s="264"/>
      <c r="C69" s="262" t="s">
        <v>295</v>
      </c>
      <c r="D69" s="208"/>
      <c r="E69" s="216">
        <v>200.0</v>
      </c>
      <c r="F69" s="66"/>
      <c r="G69" s="208"/>
      <c r="H69" s="208"/>
      <c r="I69" s="212">
        <v>10.0</v>
      </c>
      <c r="J69" s="224"/>
      <c r="K69" s="212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48"/>
      <c r="AJ69" s="125"/>
      <c r="AK69" s="125"/>
      <c r="AL69" s="126"/>
      <c r="AM69" s="126"/>
    </row>
    <row r="70" ht="15.75" customHeight="1">
      <c r="A70" s="219"/>
      <c r="B70" s="264"/>
      <c r="C70" s="262" t="s">
        <v>296</v>
      </c>
      <c r="D70" s="208"/>
      <c r="E70" s="216">
        <v>200.0</v>
      </c>
      <c r="F70" s="66"/>
      <c r="G70" s="208"/>
      <c r="H70" s="208"/>
      <c r="I70" s="212">
        <v>10.0</v>
      </c>
      <c r="J70" s="224"/>
      <c r="K70" s="212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48"/>
      <c r="AJ70" s="125"/>
      <c r="AK70" s="125"/>
      <c r="AL70" s="126"/>
      <c r="AM70" s="126"/>
    </row>
    <row r="71" ht="15.75" customHeight="1">
      <c r="A71" s="219"/>
      <c r="B71" s="195"/>
      <c r="C71" s="262" t="s">
        <v>297</v>
      </c>
      <c r="D71" s="208"/>
      <c r="E71" s="216">
        <v>200.0</v>
      </c>
      <c r="F71" s="66"/>
      <c r="G71" s="208"/>
      <c r="H71" s="208"/>
      <c r="I71" s="212">
        <v>10.0</v>
      </c>
      <c r="J71" s="224"/>
      <c r="K71" s="212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48"/>
      <c r="AJ71" s="125"/>
      <c r="AK71" s="125"/>
      <c r="AL71" s="126"/>
      <c r="AM71" s="126"/>
    </row>
    <row r="72" ht="15.75" customHeight="1">
      <c r="A72" s="219"/>
      <c r="B72" s="195"/>
      <c r="C72" s="262" t="s">
        <v>298</v>
      </c>
      <c r="D72" s="208"/>
      <c r="E72" s="216">
        <v>250.0</v>
      </c>
      <c r="F72" s="66"/>
      <c r="G72" s="208"/>
      <c r="H72" s="208"/>
      <c r="I72" s="212">
        <v>10.0</v>
      </c>
      <c r="J72" s="224"/>
      <c r="K72" s="212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48"/>
      <c r="AJ72" s="125"/>
      <c r="AK72" s="125"/>
      <c r="AL72" s="126"/>
      <c r="AM72" s="126"/>
    </row>
    <row r="73" ht="15.75" customHeight="1">
      <c r="A73" s="219"/>
      <c r="B73" s="195"/>
      <c r="C73" s="262" t="s">
        <v>299</v>
      </c>
      <c r="D73" s="208"/>
      <c r="E73" s="199">
        <v>350.0</v>
      </c>
      <c r="F73" s="66"/>
      <c r="G73" s="208"/>
      <c r="H73" s="208"/>
      <c r="I73" s="212">
        <v>10.0</v>
      </c>
      <c r="J73" s="224"/>
      <c r="K73" s="212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48"/>
      <c r="AJ73" s="125"/>
      <c r="AK73" s="125"/>
      <c r="AL73" s="126"/>
      <c r="AM73" s="126"/>
    </row>
    <row r="74" ht="15.75" customHeight="1">
      <c r="A74" s="219"/>
      <c r="B74" s="195"/>
      <c r="C74" s="262" t="s">
        <v>300</v>
      </c>
      <c r="D74" s="152"/>
      <c r="E74" s="199">
        <v>400.0</v>
      </c>
      <c r="F74" s="75"/>
      <c r="G74" s="152"/>
      <c r="H74" s="152"/>
      <c r="I74" s="212">
        <v>10.0</v>
      </c>
      <c r="J74" s="224"/>
      <c r="K74" s="212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48"/>
      <c r="AJ74" s="125"/>
      <c r="AK74" s="125"/>
      <c r="AL74" s="126"/>
      <c r="AM74" s="126"/>
    </row>
    <row r="75" ht="15.75" customHeight="1">
      <c r="A75" s="270"/>
      <c r="B75" s="271"/>
      <c r="C75" s="272" t="s">
        <v>301</v>
      </c>
      <c r="D75" s="221" t="s">
        <v>80</v>
      </c>
      <c r="E75" s="273">
        <v>125.0</v>
      </c>
      <c r="F75" s="269">
        <f>(E75*I75)+(E76*I76)+(E77*I77)</f>
        <v>6875</v>
      </c>
      <c r="G75" s="274" t="s">
        <v>90</v>
      </c>
      <c r="H75" s="266" t="s">
        <v>227</v>
      </c>
      <c r="I75" s="277">
        <v>25.0</v>
      </c>
      <c r="J75" s="276"/>
      <c r="K75" s="277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48"/>
      <c r="AJ75" s="125"/>
      <c r="AK75" s="125"/>
      <c r="AL75" s="126"/>
      <c r="AM75" s="126"/>
    </row>
    <row r="76" ht="15.75" customHeight="1">
      <c r="A76" s="194"/>
      <c r="B76" s="278"/>
      <c r="C76" s="279" t="s">
        <v>302</v>
      </c>
      <c r="D76" s="208"/>
      <c r="E76" s="216">
        <v>75.0</v>
      </c>
      <c r="F76" s="66"/>
      <c r="G76" s="208"/>
      <c r="H76" s="208"/>
      <c r="I76" s="282">
        <v>25.0</v>
      </c>
      <c r="J76" s="281"/>
      <c r="K76" s="282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58"/>
      <c r="AJ76" s="125"/>
      <c r="AK76" s="125"/>
      <c r="AL76" s="126"/>
      <c r="AM76" s="126"/>
    </row>
    <row r="77" ht="15.75" customHeight="1">
      <c r="A77" s="194"/>
      <c r="B77" s="278"/>
      <c r="C77" s="279" t="s">
        <v>303</v>
      </c>
      <c r="D77" s="152"/>
      <c r="E77" s="216">
        <v>75.0</v>
      </c>
      <c r="F77" s="75"/>
      <c r="G77" s="152"/>
      <c r="H77" s="152"/>
      <c r="I77" s="282">
        <v>25.0</v>
      </c>
      <c r="J77" s="281"/>
      <c r="K77" s="282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48"/>
      <c r="AJ77" s="125"/>
      <c r="AK77" s="125"/>
      <c r="AL77" s="126"/>
      <c r="AM77" s="126"/>
    </row>
    <row r="78" ht="15.75" customHeight="1">
      <c r="A78" s="283"/>
      <c r="B78" s="284"/>
      <c r="C78" s="272" t="s">
        <v>304</v>
      </c>
      <c r="D78" s="285" t="s">
        <v>80</v>
      </c>
      <c r="E78" s="273">
        <f>500/20</f>
        <v>25</v>
      </c>
      <c r="F78" s="286">
        <f>(E78*I78)+(E79*I79)+(E80*I80)</f>
        <v>600</v>
      </c>
      <c r="G78" s="274" t="s">
        <v>90</v>
      </c>
      <c r="H78" s="287" t="s">
        <v>227</v>
      </c>
      <c r="I78" s="277">
        <v>10.0</v>
      </c>
      <c r="J78" s="276"/>
      <c r="K78" s="277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48"/>
      <c r="AJ78" s="125"/>
      <c r="AK78" s="125"/>
      <c r="AL78" s="126"/>
      <c r="AM78" s="126"/>
    </row>
    <row r="79" ht="15.75" customHeight="1">
      <c r="A79" s="288"/>
      <c r="B79" s="195"/>
      <c r="C79" s="279" t="s">
        <v>305</v>
      </c>
      <c r="D79" s="208"/>
      <c r="E79" s="216">
        <f>300/15</f>
        <v>20</v>
      </c>
      <c r="F79" s="208"/>
      <c r="G79" s="208"/>
      <c r="H79" s="208"/>
      <c r="I79" s="282">
        <v>10.0</v>
      </c>
      <c r="J79" s="281"/>
      <c r="K79" s="282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48"/>
      <c r="AJ79" s="125"/>
      <c r="AK79" s="125"/>
      <c r="AL79" s="126"/>
      <c r="AM79" s="126"/>
    </row>
    <row r="80" ht="15.75" customHeight="1">
      <c r="A80" s="288"/>
      <c r="B80" s="278"/>
      <c r="C80" s="289" t="s">
        <v>306</v>
      </c>
      <c r="D80" s="152"/>
      <c r="E80" s="216">
        <f>150/5</f>
        <v>30</v>
      </c>
      <c r="F80" s="152"/>
      <c r="G80" s="152"/>
      <c r="H80" s="152"/>
      <c r="I80" s="291">
        <v>5.0</v>
      </c>
      <c r="J80" s="281"/>
      <c r="K80" s="291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48"/>
      <c r="AJ80" s="125"/>
      <c r="AK80" s="125"/>
      <c r="AL80" s="126"/>
      <c r="AM80" s="126"/>
    </row>
    <row r="81">
      <c r="A81" s="283"/>
      <c r="B81" s="271"/>
      <c r="C81" s="292" t="s">
        <v>307</v>
      </c>
      <c r="D81" s="293" t="s">
        <v>308</v>
      </c>
      <c r="E81" s="273">
        <f>300/3</f>
        <v>100</v>
      </c>
      <c r="F81" s="294">
        <f t="shared" ref="F81:F82" si="3">E81*I81</f>
        <v>300</v>
      </c>
      <c r="G81" s="205"/>
      <c r="H81" s="201" t="s">
        <v>227</v>
      </c>
      <c r="I81" s="295">
        <v>3.0</v>
      </c>
      <c r="J81" s="276"/>
      <c r="K81" s="295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48"/>
      <c r="AJ81" s="125"/>
      <c r="AK81" s="125"/>
      <c r="AL81" s="126"/>
      <c r="AM81" s="126"/>
    </row>
    <row r="82">
      <c r="A82" s="283"/>
      <c r="B82" s="284"/>
      <c r="C82" s="292" t="s">
        <v>309</v>
      </c>
      <c r="D82" s="296" t="s">
        <v>310</v>
      </c>
      <c r="E82" s="273">
        <v>13000.0</v>
      </c>
      <c r="F82" s="294">
        <f t="shared" si="3"/>
        <v>26000</v>
      </c>
      <c r="G82" s="295" t="s">
        <v>90</v>
      </c>
      <c r="H82" s="238" t="s">
        <v>227</v>
      </c>
      <c r="I82" s="295">
        <v>2.0</v>
      </c>
      <c r="J82" s="276"/>
      <c r="K82" s="295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48"/>
      <c r="AJ82" s="125"/>
      <c r="AK82" s="125"/>
      <c r="AL82" s="126"/>
      <c r="AM82" s="126"/>
    </row>
    <row r="83" ht="15.75" customHeight="1">
      <c r="A83" s="98" t="s">
        <v>169</v>
      </c>
      <c r="B83" s="79"/>
      <c r="C83" s="99" t="s">
        <v>170</v>
      </c>
      <c r="D83" s="39"/>
      <c r="E83" s="40"/>
      <c r="F83" s="41"/>
      <c r="G83" s="80"/>
      <c r="H83" s="80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3"/>
      <c r="AJ83" s="35"/>
      <c r="AK83" s="36"/>
    </row>
    <row r="84" ht="15.75" customHeight="1">
      <c r="A84" s="100"/>
      <c r="B84" s="101"/>
      <c r="C84" s="102" t="s">
        <v>171</v>
      </c>
      <c r="D84" s="103" t="s">
        <v>80</v>
      </c>
      <c r="E84" s="104">
        <v>300.0</v>
      </c>
      <c r="F84" s="105">
        <v>26000.0</v>
      </c>
      <c r="G84" s="106" t="s">
        <v>90</v>
      </c>
      <c r="H84" s="107"/>
      <c r="I84" s="108"/>
      <c r="J84" s="109"/>
      <c r="K84" s="109">
        <v>20.0</v>
      </c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10"/>
      <c r="AJ84" s="35"/>
      <c r="AK84" s="111"/>
    </row>
    <row r="85" ht="15.75" customHeight="1">
      <c r="A85" s="100"/>
      <c r="B85" s="101"/>
      <c r="C85" s="102" t="s">
        <v>172</v>
      </c>
      <c r="D85" s="66"/>
      <c r="E85" s="104">
        <v>300.0</v>
      </c>
      <c r="F85" s="66"/>
      <c r="G85" s="66"/>
      <c r="H85" s="107"/>
      <c r="I85" s="108"/>
      <c r="J85" s="109"/>
      <c r="K85" s="109">
        <v>40.0</v>
      </c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10"/>
      <c r="AJ85" s="35"/>
      <c r="AK85" s="111"/>
    </row>
    <row r="86" ht="15.75" customHeight="1">
      <c r="A86" s="100"/>
      <c r="B86" s="101"/>
      <c r="C86" s="76" t="s">
        <v>173</v>
      </c>
      <c r="D86" s="66"/>
      <c r="E86" s="104">
        <v>1000.0</v>
      </c>
      <c r="F86" s="66"/>
      <c r="G86" s="66"/>
      <c r="H86" s="107"/>
      <c r="I86" s="108"/>
      <c r="J86" s="109"/>
      <c r="K86" s="109">
        <v>2.0</v>
      </c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10"/>
      <c r="AJ86" s="35"/>
      <c r="AK86" s="111"/>
    </row>
    <row r="87" ht="15.75" customHeight="1">
      <c r="A87" s="100"/>
      <c r="B87" s="101"/>
      <c r="C87" s="76" t="s">
        <v>174</v>
      </c>
      <c r="D87" s="66"/>
      <c r="E87" s="104">
        <v>1000.0</v>
      </c>
      <c r="F87" s="66"/>
      <c r="G87" s="66"/>
      <c r="H87" s="107"/>
      <c r="I87" s="108"/>
      <c r="J87" s="109"/>
      <c r="K87" s="109">
        <v>3.0</v>
      </c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10"/>
      <c r="AJ87" s="35"/>
      <c r="AK87" s="111"/>
    </row>
    <row r="88" ht="15.75" customHeight="1">
      <c r="A88" s="100"/>
      <c r="B88" s="101"/>
      <c r="C88" s="102" t="s">
        <v>175</v>
      </c>
      <c r="D88" s="66"/>
      <c r="E88" s="104">
        <v>100.0</v>
      </c>
      <c r="F88" s="66"/>
      <c r="G88" s="66"/>
      <c r="H88" s="107"/>
      <c r="I88" s="108"/>
      <c r="J88" s="109"/>
      <c r="K88" s="109">
        <v>10.0</v>
      </c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10"/>
      <c r="AJ88" s="35"/>
      <c r="AK88" s="111"/>
    </row>
    <row r="89" ht="15.75" customHeight="1">
      <c r="A89" s="100"/>
      <c r="B89" s="101"/>
      <c r="C89" s="102" t="s">
        <v>176</v>
      </c>
      <c r="D89" s="66"/>
      <c r="E89" s="104">
        <v>100.0</v>
      </c>
      <c r="F89" s="66"/>
      <c r="G89" s="66"/>
      <c r="H89" s="107"/>
      <c r="I89" s="108"/>
      <c r="J89" s="109"/>
      <c r="K89" s="109">
        <v>10.0</v>
      </c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10"/>
      <c r="AJ89" s="35"/>
      <c r="AK89" s="111"/>
    </row>
    <row r="90" ht="15.75" customHeight="1">
      <c r="A90" s="100"/>
      <c r="B90" s="101"/>
      <c r="C90" s="102" t="s">
        <v>177</v>
      </c>
      <c r="D90" s="66"/>
      <c r="E90" s="104">
        <v>100.0</v>
      </c>
      <c r="F90" s="66"/>
      <c r="G90" s="66"/>
      <c r="H90" s="107"/>
      <c r="I90" s="108"/>
      <c r="J90" s="109"/>
      <c r="K90" s="109">
        <v>10.0</v>
      </c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10"/>
      <c r="AJ90" s="35"/>
      <c r="AK90" s="111"/>
    </row>
    <row r="91" ht="15.75" customHeight="1">
      <c r="A91" s="100"/>
      <c r="B91" s="112"/>
      <c r="C91" s="112"/>
      <c r="D91" s="75"/>
      <c r="E91" s="113"/>
      <c r="F91" s="75"/>
      <c r="G91" s="75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10"/>
      <c r="AJ91" s="35"/>
      <c r="AK91" s="111"/>
    </row>
    <row r="92" ht="15.75" customHeight="1">
      <c r="A92" s="187" t="s">
        <v>187</v>
      </c>
      <c r="B92" s="188"/>
      <c r="C92" s="239" t="s">
        <v>188</v>
      </c>
      <c r="D92" s="188"/>
      <c r="E92" s="190"/>
      <c r="F92" s="191"/>
      <c r="G92" s="188"/>
      <c r="H92" s="188"/>
      <c r="I92" s="240"/>
      <c r="J92" s="240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92"/>
      <c r="AJ92" s="125"/>
      <c r="AK92" s="125"/>
      <c r="AL92" s="126"/>
      <c r="AM92" s="126"/>
    </row>
    <row r="93">
      <c r="A93" s="194"/>
      <c r="B93" s="205"/>
      <c r="C93" s="210" t="s">
        <v>189</v>
      </c>
      <c r="D93" s="218" t="s">
        <v>190</v>
      </c>
      <c r="E93" s="216">
        <v>150.0</v>
      </c>
      <c r="F93" s="216">
        <f>150*26</f>
        <v>3900</v>
      </c>
      <c r="G93" s="297" t="s">
        <v>90</v>
      </c>
      <c r="H93" s="238" t="s">
        <v>227</v>
      </c>
      <c r="I93" s="224"/>
      <c r="J93" s="254">
        <v>13.0</v>
      </c>
      <c r="K93" s="204">
        <v>26.0</v>
      </c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6"/>
      <c r="AJ93" s="125"/>
      <c r="AK93" s="125"/>
      <c r="AL93" s="126"/>
      <c r="AM93" s="126"/>
    </row>
    <row r="94" ht="15.75" customHeight="1">
      <c r="A94" s="37" t="s">
        <v>199</v>
      </c>
      <c r="B94" s="79"/>
      <c r="C94" s="79" t="s">
        <v>200</v>
      </c>
      <c r="D94" s="39"/>
      <c r="E94" s="40"/>
      <c r="F94" s="41"/>
      <c r="G94" s="80"/>
      <c r="H94" s="80"/>
      <c r="I94" s="298"/>
      <c r="J94" s="298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3"/>
      <c r="AJ94" s="299">
        <f>SUM(F95:F97)</f>
        <v>6740000</v>
      </c>
      <c r="AK94" s="36"/>
    </row>
    <row r="95">
      <c r="A95" s="116"/>
      <c r="B95" s="117"/>
      <c r="C95" s="118" t="s">
        <v>201</v>
      </c>
      <c r="D95" s="119" t="s">
        <v>80</v>
      </c>
      <c r="E95" s="120">
        <v>5000000.0</v>
      </c>
      <c r="F95" s="121">
        <v>5000000.0</v>
      </c>
      <c r="G95" s="122" t="s">
        <v>202</v>
      </c>
      <c r="H95" s="300" t="s">
        <v>256</v>
      </c>
      <c r="I95" s="301"/>
      <c r="J95" s="302">
        <v>1.0</v>
      </c>
      <c r="K95" s="142">
        <v>1.0</v>
      </c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24"/>
      <c r="AJ95" s="125"/>
      <c r="AK95" s="125"/>
      <c r="AL95" s="126"/>
      <c r="AM95" s="126"/>
    </row>
    <row r="96">
      <c r="A96" s="127"/>
      <c r="B96" s="128"/>
      <c r="C96" s="129" t="s">
        <v>203</v>
      </c>
      <c r="D96" s="130" t="s">
        <v>204</v>
      </c>
      <c r="E96" s="131">
        <v>120000.0</v>
      </c>
      <c r="F96" s="132">
        <v>240000.0</v>
      </c>
      <c r="G96" s="133" t="s">
        <v>155</v>
      </c>
      <c r="H96" s="300" t="s">
        <v>256</v>
      </c>
      <c r="I96" s="303"/>
      <c r="J96" s="304">
        <v>2.0</v>
      </c>
      <c r="K96" s="305">
        <v>2.0</v>
      </c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35"/>
      <c r="AJ96" s="125"/>
      <c r="AK96" s="125"/>
      <c r="AL96" s="126"/>
      <c r="AM96" s="126"/>
    </row>
    <row r="97">
      <c r="A97" s="136"/>
      <c r="B97" s="137"/>
      <c r="C97" s="138" t="s">
        <v>205</v>
      </c>
      <c r="D97" s="139" t="s">
        <v>80</v>
      </c>
      <c r="E97" s="140">
        <v>1500000.0</v>
      </c>
      <c r="F97" s="140">
        <v>1500000.0</v>
      </c>
      <c r="G97" s="141" t="s">
        <v>202</v>
      </c>
      <c r="H97" s="306" t="s">
        <v>256</v>
      </c>
      <c r="I97" s="307"/>
      <c r="J97" s="307"/>
      <c r="K97" s="142">
        <v>1.0</v>
      </c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43"/>
      <c r="AJ97" s="125"/>
      <c r="AK97" s="125"/>
      <c r="AL97" s="126"/>
      <c r="AM97" s="126"/>
    </row>
    <row r="98" ht="15.75" customHeight="1">
      <c r="A98" s="144"/>
      <c r="B98" s="145"/>
      <c r="C98" s="145"/>
      <c r="D98" s="2"/>
      <c r="E98" s="9"/>
      <c r="F98" s="10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5.75" customHeight="1">
      <c r="A99" s="146" t="s">
        <v>206</v>
      </c>
      <c r="B99" s="6"/>
      <c r="C99" s="6"/>
      <c r="D99" s="147">
        <f>SUM(F11:F97)</f>
        <v>7660475</v>
      </c>
      <c r="E99" s="148"/>
      <c r="F99" s="148"/>
      <c r="G99" s="11"/>
      <c r="H99" s="1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ht="15.75" hidden="1" customHeight="1">
      <c r="A100" s="149" t="s">
        <v>207</v>
      </c>
      <c r="B100" s="127"/>
      <c r="C100" s="127"/>
      <c r="D100" s="150">
        <f>PRODUCT(D99,0.1)</f>
        <v>766047.5</v>
      </c>
      <c r="E100" s="151"/>
      <c r="F100" s="152"/>
      <c r="G100" s="11"/>
      <c r="H100" s="11"/>
      <c r="I100" s="153"/>
      <c r="K100" s="153"/>
      <c r="AH100" s="153"/>
      <c r="AI100" s="2"/>
      <c r="AJ100" s="2"/>
      <c r="AK100" s="2"/>
    </row>
    <row r="101" ht="15.75" hidden="1" customHeight="1">
      <c r="A101" s="154" t="s">
        <v>208</v>
      </c>
      <c r="B101" s="116"/>
      <c r="C101" s="116"/>
      <c r="D101" s="155">
        <f>PRODUCT(D99,0.1)</f>
        <v>766047.5</v>
      </c>
      <c r="E101" s="156"/>
      <c r="F101" s="157"/>
      <c r="G101" s="11"/>
      <c r="H101" s="11"/>
      <c r="I101" s="158"/>
      <c r="J101" s="158"/>
      <c r="K101" s="159"/>
      <c r="AH101" s="159"/>
      <c r="AI101" s="2"/>
      <c r="AJ101" s="2"/>
      <c r="AK101" s="2"/>
    </row>
    <row r="102" ht="15.75" hidden="1" customHeight="1">
      <c r="A102" s="154" t="s">
        <v>209</v>
      </c>
      <c r="B102" s="116"/>
      <c r="C102" s="116"/>
      <c r="D102" s="155">
        <f>SUM(D99:F101)</f>
        <v>9192570</v>
      </c>
      <c r="E102" s="156"/>
      <c r="F102" s="157"/>
      <c r="G102" s="11"/>
      <c r="H102" s="11"/>
      <c r="I102" s="158"/>
      <c r="J102" s="158"/>
      <c r="K102" s="159"/>
      <c r="AH102" s="159"/>
      <c r="AI102" s="2"/>
      <c r="AJ102" s="2"/>
      <c r="AK102" s="2"/>
    </row>
    <row r="103" ht="15.75" customHeight="1">
      <c r="A103" s="160"/>
      <c r="B103" s="6"/>
      <c r="C103" s="6"/>
      <c r="D103" s="2"/>
      <c r="E103" s="9"/>
      <c r="F103" s="10"/>
      <c r="G103" s="11"/>
      <c r="H103" s="11"/>
      <c r="I103" s="158"/>
      <c r="J103" s="158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2"/>
      <c r="AJ103" s="2"/>
      <c r="AK103" s="2"/>
    </row>
    <row r="104" ht="15.75" customHeight="1">
      <c r="A104" s="161" t="s">
        <v>210</v>
      </c>
      <c r="B104" s="6"/>
      <c r="C104" s="6"/>
      <c r="D104" s="2"/>
      <c r="E104" s="9"/>
      <c r="F104" s="10"/>
      <c r="G104" s="11"/>
      <c r="H104" s="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ht="15.75" customHeight="1">
      <c r="A105" s="23"/>
      <c r="B105" s="6"/>
      <c r="C105" s="6"/>
      <c r="D105" s="2"/>
      <c r="E105" s="9"/>
      <c r="F105" s="10"/>
      <c r="G105" s="11"/>
      <c r="H105" s="1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ht="15.75" customHeight="1">
      <c r="A106" s="162" t="s">
        <v>211</v>
      </c>
      <c r="B106" s="6"/>
      <c r="C106" s="6"/>
      <c r="D106" s="163" t="s">
        <v>212</v>
      </c>
      <c r="E106" s="164"/>
      <c r="F106" s="165"/>
      <c r="G106" s="166" t="s">
        <v>213</v>
      </c>
      <c r="H106" s="125"/>
      <c r="I106" s="125"/>
      <c r="J106" s="163" t="s">
        <v>214</v>
      </c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2"/>
      <c r="AK106" s="158"/>
    </row>
    <row r="107" ht="15.75" customHeight="1">
      <c r="A107" s="162"/>
      <c r="B107" s="6"/>
      <c r="C107" s="6"/>
      <c r="D107" s="125"/>
      <c r="E107" s="164"/>
      <c r="F107" s="16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58"/>
      <c r="AK107" s="158"/>
    </row>
    <row r="108" ht="15.75" customHeight="1">
      <c r="A108" s="6"/>
      <c r="B108" s="6"/>
      <c r="C108" s="6"/>
      <c r="D108" s="125"/>
      <c r="E108" s="164"/>
      <c r="F108" s="16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58"/>
      <c r="AK108" s="158"/>
    </row>
    <row r="109" ht="15.75" customHeight="1">
      <c r="A109" s="167" t="s">
        <v>215</v>
      </c>
      <c r="D109" s="163" t="s">
        <v>216</v>
      </c>
      <c r="E109" s="164"/>
      <c r="F109" s="165"/>
      <c r="G109" s="166" t="s">
        <v>217</v>
      </c>
      <c r="H109" s="125"/>
      <c r="I109" s="125"/>
      <c r="J109" s="163" t="s">
        <v>215</v>
      </c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2"/>
      <c r="AK109" s="2"/>
    </row>
    <row r="110" ht="15.0" customHeight="1">
      <c r="A110" s="168" t="s">
        <v>218</v>
      </c>
      <c r="D110" s="169" t="s">
        <v>219</v>
      </c>
      <c r="E110" s="164"/>
      <c r="F110" s="165"/>
      <c r="G110" s="125" t="s">
        <v>220</v>
      </c>
      <c r="H110" s="125"/>
      <c r="I110" s="125"/>
      <c r="J110" s="169" t="s">
        <v>221</v>
      </c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58"/>
      <c r="AK110" s="158"/>
    </row>
    <row r="111" ht="15.75" customHeight="1">
      <c r="A111" s="2"/>
      <c r="B111" s="2"/>
      <c r="C111" s="2"/>
      <c r="D111" s="125"/>
      <c r="E111" s="164"/>
      <c r="F111" s="16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2"/>
      <c r="AK111" s="2"/>
    </row>
    <row r="112" ht="15.75" customHeight="1">
      <c r="A112" s="2" t="s">
        <v>222</v>
      </c>
      <c r="B112" s="2"/>
      <c r="C112" s="2"/>
      <c r="D112" s="169" t="s">
        <v>223</v>
      </c>
      <c r="E112" s="164"/>
      <c r="F112" s="165"/>
      <c r="G112" s="125" t="s">
        <v>223</v>
      </c>
      <c r="H112" s="125"/>
      <c r="I112" s="125"/>
      <c r="J112" s="169" t="s">
        <v>223</v>
      </c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2"/>
      <c r="AK112" s="2"/>
    </row>
    <row r="113" ht="15.75" customHeight="1">
      <c r="D113" s="2"/>
      <c r="E113" s="9"/>
      <c r="F113" s="10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5.75" customHeight="1">
      <c r="D114" s="2"/>
      <c r="E114" s="9"/>
      <c r="F114" s="10"/>
      <c r="G114" s="11"/>
      <c r="H114" s="1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5.75" customHeight="1"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5.75" customHeight="1">
      <c r="D116" s="2"/>
      <c r="E116" s="9"/>
      <c r="F116" s="10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5.75" customHeight="1">
      <c r="D117" s="2"/>
      <c r="E117" s="9"/>
      <c r="F117" s="10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5.75" customHeight="1">
      <c r="E118" s="170"/>
    </row>
    <row r="119" ht="15.75" customHeight="1">
      <c r="E119" s="170"/>
    </row>
    <row r="120" ht="15.75" customHeight="1">
      <c r="E120" s="170"/>
    </row>
    <row r="121" ht="15.75" customHeight="1">
      <c r="E121" s="170"/>
    </row>
    <row r="122" ht="15.75" customHeight="1">
      <c r="E122" s="170"/>
    </row>
    <row r="123" ht="15.75" customHeight="1">
      <c r="E123" s="170"/>
    </row>
    <row r="124" ht="15.75" customHeight="1">
      <c r="E124" s="170"/>
    </row>
    <row r="125" ht="15.75" customHeight="1">
      <c r="E125" s="170"/>
    </row>
    <row r="126" ht="15.75" customHeight="1">
      <c r="E126" s="170"/>
    </row>
    <row r="127" ht="15.75" customHeight="1">
      <c r="E127" s="170"/>
    </row>
    <row r="128" ht="15.75" customHeight="1">
      <c r="E128" s="170"/>
    </row>
    <row r="129" ht="15.75" customHeight="1">
      <c r="E129" s="170"/>
    </row>
    <row r="130" ht="15.75" customHeight="1">
      <c r="E130" s="170"/>
    </row>
    <row r="131" ht="15.75" customHeight="1">
      <c r="E131" s="170"/>
    </row>
    <row r="132" ht="15.75" customHeight="1">
      <c r="E132" s="170"/>
    </row>
    <row r="133" ht="15.75" customHeight="1">
      <c r="E133" s="170"/>
    </row>
    <row r="134" ht="15.75" customHeight="1">
      <c r="E134" s="170"/>
    </row>
    <row r="135" ht="15.75" customHeight="1">
      <c r="E135" s="170"/>
    </row>
    <row r="136" ht="15.75" customHeight="1">
      <c r="E136" s="170"/>
    </row>
    <row r="137" ht="15.75" customHeight="1">
      <c r="E137" s="170"/>
    </row>
    <row r="138" ht="15.75" customHeight="1">
      <c r="E138" s="170"/>
    </row>
    <row r="139" ht="15.75" customHeight="1">
      <c r="E139" s="170"/>
    </row>
    <row r="140" ht="15.75" customHeight="1">
      <c r="E140" s="170"/>
    </row>
    <row r="141" ht="15.75" customHeight="1">
      <c r="E141" s="170"/>
    </row>
    <row r="142" ht="15.75" customHeight="1">
      <c r="E142" s="170"/>
    </row>
    <row r="143" ht="15.75" customHeight="1">
      <c r="E143" s="170"/>
    </row>
    <row r="144" ht="15.75" customHeight="1">
      <c r="E144" s="170"/>
    </row>
    <row r="145" ht="15.75" customHeight="1">
      <c r="E145" s="170"/>
    </row>
    <row r="146" ht="15.75" customHeight="1">
      <c r="E146" s="170"/>
    </row>
    <row r="147" ht="15.75" customHeight="1">
      <c r="E147" s="170"/>
    </row>
    <row r="148" ht="15.75" customHeight="1">
      <c r="E148" s="170"/>
    </row>
    <row r="149" ht="15.75" customHeight="1">
      <c r="E149" s="170"/>
    </row>
    <row r="150" ht="15.75" customHeight="1">
      <c r="E150" s="170"/>
    </row>
    <row r="151" ht="15.75" customHeight="1">
      <c r="E151" s="170"/>
    </row>
    <row r="152" ht="15.75" customHeight="1">
      <c r="E152" s="170"/>
    </row>
    <row r="153" ht="15.75" customHeight="1">
      <c r="E153" s="170"/>
    </row>
    <row r="154" ht="15.75" customHeight="1">
      <c r="E154" s="170"/>
    </row>
    <row r="155" ht="15.75" customHeight="1">
      <c r="E155" s="170"/>
    </row>
    <row r="156" ht="15.75" customHeight="1">
      <c r="E156" s="170"/>
    </row>
    <row r="157" ht="15.75" customHeight="1">
      <c r="E157" s="170"/>
    </row>
    <row r="158" ht="15.75" customHeight="1">
      <c r="E158" s="170"/>
    </row>
    <row r="159" ht="15.75" customHeight="1">
      <c r="E159" s="170"/>
    </row>
    <row r="160" ht="15.75" customHeight="1">
      <c r="E160" s="170"/>
    </row>
    <row r="161" ht="15.75" customHeight="1">
      <c r="E161" s="170"/>
    </row>
    <row r="162" ht="15.75" customHeight="1">
      <c r="E162" s="170"/>
    </row>
    <row r="163" ht="15.75" customHeight="1">
      <c r="E163" s="170"/>
    </row>
    <row r="164" ht="15.75" customHeight="1">
      <c r="E164" s="170"/>
    </row>
    <row r="165" ht="15.75" customHeight="1">
      <c r="E165" s="170"/>
    </row>
    <row r="166" ht="15.75" customHeight="1">
      <c r="E166" s="170"/>
    </row>
    <row r="167" ht="15.75" customHeight="1">
      <c r="E167" s="170"/>
    </row>
    <row r="168" ht="15.75" customHeight="1">
      <c r="E168" s="170"/>
    </row>
    <row r="169" ht="15.75" customHeight="1">
      <c r="E169" s="170"/>
    </row>
    <row r="170" ht="15.75" customHeight="1">
      <c r="E170" s="170"/>
    </row>
    <row r="171" ht="15.75" customHeight="1">
      <c r="E171" s="170"/>
    </row>
    <row r="172" ht="15.75" customHeight="1">
      <c r="E172" s="170"/>
    </row>
    <row r="173" ht="15.75" customHeight="1">
      <c r="E173" s="170"/>
    </row>
    <row r="174" ht="15.75" customHeight="1">
      <c r="E174" s="170"/>
    </row>
    <row r="175" ht="15.75" customHeight="1">
      <c r="E175" s="170"/>
    </row>
    <row r="176" ht="15.75" customHeight="1">
      <c r="E176" s="170"/>
    </row>
    <row r="177" ht="15.75" customHeight="1">
      <c r="E177" s="170"/>
    </row>
    <row r="178" ht="15.75" customHeight="1">
      <c r="E178" s="170"/>
    </row>
    <row r="179" ht="15.75" customHeight="1">
      <c r="E179" s="170"/>
    </row>
    <row r="180" ht="15.75" customHeight="1">
      <c r="E180" s="170"/>
    </row>
    <row r="181" ht="15.75" customHeight="1">
      <c r="E181" s="170"/>
    </row>
    <row r="182" ht="15.75" customHeight="1">
      <c r="E182" s="170"/>
    </row>
    <row r="183" ht="15.75" customHeight="1">
      <c r="E183" s="170"/>
    </row>
    <row r="184" ht="15.75" customHeight="1">
      <c r="E184" s="170"/>
    </row>
    <row r="185" ht="15.75" customHeight="1">
      <c r="E185" s="170"/>
    </row>
    <row r="186" ht="15.75" customHeight="1">
      <c r="E186" s="170"/>
    </row>
    <row r="187" ht="15.75" customHeight="1">
      <c r="E187" s="170"/>
    </row>
    <row r="188" ht="15.75" customHeight="1">
      <c r="E188" s="170"/>
    </row>
    <row r="189" ht="15.75" customHeight="1">
      <c r="E189" s="170"/>
    </row>
    <row r="190" ht="15.75" customHeight="1">
      <c r="E190" s="170"/>
    </row>
    <row r="191" ht="15.75" customHeight="1">
      <c r="E191" s="170"/>
    </row>
    <row r="192" ht="15.75" customHeight="1">
      <c r="E192" s="170"/>
    </row>
    <row r="193" ht="15.75" customHeight="1">
      <c r="E193" s="170"/>
    </row>
    <row r="194" ht="15.75" customHeight="1">
      <c r="E194" s="170"/>
    </row>
    <row r="195" ht="15.75" customHeight="1">
      <c r="E195" s="170"/>
    </row>
    <row r="196" ht="15.75" customHeight="1">
      <c r="E196" s="170"/>
    </row>
    <row r="197" ht="15.75" customHeight="1">
      <c r="E197" s="170"/>
    </row>
    <row r="198" ht="15.75" customHeight="1">
      <c r="E198" s="170"/>
    </row>
    <row r="199" ht="15.75" customHeight="1">
      <c r="E199" s="170"/>
    </row>
    <row r="200" ht="15.75" customHeight="1">
      <c r="E200" s="170"/>
    </row>
    <row r="201" ht="15.75" customHeight="1">
      <c r="E201" s="170"/>
    </row>
    <row r="202" ht="15.75" customHeight="1">
      <c r="E202" s="170"/>
    </row>
    <row r="203" ht="15.75" customHeight="1">
      <c r="E203" s="170"/>
    </row>
    <row r="204" ht="15.75" customHeight="1">
      <c r="E204" s="170"/>
    </row>
    <row r="205" ht="15.75" customHeight="1">
      <c r="E205" s="170"/>
    </row>
    <row r="206" ht="15.75" customHeight="1">
      <c r="E206" s="170"/>
    </row>
    <row r="207" ht="15.75" customHeight="1">
      <c r="E207" s="170"/>
    </row>
    <row r="208" ht="15.75" customHeight="1">
      <c r="E208" s="170"/>
    </row>
    <row r="209" ht="15.75" customHeight="1">
      <c r="E209" s="170"/>
    </row>
    <row r="210" ht="15.75" customHeight="1">
      <c r="E210" s="170"/>
    </row>
    <row r="211" ht="15.75" customHeight="1">
      <c r="E211" s="170"/>
    </row>
    <row r="212" ht="15.75" customHeight="1">
      <c r="E212" s="170"/>
    </row>
    <row r="213" ht="15.75" customHeight="1">
      <c r="E213" s="170"/>
    </row>
    <row r="214" ht="15.75" customHeight="1">
      <c r="E214" s="170"/>
    </row>
    <row r="215" ht="15.75" customHeight="1">
      <c r="E215" s="170"/>
    </row>
    <row r="216" ht="15.75" customHeight="1">
      <c r="E216" s="170"/>
    </row>
    <row r="217" ht="15.75" customHeight="1">
      <c r="E217" s="170"/>
    </row>
    <row r="218" ht="15.75" customHeight="1">
      <c r="E218" s="170"/>
    </row>
    <row r="219" ht="15.75" customHeight="1">
      <c r="E219" s="170"/>
    </row>
    <row r="220" ht="15.75" customHeight="1">
      <c r="E220" s="170"/>
    </row>
    <row r="221" ht="15.75" customHeight="1">
      <c r="E221" s="170"/>
    </row>
    <row r="222" ht="15.75" customHeight="1">
      <c r="E222" s="170"/>
    </row>
    <row r="223" ht="15.75" customHeight="1">
      <c r="E223" s="170"/>
    </row>
    <row r="224" ht="15.75" customHeight="1">
      <c r="E224" s="170"/>
    </row>
    <row r="225" ht="15.75" customHeight="1">
      <c r="E225" s="170"/>
    </row>
    <row r="226" ht="15.75" customHeight="1">
      <c r="E226" s="170"/>
    </row>
    <row r="227" ht="15.75" customHeight="1">
      <c r="E227" s="170"/>
    </row>
    <row r="228" ht="15.75" customHeight="1">
      <c r="E228" s="170"/>
    </row>
    <row r="229" ht="15.75" customHeight="1">
      <c r="E229" s="170"/>
    </row>
    <row r="230" ht="15.75" customHeight="1">
      <c r="E230" s="170"/>
    </row>
    <row r="231" ht="15.75" customHeight="1">
      <c r="E231" s="170"/>
    </row>
    <row r="232" ht="15.75" customHeight="1">
      <c r="E232" s="170"/>
    </row>
    <row r="233" ht="15.75" customHeight="1">
      <c r="E233" s="170"/>
    </row>
    <row r="234" ht="15.75" customHeight="1">
      <c r="E234" s="170"/>
    </row>
    <row r="235" ht="15.75" customHeight="1">
      <c r="E235" s="170"/>
    </row>
    <row r="236" ht="15.75" customHeight="1">
      <c r="E236" s="170"/>
    </row>
    <row r="237" ht="15.75" customHeight="1">
      <c r="E237" s="170"/>
    </row>
    <row r="238" ht="15.75" customHeight="1">
      <c r="E238" s="170"/>
    </row>
    <row r="239" ht="15.75" customHeight="1">
      <c r="E239" s="170"/>
    </row>
    <row r="240" ht="15.75" customHeight="1">
      <c r="E240" s="170"/>
    </row>
    <row r="241" ht="15.75" customHeight="1">
      <c r="E241" s="170"/>
    </row>
    <row r="242" ht="15.75" customHeight="1">
      <c r="E242" s="170"/>
    </row>
    <row r="243" ht="15.75" customHeight="1">
      <c r="E243" s="170"/>
    </row>
    <row r="244" ht="15.75" customHeight="1">
      <c r="E244" s="170"/>
    </row>
    <row r="245" ht="15.75" customHeight="1">
      <c r="E245" s="170"/>
    </row>
    <row r="246" ht="15.75" customHeight="1">
      <c r="E246" s="170"/>
    </row>
    <row r="247" ht="15.75" customHeight="1">
      <c r="E247" s="170"/>
    </row>
    <row r="248" ht="15.75" customHeight="1">
      <c r="E248" s="170"/>
    </row>
    <row r="249" ht="15.75" customHeight="1">
      <c r="E249" s="170"/>
    </row>
    <row r="250" ht="15.75" customHeight="1">
      <c r="E250" s="170"/>
    </row>
    <row r="251" ht="15.75" customHeight="1">
      <c r="E251" s="170"/>
    </row>
    <row r="252" ht="15.75" customHeight="1">
      <c r="E252" s="170"/>
    </row>
    <row r="253" ht="15.75" customHeight="1">
      <c r="E253" s="170"/>
    </row>
    <row r="254" ht="15.75" customHeight="1">
      <c r="E254" s="170"/>
    </row>
    <row r="255" ht="15.75" customHeight="1">
      <c r="E255" s="170"/>
    </row>
    <row r="256" ht="15.75" customHeight="1">
      <c r="E256" s="170"/>
    </row>
    <row r="257" ht="15.75" customHeight="1">
      <c r="E257" s="170"/>
    </row>
    <row r="258" ht="15.75" customHeight="1">
      <c r="E258" s="170"/>
    </row>
    <row r="259" ht="15.75" customHeight="1">
      <c r="E259" s="170"/>
    </row>
    <row r="260" ht="15.75" customHeight="1">
      <c r="E260" s="170"/>
    </row>
    <row r="261" ht="15.75" customHeight="1">
      <c r="E261" s="170"/>
    </row>
    <row r="262" ht="15.75" customHeight="1">
      <c r="E262" s="170"/>
    </row>
    <row r="263" ht="15.75" customHeight="1">
      <c r="E263" s="170"/>
    </row>
    <row r="264" ht="15.75" customHeight="1">
      <c r="E264" s="170"/>
    </row>
    <row r="265" ht="15.75" customHeight="1">
      <c r="E265" s="170"/>
    </row>
    <row r="266" ht="15.75" customHeight="1">
      <c r="E266" s="170"/>
    </row>
    <row r="267" ht="15.75" customHeight="1">
      <c r="E267" s="170"/>
    </row>
    <row r="268" ht="15.75" customHeight="1">
      <c r="E268" s="170"/>
    </row>
    <row r="269" ht="15.75" customHeight="1">
      <c r="E269" s="170"/>
    </row>
    <row r="270" ht="15.75" customHeight="1">
      <c r="E270" s="170"/>
    </row>
    <row r="271" ht="15.75" customHeight="1">
      <c r="E271" s="170"/>
    </row>
    <row r="272" ht="15.75" customHeight="1">
      <c r="E272" s="170"/>
    </row>
    <row r="273" ht="15.75" customHeight="1">
      <c r="E273" s="170"/>
    </row>
    <row r="274" ht="15.75" customHeight="1">
      <c r="E274" s="170"/>
    </row>
    <row r="275" ht="15.75" customHeight="1">
      <c r="E275" s="170"/>
    </row>
    <row r="276" ht="15.75" customHeight="1">
      <c r="E276" s="170"/>
    </row>
    <row r="277" ht="15.75" customHeight="1">
      <c r="E277" s="170"/>
    </row>
    <row r="278" ht="15.75" customHeight="1">
      <c r="E278" s="170"/>
    </row>
    <row r="279" ht="15.75" customHeight="1">
      <c r="E279" s="170"/>
    </row>
    <row r="280" ht="15.75" customHeight="1">
      <c r="E280" s="170"/>
    </row>
    <row r="281" ht="15.75" customHeight="1">
      <c r="E281" s="170"/>
    </row>
    <row r="282" ht="15.75" customHeight="1">
      <c r="E282" s="170"/>
    </row>
    <row r="283" ht="15.75" customHeight="1">
      <c r="E283" s="170"/>
    </row>
    <row r="284" ht="15.75" customHeight="1">
      <c r="E284" s="170"/>
    </row>
    <row r="285" ht="15.75" customHeight="1">
      <c r="E285" s="170"/>
    </row>
    <row r="286" ht="15.75" customHeight="1">
      <c r="E286" s="170"/>
    </row>
    <row r="287" ht="15.75" customHeight="1">
      <c r="E287" s="170"/>
    </row>
    <row r="288" ht="15.75" customHeight="1">
      <c r="E288" s="170"/>
    </row>
    <row r="289" ht="15.75" customHeight="1">
      <c r="E289" s="170"/>
    </row>
    <row r="290" ht="15.75" customHeight="1">
      <c r="E290" s="170"/>
    </row>
    <row r="291" ht="15.75" customHeight="1">
      <c r="E291" s="170"/>
    </row>
    <row r="292" ht="15.75" customHeight="1">
      <c r="E292" s="170"/>
    </row>
    <row r="293" ht="15.75" customHeight="1">
      <c r="E293" s="170"/>
    </row>
    <row r="294" ht="15.75" customHeight="1">
      <c r="E294" s="170"/>
    </row>
    <row r="295" ht="15.75" customHeight="1">
      <c r="E295" s="170"/>
    </row>
    <row r="296" ht="15.75" customHeight="1">
      <c r="E296" s="170"/>
    </row>
    <row r="297" ht="15.75" customHeight="1">
      <c r="E297" s="170"/>
    </row>
    <row r="298" ht="15.75" customHeight="1">
      <c r="E298" s="170"/>
    </row>
    <row r="299" ht="15.75" customHeight="1">
      <c r="E299" s="170"/>
    </row>
    <row r="300" ht="15.75" customHeight="1">
      <c r="E300" s="170"/>
    </row>
    <row r="301" ht="15.75" customHeight="1">
      <c r="E301" s="170"/>
    </row>
    <row r="302" ht="15.75" customHeight="1">
      <c r="E302" s="170"/>
    </row>
    <row r="303" ht="15.75" customHeight="1">
      <c r="E303" s="170"/>
    </row>
    <row r="304" ht="15.75" customHeight="1">
      <c r="E304" s="170"/>
    </row>
    <row r="305" ht="15.75" customHeight="1">
      <c r="E305" s="170"/>
    </row>
    <row r="306" ht="15.75" customHeight="1">
      <c r="E306" s="170"/>
    </row>
    <row r="307" ht="15.75" customHeight="1">
      <c r="E307" s="170"/>
    </row>
    <row r="308" ht="15.75" customHeight="1">
      <c r="E308" s="170"/>
    </row>
    <row r="309" ht="15.75" customHeight="1">
      <c r="E309" s="170"/>
    </row>
    <row r="310" ht="15.75" customHeight="1">
      <c r="E310" s="170"/>
    </row>
    <row r="311" ht="15.75" customHeight="1">
      <c r="E311" s="170"/>
    </row>
    <row r="312" ht="15.75" customHeight="1">
      <c r="E312" s="170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59">
    <mergeCell ref="D99:F99"/>
    <mergeCell ref="D100:F100"/>
    <mergeCell ref="I100:J100"/>
    <mergeCell ref="D101:F101"/>
    <mergeCell ref="D102:F102"/>
    <mergeCell ref="D75:D77"/>
    <mergeCell ref="D78:D80"/>
    <mergeCell ref="F78:F80"/>
    <mergeCell ref="G78:G80"/>
    <mergeCell ref="H78:H80"/>
    <mergeCell ref="F84:F91"/>
    <mergeCell ref="G84:G91"/>
    <mergeCell ref="D37:D42"/>
    <mergeCell ref="D46:D47"/>
    <mergeCell ref="D48:D51"/>
    <mergeCell ref="D60:D62"/>
    <mergeCell ref="D63:D65"/>
    <mergeCell ref="D68:D74"/>
    <mergeCell ref="D84:D91"/>
    <mergeCell ref="D52:D58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2"/>
    <mergeCell ref="D25:D26"/>
    <mergeCell ref="D33:D34"/>
    <mergeCell ref="G33:G34"/>
    <mergeCell ref="G37:G42"/>
    <mergeCell ref="G48:G51"/>
    <mergeCell ref="H48:H51"/>
    <mergeCell ref="H37:H42"/>
    <mergeCell ref="G46:G47"/>
    <mergeCell ref="H46:H47"/>
    <mergeCell ref="G52:G58"/>
    <mergeCell ref="H52:H58"/>
    <mergeCell ref="F60:F62"/>
    <mergeCell ref="G60:G62"/>
    <mergeCell ref="H60:H62"/>
    <mergeCell ref="G63:G65"/>
    <mergeCell ref="K100:AG100"/>
    <mergeCell ref="K101:AG101"/>
    <mergeCell ref="K102:AG102"/>
    <mergeCell ref="A109:C109"/>
    <mergeCell ref="A110:C110"/>
    <mergeCell ref="F63:F65"/>
    <mergeCell ref="F68:F74"/>
    <mergeCell ref="G68:G74"/>
    <mergeCell ref="H68:H74"/>
    <mergeCell ref="F75:F77"/>
    <mergeCell ref="G75:G77"/>
    <mergeCell ref="H75:H77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11.75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72" t="s">
        <v>5</v>
      </c>
      <c r="B8" s="173" t="s">
        <v>6</v>
      </c>
      <c r="C8" s="173" t="s">
        <v>7</v>
      </c>
      <c r="D8" s="174" t="s">
        <v>8</v>
      </c>
      <c r="E8" s="175" t="s">
        <v>9</v>
      </c>
      <c r="F8" s="176" t="s">
        <v>10</v>
      </c>
      <c r="G8" s="173" t="s">
        <v>11</v>
      </c>
      <c r="H8" s="173" t="s">
        <v>12</v>
      </c>
      <c r="I8" s="177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"/>
      <c r="AK8" s="2"/>
      <c r="AL8" s="2"/>
      <c r="AM8" s="2"/>
    </row>
    <row r="9">
      <c r="A9" s="25"/>
      <c r="B9" s="26"/>
      <c r="C9" s="26"/>
      <c r="D9" s="178" t="s">
        <v>14</v>
      </c>
      <c r="E9" s="26"/>
      <c r="F9" s="26"/>
      <c r="G9" s="26"/>
      <c r="H9" s="26"/>
      <c r="I9" s="179" t="s">
        <v>17</v>
      </c>
      <c r="J9" s="179" t="s">
        <v>312</v>
      </c>
      <c r="K9" s="179" t="s">
        <v>313</v>
      </c>
      <c r="L9" s="180" t="s">
        <v>18</v>
      </c>
      <c r="M9" s="180" t="s">
        <v>19</v>
      </c>
      <c r="N9" s="178" t="s">
        <v>20</v>
      </c>
      <c r="O9" s="178" t="s">
        <v>21</v>
      </c>
      <c r="P9" s="178" t="s">
        <v>22</v>
      </c>
      <c r="Q9" s="178" t="s">
        <v>23</v>
      </c>
      <c r="R9" s="178" t="s">
        <v>24</v>
      </c>
      <c r="S9" s="178" t="s">
        <v>25</v>
      </c>
      <c r="T9" s="178" t="s">
        <v>26</v>
      </c>
      <c r="U9" s="178" t="s">
        <v>27</v>
      </c>
      <c r="V9" s="178" t="s">
        <v>28</v>
      </c>
      <c r="W9" s="178" t="s">
        <v>29</v>
      </c>
      <c r="X9" s="178" t="s">
        <v>30</v>
      </c>
      <c r="Y9" s="178" t="s">
        <v>31</v>
      </c>
      <c r="Z9" s="178" t="s">
        <v>32</v>
      </c>
      <c r="AA9" s="178" t="s">
        <v>33</v>
      </c>
      <c r="AB9" s="178" t="s">
        <v>34</v>
      </c>
      <c r="AC9" s="178" t="s">
        <v>35</v>
      </c>
      <c r="AD9" s="178" t="s">
        <v>36</v>
      </c>
      <c r="AE9" s="178" t="s">
        <v>37</v>
      </c>
      <c r="AF9" s="178" t="s">
        <v>38</v>
      </c>
      <c r="AG9" s="178" t="s">
        <v>39</v>
      </c>
      <c r="AH9" s="178" t="s">
        <v>40</v>
      </c>
      <c r="AI9" s="181" t="s">
        <v>41</v>
      </c>
      <c r="AJ9" s="2"/>
      <c r="AK9" s="2"/>
      <c r="AL9" s="2"/>
      <c r="AM9" s="2"/>
    </row>
    <row r="10">
      <c r="A10" s="182" t="s">
        <v>42</v>
      </c>
      <c r="B10" s="183" t="s">
        <v>43</v>
      </c>
      <c r="C10" s="183" t="s">
        <v>44</v>
      </c>
      <c r="D10" s="183" t="s">
        <v>45</v>
      </c>
      <c r="E10" s="184" t="s">
        <v>46</v>
      </c>
      <c r="F10" s="185" t="s">
        <v>47</v>
      </c>
      <c r="G10" s="183" t="s">
        <v>48</v>
      </c>
      <c r="H10" s="183" t="s">
        <v>49</v>
      </c>
      <c r="I10" s="183" t="s">
        <v>50</v>
      </c>
      <c r="J10" s="183" t="s">
        <v>51</v>
      </c>
      <c r="K10" s="183" t="s">
        <v>52</v>
      </c>
      <c r="L10" s="183" t="s">
        <v>53</v>
      </c>
      <c r="M10" s="183" t="s">
        <v>54</v>
      </c>
      <c r="N10" s="183" t="s">
        <v>55</v>
      </c>
      <c r="O10" s="183" t="s">
        <v>56</v>
      </c>
      <c r="P10" s="183" t="s">
        <v>57</v>
      </c>
      <c r="Q10" s="183" t="s">
        <v>58</v>
      </c>
      <c r="R10" s="183" t="s">
        <v>59</v>
      </c>
      <c r="S10" s="183" t="s">
        <v>60</v>
      </c>
      <c r="T10" s="183" t="s">
        <v>61</v>
      </c>
      <c r="U10" s="183" t="s">
        <v>62</v>
      </c>
      <c r="V10" s="183" t="s">
        <v>63</v>
      </c>
      <c r="W10" s="183" t="s">
        <v>64</v>
      </c>
      <c r="X10" s="183" t="s">
        <v>65</v>
      </c>
      <c r="Y10" s="183" t="s">
        <v>66</v>
      </c>
      <c r="Z10" s="183" t="s">
        <v>67</v>
      </c>
      <c r="AA10" s="183" t="s">
        <v>68</v>
      </c>
      <c r="AB10" s="183" t="s">
        <v>69</v>
      </c>
      <c r="AC10" s="183" t="s">
        <v>70</v>
      </c>
      <c r="AD10" s="183" t="s">
        <v>71</v>
      </c>
      <c r="AE10" s="183" t="s">
        <v>72</v>
      </c>
      <c r="AF10" s="183" t="s">
        <v>73</v>
      </c>
      <c r="AG10" s="183" t="s">
        <v>74</v>
      </c>
      <c r="AH10" s="183" t="s">
        <v>75</v>
      </c>
      <c r="AI10" s="186" t="s">
        <v>76</v>
      </c>
      <c r="AJ10" s="125"/>
      <c r="AK10" s="125"/>
      <c r="AL10" s="126"/>
      <c r="AM10" s="126"/>
    </row>
    <row r="11">
      <c r="A11" s="187" t="s">
        <v>77</v>
      </c>
      <c r="B11" s="188"/>
      <c r="C11" s="189" t="s">
        <v>78</v>
      </c>
      <c r="D11" s="188"/>
      <c r="E11" s="190"/>
      <c r="F11" s="191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92"/>
      <c r="AJ11" s="125"/>
      <c r="AK11" s="125"/>
      <c r="AL11" s="126"/>
      <c r="AM11" s="126"/>
    </row>
    <row r="12">
      <c r="A12" s="194"/>
      <c r="B12" s="205"/>
      <c r="C12" s="205"/>
      <c r="D12" s="205"/>
      <c r="E12" s="308"/>
      <c r="F12" s="309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6"/>
      <c r="AJ12" s="125"/>
      <c r="AK12" s="125"/>
      <c r="AL12" s="125"/>
      <c r="AM12" s="125"/>
    </row>
    <row r="13">
      <c r="A13" s="194"/>
      <c r="B13" s="205"/>
      <c r="C13" s="205"/>
      <c r="D13" s="205"/>
      <c r="E13" s="308"/>
      <c r="F13" s="309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6"/>
      <c r="AJ13" s="125"/>
      <c r="AK13" s="125"/>
      <c r="AL13" s="125"/>
      <c r="AM13" s="125"/>
    </row>
    <row r="14">
      <c r="A14" s="194"/>
      <c r="B14" s="205"/>
      <c r="C14" s="205"/>
      <c r="D14" s="205"/>
      <c r="E14" s="308"/>
      <c r="F14" s="309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6"/>
      <c r="AJ14" s="125"/>
      <c r="AK14" s="125"/>
      <c r="AL14" s="125"/>
      <c r="AM14" s="125"/>
    </row>
    <row r="15">
      <c r="A15" s="187" t="s">
        <v>87</v>
      </c>
      <c r="B15" s="188"/>
      <c r="C15" s="189" t="s">
        <v>88</v>
      </c>
      <c r="D15" s="188"/>
      <c r="E15" s="190"/>
      <c r="F15" s="191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92"/>
      <c r="AJ15" s="164">
        <f>SUM(F16:F34)</f>
        <v>198750</v>
      </c>
      <c r="AK15" s="193">
        <v>200000.0</v>
      </c>
      <c r="AL15" s="126"/>
      <c r="AM15" s="126"/>
    </row>
    <row r="16">
      <c r="A16" s="194"/>
      <c r="B16" s="205"/>
      <c r="C16" s="196" t="s">
        <v>225</v>
      </c>
      <c r="D16" s="238" t="s">
        <v>324</v>
      </c>
      <c r="E16" s="198">
        <v>80.0</v>
      </c>
      <c r="F16" s="310">
        <f>(E16*J16)+(E17*J17)+(E18*J18)+(E19*J19)+(E20*J20)+(E21*J21)+(E22*J22)+(E23*J23)+(E24*J24)+(E25*J25)+(E26*J26)</f>
        <v>41590</v>
      </c>
      <c r="G16" s="253" t="s">
        <v>90</v>
      </c>
      <c r="H16" s="308"/>
      <c r="I16" s="308"/>
      <c r="J16" s="204">
        <v>50.0</v>
      </c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6"/>
      <c r="AJ16" s="125"/>
      <c r="AK16" s="125"/>
      <c r="AL16" s="126"/>
      <c r="AM16" s="126"/>
    </row>
    <row r="17">
      <c r="A17" s="194"/>
      <c r="B17" s="205"/>
      <c r="C17" s="207" t="s">
        <v>228</v>
      </c>
      <c r="D17" s="200" t="s">
        <v>325</v>
      </c>
      <c r="E17" s="209">
        <v>850.0</v>
      </c>
      <c r="F17" s="208"/>
      <c r="G17" s="208"/>
      <c r="H17" s="308"/>
      <c r="I17" s="308"/>
      <c r="J17" s="204">
        <v>5.0</v>
      </c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6"/>
      <c r="AJ17" s="125"/>
      <c r="AK17" s="125"/>
      <c r="AL17" s="126"/>
      <c r="AM17" s="126"/>
    </row>
    <row r="18">
      <c r="A18" s="194"/>
      <c r="B18" s="205"/>
      <c r="C18" s="207" t="s">
        <v>229</v>
      </c>
      <c r="D18" s="200" t="s">
        <v>325</v>
      </c>
      <c r="E18" s="209">
        <v>450.0</v>
      </c>
      <c r="F18" s="208"/>
      <c r="G18" s="208"/>
      <c r="H18" s="308"/>
      <c r="I18" s="308"/>
      <c r="J18" s="204">
        <v>5.0</v>
      </c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6"/>
      <c r="AJ18" s="125"/>
      <c r="AK18" s="125"/>
      <c r="AL18" s="126"/>
      <c r="AM18" s="126"/>
    </row>
    <row r="19">
      <c r="A19" s="194"/>
      <c r="B19" s="218"/>
      <c r="C19" s="207" t="s">
        <v>230</v>
      </c>
      <c r="D19" s="200" t="s">
        <v>324</v>
      </c>
      <c r="E19" s="209">
        <v>80.0</v>
      </c>
      <c r="F19" s="208"/>
      <c r="G19" s="208"/>
      <c r="H19" s="308"/>
      <c r="I19" s="308"/>
      <c r="J19" s="204">
        <v>50.0</v>
      </c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6"/>
      <c r="AJ19" s="125"/>
      <c r="AK19" s="125"/>
      <c r="AL19" s="126"/>
      <c r="AM19" s="126"/>
    </row>
    <row r="20">
      <c r="A20" s="194"/>
      <c r="B20" s="218"/>
      <c r="C20" s="207" t="s">
        <v>231</v>
      </c>
      <c r="D20" s="200" t="s">
        <v>326</v>
      </c>
      <c r="E20" s="209">
        <v>300.0</v>
      </c>
      <c r="F20" s="208"/>
      <c r="G20" s="208"/>
      <c r="H20" s="308"/>
      <c r="I20" s="308"/>
      <c r="J20" s="204">
        <v>15.0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6"/>
      <c r="AJ20" s="125"/>
      <c r="AK20" s="125"/>
      <c r="AL20" s="126"/>
      <c r="AM20" s="126"/>
    </row>
    <row r="21">
      <c r="A21" s="194"/>
      <c r="B21" s="218"/>
      <c r="C21" s="207" t="s">
        <v>232</v>
      </c>
      <c r="D21" s="200" t="s">
        <v>326</v>
      </c>
      <c r="E21" s="209">
        <v>350.0</v>
      </c>
      <c r="F21" s="208"/>
      <c r="G21" s="208"/>
      <c r="H21" s="308"/>
      <c r="I21" s="308"/>
      <c r="J21" s="204">
        <v>15.0</v>
      </c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6"/>
      <c r="AJ21" s="125"/>
      <c r="AK21" s="125"/>
      <c r="AL21" s="126"/>
      <c r="AM21" s="126"/>
    </row>
    <row r="22">
      <c r="A22" s="194"/>
      <c r="B22" s="218"/>
      <c r="C22" s="207" t="s">
        <v>233</v>
      </c>
      <c r="D22" s="200" t="s">
        <v>326</v>
      </c>
      <c r="E22" s="209">
        <v>500.0</v>
      </c>
      <c r="F22" s="208"/>
      <c r="G22" s="208"/>
      <c r="H22" s="308"/>
      <c r="I22" s="308"/>
      <c r="J22" s="204">
        <v>15.0</v>
      </c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6"/>
      <c r="AJ22" s="125"/>
      <c r="AK22" s="125"/>
      <c r="AL22" s="126"/>
      <c r="AM22" s="126"/>
    </row>
    <row r="23" ht="15.75" customHeight="1">
      <c r="A23" s="194"/>
      <c r="B23" s="205"/>
      <c r="C23" s="210" t="s">
        <v>234</v>
      </c>
      <c r="D23" s="218" t="s">
        <v>273</v>
      </c>
      <c r="E23" s="209">
        <v>350.0</v>
      </c>
      <c r="F23" s="208"/>
      <c r="G23" s="208"/>
      <c r="H23" s="308"/>
      <c r="I23" s="308"/>
      <c r="J23" s="212">
        <v>8.0</v>
      </c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6"/>
      <c r="AJ23" s="125"/>
      <c r="AK23" s="125"/>
      <c r="AL23" s="126"/>
      <c r="AM23" s="126"/>
    </row>
    <row r="24" ht="15.75" customHeight="1">
      <c r="A24" s="194"/>
      <c r="B24" s="205"/>
      <c r="C24" s="207" t="s">
        <v>235</v>
      </c>
      <c r="D24" s="200" t="s">
        <v>327</v>
      </c>
      <c r="E24" s="213">
        <v>2000.0</v>
      </c>
      <c r="F24" s="208"/>
      <c r="G24" s="208"/>
      <c r="H24" s="308"/>
      <c r="I24" s="308"/>
      <c r="J24" s="204">
        <v>3.0</v>
      </c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6"/>
      <c r="AJ24" s="125"/>
      <c r="AK24" s="125"/>
      <c r="AL24" s="126"/>
      <c r="AM24" s="126"/>
    </row>
    <row r="25" ht="15.75" customHeight="1">
      <c r="A25" s="194"/>
      <c r="B25" s="205"/>
      <c r="C25" s="210" t="s">
        <v>236</v>
      </c>
      <c r="D25" s="218" t="s">
        <v>273</v>
      </c>
      <c r="E25" s="209">
        <v>50.0</v>
      </c>
      <c r="F25" s="208"/>
      <c r="G25" s="208"/>
      <c r="H25" s="308"/>
      <c r="I25" s="308"/>
      <c r="J25" s="212">
        <v>8.0</v>
      </c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6"/>
      <c r="AJ25" s="125"/>
      <c r="AK25" s="125"/>
      <c r="AL25" s="126"/>
      <c r="AM25" s="126"/>
    </row>
    <row r="26" ht="15.75" customHeight="1">
      <c r="A26" s="194"/>
      <c r="B26" s="205"/>
      <c r="C26" s="210" t="s">
        <v>237</v>
      </c>
      <c r="D26" s="218" t="s">
        <v>273</v>
      </c>
      <c r="E26" s="209">
        <v>80.0</v>
      </c>
      <c r="F26" s="152"/>
      <c r="G26" s="152"/>
      <c r="H26" s="308"/>
      <c r="I26" s="308"/>
      <c r="J26" s="212">
        <v>8.0</v>
      </c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6"/>
      <c r="AJ26" s="125"/>
      <c r="AK26" s="125"/>
      <c r="AL26" s="126"/>
      <c r="AM26" s="126"/>
    </row>
    <row r="27" ht="15.75" customHeight="1">
      <c r="A27" s="194"/>
      <c r="B27" s="311"/>
      <c r="C27" s="312" t="s">
        <v>328</v>
      </c>
      <c r="D27" s="200" t="s">
        <v>310</v>
      </c>
      <c r="E27" s="209">
        <v>9000.0</v>
      </c>
      <c r="F27" s="310">
        <f>(E27*K27)+(E28*K28)</f>
        <v>25500</v>
      </c>
      <c r="G27" s="253" t="s">
        <v>90</v>
      </c>
      <c r="H27" s="308"/>
      <c r="I27" s="308"/>
      <c r="J27" s="205"/>
      <c r="K27" s="204">
        <v>2.0</v>
      </c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6"/>
      <c r="AJ27" s="125"/>
      <c r="AK27" s="125"/>
      <c r="AL27" s="126"/>
      <c r="AM27" s="126"/>
    </row>
    <row r="28" ht="15.75" customHeight="1">
      <c r="A28" s="194"/>
      <c r="B28" s="311"/>
      <c r="C28" s="207" t="s">
        <v>329</v>
      </c>
      <c r="D28" s="200" t="s">
        <v>330</v>
      </c>
      <c r="E28" s="209">
        <v>2500.0</v>
      </c>
      <c r="F28" s="152"/>
      <c r="G28" s="152"/>
      <c r="H28" s="308"/>
      <c r="I28" s="308"/>
      <c r="J28" s="205"/>
      <c r="K28" s="204">
        <v>3.0</v>
      </c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6"/>
      <c r="AJ28" s="125"/>
      <c r="AK28" s="125"/>
      <c r="AL28" s="126"/>
      <c r="AM28" s="126"/>
    </row>
    <row r="29" ht="15.75" customHeight="1">
      <c r="A29" s="214"/>
      <c r="B29" s="313"/>
      <c r="C29" s="215" t="s">
        <v>238</v>
      </c>
      <c r="D29" s="200" t="s">
        <v>239</v>
      </c>
      <c r="E29" s="216">
        <v>650.0</v>
      </c>
      <c r="F29" s="199">
        <f t="shared" ref="F29:F30" si="1">E29*J29</f>
        <v>2600</v>
      </c>
      <c r="G29" s="218" t="s">
        <v>90</v>
      </c>
      <c r="H29" s="314"/>
      <c r="I29" s="308"/>
      <c r="J29" s="204">
        <v>4.0</v>
      </c>
      <c r="K29" s="205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06"/>
      <c r="AJ29" s="125"/>
      <c r="AK29" s="125"/>
      <c r="AL29" s="126"/>
      <c r="AM29" s="126"/>
    </row>
    <row r="30" ht="15.75" customHeight="1">
      <c r="A30" s="214"/>
      <c r="B30" s="313"/>
      <c r="C30" s="215" t="s">
        <v>240</v>
      </c>
      <c r="D30" s="218" t="s">
        <v>241</v>
      </c>
      <c r="E30" s="216">
        <v>800.0</v>
      </c>
      <c r="F30" s="199">
        <f t="shared" si="1"/>
        <v>1600</v>
      </c>
      <c r="G30" s="218" t="s">
        <v>242</v>
      </c>
      <c r="H30" s="314"/>
      <c r="I30" s="308"/>
      <c r="J30" s="212">
        <v>2.0</v>
      </c>
      <c r="K30" s="205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06"/>
      <c r="AJ30" s="125"/>
      <c r="AK30" s="125"/>
      <c r="AL30" s="126"/>
      <c r="AM30" s="126"/>
    </row>
    <row r="31" ht="27.75" customHeight="1">
      <c r="A31" s="219"/>
      <c r="B31" s="195"/>
      <c r="C31" s="262" t="s">
        <v>331</v>
      </c>
      <c r="D31" s="315" t="s">
        <v>332</v>
      </c>
      <c r="E31" s="222">
        <v>11000.0</v>
      </c>
      <c r="F31" s="199">
        <f t="shared" ref="F31:F34" si="2">E31*I31</f>
        <v>88000</v>
      </c>
      <c r="G31" s="218" t="s">
        <v>90</v>
      </c>
      <c r="H31" s="314"/>
      <c r="I31" s="316">
        <v>8.0</v>
      </c>
      <c r="J31" s="205"/>
      <c r="K31" s="205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06"/>
      <c r="AJ31" s="125"/>
      <c r="AK31" s="125"/>
      <c r="AL31" s="126"/>
      <c r="AM31" s="126"/>
    </row>
    <row r="32" ht="27.75" customHeight="1">
      <c r="A32" s="219"/>
      <c r="B32" s="278"/>
      <c r="C32" s="215" t="s">
        <v>245</v>
      </c>
      <c r="D32" s="218" t="s">
        <v>246</v>
      </c>
      <c r="E32" s="209">
        <v>60.0</v>
      </c>
      <c r="F32" s="199">
        <f t="shared" si="2"/>
        <v>960</v>
      </c>
      <c r="G32" s="218" t="s">
        <v>90</v>
      </c>
      <c r="H32" s="314"/>
      <c r="I32" s="234">
        <v>16.0</v>
      </c>
      <c r="J32" s="205"/>
      <c r="K32" s="205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06"/>
      <c r="AJ32" s="125"/>
      <c r="AK32" s="125"/>
      <c r="AL32" s="126"/>
      <c r="AM32" s="126"/>
    </row>
    <row r="33" ht="27.75" customHeight="1">
      <c r="A33" s="226"/>
      <c r="B33" s="317"/>
      <c r="C33" s="318" t="s">
        <v>333</v>
      </c>
      <c r="D33" s="293" t="s">
        <v>332</v>
      </c>
      <c r="E33" s="228">
        <v>3500.0</v>
      </c>
      <c r="F33" s="228">
        <f t="shared" si="2"/>
        <v>28000</v>
      </c>
      <c r="G33" s="238" t="s">
        <v>90</v>
      </c>
      <c r="H33" s="319"/>
      <c r="I33" s="320">
        <v>8.0</v>
      </c>
      <c r="J33" s="321"/>
      <c r="K33" s="321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2"/>
      <c r="AC33" s="232"/>
      <c r="AD33" s="232"/>
      <c r="AE33" s="232"/>
      <c r="AF33" s="232"/>
      <c r="AG33" s="232"/>
      <c r="AH33" s="232"/>
      <c r="AI33" s="233"/>
      <c r="AJ33" s="125"/>
      <c r="AK33" s="125"/>
      <c r="AL33" s="126"/>
      <c r="AM33" s="126"/>
    </row>
    <row r="34" ht="27.75" customHeight="1">
      <c r="A34" s="214"/>
      <c r="B34" s="235"/>
      <c r="C34" s="236" t="s">
        <v>334</v>
      </c>
      <c r="D34" s="237" t="s">
        <v>252</v>
      </c>
      <c r="E34" s="222">
        <v>3500.0</v>
      </c>
      <c r="F34" s="199">
        <f t="shared" si="2"/>
        <v>10500</v>
      </c>
      <c r="G34" s="238" t="s">
        <v>90</v>
      </c>
      <c r="H34" s="314"/>
      <c r="I34" s="234">
        <v>3.0</v>
      </c>
      <c r="J34" s="205"/>
      <c r="K34" s="205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06"/>
      <c r="AJ34" s="125"/>
      <c r="AK34" s="125"/>
      <c r="AL34" s="126"/>
      <c r="AM34" s="126"/>
    </row>
    <row r="35" ht="27.75" customHeight="1">
      <c r="A35" s="187" t="s">
        <v>114</v>
      </c>
      <c r="B35" s="188"/>
      <c r="C35" s="239" t="s">
        <v>115</v>
      </c>
      <c r="D35" s="188"/>
      <c r="E35" s="190"/>
      <c r="F35" s="191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92"/>
      <c r="AJ35" s="241">
        <f>SUM(F36:F78)</f>
        <v>623550</v>
      </c>
      <c r="AK35" s="242">
        <v>1650000.0</v>
      </c>
      <c r="AL35" s="126"/>
      <c r="AM35" s="126"/>
    </row>
    <row r="36">
      <c r="A36" s="214"/>
      <c r="B36" s="217"/>
      <c r="C36" s="243" t="s">
        <v>335</v>
      </c>
      <c r="D36" s="200" t="s">
        <v>249</v>
      </c>
      <c r="E36" s="244">
        <v>40000.0</v>
      </c>
      <c r="F36" s="244">
        <f>E36*I36</f>
        <v>80000</v>
      </c>
      <c r="G36" s="218" t="s">
        <v>81</v>
      </c>
      <c r="H36" s="245" t="s">
        <v>250</v>
      </c>
      <c r="I36" s="200">
        <v>2.0</v>
      </c>
      <c r="J36" s="205"/>
      <c r="K36" s="205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47"/>
      <c r="AJ36" s="125"/>
      <c r="AK36" s="125"/>
      <c r="AL36" s="126"/>
      <c r="AM36" s="126"/>
    </row>
    <row r="37" ht="27.75" customHeight="1">
      <c r="A37" s="214"/>
      <c r="B37" s="217"/>
      <c r="C37" s="243" t="s">
        <v>336</v>
      </c>
      <c r="D37" s="218" t="s">
        <v>252</v>
      </c>
      <c r="E37" s="244">
        <v>5000.0</v>
      </c>
      <c r="F37" s="244">
        <f t="shared" ref="F37:F38" si="3">E37*J37</f>
        <v>15000</v>
      </c>
      <c r="G37" s="212" t="s">
        <v>90</v>
      </c>
      <c r="H37" s="245" t="s">
        <v>250</v>
      </c>
      <c r="I37" s="205"/>
      <c r="J37" s="212">
        <v>3.0</v>
      </c>
      <c r="K37" s="205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48"/>
      <c r="AJ37" s="125"/>
      <c r="AK37" s="125"/>
      <c r="AL37" s="126"/>
      <c r="AM37" s="126"/>
    </row>
    <row r="38" ht="27.75" customHeight="1">
      <c r="A38" s="214"/>
      <c r="B38" s="217"/>
      <c r="C38" s="249" t="s">
        <v>337</v>
      </c>
      <c r="D38" s="218" t="s">
        <v>254</v>
      </c>
      <c r="E38" s="244">
        <v>2500.0</v>
      </c>
      <c r="F38" s="244">
        <f t="shared" si="3"/>
        <v>12500</v>
      </c>
      <c r="G38" s="212" t="s">
        <v>90</v>
      </c>
      <c r="H38" s="217"/>
      <c r="I38" s="205"/>
      <c r="J38" s="212">
        <v>5.0</v>
      </c>
      <c r="K38" s="205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48"/>
      <c r="AJ38" s="125"/>
      <c r="AK38" s="125"/>
      <c r="AL38" s="126"/>
      <c r="AM38" s="126"/>
    </row>
    <row r="39">
      <c r="A39" s="214"/>
      <c r="B39" s="245"/>
      <c r="C39" s="210" t="s">
        <v>255</v>
      </c>
      <c r="D39" s="218" t="s">
        <v>338</v>
      </c>
      <c r="E39" s="244">
        <v>3500.0</v>
      </c>
      <c r="F39" s="252">
        <f>(E39*I39)+(E40*I40)</f>
        <v>125000</v>
      </c>
      <c r="G39" s="253" t="s">
        <v>81</v>
      </c>
      <c r="H39" s="245" t="s">
        <v>256</v>
      </c>
      <c r="I39" s="218">
        <v>25.0</v>
      </c>
      <c r="J39" s="205"/>
      <c r="K39" s="205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48"/>
      <c r="AJ39" s="125"/>
      <c r="AK39" s="125"/>
      <c r="AL39" s="126"/>
      <c r="AM39" s="126"/>
    </row>
    <row r="40" ht="27.75" customHeight="1">
      <c r="A40" s="214"/>
      <c r="B40" s="217"/>
      <c r="C40" s="210" t="s">
        <v>257</v>
      </c>
      <c r="D40" s="218" t="s">
        <v>339</v>
      </c>
      <c r="E40" s="244">
        <v>2500.0</v>
      </c>
      <c r="F40" s="152"/>
      <c r="G40" s="152"/>
      <c r="H40" s="217"/>
      <c r="I40" s="212">
        <v>15.0</v>
      </c>
      <c r="J40" s="205"/>
      <c r="K40" s="205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48"/>
      <c r="AJ40" s="125"/>
      <c r="AK40" s="125"/>
      <c r="AL40" s="126"/>
      <c r="AM40" s="126"/>
    </row>
    <row r="41">
      <c r="A41" s="214"/>
      <c r="B41" s="217"/>
      <c r="C41" s="210" t="s">
        <v>258</v>
      </c>
      <c r="D41" s="218" t="s">
        <v>259</v>
      </c>
      <c r="E41" s="244">
        <v>5000.0</v>
      </c>
      <c r="F41" s="244">
        <f t="shared" ref="F41:F42" si="4">E41*I41</f>
        <v>25000</v>
      </c>
      <c r="G41" s="218" t="s">
        <v>81</v>
      </c>
      <c r="H41" s="245" t="s">
        <v>256</v>
      </c>
      <c r="I41" s="218">
        <v>5.0</v>
      </c>
      <c r="J41" s="205"/>
      <c r="K41" s="205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48"/>
      <c r="AJ41" s="125"/>
      <c r="AK41" s="125"/>
      <c r="AL41" s="126"/>
      <c r="AM41" s="126"/>
    </row>
    <row r="42">
      <c r="A42" s="214"/>
      <c r="B42" s="245"/>
      <c r="C42" s="210" t="s">
        <v>260</v>
      </c>
      <c r="D42" s="212" t="s">
        <v>261</v>
      </c>
      <c r="E42" s="244">
        <v>3000.0</v>
      </c>
      <c r="F42" s="244">
        <f t="shared" si="4"/>
        <v>9000</v>
      </c>
      <c r="G42" s="218" t="s">
        <v>81</v>
      </c>
      <c r="H42" s="245" t="s">
        <v>256</v>
      </c>
      <c r="I42" s="218">
        <v>3.0</v>
      </c>
      <c r="J42" s="205"/>
      <c r="K42" s="205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48"/>
      <c r="AJ42" s="125"/>
      <c r="AK42" s="125"/>
      <c r="AL42" s="126"/>
      <c r="AM42" s="126"/>
    </row>
    <row r="43">
      <c r="A43" s="214"/>
      <c r="B43" s="217"/>
      <c r="C43" s="210" t="s">
        <v>262</v>
      </c>
      <c r="D43" s="212" t="s">
        <v>261</v>
      </c>
      <c r="E43" s="244">
        <v>3000.0</v>
      </c>
      <c r="F43" s="252">
        <f>(E43*I43)+(E44*I44)+(E45*I45)+(E46*I46)+(E47*I47)+(E48*I48)</f>
        <v>89000</v>
      </c>
      <c r="G43" s="253" t="s">
        <v>81</v>
      </c>
      <c r="H43" s="261" t="s">
        <v>256</v>
      </c>
      <c r="I43" s="218">
        <v>3.0</v>
      </c>
      <c r="J43" s="205"/>
      <c r="K43" s="205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48"/>
      <c r="AJ43" s="125"/>
      <c r="AK43" s="125"/>
      <c r="AL43" s="126"/>
      <c r="AM43" s="126"/>
    </row>
    <row r="44" ht="27.75" customHeight="1">
      <c r="A44" s="214"/>
      <c r="B44" s="217"/>
      <c r="C44" s="210" t="s">
        <v>263</v>
      </c>
      <c r="D44" s="212" t="s">
        <v>269</v>
      </c>
      <c r="E44" s="244">
        <v>1000.0</v>
      </c>
      <c r="F44" s="208"/>
      <c r="G44" s="208"/>
      <c r="H44" s="208"/>
      <c r="I44" s="218">
        <v>5.0</v>
      </c>
      <c r="J44" s="205"/>
      <c r="K44" s="205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48"/>
      <c r="AJ44" s="125"/>
      <c r="AK44" s="125"/>
      <c r="AL44" s="126"/>
      <c r="AM44" s="126"/>
    </row>
    <row r="45" ht="27.75" customHeight="1">
      <c r="A45" s="214"/>
      <c r="B45" s="217"/>
      <c r="C45" s="210" t="s">
        <v>264</v>
      </c>
      <c r="D45" s="212" t="s">
        <v>340</v>
      </c>
      <c r="E45" s="257">
        <v>2500.0</v>
      </c>
      <c r="F45" s="208"/>
      <c r="G45" s="208"/>
      <c r="H45" s="208"/>
      <c r="I45" s="218">
        <v>5.0</v>
      </c>
      <c r="J45" s="205"/>
      <c r="K45" s="205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48"/>
      <c r="AJ45" s="125"/>
      <c r="AK45" s="125"/>
      <c r="AL45" s="126"/>
      <c r="AM45" s="126"/>
    </row>
    <row r="46">
      <c r="A46" s="214"/>
      <c r="B46" s="217"/>
      <c r="C46" s="210" t="s">
        <v>265</v>
      </c>
      <c r="D46" s="212" t="s">
        <v>259</v>
      </c>
      <c r="E46" s="244">
        <v>5000.0</v>
      </c>
      <c r="F46" s="208"/>
      <c r="G46" s="208"/>
      <c r="H46" s="208"/>
      <c r="I46" s="218">
        <v>5.0</v>
      </c>
      <c r="J46" s="205"/>
      <c r="K46" s="205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48"/>
      <c r="AJ46" s="125"/>
      <c r="AK46" s="125"/>
      <c r="AL46" s="126"/>
      <c r="AM46" s="126"/>
    </row>
    <row r="47">
      <c r="A47" s="214"/>
      <c r="B47" s="245"/>
      <c r="C47" s="249" t="s">
        <v>341</v>
      </c>
      <c r="D47" s="212" t="s">
        <v>269</v>
      </c>
      <c r="E47" s="244">
        <v>2500.0</v>
      </c>
      <c r="F47" s="208"/>
      <c r="G47" s="208"/>
      <c r="H47" s="208"/>
      <c r="I47" s="218">
        <v>5.0</v>
      </c>
      <c r="J47" s="205"/>
      <c r="K47" s="205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58"/>
      <c r="AJ47" s="125"/>
      <c r="AK47" s="125"/>
      <c r="AL47" s="126"/>
      <c r="AM47" s="126"/>
    </row>
    <row r="48" ht="27.75" customHeight="1">
      <c r="A48" s="214"/>
      <c r="B48" s="245"/>
      <c r="C48" s="210" t="s">
        <v>342</v>
      </c>
      <c r="D48" s="212" t="s">
        <v>269</v>
      </c>
      <c r="E48" s="244">
        <v>5000.0</v>
      </c>
      <c r="F48" s="152"/>
      <c r="G48" s="152"/>
      <c r="H48" s="152"/>
      <c r="I48" s="218">
        <v>5.0</v>
      </c>
      <c r="J48" s="205"/>
      <c r="K48" s="205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48"/>
      <c r="AJ48" s="125"/>
      <c r="AK48" s="125"/>
      <c r="AL48" s="126"/>
      <c r="AM48" s="126"/>
    </row>
    <row r="49" ht="27.75" customHeight="1">
      <c r="A49" s="214"/>
      <c r="B49" s="245"/>
      <c r="C49" s="207" t="s">
        <v>343</v>
      </c>
      <c r="D49" s="204" t="s">
        <v>269</v>
      </c>
      <c r="E49" s="250">
        <v>60.0</v>
      </c>
      <c r="F49" s="244">
        <f>E49*I49</f>
        <v>300</v>
      </c>
      <c r="G49" s="212" t="s">
        <v>90</v>
      </c>
      <c r="H49" s="245"/>
      <c r="I49" s="200">
        <v>5.0</v>
      </c>
      <c r="J49" s="205"/>
      <c r="K49" s="205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48"/>
      <c r="AJ49" s="125"/>
      <c r="AK49" s="125"/>
      <c r="AL49" s="126"/>
      <c r="AM49" s="126"/>
    </row>
    <row r="50" ht="27.75" customHeight="1">
      <c r="A50" s="214"/>
      <c r="B50" s="217"/>
      <c r="C50" s="210" t="s">
        <v>270</v>
      </c>
      <c r="D50" s="212" t="s">
        <v>271</v>
      </c>
      <c r="E50" s="257">
        <v>1000.0</v>
      </c>
      <c r="F50" s="244">
        <f t="shared" ref="F50:F51" si="5">E50*J50</f>
        <v>8000</v>
      </c>
      <c r="G50" s="212" t="s">
        <v>90</v>
      </c>
      <c r="H50" s="217"/>
      <c r="I50" s="205"/>
      <c r="J50" s="212">
        <v>8.0</v>
      </c>
      <c r="K50" s="205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47"/>
      <c r="AJ50" s="125"/>
      <c r="AK50" s="125"/>
      <c r="AL50" s="126"/>
      <c r="AM50" s="126"/>
    </row>
    <row r="51" ht="27.75" customHeight="1">
      <c r="A51" s="214"/>
      <c r="B51" s="217"/>
      <c r="C51" s="210" t="s">
        <v>272</v>
      </c>
      <c r="D51" s="212" t="s">
        <v>273</v>
      </c>
      <c r="E51" s="257">
        <v>1000.0</v>
      </c>
      <c r="F51" s="257">
        <f t="shared" si="5"/>
        <v>8000</v>
      </c>
      <c r="G51" s="212" t="s">
        <v>90</v>
      </c>
      <c r="H51" s="245" t="s">
        <v>250</v>
      </c>
      <c r="I51" s="205"/>
      <c r="J51" s="212">
        <v>8.0</v>
      </c>
      <c r="K51" s="205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48"/>
      <c r="AJ51" s="125"/>
      <c r="AK51" s="125"/>
      <c r="AL51" s="126"/>
      <c r="AM51" s="126"/>
    </row>
    <row r="52" ht="27.75" customHeight="1">
      <c r="A52" s="214"/>
      <c r="B52" s="217"/>
      <c r="C52" s="210" t="s">
        <v>274</v>
      </c>
      <c r="D52" s="212" t="s">
        <v>344</v>
      </c>
      <c r="E52" s="257">
        <v>1000.0</v>
      </c>
      <c r="F52" s="259">
        <f>(E52*K52)+(E53*K53)</f>
        <v>16000</v>
      </c>
      <c r="G52" s="260" t="s">
        <v>90</v>
      </c>
      <c r="H52" s="322"/>
      <c r="I52" s="205"/>
      <c r="J52" s="205"/>
      <c r="K52" s="212">
        <v>10.0</v>
      </c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48"/>
      <c r="AJ52" s="125"/>
      <c r="AK52" s="125"/>
      <c r="AL52" s="126"/>
      <c r="AM52" s="126"/>
    </row>
    <row r="53" ht="27.75" customHeight="1">
      <c r="A53" s="214"/>
      <c r="B53" s="217"/>
      <c r="C53" s="210" t="s">
        <v>275</v>
      </c>
      <c r="D53" s="212" t="s">
        <v>308</v>
      </c>
      <c r="E53" s="257">
        <v>2000.0</v>
      </c>
      <c r="F53" s="152"/>
      <c r="G53" s="152"/>
      <c r="H53" s="152"/>
      <c r="I53" s="205"/>
      <c r="J53" s="205"/>
      <c r="K53" s="212">
        <v>3.0</v>
      </c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48"/>
      <c r="AJ53" s="125"/>
      <c r="AK53" s="125"/>
      <c r="AL53" s="126"/>
      <c r="AM53" s="126"/>
    </row>
    <row r="54" ht="27.75" customHeight="1">
      <c r="A54" s="214"/>
      <c r="B54" s="323"/>
      <c r="C54" s="324" t="s">
        <v>345</v>
      </c>
      <c r="D54" s="212" t="s">
        <v>346</v>
      </c>
      <c r="E54" s="216">
        <v>12000.0</v>
      </c>
      <c r="F54" s="257">
        <f>E54*J54</f>
        <v>48000</v>
      </c>
      <c r="G54" s="218" t="s">
        <v>81</v>
      </c>
      <c r="H54" s="245" t="s">
        <v>250</v>
      </c>
      <c r="I54" s="205"/>
      <c r="J54" s="212">
        <v>4.0</v>
      </c>
      <c r="K54" s="205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48"/>
      <c r="AJ54" s="125"/>
      <c r="AK54" s="125"/>
      <c r="AL54" s="126"/>
      <c r="AM54" s="126"/>
    </row>
    <row r="55" ht="27.75" customHeight="1">
      <c r="A55" s="219"/>
      <c r="B55" s="245"/>
      <c r="C55" s="262" t="s">
        <v>276</v>
      </c>
      <c r="D55" s="212" t="s">
        <v>347</v>
      </c>
      <c r="E55" s="216">
        <v>300.0</v>
      </c>
      <c r="F55" s="263">
        <f>(E55*J55)+(E56*J56)+(E57*J57)+(E58*J58)</f>
        <v>8000</v>
      </c>
      <c r="G55" s="260" t="s">
        <v>90</v>
      </c>
      <c r="H55" s="217"/>
      <c r="I55" s="205"/>
      <c r="J55" s="212">
        <v>10.0</v>
      </c>
      <c r="K55" s="205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48"/>
      <c r="AJ55" s="125"/>
      <c r="AK55" s="125"/>
      <c r="AL55" s="126"/>
      <c r="AM55" s="126"/>
    </row>
    <row r="56" ht="27.75" customHeight="1">
      <c r="A56" s="219"/>
      <c r="B56" s="245"/>
      <c r="C56" s="262" t="s">
        <v>277</v>
      </c>
      <c r="D56" s="212" t="s">
        <v>347</v>
      </c>
      <c r="E56" s="216">
        <v>300.0</v>
      </c>
      <c r="F56" s="208"/>
      <c r="G56" s="208"/>
      <c r="H56" s="217"/>
      <c r="I56" s="205"/>
      <c r="J56" s="212">
        <v>10.0</v>
      </c>
      <c r="K56" s="205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48"/>
      <c r="AJ56" s="125"/>
      <c r="AK56" s="125"/>
      <c r="AL56" s="126"/>
      <c r="AM56" s="126"/>
    </row>
    <row r="57" ht="15.75" customHeight="1">
      <c r="A57" s="219"/>
      <c r="B57" s="217"/>
      <c r="C57" s="262" t="s">
        <v>278</v>
      </c>
      <c r="D57" s="212" t="s">
        <v>348</v>
      </c>
      <c r="E57" s="216">
        <v>500.0</v>
      </c>
      <c r="F57" s="208"/>
      <c r="G57" s="208"/>
      <c r="H57" s="217"/>
      <c r="I57" s="205"/>
      <c r="J57" s="212">
        <v>2.0</v>
      </c>
      <c r="K57" s="205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48"/>
      <c r="AJ57" s="125"/>
      <c r="AK57" s="125"/>
      <c r="AL57" s="126"/>
      <c r="AM57" s="126"/>
    </row>
    <row r="58" ht="27.0" customHeight="1">
      <c r="A58" s="219"/>
      <c r="B58" s="217"/>
      <c r="C58" s="262" t="s">
        <v>279</v>
      </c>
      <c r="D58" s="212" t="s">
        <v>348</v>
      </c>
      <c r="E58" s="216">
        <v>500.0</v>
      </c>
      <c r="F58" s="152"/>
      <c r="G58" s="152"/>
      <c r="H58" s="217"/>
      <c r="I58" s="205"/>
      <c r="J58" s="212">
        <v>2.0</v>
      </c>
      <c r="K58" s="205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48"/>
      <c r="AJ58" s="125"/>
      <c r="AK58" s="125"/>
      <c r="AL58" s="126"/>
      <c r="AM58" s="126"/>
    </row>
    <row r="59" ht="25.5" customHeight="1">
      <c r="A59" s="219"/>
      <c r="B59" s="217"/>
      <c r="C59" s="262" t="s">
        <v>280</v>
      </c>
      <c r="D59" s="212" t="s">
        <v>349</v>
      </c>
      <c r="E59" s="209">
        <v>1300.0</v>
      </c>
      <c r="F59" s="263">
        <f>(E59*J59)+(E60*J60)+(E61*J61)+(E62*J62)+(E63*J63)+(E64*J64)+(E65*J65)</f>
        <v>155750</v>
      </c>
      <c r="G59" s="253" t="s">
        <v>81</v>
      </c>
      <c r="H59" s="217"/>
      <c r="I59" s="205"/>
      <c r="J59" s="212">
        <v>20.0</v>
      </c>
      <c r="K59" s="205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48"/>
      <c r="AJ59" s="125"/>
      <c r="AK59" s="125"/>
      <c r="AL59" s="126"/>
      <c r="AM59" s="126"/>
    </row>
    <row r="60" ht="29.25" customHeight="1">
      <c r="A60" s="219"/>
      <c r="B60" s="217"/>
      <c r="C60" s="262" t="s">
        <v>281</v>
      </c>
      <c r="D60" s="212" t="s">
        <v>350</v>
      </c>
      <c r="E60" s="209">
        <v>800.0</v>
      </c>
      <c r="F60" s="208"/>
      <c r="G60" s="208"/>
      <c r="H60" s="217"/>
      <c r="I60" s="205"/>
      <c r="J60" s="212">
        <v>15.0</v>
      </c>
      <c r="K60" s="205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48"/>
      <c r="AJ60" s="125"/>
      <c r="AK60" s="125"/>
      <c r="AL60" s="126"/>
      <c r="AM60" s="126"/>
    </row>
    <row r="61" ht="15.75" customHeight="1">
      <c r="A61" s="219"/>
      <c r="B61" s="217"/>
      <c r="C61" s="262" t="s">
        <v>282</v>
      </c>
      <c r="D61" s="212" t="s">
        <v>350</v>
      </c>
      <c r="E61" s="209">
        <v>250.0</v>
      </c>
      <c r="F61" s="208"/>
      <c r="G61" s="208"/>
      <c r="H61" s="217"/>
      <c r="I61" s="205"/>
      <c r="J61" s="212">
        <v>15.0</v>
      </c>
      <c r="K61" s="205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58"/>
      <c r="AJ61" s="125"/>
      <c r="AK61" s="125"/>
      <c r="AL61" s="126"/>
      <c r="AM61" s="126"/>
    </row>
    <row r="62" ht="15.75" customHeight="1">
      <c r="A62" s="219"/>
      <c r="B62" s="245"/>
      <c r="C62" s="262" t="s">
        <v>283</v>
      </c>
      <c r="D62" s="212" t="s">
        <v>344</v>
      </c>
      <c r="E62" s="209">
        <v>2400.0</v>
      </c>
      <c r="F62" s="208"/>
      <c r="G62" s="208"/>
      <c r="H62" s="217"/>
      <c r="I62" s="205"/>
      <c r="J62" s="212">
        <v>10.0</v>
      </c>
      <c r="K62" s="205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48"/>
      <c r="AJ62" s="125"/>
      <c r="AK62" s="125"/>
      <c r="AL62" s="126"/>
      <c r="AM62" s="126"/>
    </row>
    <row r="63" ht="27.75" customHeight="1">
      <c r="A63" s="219"/>
      <c r="B63" s="245"/>
      <c r="C63" s="262" t="s">
        <v>284</v>
      </c>
      <c r="D63" s="212" t="s">
        <v>344</v>
      </c>
      <c r="E63" s="209">
        <v>2000.0</v>
      </c>
      <c r="F63" s="208"/>
      <c r="G63" s="208"/>
      <c r="H63" s="217"/>
      <c r="I63" s="205"/>
      <c r="J63" s="212">
        <v>10.0</v>
      </c>
      <c r="K63" s="205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48"/>
      <c r="AJ63" s="125"/>
      <c r="AK63" s="125"/>
      <c r="AL63" s="126"/>
      <c r="AM63" s="126"/>
    </row>
    <row r="64" ht="15.75" customHeight="1">
      <c r="A64" s="219"/>
      <c r="B64" s="264"/>
      <c r="C64" s="262" t="s">
        <v>285</v>
      </c>
      <c r="D64" s="212" t="s">
        <v>344</v>
      </c>
      <c r="E64" s="209">
        <v>1000.0</v>
      </c>
      <c r="F64" s="208"/>
      <c r="G64" s="208"/>
      <c r="H64" s="217"/>
      <c r="I64" s="205"/>
      <c r="J64" s="212">
        <v>10.0</v>
      </c>
      <c r="K64" s="205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48"/>
      <c r="AJ64" s="125"/>
      <c r="AK64" s="125"/>
      <c r="AL64" s="126"/>
      <c r="AM64" s="126"/>
    </row>
    <row r="65" ht="26.25" customHeight="1">
      <c r="A65" s="219"/>
      <c r="B65" s="195"/>
      <c r="C65" s="262" t="s">
        <v>286</v>
      </c>
      <c r="D65" s="212" t="s">
        <v>351</v>
      </c>
      <c r="E65" s="199">
        <v>2500.0</v>
      </c>
      <c r="F65" s="152"/>
      <c r="G65" s="152"/>
      <c r="H65" s="217"/>
      <c r="I65" s="205"/>
      <c r="J65" s="212">
        <v>24.0</v>
      </c>
      <c r="K65" s="205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65"/>
      <c r="AJ65" s="125"/>
      <c r="AK65" s="125"/>
      <c r="AL65" s="126"/>
      <c r="AM65" s="126"/>
    </row>
    <row r="66" ht="26.25" customHeight="1">
      <c r="A66" s="194"/>
      <c r="B66" s="267"/>
      <c r="C66" s="312" t="s">
        <v>352</v>
      </c>
      <c r="D66" s="200" t="s">
        <v>349</v>
      </c>
      <c r="E66" s="213">
        <v>600.0</v>
      </c>
      <c r="F66" s="263">
        <f>(E66*K66)+(E67*K67)</f>
        <v>24000</v>
      </c>
      <c r="G66" s="251" t="s">
        <v>90</v>
      </c>
      <c r="H66" s="205"/>
      <c r="I66" s="205"/>
      <c r="J66" s="205"/>
      <c r="K66" s="204">
        <v>20.0</v>
      </c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6"/>
      <c r="AJ66" s="125"/>
      <c r="AK66" s="125"/>
      <c r="AL66" s="126"/>
      <c r="AM66" s="126"/>
    </row>
    <row r="67" ht="15.75" customHeight="1">
      <c r="A67" s="194"/>
      <c r="B67" s="205"/>
      <c r="C67" s="312" t="s">
        <v>353</v>
      </c>
      <c r="D67" s="200" t="s">
        <v>349</v>
      </c>
      <c r="E67" s="213">
        <v>600.0</v>
      </c>
      <c r="F67" s="152"/>
      <c r="G67" s="152"/>
      <c r="H67" s="205"/>
      <c r="I67" s="205"/>
      <c r="J67" s="205"/>
      <c r="K67" s="204">
        <v>20.0</v>
      </c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6"/>
      <c r="AJ67" s="125"/>
      <c r="AK67" s="125"/>
      <c r="AL67" s="126"/>
      <c r="AM67" s="126"/>
    </row>
    <row r="68">
      <c r="A68" s="194"/>
      <c r="B68" s="205"/>
      <c r="C68" s="205"/>
      <c r="D68" s="205"/>
      <c r="E68" s="308"/>
      <c r="F68" s="309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6"/>
      <c r="AJ68" s="125"/>
      <c r="AK68" s="125"/>
      <c r="AL68" s="125"/>
      <c r="AM68" s="125"/>
    </row>
    <row r="69" ht="15.75" customHeight="1">
      <c r="A69" s="194"/>
      <c r="B69" s="205"/>
      <c r="C69" s="205"/>
      <c r="D69" s="205"/>
      <c r="E69" s="308"/>
      <c r="F69" s="309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6"/>
      <c r="AJ69" s="125"/>
      <c r="AK69" s="125"/>
      <c r="AL69" s="126"/>
      <c r="AM69" s="126"/>
    </row>
    <row r="70" ht="38.25" customHeight="1">
      <c r="A70" s="194"/>
      <c r="B70" s="205"/>
      <c r="C70" s="205"/>
      <c r="D70" s="205"/>
      <c r="E70" s="308"/>
      <c r="F70" s="309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6"/>
      <c r="AJ70" s="125"/>
      <c r="AK70" s="125"/>
      <c r="AL70" s="126"/>
      <c r="AM70" s="126"/>
    </row>
    <row r="71">
      <c r="A71" s="194"/>
      <c r="B71" s="205"/>
      <c r="C71" s="205"/>
      <c r="D71" s="205"/>
      <c r="E71" s="308"/>
      <c r="F71" s="309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6"/>
      <c r="AJ71" s="125"/>
      <c r="AK71" s="125"/>
      <c r="AL71" s="126"/>
      <c r="AM71" s="126"/>
    </row>
    <row r="72" ht="15.75" customHeight="1">
      <c r="A72" s="194"/>
      <c r="B72" s="205"/>
      <c r="C72" s="205"/>
      <c r="D72" s="205"/>
      <c r="E72" s="308"/>
      <c r="F72" s="309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6"/>
      <c r="AJ72" s="125"/>
      <c r="AK72" s="125"/>
      <c r="AL72" s="126"/>
      <c r="AM72" s="126"/>
    </row>
    <row r="73" ht="38.25" customHeight="1">
      <c r="A73" s="194"/>
      <c r="B73" s="205"/>
      <c r="C73" s="205"/>
      <c r="D73" s="205"/>
      <c r="E73" s="308"/>
      <c r="F73" s="309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6"/>
      <c r="AJ73" s="125"/>
      <c r="AK73" s="125"/>
      <c r="AL73" s="126"/>
      <c r="AM73" s="126"/>
    </row>
    <row r="74" ht="15.75" customHeight="1">
      <c r="A74" s="194"/>
      <c r="B74" s="205"/>
      <c r="C74" s="205"/>
      <c r="D74" s="205"/>
      <c r="E74" s="308"/>
      <c r="F74" s="309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6"/>
      <c r="AJ74" s="125"/>
      <c r="AK74" s="125"/>
      <c r="AL74" s="126"/>
      <c r="AM74" s="126"/>
    </row>
    <row r="75" ht="15.75" customHeight="1">
      <c r="A75" s="194"/>
      <c r="B75" s="205"/>
      <c r="C75" s="205"/>
      <c r="D75" s="205"/>
      <c r="E75" s="308"/>
      <c r="F75" s="309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6"/>
      <c r="AJ75" s="125"/>
      <c r="AK75" s="125"/>
      <c r="AL75" s="126"/>
      <c r="AM75" s="126"/>
    </row>
    <row r="76" ht="15.75" customHeight="1">
      <c r="A76" s="194"/>
      <c r="B76" s="205"/>
      <c r="C76" s="205"/>
      <c r="D76" s="205"/>
      <c r="E76" s="308"/>
      <c r="F76" s="309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6"/>
      <c r="AJ76" s="125"/>
      <c r="AK76" s="125"/>
      <c r="AL76" s="126"/>
      <c r="AM76" s="126"/>
    </row>
    <row r="77" ht="15.75" customHeight="1">
      <c r="A77" s="194"/>
      <c r="B77" s="205"/>
      <c r="C77" s="205"/>
      <c r="D77" s="205"/>
      <c r="E77" s="308"/>
      <c r="F77" s="309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6"/>
      <c r="AJ77" s="125"/>
      <c r="AK77" s="125"/>
      <c r="AL77" s="126"/>
      <c r="AM77" s="126"/>
    </row>
    <row r="78" ht="15.75" customHeight="1">
      <c r="A78" s="194"/>
      <c r="B78" s="205"/>
      <c r="C78" s="205"/>
      <c r="D78" s="205"/>
      <c r="E78" s="308"/>
      <c r="F78" s="309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6"/>
      <c r="AJ78" s="125"/>
      <c r="AK78" s="125"/>
      <c r="AL78" s="126"/>
      <c r="AM78" s="126"/>
    </row>
    <row r="79" ht="15.75" customHeight="1">
      <c r="A79" s="187" t="s">
        <v>151</v>
      </c>
      <c r="B79" s="188"/>
      <c r="C79" s="239" t="s">
        <v>152</v>
      </c>
      <c r="D79" s="188"/>
      <c r="E79" s="190"/>
      <c r="F79" s="191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92"/>
      <c r="AJ79" s="165">
        <f>SUM(F80:F103)</f>
        <v>147775</v>
      </c>
      <c r="AK79" s="193">
        <v>150000.0</v>
      </c>
      <c r="AL79" s="126"/>
      <c r="AM79" s="126"/>
    </row>
    <row r="80">
      <c r="A80" s="214"/>
      <c r="B80" s="217"/>
      <c r="C80" s="207" t="s">
        <v>354</v>
      </c>
      <c r="D80" s="253" t="s">
        <v>80</v>
      </c>
      <c r="E80" s="244">
        <v>3000.0</v>
      </c>
      <c r="F80" s="263">
        <f>(E80*J80)+(E81*J81)+(E82*J82)</f>
        <v>36000</v>
      </c>
      <c r="G80" s="253" t="s">
        <v>90</v>
      </c>
      <c r="H80" s="322"/>
      <c r="I80" s="205"/>
      <c r="J80" s="200">
        <v>4.0</v>
      </c>
      <c r="K80" s="205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47"/>
      <c r="AJ80" s="125"/>
      <c r="AK80" s="125"/>
      <c r="AL80" s="126"/>
      <c r="AM80" s="126"/>
    </row>
    <row r="81">
      <c r="A81" s="214"/>
      <c r="B81" s="195"/>
      <c r="C81" s="220" t="s">
        <v>355</v>
      </c>
      <c r="D81" s="208"/>
      <c r="E81" s="244">
        <v>5000.0</v>
      </c>
      <c r="F81" s="208"/>
      <c r="G81" s="208"/>
      <c r="H81" s="208"/>
      <c r="I81" s="205"/>
      <c r="J81" s="204">
        <v>4.0</v>
      </c>
      <c r="K81" s="205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48"/>
      <c r="AJ81" s="125"/>
      <c r="AK81" s="125"/>
      <c r="AL81" s="126"/>
      <c r="AM81" s="126"/>
    </row>
    <row r="82">
      <c r="A82" s="214"/>
      <c r="B82" s="195"/>
      <c r="C82" s="220" t="s">
        <v>356</v>
      </c>
      <c r="D82" s="152"/>
      <c r="E82" s="244">
        <v>1000.0</v>
      </c>
      <c r="F82" s="152"/>
      <c r="G82" s="152"/>
      <c r="H82" s="152"/>
      <c r="I82" s="205"/>
      <c r="J82" s="204">
        <v>4.0</v>
      </c>
      <c r="K82" s="205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48"/>
      <c r="AJ82" s="125"/>
      <c r="AK82" s="125"/>
      <c r="AL82" s="126"/>
      <c r="AM82" s="126"/>
    </row>
    <row r="83" ht="15.75" customHeight="1">
      <c r="A83" s="194"/>
      <c r="B83" s="267"/>
      <c r="C83" s="220" t="s">
        <v>290</v>
      </c>
      <c r="D83" s="253" t="s">
        <v>80</v>
      </c>
      <c r="E83" s="216">
        <v>1000.0</v>
      </c>
      <c r="F83" s="263">
        <f>(E83*K83)+(E84*K84)+(E85*K85)</f>
        <v>38000</v>
      </c>
      <c r="G83" s="253" t="s">
        <v>90</v>
      </c>
      <c r="H83" s="205"/>
      <c r="I83" s="205"/>
      <c r="J83" s="205"/>
      <c r="K83" s="204">
        <v>8.0</v>
      </c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48"/>
      <c r="AJ83" s="125"/>
      <c r="AK83" s="125"/>
      <c r="AL83" s="126"/>
      <c r="AM83" s="126"/>
    </row>
    <row r="84" ht="15.75" customHeight="1">
      <c r="A84" s="194"/>
      <c r="B84" s="267"/>
      <c r="C84" s="262" t="s">
        <v>163</v>
      </c>
      <c r="D84" s="208"/>
      <c r="E84" s="216">
        <v>3000.0</v>
      </c>
      <c r="F84" s="208"/>
      <c r="G84" s="208"/>
      <c r="H84" s="205"/>
      <c r="I84" s="205"/>
      <c r="J84" s="205"/>
      <c r="K84" s="212">
        <v>5.0</v>
      </c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48"/>
      <c r="AJ84" s="125"/>
      <c r="AK84" s="125"/>
      <c r="AL84" s="126"/>
      <c r="AM84" s="126"/>
    </row>
    <row r="85" ht="15.75" customHeight="1">
      <c r="A85" s="194"/>
      <c r="B85" s="267"/>
      <c r="C85" s="262" t="s">
        <v>164</v>
      </c>
      <c r="D85" s="152"/>
      <c r="E85" s="216">
        <v>3000.0</v>
      </c>
      <c r="F85" s="152"/>
      <c r="G85" s="152"/>
      <c r="H85" s="205"/>
      <c r="I85" s="205"/>
      <c r="J85" s="205"/>
      <c r="K85" s="212">
        <v>5.0</v>
      </c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48"/>
      <c r="AJ85" s="125"/>
      <c r="AK85" s="125"/>
      <c r="AL85" s="126"/>
      <c r="AM85" s="126"/>
    </row>
    <row r="86">
      <c r="A86" s="214"/>
      <c r="B86" s="217"/>
      <c r="C86" s="268" t="s">
        <v>291</v>
      </c>
      <c r="D86" s="200" t="s">
        <v>292</v>
      </c>
      <c r="E86" s="216">
        <v>4500.0</v>
      </c>
      <c r="F86" s="199">
        <f>4500*I86</f>
        <v>9000</v>
      </c>
      <c r="G86" s="218" t="s">
        <v>226</v>
      </c>
      <c r="H86" s="245" t="s">
        <v>227</v>
      </c>
      <c r="I86" s="204">
        <v>2.0</v>
      </c>
      <c r="J86" s="205"/>
      <c r="K86" s="205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47"/>
      <c r="AJ86" s="125"/>
      <c r="AK86" s="125"/>
      <c r="AL86" s="126"/>
      <c r="AM86" s="126"/>
    </row>
    <row r="87" ht="15.75" customHeight="1">
      <c r="A87" s="214"/>
      <c r="B87" s="217"/>
      <c r="C87" s="210" t="s">
        <v>293</v>
      </c>
      <c r="D87" s="204" t="s">
        <v>186</v>
      </c>
      <c r="E87" s="209">
        <v>3000.0</v>
      </c>
      <c r="F87" s="209">
        <f t="shared" ref="F87:F88" si="6">E87*I87</f>
        <v>3000</v>
      </c>
      <c r="G87" s="218" t="s">
        <v>90</v>
      </c>
      <c r="H87" s="217"/>
      <c r="I87" s="204">
        <v>1.0</v>
      </c>
      <c r="J87" s="205"/>
      <c r="K87" s="205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48"/>
      <c r="AJ87" s="125"/>
      <c r="AK87" s="125"/>
      <c r="AL87" s="126"/>
      <c r="AM87" s="126"/>
    </row>
    <row r="88" ht="15.75" customHeight="1">
      <c r="A88" s="219"/>
      <c r="B88" s="264"/>
      <c r="C88" s="262" t="s">
        <v>357</v>
      </c>
      <c r="D88" s="325" t="s">
        <v>80</v>
      </c>
      <c r="E88" s="209">
        <v>500.0</v>
      </c>
      <c r="F88" s="209">
        <f t="shared" si="6"/>
        <v>10000</v>
      </c>
      <c r="G88" s="212" t="s">
        <v>90</v>
      </c>
      <c r="H88" s="217"/>
      <c r="I88" s="212">
        <v>20.0</v>
      </c>
      <c r="J88" s="205"/>
      <c r="K88" s="205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48"/>
      <c r="AJ88" s="125"/>
      <c r="AK88" s="125"/>
      <c r="AL88" s="126"/>
      <c r="AM88" s="126"/>
    </row>
    <row r="89" ht="15.75" customHeight="1">
      <c r="A89" s="219"/>
      <c r="B89" s="195"/>
      <c r="C89" s="262" t="s">
        <v>294</v>
      </c>
      <c r="D89" s="221" t="s">
        <v>80</v>
      </c>
      <c r="E89" s="216">
        <v>200.0</v>
      </c>
      <c r="F89" s="269">
        <f>(E89*I89)+(E90*I90)+(E91*I91)+(E92*I92)+(E93*I93)+(E94*I94)+(E95*I95)</f>
        <v>18000</v>
      </c>
      <c r="G89" s="260" t="s">
        <v>90</v>
      </c>
      <c r="H89" s="217"/>
      <c r="I89" s="212">
        <v>10.0</v>
      </c>
      <c r="J89" s="205"/>
      <c r="K89" s="205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48"/>
      <c r="AJ89" s="125"/>
      <c r="AK89" s="125"/>
      <c r="AL89" s="126"/>
      <c r="AM89" s="126"/>
    </row>
    <row r="90" ht="15.75" customHeight="1">
      <c r="A90" s="219"/>
      <c r="B90" s="264"/>
      <c r="C90" s="262" t="s">
        <v>295</v>
      </c>
      <c r="D90" s="208"/>
      <c r="E90" s="216">
        <v>200.0</v>
      </c>
      <c r="F90" s="66"/>
      <c r="G90" s="208"/>
      <c r="H90" s="217"/>
      <c r="I90" s="212">
        <v>10.0</v>
      </c>
      <c r="J90" s="205"/>
      <c r="K90" s="205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48"/>
      <c r="AJ90" s="125"/>
      <c r="AK90" s="125"/>
      <c r="AL90" s="126"/>
      <c r="AM90" s="126"/>
    </row>
    <row r="91" ht="15.75" customHeight="1">
      <c r="A91" s="219"/>
      <c r="B91" s="264"/>
      <c r="C91" s="262" t="s">
        <v>296</v>
      </c>
      <c r="D91" s="208"/>
      <c r="E91" s="216">
        <v>200.0</v>
      </c>
      <c r="F91" s="66"/>
      <c r="G91" s="208"/>
      <c r="H91" s="217"/>
      <c r="I91" s="212">
        <v>10.0</v>
      </c>
      <c r="J91" s="205"/>
      <c r="K91" s="205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48"/>
      <c r="AJ91" s="125"/>
      <c r="AK91" s="125"/>
      <c r="AL91" s="126"/>
      <c r="AM91" s="126"/>
    </row>
    <row r="92" ht="15.75" customHeight="1">
      <c r="A92" s="219"/>
      <c r="B92" s="195"/>
      <c r="C92" s="262" t="s">
        <v>297</v>
      </c>
      <c r="D92" s="208"/>
      <c r="E92" s="216">
        <v>200.0</v>
      </c>
      <c r="F92" s="66"/>
      <c r="G92" s="208"/>
      <c r="H92" s="217"/>
      <c r="I92" s="212">
        <v>10.0</v>
      </c>
      <c r="J92" s="205"/>
      <c r="K92" s="205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48"/>
      <c r="AJ92" s="125"/>
      <c r="AK92" s="125"/>
      <c r="AL92" s="126"/>
      <c r="AM92" s="126"/>
    </row>
    <row r="93" ht="15.75" customHeight="1">
      <c r="A93" s="219"/>
      <c r="B93" s="195"/>
      <c r="C93" s="262" t="s">
        <v>298</v>
      </c>
      <c r="D93" s="208"/>
      <c r="E93" s="216">
        <v>250.0</v>
      </c>
      <c r="F93" s="66"/>
      <c r="G93" s="208"/>
      <c r="H93" s="217"/>
      <c r="I93" s="212">
        <v>10.0</v>
      </c>
      <c r="J93" s="205"/>
      <c r="K93" s="205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48"/>
      <c r="AJ93" s="125"/>
      <c r="AK93" s="125"/>
      <c r="AL93" s="126"/>
      <c r="AM93" s="126"/>
    </row>
    <row r="94" ht="15.75" customHeight="1">
      <c r="A94" s="219"/>
      <c r="B94" s="195"/>
      <c r="C94" s="262" t="s">
        <v>299</v>
      </c>
      <c r="D94" s="208"/>
      <c r="E94" s="199">
        <v>350.0</v>
      </c>
      <c r="F94" s="66"/>
      <c r="G94" s="208"/>
      <c r="H94" s="217"/>
      <c r="I94" s="212">
        <v>10.0</v>
      </c>
      <c r="J94" s="205"/>
      <c r="K94" s="205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48"/>
      <c r="AJ94" s="125"/>
      <c r="AK94" s="125"/>
      <c r="AL94" s="126"/>
      <c r="AM94" s="126"/>
    </row>
    <row r="95" ht="15.75" customHeight="1">
      <c r="A95" s="219"/>
      <c r="B95" s="195"/>
      <c r="C95" s="262" t="s">
        <v>300</v>
      </c>
      <c r="D95" s="152"/>
      <c r="E95" s="199">
        <v>400.0</v>
      </c>
      <c r="F95" s="75"/>
      <c r="G95" s="152"/>
      <c r="H95" s="217"/>
      <c r="I95" s="212">
        <v>10.0</v>
      </c>
      <c r="J95" s="205"/>
      <c r="K95" s="205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48"/>
      <c r="AJ95" s="125"/>
      <c r="AK95" s="125"/>
      <c r="AL95" s="126"/>
      <c r="AM95" s="126"/>
    </row>
    <row r="96" ht="15.75" customHeight="1">
      <c r="A96" s="270"/>
      <c r="B96" s="271"/>
      <c r="C96" s="272" t="s">
        <v>301</v>
      </c>
      <c r="D96" s="221" t="s">
        <v>80</v>
      </c>
      <c r="E96" s="273">
        <v>125.0</v>
      </c>
      <c r="F96" s="269">
        <f>(E96*I96)+(E97*I97)+(E98*I98)</f>
        <v>6875</v>
      </c>
      <c r="G96" s="274" t="s">
        <v>90</v>
      </c>
      <c r="H96" s="326"/>
      <c r="I96" s="277">
        <v>25.0</v>
      </c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48"/>
      <c r="AJ96" s="125"/>
      <c r="AK96" s="125"/>
      <c r="AL96" s="126"/>
      <c r="AM96" s="126"/>
    </row>
    <row r="97" ht="15.75" customHeight="1">
      <c r="A97" s="194"/>
      <c r="B97" s="278"/>
      <c r="C97" s="279" t="s">
        <v>302</v>
      </c>
      <c r="D97" s="208"/>
      <c r="E97" s="216">
        <v>75.0</v>
      </c>
      <c r="F97" s="66"/>
      <c r="G97" s="208"/>
      <c r="H97" s="208"/>
      <c r="I97" s="282">
        <v>25.0</v>
      </c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58"/>
      <c r="AJ97" s="125"/>
      <c r="AK97" s="125"/>
      <c r="AL97" s="126"/>
      <c r="AM97" s="126"/>
    </row>
    <row r="98" ht="15.75" customHeight="1">
      <c r="A98" s="194"/>
      <c r="B98" s="278"/>
      <c r="C98" s="279" t="s">
        <v>303</v>
      </c>
      <c r="D98" s="152"/>
      <c r="E98" s="216">
        <v>75.0</v>
      </c>
      <c r="F98" s="75"/>
      <c r="G98" s="152"/>
      <c r="H98" s="152"/>
      <c r="I98" s="282">
        <v>25.0</v>
      </c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48"/>
      <c r="AJ98" s="125"/>
      <c r="AK98" s="125"/>
      <c r="AL98" s="126"/>
      <c r="AM98" s="126"/>
    </row>
    <row r="99" ht="15.75" customHeight="1">
      <c r="A99" s="283"/>
      <c r="B99" s="284"/>
      <c r="C99" s="272" t="s">
        <v>304</v>
      </c>
      <c r="D99" s="285" t="s">
        <v>80</v>
      </c>
      <c r="E99" s="273">
        <f>500/20</f>
        <v>25</v>
      </c>
      <c r="F99" s="286">
        <f>(E99*I99)+(E100*I100)+(E101*I101)</f>
        <v>600</v>
      </c>
      <c r="G99" s="274" t="s">
        <v>90</v>
      </c>
      <c r="H99" s="287" t="s">
        <v>227</v>
      </c>
      <c r="I99" s="277">
        <v>10.0</v>
      </c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48"/>
      <c r="AJ99" s="125"/>
      <c r="AK99" s="125"/>
      <c r="AL99" s="126"/>
      <c r="AM99" s="126"/>
    </row>
    <row r="100" ht="15.75" customHeight="1">
      <c r="A100" s="288"/>
      <c r="B100" s="195"/>
      <c r="C100" s="279" t="s">
        <v>305</v>
      </c>
      <c r="D100" s="208"/>
      <c r="E100" s="216">
        <f>300/15</f>
        <v>20</v>
      </c>
      <c r="F100" s="208"/>
      <c r="G100" s="208"/>
      <c r="H100" s="208"/>
      <c r="I100" s="282">
        <v>10.0</v>
      </c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48"/>
      <c r="AJ100" s="125"/>
      <c r="AK100" s="125"/>
      <c r="AL100" s="126"/>
      <c r="AM100" s="126"/>
    </row>
    <row r="101" ht="15.75" customHeight="1">
      <c r="A101" s="288"/>
      <c r="B101" s="278"/>
      <c r="C101" s="289" t="s">
        <v>306</v>
      </c>
      <c r="D101" s="152"/>
      <c r="E101" s="216">
        <f>150/5</f>
        <v>30</v>
      </c>
      <c r="F101" s="152"/>
      <c r="G101" s="152"/>
      <c r="H101" s="152"/>
      <c r="I101" s="291">
        <v>5.0</v>
      </c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48"/>
      <c r="AJ101" s="125"/>
      <c r="AK101" s="125"/>
      <c r="AL101" s="126"/>
      <c r="AM101" s="126"/>
    </row>
    <row r="102" ht="15.75" customHeight="1">
      <c r="A102" s="283"/>
      <c r="B102" s="271"/>
      <c r="C102" s="292" t="s">
        <v>307</v>
      </c>
      <c r="D102" s="293" t="s">
        <v>308</v>
      </c>
      <c r="E102" s="273">
        <f>300/3</f>
        <v>100</v>
      </c>
      <c r="F102" s="294">
        <f t="shared" ref="F102:F103" si="7">E102*K102</f>
        <v>300</v>
      </c>
      <c r="G102" s="205"/>
      <c r="H102" s="205"/>
      <c r="I102" s="232"/>
      <c r="J102" s="232"/>
      <c r="K102" s="295">
        <v>3.0</v>
      </c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48"/>
      <c r="AJ102" s="125"/>
      <c r="AK102" s="125"/>
      <c r="AL102" s="126"/>
      <c r="AM102" s="126"/>
    </row>
    <row r="103">
      <c r="A103" s="283"/>
      <c r="B103" s="284"/>
      <c r="C103" s="292" t="s">
        <v>309</v>
      </c>
      <c r="D103" s="296" t="s">
        <v>310</v>
      </c>
      <c r="E103" s="273">
        <v>13000.0</v>
      </c>
      <c r="F103" s="294">
        <f t="shared" si="7"/>
        <v>26000</v>
      </c>
      <c r="G103" s="295" t="s">
        <v>90</v>
      </c>
      <c r="H103" s="238" t="s">
        <v>227</v>
      </c>
      <c r="I103" s="232"/>
      <c r="J103" s="232"/>
      <c r="K103" s="295">
        <v>2.0</v>
      </c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48"/>
      <c r="AJ103" s="125"/>
      <c r="AK103" s="125"/>
      <c r="AL103" s="126"/>
      <c r="AM103" s="126"/>
    </row>
    <row r="104" ht="15.75" customHeight="1">
      <c r="A104" s="187" t="s">
        <v>178</v>
      </c>
      <c r="B104" s="188"/>
      <c r="C104" s="239" t="s">
        <v>179</v>
      </c>
      <c r="D104" s="188"/>
      <c r="E104" s="190"/>
      <c r="F104" s="191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92"/>
      <c r="AJ104" s="164">
        <f>SUM(F105:F112)</f>
        <v>394500</v>
      </c>
      <c r="AK104" s="193">
        <f>1600000-753708</f>
        <v>846292</v>
      </c>
      <c r="AL104" s="126"/>
      <c r="AM104" s="126"/>
    </row>
    <row r="105" ht="15.75" customHeight="1">
      <c r="A105" s="219"/>
      <c r="B105" s="245"/>
      <c r="C105" s="210" t="s">
        <v>358</v>
      </c>
      <c r="D105" s="237" t="s">
        <v>359</v>
      </c>
      <c r="E105" s="216">
        <v>800.0</v>
      </c>
      <c r="F105" s="209">
        <f>E105*40</f>
        <v>32000</v>
      </c>
      <c r="G105" s="212" t="s">
        <v>90</v>
      </c>
      <c r="H105" s="217"/>
      <c r="I105" s="204">
        <v>18.0</v>
      </c>
      <c r="J105" s="205"/>
      <c r="K105" s="205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65"/>
      <c r="AJ105" s="125"/>
      <c r="AK105" s="125"/>
      <c r="AL105" s="327"/>
      <c r="AM105" s="327"/>
    </row>
    <row r="106" ht="15.75" customHeight="1">
      <c r="A106" s="219"/>
      <c r="B106" s="217"/>
      <c r="C106" s="262" t="s">
        <v>360</v>
      </c>
      <c r="D106" s="325" t="s">
        <v>361</v>
      </c>
      <c r="E106" s="209">
        <v>8000.0</v>
      </c>
      <c r="F106" s="209">
        <f t="shared" ref="F106:F108" si="8">E106*25</f>
        <v>200000</v>
      </c>
      <c r="G106" s="212" t="s">
        <v>362</v>
      </c>
      <c r="H106" s="217"/>
      <c r="I106" s="205"/>
      <c r="J106" s="212">
        <v>25.0</v>
      </c>
      <c r="K106" s="205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322"/>
      <c r="AI106" s="265"/>
      <c r="AJ106" s="125"/>
      <c r="AK106" s="125"/>
      <c r="AL106" s="126"/>
      <c r="AM106" s="126"/>
    </row>
    <row r="107" ht="15.75" customHeight="1">
      <c r="A107" s="219"/>
      <c r="B107" s="217"/>
      <c r="C107" s="262" t="s">
        <v>363</v>
      </c>
      <c r="D107" s="325" t="s">
        <v>361</v>
      </c>
      <c r="E107" s="209">
        <v>3500.0</v>
      </c>
      <c r="F107" s="209">
        <f t="shared" si="8"/>
        <v>87500</v>
      </c>
      <c r="G107" s="212" t="s">
        <v>362</v>
      </c>
      <c r="H107" s="217"/>
      <c r="I107" s="205"/>
      <c r="J107" s="212">
        <v>25.0</v>
      </c>
      <c r="K107" s="205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322"/>
      <c r="AI107" s="265"/>
      <c r="AJ107" s="327">
        <v>753708.0</v>
      </c>
      <c r="AK107" s="327" t="s">
        <v>364</v>
      </c>
      <c r="AL107" s="126"/>
      <c r="AM107" s="126"/>
    </row>
    <row r="108" ht="15.75" customHeight="1">
      <c r="A108" s="219"/>
      <c r="B108" s="217"/>
      <c r="C108" s="262" t="s">
        <v>365</v>
      </c>
      <c r="D108" s="325" t="s">
        <v>361</v>
      </c>
      <c r="E108" s="209">
        <v>3000.0</v>
      </c>
      <c r="F108" s="209">
        <f t="shared" si="8"/>
        <v>75000</v>
      </c>
      <c r="G108" s="212" t="s">
        <v>362</v>
      </c>
      <c r="H108" s="217"/>
      <c r="I108" s="205"/>
      <c r="J108" s="212">
        <v>25.0</v>
      </c>
      <c r="K108" s="205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48"/>
      <c r="AJ108" s="125"/>
      <c r="AK108" s="125"/>
      <c r="AL108" s="126"/>
      <c r="AM108" s="126"/>
    </row>
    <row r="109" ht="15.75" customHeight="1">
      <c r="A109" s="283"/>
      <c r="B109" s="328"/>
      <c r="C109" s="318"/>
      <c r="D109" s="238"/>
      <c r="E109" s="273"/>
      <c r="F109" s="294"/>
      <c r="G109" s="329"/>
      <c r="H109" s="238"/>
      <c r="I109" s="232"/>
      <c r="J109" s="232"/>
      <c r="K109" s="295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48"/>
      <c r="AJ109" s="125"/>
      <c r="AK109" s="125"/>
      <c r="AL109" s="126"/>
      <c r="AM109" s="126"/>
    </row>
    <row r="110" ht="15.75" customHeight="1">
      <c r="A110" s="288"/>
      <c r="B110" s="267"/>
      <c r="C110" s="215"/>
      <c r="D110" s="218"/>
      <c r="E110" s="216"/>
      <c r="F110" s="330"/>
      <c r="G110" s="245"/>
      <c r="H110" s="218"/>
      <c r="I110" s="217"/>
      <c r="J110" s="217"/>
      <c r="K110" s="291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48"/>
      <c r="AJ110" s="125"/>
      <c r="AK110" s="125"/>
      <c r="AL110" s="126"/>
      <c r="AM110" s="126"/>
    </row>
    <row r="111" ht="15.75" customHeight="1">
      <c r="A111" s="194"/>
      <c r="B111" s="205"/>
      <c r="C111" s="205"/>
      <c r="D111" s="205"/>
      <c r="E111" s="308"/>
      <c r="F111" s="309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6"/>
      <c r="AJ111" s="125"/>
      <c r="AK111" s="125"/>
      <c r="AL111" s="126"/>
      <c r="AM111" s="126"/>
    </row>
    <row r="112" ht="15.75" customHeight="1">
      <c r="A112" s="194"/>
      <c r="B112" s="205"/>
      <c r="C112" s="205"/>
      <c r="D112" s="205"/>
      <c r="E112" s="308"/>
      <c r="F112" s="309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6"/>
      <c r="AJ112" s="125"/>
      <c r="AK112" s="125"/>
      <c r="AL112" s="126"/>
      <c r="AM112" s="126"/>
    </row>
    <row r="113" ht="15.75" customHeight="1">
      <c r="A113" s="187" t="s">
        <v>183</v>
      </c>
      <c r="B113" s="188"/>
      <c r="C113" s="239" t="s">
        <v>184</v>
      </c>
      <c r="D113" s="188"/>
      <c r="E113" s="190"/>
      <c r="F113" s="191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92"/>
      <c r="AJ113" s="164">
        <f>SUM(F114)</f>
        <v>41443.4</v>
      </c>
      <c r="AK113" s="125"/>
      <c r="AL113" s="126"/>
      <c r="AM113" s="126"/>
    </row>
    <row r="114">
      <c r="A114" s="194"/>
      <c r="B114" s="205"/>
      <c r="C114" s="210" t="s">
        <v>185</v>
      </c>
      <c r="D114" s="218" t="s">
        <v>186</v>
      </c>
      <c r="E114" s="216">
        <v>41443.4</v>
      </c>
      <c r="F114" s="216">
        <v>41443.4</v>
      </c>
      <c r="G114" s="297" t="s">
        <v>155</v>
      </c>
      <c r="H114" s="205"/>
      <c r="I114" s="218">
        <v>1.0</v>
      </c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6"/>
      <c r="AJ114" s="125"/>
      <c r="AK114" s="125"/>
      <c r="AL114" s="126"/>
      <c r="AM114" s="126"/>
    </row>
    <row r="115" ht="15.75" customHeight="1">
      <c r="A115" s="187" t="s">
        <v>187</v>
      </c>
      <c r="B115" s="188"/>
      <c r="C115" s="239" t="s">
        <v>188</v>
      </c>
      <c r="D115" s="188"/>
      <c r="E115" s="190"/>
      <c r="F115" s="191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92"/>
      <c r="AJ115" s="125"/>
      <c r="AK115" s="125"/>
      <c r="AL115" s="126"/>
      <c r="AM115" s="126"/>
    </row>
    <row r="116" ht="15.75" customHeight="1">
      <c r="A116" s="194"/>
      <c r="B116" s="205"/>
      <c r="C116" s="210" t="s">
        <v>189</v>
      </c>
      <c r="D116" s="218" t="s">
        <v>190</v>
      </c>
      <c r="E116" s="216">
        <v>150.0</v>
      </c>
      <c r="F116" s="216">
        <f>150*26</f>
        <v>3900</v>
      </c>
      <c r="G116" s="297" t="s">
        <v>90</v>
      </c>
      <c r="H116" s="205"/>
      <c r="I116" s="205"/>
      <c r="J116" s="218">
        <v>13.0</v>
      </c>
      <c r="K116" s="212">
        <v>13.0</v>
      </c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6"/>
      <c r="AJ116" s="125"/>
      <c r="AK116" s="125"/>
      <c r="AL116" s="126"/>
      <c r="AM116" s="126"/>
    </row>
    <row r="117" ht="15.75" customHeight="1">
      <c r="A117" s="187" t="s">
        <v>191</v>
      </c>
      <c r="B117" s="188"/>
      <c r="C117" s="239" t="s">
        <v>195</v>
      </c>
      <c r="D117" s="188"/>
      <c r="E117" s="190"/>
      <c r="F117" s="191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92"/>
      <c r="AJ117" s="125"/>
      <c r="AK117" s="125"/>
      <c r="AL117" s="126"/>
      <c r="AM117" s="126"/>
    </row>
    <row r="118" ht="15.75" customHeight="1">
      <c r="A118" s="194"/>
      <c r="B118" s="205"/>
      <c r="C118" s="268" t="s">
        <v>196</v>
      </c>
      <c r="D118" s="218" t="s">
        <v>197</v>
      </c>
      <c r="E118" s="216">
        <v>4850.0</v>
      </c>
      <c r="F118" s="199">
        <v>4850.0</v>
      </c>
      <c r="G118" s="212" t="s">
        <v>198</v>
      </c>
      <c r="H118" s="205"/>
      <c r="I118" s="205"/>
      <c r="J118" s="205"/>
      <c r="K118" s="212">
        <v>1.0</v>
      </c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6"/>
      <c r="AJ118" s="125"/>
      <c r="AK118" s="125"/>
      <c r="AL118" s="126"/>
      <c r="AM118" s="126"/>
    </row>
    <row r="119" ht="15.75" customHeight="1">
      <c r="A119" s="37" t="s">
        <v>199</v>
      </c>
      <c r="B119" s="79"/>
      <c r="C119" s="79" t="s">
        <v>200</v>
      </c>
      <c r="D119" s="39"/>
      <c r="E119" s="40"/>
      <c r="F119" s="41"/>
      <c r="G119" s="80"/>
      <c r="H119" s="80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3"/>
      <c r="AJ119" s="299">
        <f>SUM(F120:F122)</f>
        <v>5740000</v>
      </c>
      <c r="AK119" s="36"/>
    </row>
    <row r="120" ht="15.75" customHeight="1">
      <c r="A120" s="116"/>
      <c r="B120" s="117"/>
      <c r="C120" s="118" t="s">
        <v>201</v>
      </c>
      <c r="D120" s="119" t="s">
        <v>80</v>
      </c>
      <c r="E120" s="120">
        <v>4000000.0</v>
      </c>
      <c r="F120" s="121">
        <v>4000000.0</v>
      </c>
      <c r="G120" s="122" t="s">
        <v>202</v>
      </c>
      <c r="H120" s="117"/>
      <c r="I120" s="117"/>
      <c r="J120" s="123">
        <v>1.0</v>
      </c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24"/>
      <c r="AJ120" s="125"/>
      <c r="AK120" s="125"/>
      <c r="AL120" s="126"/>
      <c r="AM120" s="126"/>
    </row>
    <row r="121">
      <c r="A121" s="127"/>
      <c r="B121" s="128"/>
      <c r="C121" s="129" t="s">
        <v>203</v>
      </c>
      <c r="D121" s="130" t="s">
        <v>204</v>
      </c>
      <c r="E121" s="131">
        <v>120000.0</v>
      </c>
      <c r="F121" s="132">
        <v>240000.0</v>
      </c>
      <c r="G121" s="133" t="s">
        <v>155</v>
      </c>
      <c r="H121" s="128"/>
      <c r="I121" s="128"/>
      <c r="J121" s="134">
        <v>2.0</v>
      </c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35"/>
      <c r="AJ121" s="125"/>
      <c r="AK121" s="125"/>
      <c r="AL121" s="126"/>
      <c r="AM121" s="126"/>
    </row>
    <row r="122" ht="15.75" customHeight="1">
      <c r="A122" s="136"/>
      <c r="B122" s="137"/>
      <c r="C122" s="138" t="s">
        <v>205</v>
      </c>
      <c r="D122" s="139" t="s">
        <v>80</v>
      </c>
      <c r="E122" s="140">
        <v>1500000.0</v>
      </c>
      <c r="F122" s="140">
        <v>1500000.0</v>
      </c>
      <c r="G122" s="141" t="s">
        <v>202</v>
      </c>
      <c r="H122" s="137"/>
      <c r="I122" s="137"/>
      <c r="J122" s="137"/>
      <c r="K122" s="142">
        <v>1.0</v>
      </c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43"/>
      <c r="AJ122" s="125"/>
      <c r="AK122" s="125"/>
      <c r="AL122" s="126"/>
      <c r="AM122" s="126"/>
    </row>
    <row r="123" ht="15.75" customHeight="1">
      <c r="A123" s="144"/>
      <c r="B123" s="145"/>
      <c r="C123" s="145"/>
      <c r="D123" s="2"/>
      <c r="E123" s="9"/>
      <c r="F123" s="10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5.75" customHeight="1">
      <c r="A124" s="146" t="s">
        <v>206</v>
      </c>
      <c r="B124" s="6"/>
      <c r="C124" s="6"/>
      <c r="D124" s="147">
        <f>SUM(F12:F122)</f>
        <v>7154768.4</v>
      </c>
      <c r="E124" s="148"/>
      <c r="F124" s="148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5.75" hidden="1" customHeight="1">
      <c r="A125" s="149" t="s">
        <v>207</v>
      </c>
      <c r="B125" s="127"/>
      <c r="C125" s="127"/>
      <c r="D125" s="150">
        <f>PRODUCT(D124,0.1)</f>
        <v>715476.84</v>
      </c>
      <c r="E125" s="151"/>
      <c r="F125" s="152"/>
      <c r="G125" s="11"/>
      <c r="H125" s="11"/>
      <c r="I125" s="153"/>
      <c r="K125" s="153"/>
      <c r="AH125" s="153"/>
      <c r="AI125" s="2"/>
      <c r="AJ125" s="2"/>
      <c r="AK125" s="2"/>
    </row>
    <row r="126" ht="15.75" hidden="1" customHeight="1">
      <c r="A126" s="154" t="s">
        <v>208</v>
      </c>
      <c r="B126" s="116"/>
      <c r="C126" s="116"/>
      <c r="D126" s="155">
        <f>PRODUCT(D124,0.1)</f>
        <v>715476.84</v>
      </c>
      <c r="E126" s="156"/>
      <c r="F126" s="157"/>
      <c r="G126" s="11"/>
      <c r="H126" s="11"/>
      <c r="I126" s="158"/>
      <c r="J126" s="158"/>
      <c r="K126" s="159"/>
      <c r="AH126" s="159"/>
      <c r="AI126" s="2"/>
      <c r="AJ126" s="2"/>
      <c r="AK126" s="2"/>
    </row>
    <row r="127" ht="15.75" hidden="1" customHeight="1">
      <c r="A127" s="154" t="s">
        <v>209</v>
      </c>
      <c r="B127" s="116"/>
      <c r="C127" s="116"/>
      <c r="D127" s="155">
        <f>SUM(D124:F126)</f>
        <v>8585722.08</v>
      </c>
      <c r="E127" s="156"/>
      <c r="F127" s="157"/>
      <c r="G127" s="11"/>
      <c r="H127" s="11"/>
      <c r="I127" s="158"/>
      <c r="J127" s="158"/>
      <c r="K127" s="159"/>
      <c r="AH127" s="159"/>
      <c r="AI127" s="2"/>
      <c r="AJ127" s="2"/>
      <c r="AK127" s="2"/>
    </row>
    <row r="128" ht="15.75" customHeight="1">
      <c r="A128" s="160"/>
      <c r="B128" s="6"/>
      <c r="C128" s="6"/>
      <c r="D128" s="2"/>
      <c r="E128" s="9"/>
      <c r="F128" s="10"/>
      <c r="G128" s="11"/>
      <c r="H128" s="11"/>
      <c r="I128" s="158"/>
      <c r="J128" s="158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2"/>
      <c r="AJ128" s="2"/>
      <c r="AK128" s="2"/>
    </row>
    <row r="129" ht="15.75" customHeight="1">
      <c r="A129" s="161" t="s">
        <v>210</v>
      </c>
      <c r="B129" s="6"/>
      <c r="C129" s="6"/>
      <c r="D129" s="2"/>
      <c r="E129" s="9"/>
      <c r="F129" s="10"/>
      <c r="G129" s="11"/>
      <c r="H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5.75" customHeight="1">
      <c r="A130" s="23"/>
      <c r="B130" s="6"/>
      <c r="C130" s="6"/>
      <c r="D130" s="2"/>
      <c r="E130" s="9"/>
      <c r="F130" s="10"/>
      <c r="G130" s="11"/>
      <c r="H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5.75" customHeight="1">
      <c r="A131" s="162" t="s">
        <v>211</v>
      </c>
      <c r="B131" s="6"/>
      <c r="C131" s="6"/>
      <c r="D131" s="163" t="s">
        <v>212</v>
      </c>
      <c r="E131" s="164"/>
      <c r="F131" s="165"/>
      <c r="G131" s="166" t="s">
        <v>213</v>
      </c>
      <c r="H131" s="125"/>
      <c r="I131" s="125"/>
      <c r="J131" s="163" t="s">
        <v>214</v>
      </c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2"/>
      <c r="AK131" s="158"/>
    </row>
    <row r="132" ht="15.75" customHeight="1">
      <c r="A132" s="162"/>
      <c r="B132" s="6"/>
      <c r="C132" s="6"/>
      <c r="D132" s="125"/>
      <c r="E132" s="164"/>
      <c r="F132" s="16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58"/>
      <c r="AK132" s="158"/>
    </row>
    <row r="133" ht="15.75" customHeight="1">
      <c r="A133" s="6"/>
      <c r="B133" s="6"/>
      <c r="C133" s="6"/>
      <c r="D133" s="125"/>
      <c r="E133" s="164"/>
      <c r="F133" s="16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58"/>
      <c r="AK133" s="158"/>
    </row>
    <row r="134" ht="15.75" customHeight="1">
      <c r="A134" s="167" t="s">
        <v>215</v>
      </c>
      <c r="D134" s="163" t="s">
        <v>216</v>
      </c>
      <c r="E134" s="164"/>
      <c r="F134" s="165"/>
      <c r="G134" s="166" t="s">
        <v>217</v>
      </c>
      <c r="H134" s="125"/>
      <c r="I134" s="125"/>
      <c r="J134" s="163" t="s">
        <v>215</v>
      </c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2"/>
      <c r="AK134" s="2"/>
    </row>
    <row r="135" ht="15.0" customHeight="1">
      <c r="A135" s="168" t="s">
        <v>218</v>
      </c>
      <c r="D135" s="169" t="s">
        <v>219</v>
      </c>
      <c r="E135" s="164"/>
      <c r="F135" s="165"/>
      <c r="G135" s="125" t="s">
        <v>220</v>
      </c>
      <c r="H135" s="125"/>
      <c r="I135" s="125"/>
      <c r="J135" s="169" t="s">
        <v>221</v>
      </c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58"/>
      <c r="AK135" s="158"/>
    </row>
    <row r="136" ht="15.75" customHeight="1">
      <c r="A136" s="2"/>
      <c r="B136" s="2"/>
      <c r="C136" s="2"/>
      <c r="D136" s="125"/>
      <c r="E136" s="164"/>
      <c r="F136" s="16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2"/>
      <c r="AK136" s="2"/>
    </row>
    <row r="137" ht="15.75" customHeight="1">
      <c r="A137" s="2" t="s">
        <v>222</v>
      </c>
      <c r="B137" s="2"/>
      <c r="C137" s="2"/>
      <c r="D137" s="169" t="s">
        <v>223</v>
      </c>
      <c r="E137" s="164"/>
      <c r="F137" s="165"/>
      <c r="G137" s="125" t="s">
        <v>223</v>
      </c>
      <c r="H137" s="125"/>
      <c r="I137" s="125"/>
      <c r="J137" s="169" t="s">
        <v>223</v>
      </c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2"/>
      <c r="AK137" s="2"/>
    </row>
    <row r="138" ht="15.75" customHeight="1">
      <c r="D138" s="2"/>
      <c r="E138" s="9"/>
      <c r="F138" s="10"/>
      <c r="G138" s="11"/>
      <c r="H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5.75" customHeight="1">
      <c r="D139" s="2"/>
      <c r="E139" s="9"/>
      <c r="F139" s="10"/>
      <c r="G139" s="11"/>
      <c r="H139" s="1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5.75" customHeight="1">
      <c r="D140" s="2"/>
      <c r="E140" s="9"/>
      <c r="F140" s="10"/>
      <c r="G140" s="11"/>
      <c r="H140" s="1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5.75" customHeight="1">
      <c r="D141" s="2"/>
      <c r="E141" s="9"/>
      <c r="F141" s="10"/>
      <c r="G141" s="11"/>
      <c r="H141" s="1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5.75" customHeight="1">
      <c r="D142" s="2"/>
      <c r="E142" s="9"/>
      <c r="F142" s="10"/>
      <c r="G142" s="11"/>
      <c r="H142" s="1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5.75" customHeight="1">
      <c r="E143" s="170"/>
    </row>
    <row r="144" ht="15.75" customHeight="1">
      <c r="E144" s="170"/>
    </row>
    <row r="145" ht="15.75" customHeight="1">
      <c r="E145" s="170"/>
    </row>
    <row r="146" ht="15.75" customHeight="1">
      <c r="E146" s="170"/>
    </row>
    <row r="147" ht="15.75" customHeight="1">
      <c r="E147" s="170"/>
    </row>
    <row r="148" ht="15.75" customHeight="1">
      <c r="E148" s="170"/>
    </row>
    <row r="149" ht="15.75" customHeight="1">
      <c r="E149" s="170"/>
    </row>
    <row r="150" ht="15.75" customHeight="1">
      <c r="E150" s="170"/>
    </row>
    <row r="151" ht="15.75" customHeight="1">
      <c r="E151" s="170"/>
    </row>
    <row r="152" ht="15.75" customHeight="1">
      <c r="E152" s="170"/>
    </row>
    <row r="153" ht="15.75" customHeight="1">
      <c r="E153" s="170"/>
    </row>
    <row r="154" ht="15.75" customHeight="1">
      <c r="E154" s="170"/>
    </row>
    <row r="155" ht="15.75" customHeight="1">
      <c r="E155" s="170"/>
    </row>
    <row r="156" ht="15.75" customHeight="1">
      <c r="E156" s="170"/>
    </row>
    <row r="157" ht="15.75" customHeight="1">
      <c r="E157" s="170"/>
    </row>
    <row r="158" ht="15.75" customHeight="1">
      <c r="E158" s="170"/>
    </row>
    <row r="159" ht="15.75" customHeight="1">
      <c r="E159" s="170"/>
    </row>
    <row r="160" ht="15.75" customHeight="1">
      <c r="E160" s="170"/>
    </row>
    <row r="161" ht="15.75" customHeight="1">
      <c r="E161" s="170"/>
    </row>
    <row r="162" ht="15.75" customHeight="1">
      <c r="E162" s="170"/>
    </row>
    <row r="163" ht="15.75" customHeight="1">
      <c r="E163" s="170"/>
    </row>
    <row r="164" ht="15.75" customHeight="1">
      <c r="E164" s="170"/>
    </row>
    <row r="165" ht="15.75" customHeight="1">
      <c r="E165" s="170"/>
    </row>
    <row r="166" ht="15.75" customHeight="1">
      <c r="E166" s="170"/>
    </row>
    <row r="167" ht="15.75" customHeight="1">
      <c r="E167" s="170"/>
    </row>
    <row r="168" ht="15.75" customHeight="1">
      <c r="E168" s="170"/>
    </row>
    <row r="169" ht="15.75" customHeight="1">
      <c r="E169" s="170"/>
    </row>
    <row r="170" ht="15.75" customHeight="1">
      <c r="E170" s="170"/>
    </row>
    <row r="171" ht="15.75" customHeight="1">
      <c r="E171" s="170"/>
    </row>
    <row r="172" ht="15.75" customHeight="1">
      <c r="E172" s="170"/>
    </row>
    <row r="173" ht="15.75" customHeight="1">
      <c r="E173" s="170"/>
    </row>
    <row r="174" ht="15.75" customHeight="1">
      <c r="E174" s="170"/>
    </row>
    <row r="175" ht="15.75" customHeight="1">
      <c r="E175" s="170"/>
    </row>
    <row r="176" ht="15.75" customHeight="1">
      <c r="E176" s="170"/>
    </row>
    <row r="177" ht="15.75" customHeight="1">
      <c r="E177" s="170"/>
    </row>
    <row r="178" ht="15.75" customHeight="1">
      <c r="E178" s="170"/>
    </row>
    <row r="179" ht="15.75" customHeight="1">
      <c r="E179" s="170"/>
    </row>
    <row r="180" ht="15.75" customHeight="1">
      <c r="E180" s="170"/>
    </row>
    <row r="181" ht="15.75" customHeight="1">
      <c r="E181" s="170"/>
    </row>
    <row r="182" ht="15.75" customHeight="1">
      <c r="E182" s="170"/>
    </row>
    <row r="183" ht="15.75" customHeight="1">
      <c r="E183" s="170"/>
    </row>
    <row r="184" ht="15.75" customHeight="1">
      <c r="E184" s="170"/>
    </row>
    <row r="185" ht="15.75" customHeight="1">
      <c r="E185" s="170"/>
    </row>
    <row r="186" ht="15.75" customHeight="1">
      <c r="E186" s="170"/>
    </row>
    <row r="187" ht="15.75" customHeight="1">
      <c r="E187" s="170"/>
    </row>
    <row r="188" ht="15.75" customHeight="1">
      <c r="E188" s="170"/>
    </row>
    <row r="189" ht="15.75" customHeight="1">
      <c r="E189" s="170"/>
    </row>
    <row r="190" ht="15.75" customHeight="1">
      <c r="E190" s="170"/>
    </row>
    <row r="191" ht="15.75" customHeight="1">
      <c r="E191" s="170"/>
    </row>
    <row r="192" ht="15.75" customHeight="1">
      <c r="E192" s="170"/>
    </row>
    <row r="193" ht="15.75" customHeight="1">
      <c r="E193" s="170"/>
    </row>
    <row r="194" ht="15.75" customHeight="1">
      <c r="E194" s="170"/>
    </row>
    <row r="195" ht="15.75" customHeight="1">
      <c r="E195" s="170"/>
    </row>
    <row r="196" ht="15.75" customHeight="1">
      <c r="E196" s="170"/>
    </row>
    <row r="197" ht="15.75" customHeight="1">
      <c r="E197" s="170"/>
    </row>
    <row r="198" ht="15.75" customHeight="1">
      <c r="E198" s="170"/>
    </row>
    <row r="199" ht="15.75" customHeight="1">
      <c r="E199" s="170"/>
    </row>
    <row r="200" ht="15.75" customHeight="1">
      <c r="E200" s="170"/>
    </row>
    <row r="201" ht="15.75" customHeight="1">
      <c r="E201" s="170"/>
    </row>
    <row r="202" ht="15.75" customHeight="1">
      <c r="E202" s="170"/>
    </row>
    <row r="203" ht="15.75" customHeight="1">
      <c r="E203" s="170"/>
    </row>
    <row r="204" ht="15.75" customHeight="1">
      <c r="E204" s="170"/>
    </row>
    <row r="205" ht="15.75" customHeight="1">
      <c r="E205" s="170"/>
    </row>
    <row r="206" ht="15.75" customHeight="1">
      <c r="E206" s="170"/>
    </row>
    <row r="207" ht="15.75" customHeight="1">
      <c r="E207" s="170"/>
    </row>
    <row r="208" ht="15.75" customHeight="1">
      <c r="E208" s="170"/>
    </row>
    <row r="209" ht="15.75" customHeight="1">
      <c r="E209" s="170"/>
    </row>
    <row r="210" ht="15.75" customHeight="1">
      <c r="E210" s="170"/>
    </row>
    <row r="211" ht="15.75" customHeight="1">
      <c r="E211" s="170"/>
    </row>
    <row r="212" ht="15.75" customHeight="1">
      <c r="E212" s="170"/>
    </row>
    <row r="213" ht="15.75" customHeight="1">
      <c r="E213" s="170"/>
    </row>
    <row r="214" ht="15.75" customHeight="1">
      <c r="E214" s="170"/>
    </row>
    <row r="215" ht="15.75" customHeight="1">
      <c r="E215" s="170"/>
    </row>
    <row r="216" ht="15.75" customHeight="1">
      <c r="E216" s="170"/>
    </row>
    <row r="217" ht="15.75" customHeight="1">
      <c r="E217" s="170"/>
    </row>
    <row r="218" ht="15.75" customHeight="1">
      <c r="E218" s="170"/>
    </row>
    <row r="219" ht="15.75" customHeight="1">
      <c r="E219" s="170"/>
    </row>
    <row r="220" ht="15.75" customHeight="1">
      <c r="E220" s="170"/>
    </row>
    <row r="221" ht="15.75" customHeight="1">
      <c r="E221" s="170"/>
    </row>
    <row r="222" ht="15.75" customHeight="1">
      <c r="E222" s="170"/>
    </row>
    <row r="223" ht="15.75" customHeight="1">
      <c r="E223" s="170"/>
    </row>
    <row r="224" ht="15.75" customHeight="1">
      <c r="E224" s="170"/>
    </row>
    <row r="225" ht="15.75" customHeight="1">
      <c r="E225" s="170"/>
    </row>
    <row r="226" ht="15.75" customHeight="1">
      <c r="E226" s="170"/>
    </row>
    <row r="227" ht="15.75" customHeight="1">
      <c r="E227" s="170"/>
    </row>
    <row r="228" ht="15.75" customHeight="1">
      <c r="E228" s="170"/>
    </row>
    <row r="229" ht="15.75" customHeight="1">
      <c r="E229" s="170"/>
    </row>
    <row r="230" ht="15.75" customHeight="1">
      <c r="E230" s="170"/>
    </row>
    <row r="231" ht="15.75" customHeight="1">
      <c r="E231" s="170"/>
    </row>
    <row r="232" ht="15.75" customHeight="1">
      <c r="E232" s="170"/>
    </row>
    <row r="233" ht="15.75" customHeight="1">
      <c r="E233" s="170"/>
    </row>
    <row r="234" ht="15.75" customHeight="1">
      <c r="E234" s="170"/>
    </row>
    <row r="235" ht="15.75" customHeight="1">
      <c r="E235" s="170"/>
    </row>
    <row r="236" ht="15.75" customHeight="1">
      <c r="E236" s="170"/>
    </row>
    <row r="237" ht="15.75" customHeight="1">
      <c r="E237" s="170"/>
    </row>
    <row r="238" ht="15.75" customHeight="1">
      <c r="E238" s="170"/>
    </row>
    <row r="239" ht="15.75" customHeight="1">
      <c r="E239" s="170"/>
    </row>
    <row r="240" ht="15.75" customHeight="1">
      <c r="E240" s="170"/>
    </row>
    <row r="241" ht="15.75" customHeight="1">
      <c r="E241" s="170"/>
    </row>
    <row r="242" ht="15.75" customHeight="1">
      <c r="E242" s="170"/>
    </row>
    <row r="243" ht="15.75" customHeight="1">
      <c r="E243" s="170"/>
    </row>
    <row r="244" ht="15.75" customHeight="1">
      <c r="E244" s="170"/>
    </row>
    <row r="245" ht="15.75" customHeight="1">
      <c r="E245" s="170"/>
    </row>
    <row r="246" ht="15.75" customHeight="1">
      <c r="E246" s="170"/>
    </row>
    <row r="247" ht="15.75" customHeight="1">
      <c r="E247" s="170"/>
    </row>
    <row r="248" ht="15.75" customHeight="1">
      <c r="E248" s="170"/>
    </row>
    <row r="249" ht="15.75" customHeight="1">
      <c r="E249" s="170"/>
    </row>
    <row r="250" ht="15.75" customHeight="1">
      <c r="E250" s="170"/>
    </row>
    <row r="251" ht="15.75" customHeight="1">
      <c r="E251" s="170"/>
    </row>
    <row r="252" ht="15.75" customHeight="1">
      <c r="E252" s="170"/>
    </row>
    <row r="253" ht="15.75" customHeight="1">
      <c r="E253" s="170"/>
    </row>
    <row r="254" ht="15.75" customHeight="1">
      <c r="E254" s="170"/>
    </row>
    <row r="255" ht="15.75" customHeight="1">
      <c r="E255" s="170"/>
    </row>
    <row r="256" ht="15.75" customHeight="1">
      <c r="E256" s="170"/>
    </row>
    <row r="257" ht="15.75" customHeight="1">
      <c r="E257" s="170"/>
    </row>
    <row r="258" ht="15.75" customHeight="1">
      <c r="E258" s="170"/>
    </row>
    <row r="259" ht="15.75" customHeight="1">
      <c r="E259" s="170"/>
    </row>
    <row r="260" ht="15.75" customHeight="1">
      <c r="E260" s="170"/>
    </row>
    <row r="261" ht="15.75" customHeight="1">
      <c r="E261" s="170"/>
    </row>
    <row r="262" ht="15.75" customHeight="1">
      <c r="E262" s="170"/>
    </row>
    <row r="263" ht="15.75" customHeight="1">
      <c r="E263" s="170"/>
    </row>
    <row r="264" ht="15.75" customHeight="1">
      <c r="E264" s="170"/>
    </row>
    <row r="265" ht="15.75" customHeight="1">
      <c r="E265" s="170"/>
    </row>
    <row r="266" ht="15.75" customHeight="1">
      <c r="E266" s="170"/>
    </row>
    <row r="267" ht="15.75" customHeight="1">
      <c r="E267" s="170"/>
    </row>
    <row r="268" ht="15.75" customHeight="1">
      <c r="E268" s="170"/>
    </row>
    <row r="269" ht="15.75" customHeight="1">
      <c r="E269" s="170"/>
    </row>
    <row r="270" ht="15.75" customHeight="1">
      <c r="E270" s="170"/>
    </row>
    <row r="271" ht="15.75" customHeight="1">
      <c r="E271" s="170"/>
    </row>
    <row r="272" ht="15.75" customHeight="1">
      <c r="E272" s="170"/>
    </row>
    <row r="273" ht="15.75" customHeight="1">
      <c r="E273" s="170"/>
    </row>
    <row r="274" ht="15.75" customHeight="1">
      <c r="E274" s="170"/>
    </row>
    <row r="275" ht="15.75" customHeight="1">
      <c r="E275" s="170"/>
    </row>
    <row r="276" ht="15.75" customHeight="1">
      <c r="E276" s="170"/>
    </row>
    <row r="277" ht="15.75" customHeight="1">
      <c r="E277" s="170"/>
    </row>
    <row r="278" ht="15.75" customHeight="1">
      <c r="E278" s="170"/>
    </row>
    <row r="279" ht="15.75" customHeight="1">
      <c r="E279" s="170"/>
    </row>
    <row r="280" ht="15.75" customHeight="1">
      <c r="E280" s="170"/>
    </row>
    <row r="281" ht="15.75" customHeight="1">
      <c r="E281" s="170"/>
    </row>
    <row r="282" ht="15.75" customHeight="1">
      <c r="E282" s="170"/>
    </row>
    <row r="283" ht="15.75" customHeight="1">
      <c r="E283" s="170"/>
    </row>
    <row r="284" ht="15.75" customHeight="1">
      <c r="E284" s="170"/>
    </row>
    <row r="285" ht="15.75" customHeight="1">
      <c r="E285" s="170"/>
    </row>
    <row r="286" ht="15.75" customHeight="1">
      <c r="E286" s="170"/>
    </row>
    <row r="287" ht="15.75" customHeight="1">
      <c r="E287" s="170"/>
    </row>
    <row r="288" ht="15.75" customHeight="1">
      <c r="E288" s="170"/>
    </row>
    <row r="289" ht="15.75" customHeight="1">
      <c r="E289" s="170"/>
    </row>
    <row r="290" ht="15.75" customHeight="1">
      <c r="E290" s="170"/>
    </row>
    <row r="291" ht="15.75" customHeight="1">
      <c r="E291" s="170"/>
    </row>
    <row r="292" ht="15.75" customHeight="1">
      <c r="E292" s="170"/>
    </row>
    <row r="293" ht="15.75" customHeight="1">
      <c r="E293" s="170"/>
    </row>
    <row r="294" ht="15.75" customHeight="1">
      <c r="E294" s="170"/>
    </row>
    <row r="295" ht="15.75" customHeight="1">
      <c r="E295" s="170"/>
    </row>
    <row r="296" ht="15.75" customHeight="1">
      <c r="E296" s="170"/>
    </row>
    <row r="297" ht="15.75" customHeight="1">
      <c r="E297" s="170"/>
    </row>
    <row r="298" ht="15.75" customHeight="1">
      <c r="E298" s="170"/>
    </row>
    <row r="299" ht="15.75" customHeight="1">
      <c r="E299" s="170"/>
    </row>
    <row r="300" ht="15.75" customHeight="1">
      <c r="E300" s="170"/>
    </row>
    <row r="301" ht="15.75" customHeight="1">
      <c r="E301" s="170"/>
    </row>
    <row r="302" ht="15.75" customHeight="1">
      <c r="E302" s="170"/>
    </row>
    <row r="303" ht="15.75" customHeight="1">
      <c r="E303" s="170"/>
    </row>
    <row r="304" ht="15.75" customHeight="1">
      <c r="E304" s="170"/>
    </row>
    <row r="305" ht="15.75" customHeight="1">
      <c r="E305" s="170"/>
    </row>
    <row r="306" ht="15.75" customHeight="1">
      <c r="E306" s="170"/>
    </row>
    <row r="307" ht="15.75" customHeight="1">
      <c r="E307" s="170"/>
    </row>
    <row r="308" ht="15.75" customHeight="1">
      <c r="E308" s="170"/>
    </row>
    <row r="309" ht="15.75" customHeight="1">
      <c r="E309" s="170"/>
    </row>
    <row r="310" ht="15.75" customHeight="1">
      <c r="E310" s="170"/>
    </row>
    <row r="311" ht="15.75" customHeight="1">
      <c r="E311" s="170"/>
    </row>
    <row r="312" ht="15.75" customHeight="1">
      <c r="E312" s="170"/>
    </row>
    <row r="313" ht="15.75" customHeight="1">
      <c r="E313" s="170"/>
    </row>
    <row r="314" ht="15.75" customHeight="1">
      <c r="E314" s="170"/>
    </row>
    <row r="315" ht="15.75" customHeight="1">
      <c r="E315" s="170"/>
    </row>
    <row r="316" ht="15.75" customHeight="1">
      <c r="E316" s="170"/>
    </row>
    <row r="317" ht="15.75" customHeight="1">
      <c r="E317" s="170"/>
    </row>
    <row r="318" ht="15.75" customHeight="1">
      <c r="E318" s="170"/>
    </row>
    <row r="319" ht="15.75" customHeight="1">
      <c r="E319" s="170"/>
    </row>
    <row r="320" ht="15.75" customHeight="1">
      <c r="E320" s="170"/>
    </row>
    <row r="321" ht="15.75" customHeight="1">
      <c r="E321" s="170"/>
    </row>
    <row r="322" ht="15.75" customHeight="1">
      <c r="E322" s="170"/>
    </row>
    <row r="323" ht="15.75" customHeight="1">
      <c r="E323" s="170"/>
    </row>
    <row r="324" ht="15.75" customHeight="1">
      <c r="E324" s="170"/>
    </row>
    <row r="325" ht="15.75" customHeight="1">
      <c r="E325" s="170"/>
    </row>
    <row r="326" ht="15.75" customHeight="1">
      <c r="E326" s="170"/>
    </row>
    <row r="327" ht="15.75" customHeight="1">
      <c r="E327" s="170"/>
    </row>
    <row r="328" ht="15.75" customHeight="1">
      <c r="E328" s="170"/>
    </row>
    <row r="329" ht="15.75" customHeight="1">
      <c r="E329" s="170"/>
    </row>
    <row r="330" ht="15.75" customHeight="1">
      <c r="E330" s="170"/>
    </row>
    <row r="331" ht="15.75" customHeight="1">
      <c r="E331" s="170"/>
    </row>
    <row r="332" ht="15.75" customHeight="1">
      <c r="E332" s="170"/>
    </row>
    <row r="333" ht="15.75" customHeight="1">
      <c r="E333" s="170"/>
    </row>
    <row r="334" ht="15.75" customHeight="1">
      <c r="E334" s="170"/>
    </row>
    <row r="335" ht="15.75" customHeight="1">
      <c r="E335" s="170"/>
    </row>
    <row r="336" ht="15.75" customHeight="1">
      <c r="E336" s="170"/>
    </row>
    <row r="337" ht="15.75" customHeight="1">
      <c r="E337" s="170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mergeCells count="57">
    <mergeCell ref="F55:F58"/>
    <mergeCell ref="G55:G58"/>
    <mergeCell ref="F59:F65"/>
    <mergeCell ref="G59:G65"/>
    <mergeCell ref="F66:F67"/>
    <mergeCell ref="G66:G67"/>
    <mergeCell ref="D80:D82"/>
    <mergeCell ref="D124:F124"/>
    <mergeCell ref="D125:F125"/>
    <mergeCell ref="I125:J125"/>
    <mergeCell ref="D126:F126"/>
    <mergeCell ref="D127:F127"/>
    <mergeCell ref="D83:D85"/>
    <mergeCell ref="F83:F85"/>
    <mergeCell ref="G83:G85"/>
    <mergeCell ref="D89:D95"/>
    <mergeCell ref="F89:F95"/>
    <mergeCell ref="G89:G95"/>
    <mergeCell ref="D96:D98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F16:F26"/>
    <mergeCell ref="G16:G26"/>
    <mergeCell ref="F27:F28"/>
    <mergeCell ref="G27:G28"/>
    <mergeCell ref="G39:G40"/>
    <mergeCell ref="F39:F40"/>
    <mergeCell ref="F43:F48"/>
    <mergeCell ref="G43:G48"/>
    <mergeCell ref="H43:H48"/>
    <mergeCell ref="F52:F53"/>
    <mergeCell ref="G52:G53"/>
    <mergeCell ref="H52:H53"/>
    <mergeCell ref="F80:F82"/>
    <mergeCell ref="G80:G82"/>
    <mergeCell ref="H80:H82"/>
    <mergeCell ref="F96:F98"/>
    <mergeCell ref="G96:G98"/>
    <mergeCell ref="H96:H98"/>
    <mergeCell ref="A134:C134"/>
    <mergeCell ref="A135:C135"/>
    <mergeCell ref="D99:D101"/>
    <mergeCell ref="F99:F101"/>
    <mergeCell ref="G99:G101"/>
    <mergeCell ref="H99:H101"/>
    <mergeCell ref="K125:AG125"/>
    <mergeCell ref="K126:AG126"/>
    <mergeCell ref="K127:AG127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