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ngie\"/>
    </mc:Choice>
  </mc:AlternateContent>
  <bookViews>
    <workbookView xWindow="-90" yWindow="0" windowWidth="22395" windowHeight="12330"/>
  </bookViews>
  <sheets>
    <sheet name="PPMP Sample 1 (2)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AVJUPN3E3XE2npPAuUArDTtEXB5fdJd7H+C1+NyjAzU="/>
    </ext>
  </extLst>
</workbook>
</file>

<file path=xl/calcChain.xml><?xml version="1.0" encoding="utf-8"?>
<calcChain xmlns="http://schemas.openxmlformats.org/spreadsheetml/2006/main">
  <c r="C50" i="1" l="1"/>
  <c r="E47" i="1"/>
  <c r="J50" i="1"/>
  <c r="G50" i="1"/>
  <c r="F50" i="1"/>
  <c r="E50" i="1"/>
  <c r="E49" i="1"/>
  <c r="E55" i="1"/>
  <c r="F53" i="1"/>
  <c r="F55" i="1" s="1"/>
  <c r="E53" i="1"/>
  <c r="E39" i="1"/>
  <c r="F38" i="1"/>
  <c r="F39" i="1" s="1"/>
  <c r="D28" i="1"/>
  <c r="E44" i="1"/>
  <c r="C77" i="1"/>
  <c r="C76" i="1"/>
  <c r="E46" i="1"/>
  <c r="E45" i="1"/>
  <c r="E43" i="1"/>
  <c r="D37" i="1"/>
  <c r="D36" i="1"/>
  <c r="D35" i="1"/>
  <c r="D34" i="1"/>
  <c r="D33" i="1"/>
  <c r="D32" i="1"/>
  <c r="D31" i="1"/>
  <c r="D30" i="1"/>
  <c r="D29" i="1"/>
  <c r="E29" i="1" s="1"/>
  <c r="D27" i="1"/>
  <c r="D26" i="1"/>
  <c r="D25" i="1"/>
  <c r="D24" i="1"/>
  <c r="D23" i="1"/>
  <c r="D22" i="1"/>
  <c r="D21" i="1"/>
  <c r="E20" i="1"/>
  <c r="D20" i="1"/>
  <c r="E18" i="1"/>
  <c r="E17" i="1"/>
  <c r="E16" i="1"/>
  <c r="E15" i="1"/>
  <c r="E14" i="1"/>
  <c r="D13" i="1"/>
  <c r="E12" i="1"/>
  <c r="E11" i="1"/>
  <c r="U9" i="1"/>
  <c r="E75" i="1" l="1"/>
  <c r="C78" i="1" s="1"/>
</calcChain>
</file>

<file path=xl/comments1.xml><?xml version="1.0" encoding="utf-8"?>
<comments xmlns="http://schemas.openxmlformats.org/spreadsheetml/2006/main">
  <authors>
    <author/>
  </authors>
  <commentList>
    <comment ref="A82" authorId="0" shapeId="0">
      <text>
        <r>
          <rPr>
            <sz val="11"/>
            <color theme="1"/>
            <rFont val="Arial"/>
            <scheme val="minor"/>
          </rPr>
          <t>======
ID#AAABEIv051o
upmnih    (2021-04-08 04:25:07)
Prepared by: Project Staff/ Research Associate</t>
        </r>
      </text>
    </comment>
    <comment ref="C82" authorId="0" shapeId="0">
      <text>
        <r>
          <rPr>
            <sz val="11"/>
            <color theme="1"/>
            <rFont val="Arial"/>
            <scheme val="minor"/>
          </rPr>
          <t>======
ID#AAABEIv051s
upmnih    (2021-04-08 04:25:07)
Submitted by: Project Leader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kVKPbeR+So1v6j9q2IawHyHdzg=="/>
    </ext>
  </extLst>
</comments>
</file>

<file path=xl/sharedStrings.xml><?xml version="1.0" encoding="utf-8"?>
<sst xmlns="http://schemas.openxmlformats.org/spreadsheetml/2006/main" count="200" uniqueCount="122">
  <si>
    <t xml:space="preserve">  PROJECT PROCUREMENT MANAGEMENT PLAN (PPMP) 2024</t>
  </si>
  <si>
    <t>END-USER/UNIT: RDD-NFUS</t>
  </si>
  <si>
    <t>Charged to: Semi-Worsted High Natural Textile Fiber Compact Yarns for Knitted Fabrics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</si>
  <si>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</si>
  <si>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</si>
  <si>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</si>
  <si>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</si>
  <si>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</si>
  <si>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</si>
  <si>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</si>
  <si>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</si>
  <si>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</si>
  <si>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</si>
  <si>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</si>
  <si>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</si>
  <si>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</si>
  <si>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</si>
  <si>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</si>
  <si>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</si>
  <si>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</si>
  <si>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</si>
  <si>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</si>
  <si>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</si>
  <si>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</si>
  <si>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Office Supplies</t>
  </si>
  <si>
    <t>A4 paper/500 pcs/ream</t>
  </si>
  <si>
    <t>6 ream</t>
  </si>
  <si>
    <t>Shopping</t>
  </si>
  <si>
    <t>Legal Bond Paper 13x8.5/500pcs</t>
  </si>
  <si>
    <t xml:space="preserve">6 ream </t>
  </si>
  <si>
    <t>Folder for A4 size documents, 10 pcs per pack</t>
  </si>
  <si>
    <t>20 packs</t>
  </si>
  <si>
    <t>Ballpen (gel pen, blue ink, 12 pieces per box)</t>
  </si>
  <si>
    <t>4 box</t>
  </si>
  <si>
    <t>Staple wire, No. 35</t>
  </si>
  <si>
    <t>10 box</t>
  </si>
  <si>
    <t>Sticky notes 3 x 3, Yellow</t>
  </si>
  <si>
    <t>30 pkt</t>
  </si>
  <si>
    <t>Label Index Stickers, 5 colors</t>
  </si>
  <si>
    <t>20 pcs</t>
  </si>
  <si>
    <t>Pink paper, A4</t>
  </si>
  <si>
    <t>5 ream</t>
  </si>
  <si>
    <t>External hard drive, 1TB</t>
  </si>
  <si>
    <t>1 pc</t>
  </si>
  <si>
    <t>Wireless mouse</t>
  </si>
  <si>
    <t xml:space="preserve">1pc </t>
  </si>
  <si>
    <t>Binder Clip 4 per pack black</t>
  </si>
  <si>
    <t>Binder clip 2 per pack black</t>
  </si>
  <si>
    <t>Paper clip vinyl coated assorted 100s</t>
  </si>
  <si>
    <t>5 packs</t>
  </si>
  <si>
    <t>Envelope document 5/pack</t>
  </si>
  <si>
    <t>10 packs</t>
  </si>
  <si>
    <t>Envelope expanding with elastic, legal</t>
  </si>
  <si>
    <t>Sticky flags</t>
  </si>
  <si>
    <t>Long brown envelope</t>
  </si>
  <si>
    <t>50 packs</t>
  </si>
  <si>
    <t>Black ink for printer,</t>
  </si>
  <si>
    <t>8 carts</t>
  </si>
  <si>
    <t xml:space="preserve">Colored ink for printer (3 cartridges) </t>
  </si>
  <si>
    <t>9 carts</t>
  </si>
  <si>
    <t>Blue sign pens</t>
  </si>
  <si>
    <t>10 pcs</t>
  </si>
  <si>
    <t xml:space="preserve">Regular pens, blue </t>
  </si>
  <si>
    <t>50 pieces</t>
  </si>
  <si>
    <t>Permanent markers</t>
  </si>
  <si>
    <t>10 pieces</t>
  </si>
  <si>
    <t>Transparent tape</t>
  </si>
  <si>
    <t>6 pieces</t>
  </si>
  <si>
    <t>Stapler</t>
  </si>
  <si>
    <t>2 pieces</t>
  </si>
  <si>
    <t>Staple wires</t>
  </si>
  <si>
    <t>6 boxes</t>
  </si>
  <si>
    <t>Scissors</t>
  </si>
  <si>
    <t xml:space="preserve">Pineapple Leaf fibers (PALF) deco-brushed </t>
  </si>
  <si>
    <t>100 kgs</t>
  </si>
  <si>
    <t>Small Value Procurement</t>
  </si>
  <si>
    <t xml:space="preserve">Banana fibers </t>
  </si>
  <si>
    <t>Acetic Acid, glacial tech grade 30kg/cby</t>
  </si>
  <si>
    <t>2 cby</t>
  </si>
  <si>
    <t>Fiber Softener</t>
  </si>
  <si>
    <t>10 kg</t>
  </si>
  <si>
    <t>Industrial Detergent</t>
  </si>
  <si>
    <t>4 gal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</si>
  <si>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</si>
  <si>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</si>
  <si>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</si>
  <si>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</si>
  <si>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</si>
  <si>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</si>
  <si>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</si>
  <si>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</si>
  <si>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</si>
  <si>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</si>
  <si>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</si>
  <si>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</si>
  <si>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_Ronald S. Pechera______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</si>
  <si>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</si>
  <si>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</si>
  <si>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</si>
  <si>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</si>
  <si>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</si>
  <si>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</si>
  <si>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</si>
  <si>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</si>
  <si>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 xml:space="preserve">1 lot </t>
  </si>
  <si>
    <t>Other Professional services</t>
  </si>
  <si>
    <t xml:space="preserve">Pineapple Leaf fibers (PALF) deco-unbrushed </t>
  </si>
  <si>
    <t>April</t>
  </si>
  <si>
    <t>May</t>
  </si>
  <si>
    <t>Jun</t>
  </si>
  <si>
    <t>AAA batteries</t>
  </si>
  <si>
    <t>4 packs</t>
  </si>
  <si>
    <t>AA Batteries</t>
  </si>
  <si>
    <t xml:space="preserve">Professional Services </t>
  </si>
  <si>
    <t>Brokerage Fees (Powerloom Machine)</t>
  </si>
  <si>
    <t>Laboratory / Other Supplies</t>
  </si>
  <si>
    <t>30 days</t>
  </si>
  <si>
    <t>15 days</t>
  </si>
  <si>
    <t xml:space="preserve">100 pcs </t>
  </si>
  <si>
    <t>Pe Plastic bags 35"x50"x0.02"</t>
  </si>
  <si>
    <t>Pe Plastic bags 24"x 36"x0.02</t>
  </si>
  <si>
    <t>For 2nd Quarter of CY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</si>
</sst>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3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1"/>
      <name val="Arial"/>
    </font>
    <font>
      <sz val="9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b/>
      <u/>
      <sz val="10"/>
      <color theme="1"/>
      <name val="Arial"/>
    </font>
    <font>
      <sz val="11"/>
      <color theme="1"/>
      <name val="Calibri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0" xfId="0" applyFont="1"/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9" fillId="0" borderId="11" xfId="0" applyFont="1" applyBorder="1"/>
    <xf numFmtId="0" fontId="6" fillId="0" borderId="12" xfId="0" applyFont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4" fontId="6" fillId="2" borderId="14" xfId="0" applyNumberFormat="1" applyFont="1" applyFill="1" applyBorder="1" applyAlignment="1">
      <alignment horizontal="right" vertical="center" wrapText="1"/>
    </xf>
    <xf numFmtId="164" fontId="6" fillId="2" borderId="14" xfId="0" applyNumberFormat="1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wrapText="1"/>
    </xf>
    <xf numFmtId="49" fontId="2" fillId="0" borderId="16" xfId="0" applyNumberFormat="1" applyFont="1" applyBorder="1"/>
    <xf numFmtId="0" fontId="2" fillId="0" borderId="16" xfId="0" applyFont="1" applyBorder="1" applyAlignment="1">
      <alignment horizontal="center" wrapText="1"/>
    </xf>
    <xf numFmtId="0" fontId="2" fillId="0" borderId="16" xfId="0" applyFont="1" applyBorder="1" applyAlignment="1">
      <alignment horizontal="center" vertical="center" wrapText="1"/>
    </xf>
    <xf numFmtId="4" fontId="2" fillId="0" borderId="16" xfId="0" applyNumberFormat="1" applyFont="1" applyBorder="1" applyAlignment="1">
      <alignment horizontal="right"/>
    </xf>
    <xf numFmtId="0" fontId="2" fillId="0" borderId="17" xfId="0" applyFont="1" applyBorder="1"/>
    <xf numFmtId="0" fontId="2" fillId="0" borderId="16" xfId="0" applyFont="1" applyBorder="1"/>
    <xf numFmtId="0" fontId="10" fillId="0" borderId="18" xfId="0" applyFont="1" applyBorder="1" applyAlignment="1">
      <alignment horizontal="center" wrapText="1"/>
    </xf>
    <xf numFmtId="49" fontId="2" fillId="0" borderId="18" xfId="0" applyNumberFormat="1" applyFont="1" applyBorder="1"/>
    <xf numFmtId="0" fontId="2" fillId="0" borderId="18" xfId="0" applyFont="1" applyBorder="1" applyAlignment="1">
      <alignment horizontal="center" wrapText="1"/>
    </xf>
    <xf numFmtId="0" fontId="2" fillId="0" borderId="18" xfId="0" applyFont="1" applyBorder="1" applyAlignment="1">
      <alignment horizontal="center" vertical="center" wrapText="1"/>
    </xf>
    <xf numFmtId="4" fontId="2" fillId="0" borderId="18" xfId="0" applyNumberFormat="1" applyFont="1" applyBorder="1" applyAlignment="1">
      <alignment horizontal="right"/>
    </xf>
    <xf numFmtId="0" fontId="11" fillId="0" borderId="18" xfId="0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left"/>
    </xf>
    <xf numFmtId="4" fontId="2" fillId="0" borderId="18" xfId="0" applyNumberFormat="1" applyFont="1" applyBorder="1" applyAlignment="1">
      <alignment horizontal="center" vertical="center" wrapText="1"/>
    </xf>
    <xf numFmtId="164" fontId="2" fillId="0" borderId="18" xfId="0" applyNumberFormat="1" applyFont="1" applyBorder="1" applyAlignment="1">
      <alignment horizontal="center" vertical="center" wrapText="1"/>
    </xf>
    <xf numFmtId="0" fontId="2" fillId="3" borderId="16" xfId="0" applyFont="1" applyFill="1" applyBorder="1" applyAlignment="1">
      <alignment wrapText="1"/>
    </xf>
    <xf numFmtId="164" fontId="2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wrapText="1"/>
    </xf>
    <xf numFmtId="0" fontId="11" fillId="0" borderId="20" xfId="0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4" fontId="2" fillId="0" borderId="22" xfId="0" applyNumberFormat="1" applyFont="1" applyBorder="1" applyAlignment="1">
      <alignment horizontal="right" vertical="center" wrapText="1"/>
    </xf>
    <xf numFmtId="164" fontId="2" fillId="0" borderId="22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4" fontId="2" fillId="0" borderId="18" xfId="0" applyNumberFormat="1" applyFont="1" applyBorder="1" applyAlignment="1">
      <alignment horizontal="right" vertical="center" wrapText="1"/>
    </xf>
    <xf numFmtId="49" fontId="2" fillId="0" borderId="21" xfId="0" applyNumberFormat="1" applyFont="1" applyBorder="1"/>
    <xf numFmtId="0" fontId="2" fillId="0" borderId="18" xfId="0" applyFont="1" applyBorder="1" applyAlignment="1">
      <alignment horizontal="right" vertical="center" wrapText="1"/>
    </xf>
    <xf numFmtId="0" fontId="11" fillId="2" borderId="23" xfId="0" applyFont="1" applyFill="1" applyBorder="1" applyAlignment="1">
      <alignment horizontal="left" vertical="center"/>
    </xf>
    <xf numFmtId="0" fontId="2" fillId="2" borderId="16" xfId="0" applyFont="1" applyFill="1" applyBorder="1"/>
    <xf numFmtId="4" fontId="2" fillId="2" borderId="16" xfId="0" applyNumberFormat="1" applyFont="1" applyFill="1" applyBorder="1" applyAlignment="1">
      <alignment horizontal="right"/>
    </xf>
    <xf numFmtId="0" fontId="2" fillId="0" borderId="21" xfId="0" applyFont="1" applyBorder="1" applyAlignment="1">
      <alignment horizontal="left" vertical="center"/>
    </xf>
    <xf numFmtId="0" fontId="2" fillId="0" borderId="16" xfId="0" applyFont="1" applyBorder="1" applyAlignment="1">
      <alignment horizontal="center"/>
    </xf>
    <xf numFmtId="4" fontId="2" fillId="0" borderId="24" xfId="0" applyNumberFormat="1" applyFont="1" applyBorder="1" applyAlignment="1">
      <alignment horizontal="right" vertical="center" wrapText="1"/>
    </xf>
    <xf numFmtId="0" fontId="11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/>
    </xf>
    <xf numFmtId="4" fontId="2" fillId="0" borderId="16" xfId="0" applyNumberFormat="1" applyFont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1" fillId="0" borderId="0" xfId="0" applyNumberFormat="1" applyFont="1"/>
    <xf numFmtId="164" fontId="11" fillId="0" borderId="0" xfId="0" applyNumberFormat="1" applyFont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9" fillId="0" borderId="0" xfId="0" applyFont="1" applyAlignment="1">
      <alignment horizontal="left"/>
    </xf>
    <xf numFmtId="0" fontId="6" fillId="0" borderId="16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10" fillId="0" borderId="0" xfId="0" applyFont="1"/>
    <xf numFmtId="164" fontId="10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 wrapText="1"/>
    </xf>
    <xf numFmtId="4" fontId="10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left"/>
    </xf>
    <xf numFmtId="4" fontId="16" fillId="0" borderId="0" xfId="0" applyNumberFormat="1" applyFont="1" applyAlignment="1">
      <alignment horizontal="right"/>
    </xf>
    <xf numFmtId="0" fontId="17" fillId="0" borderId="0" xfId="0" applyFont="1" applyAlignment="1">
      <alignment horizontal="left" vertical="center" wrapText="1"/>
    </xf>
    <xf numFmtId="0" fontId="18" fillId="0" borderId="0" xfId="0" applyFont="1"/>
    <xf numFmtId="0" fontId="17" fillId="0" borderId="0" xfId="0" applyFont="1" applyAlignment="1">
      <alignment wrapText="1"/>
    </xf>
    <xf numFmtId="0" fontId="19" fillId="0" borderId="0" xfId="0" applyFont="1"/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0" fillId="0" borderId="21" xfId="0" applyFont="1" applyBorder="1" applyAlignment="1">
      <alignment horizontal="left" vertical="center"/>
    </xf>
    <xf numFmtId="0" fontId="20" fillId="0" borderId="18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/>
    </xf>
    <xf numFmtId="0" fontId="2" fillId="0" borderId="18" xfId="0" applyFont="1" applyBorder="1" applyAlignment="1">
      <alignment horizontal="center"/>
    </xf>
    <xf numFmtId="2" fontId="2" fillId="0" borderId="16" xfId="0" applyNumberFormat="1" applyFont="1" applyBorder="1" applyAlignment="1">
      <alignment horizontal="right"/>
    </xf>
    <xf numFmtId="49" fontId="2" fillId="0" borderId="23" xfId="0" applyNumberFormat="1" applyFont="1" applyBorder="1"/>
    <xf numFmtId="0" fontId="11" fillId="0" borderId="32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left" vertical="center"/>
    </xf>
    <xf numFmtId="0" fontId="22" fillId="0" borderId="31" xfId="0" applyFont="1" applyBorder="1"/>
    <xf numFmtId="0" fontId="20" fillId="0" borderId="31" xfId="0" applyFont="1" applyBorder="1" applyAlignment="1">
      <alignment horizontal="left" vertical="center"/>
    </xf>
    <xf numFmtId="0" fontId="2" fillId="0" borderId="26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0" borderId="31" xfId="0" applyBorder="1"/>
    <xf numFmtId="0" fontId="21" fillId="2" borderId="13" xfId="0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7" fillId="0" borderId="0" xfId="0" applyFont="1" applyAlignment="1">
      <alignment horizontal="left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wrapText="1"/>
    </xf>
    <xf numFmtId="164" fontId="19" fillId="0" borderId="0" xfId="0" applyNumberFormat="1" applyFont="1" applyAlignment="1">
      <alignment horizontal="left" vertical="center" wrapText="1"/>
    </xf>
    <xf numFmtId="164" fontId="10" fillId="0" borderId="0" xfId="0" applyNumberFormat="1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8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left" vertical="center" wrapText="1"/>
    </xf>
    <xf numFmtId="0" fontId="8" fillId="0" borderId="27" xfId="0" applyFont="1" applyBorder="1"/>
    <xf numFmtId="0" fontId="8" fillId="0" borderId="17" xfId="0" applyFont="1" applyBorder="1"/>
    <xf numFmtId="164" fontId="1" fillId="0" borderId="28" xfId="0" applyNumberFormat="1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164" fontId="1" fillId="0" borderId="26" xfId="0" applyNumberFormat="1" applyFont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7" xfId="0" applyFont="1" applyBorder="1"/>
    <xf numFmtId="4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466725</xdr:colOff>
      <xdr:row>86</xdr:row>
      <xdr:rowOff>142875</xdr:rowOff>
    </xdr:from>
    <xdr:ext cx="914400" cy="254516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66725" y="13592175"/>
          <a:ext cx="914400" cy="25451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04-18-2024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82</xdr:row>
      <xdr:rowOff>62865</xdr:rowOff>
    </xdr:from>
    <xdr:ext cx="1695450" cy="409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727305"/>
          <a:ext cx="1695450" cy="4095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1005"/>
  <sheetViews>
    <sheetView tabSelected="1" workbookViewId="0">
      <selection activeCell="F51" sqref="F51"/>
    </sheetView>
  </sheetViews>
  <sheetFormatPr defaultColWidth="12.625" defaultRowHeight="15" customHeight="1" x14ac:dyDescent="0.2"/>
  <cols>
    <col min="1" max="1" width="7.625" customWidth="1"/>
    <col min="2" max="2" width="38.375" customWidth="1"/>
    <col min="3" max="3" width="12.5" customWidth="1"/>
    <col min="4" max="4" width="10.125" customWidth="1"/>
    <col min="5" max="5" width="11.25" customWidth="1"/>
    <col min="6" max="6" width="23.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4" ht="15.75" x14ac:dyDescent="0.2">
      <c r="A1" s="125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"/>
      <c r="X1" s="1"/>
    </row>
    <row r="2" spans="1:24" ht="14.25" x14ac:dyDescent="0.2">
      <c r="A2" s="126" t="s">
        <v>121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"/>
      <c r="X2" s="1"/>
    </row>
    <row r="3" spans="1:24" x14ac:dyDescent="0.25">
      <c r="A3" s="127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"/>
      <c r="X3" s="1"/>
    </row>
    <row r="4" spans="1:24" x14ac:dyDescent="0.2">
      <c r="A4" s="2" t="s">
        <v>1</v>
      </c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  <c r="W4" s="1"/>
      <c r="X4" s="1"/>
    </row>
    <row r="5" spans="1:24" x14ac:dyDescent="0.2">
      <c r="A5" s="5"/>
      <c r="B5" s="3"/>
      <c r="C5" s="1"/>
      <c r="D5" s="6"/>
      <c r="E5" s="7"/>
      <c r="F5" s="8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">
      <c r="A6" s="2" t="s">
        <v>2</v>
      </c>
      <c r="B6" s="3"/>
      <c r="C6" s="1"/>
      <c r="D6" s="6"/>
      <c r="E6" s="7"/>
      <c r="F6" s="8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">
      <c r="A7" s="5" t="s">
        <v>3</v>
      </c>
      <c r="B7" s="3"/>
      <c r="C7" s="1"/>
      <c r="D7" s="6"/>
      <c r="E7" s="7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 x14ac:dyDescent="0.2">
      <c r="A8" s="128" t="s">
        <v>4</v>
      </c>
      <c r="B8" s="116" t="s">
        <v>5</v>
      </c>
      <c r="C8" s="9" t="s">
        <v>6</v>
      </c>
      <c r="D8" s="130" t="s">
        <v>7</v>
      </c>
      <c r="E8" s="131" t="s">
        <v>8</v>
      </c>
      <c r="F8" s="114" t="s">
        <v>9</v>
      </c>
      <c r="G8" s="116" t="s">
        <v>10</v>
      </c>
      <c r="H8" s="132" t="s">
        <v>11</v>
      </c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4"/>
      <c r="W8" s="10"/>
      <c r="X8" s="10"/>
    </row>
    <row r="9" spans="1:24" ht="38.25" x14ac:dyDescent="0.2">
      <c r="A9" s="129"/>
      <c r="B9" s="115"/>
      <c r="C9" s="11" t="s">
        <v>12</v>
      </c>
      <c r="D9" s="115"/>
      <c r="E9" s="115"/>
      <c r="F9" s="115"/>
      <c r="G9" s="115"/>
      <c r="H9" s="12" t="s">
        <v>107</v>
      </c>
      <c r="I9" s="12" t="s">
        <v>108</v>
      </c>
      <c r="J9" s="12" t="s">
        <v>109</v>
      </c>
      <c r="K9" s="12" t="s">
        <v>13</v>
      </c>
      <c r="L9" s="12" t="s">
        <v>14</v>
      </c>
      <c r="M9" s="12" t="s">
        <v>15</v>
      </c>
      <c r="N9" s="12" t="s">
        <v>16</v>
      </c>
      <c r="O9" s="12" t="s">
        <v>17</v>
      </c>
      <c r="P9" s="12" t="s">
        <v>18</v>
      </c>
      <c r="Q9" s="12" t="s">
        <v>19</v>
      </c>
      <c r="R9" s="12" t="s">
        <v>20</v>
      </c>
      <c r="S9" s="12" t="s">
        <v>21</v>
      </c>
      <c r="T9" s="12" t="s">
        <v>22</v>
      </c>
      <c r="U9" s="13" t="str">
        <f>$V$9</f>
        <v>REMARKS</v>
      </c>
      <c r="V9" s="13" t="s">
        <v>23</v>
      </c>
      <c r="W9" s="14"/>
      <c r="X9" s="10"/>
    </row>
    <row r="10" spans="1:24" x14ac:dyDescent="0.2">
      <c r="A10" s="15"/>
      <c r="B10" s="101" t="s">
        <v>24</v>
      </c>
      <c r="C10" s="16"/>
      <c r="D10" s="17"/>
      <c r="E10" s="1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20"/>
      <c r="V10" s="21"/>
      <c r="W10" s="10"/>
      <c r="X10" s="10"/>
    </row>
    <row r="11" spans="1:24" ht="14.25" x14ac:dyDescent="0.2">
      <c r="A11" s="22"/>
      <c r="B11" s="23" t="s">
        <v>25</v>
      </c>
      <c r="C11" s="24" t="s">
        <v>26</v>
      </c>
      <c r="D11" s="25">
        <v>183.33</v>
      </c>
      <c r="E11" s="26">
        <f>183.33*6</f>
        <v>1099.98</v>
      </c>
      <c r="F11" s="85" t="s">
        <v>27</v>
      </c>
      <c r="G11" s="54" t="s">
        <v>117</v>
      </c>
      <c r="H11" s="54">
        <v>6</v>
      </c>
      <c r="I11" s="54"/>
      <c r="J11" s="54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10"/>
      <c r="X11" s="10"/>
    </row>
    <row r="12" spans="1:24" ht="14.25" x14ac:dyDescent="0.2">
      <c r="A12" s="29"/>
      <c r="B12" s="30" t="s">
        <v>28</v>
      </c>
      <c r="C12" s="31" t="s">
        <v>29</v>
      </c>
      <c r="D12" s="32">
        <v>200</v>
      </c>
      <c r="E12" s="33">
        <f>D12*6</f>
        <v>1200</v>
      </c>
      <c r="F12" s="85" t="s">
        <v>27</v>
      </c>
      <c r="G12" s="54" t="s">
        <v>117</v>
      </c>
      <c r="H12" s="54">
        <v>6</v>
      </c>
      <c r="I12" s="54"/>
      <c r="J12" s="54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10"/>
      <c r="X12" s="10"/>
    </row>
    <row r="13" spans="1:24" ht="21" customHeight="1" x14ac:dyDescent="0.2">
      <c r="A13" s="34"/>
      <c r="B13" s="35" t="s">
        <v>30</v>
      </c>
      <c r="C13" s="32" t="s">
        <v>31</v>
      </c>
      <c r="D13" s="36">
        <f>1000/20</f>
        <v>50</v>
      </c>
      <c r="E13" s="37">
        <v>1000</v>
      </c>
      <c r="F13" s="86" t="s">
        <v>27</v>
      </c>
      <c r="G13" s="54" t="s">
        <v>117</v>
      </c>
      <c r="H13" s="54"/>
      <c r="I13" s="54">
        <v>20</v>
      </c>
      <c r="J13" s="54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10"/>
      <c r="X13" s="10"/>
    </row>
    <row r="14" spans="1:24" ht="14.25" x14ac:dyDescent="0.2">
      <c r="A14" s="22"/>
      <c r="B14" s="38" t="s">
        <v>32</v>
      </c>
      <c r="C14" s="24" t="s">
        <v>33</v>
      </c>
      <c r="D14" s="25">
        <v>500</v>
      </c>
      <c r="E14" s="39">
        <f>500*4</f>
        <v>2000</v>
      </c>
      <c r="F14" s="85" t="s">
        <v>27</v>
      </c>
      <c r="G14" s="54" t="s">
        <v>117</v>
      </c>
      <c r="H14" s="54"/>
      <c r="I14" s="54">
        <v>4</v>
      </c>
      <c r="J14" s="54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10"/>
      <c r="X14" s="10"/>
    </row>
    <row r="15" spans="1:24" ht="14.25" x14ac:dyDescent="0.2">
      <c r="A15" s="22"/>
      <c r="B15" s="40" t="s">
        <v>34</v>
      </c>
      <c r="C15" s="24" t="s">
        <v>35</v>
      </c>
      <c r="D15" s="25">
        <v>80</v>
      </c>
      <c r="E15" s="39">
        <f>80*10</f>
        <v>800</v>
      </c>
      <c r="F15" s="86" t="s">
        <v>27</v>
      </c>
      <c r="G15" s="54" t="s">
        <v>117</v>
      </c>
      <c r="H15" s="54"/>
      <c r="I15" s="54">
        <v>10</v>
      </c>
      <c r="J15" s="54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10"/>
      <c r="X15" s="10"/>
    </row>
    <row r="16" spans="1:24" ht="14.25" x14ac:dyDescent="0.2">
      <c r="A16" s="22"/>
      <c r="B16" s="40" t="s">
        <v>36</v>
      </c>
      <c r="C16" s="24" t="s">
        <v>37</v>
      </c>
      <c r="D16" s="25">
        <v>25</v>
      </c>
      <c r="E16" s="39">
        <f>25*30</f>
        <v>750</v>
      </c>
      <c r="F16" s="85" t="s">
        <v>27</v>
      </c>
      <c r="G16" s="54" t="s">
        <v>117</v>
      </c>
      <c r="H16" s="54"/>
      <c r="I16" s="54">
        <v>30</v>
      </c>
      <c r="J16" s="54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10"/>
      <c r="X16" s="10"/>
    </row>
    <row r="17" spans="1:24" ht="14.25" x14ac:dyDescent="0.2">
      <c r="A17" s="22"/>
      <c r="B17" s="40" t="s">
        <v>38</v>
      </c>
      <c r="C17" s="24" t="s">
        <v>39</v>
      </c>
      <c r="D17" s="25">
        <v>30</v>
      </c>
      <c r="E17" s="39">
        <f>30*20</f>
        <v>600</v>
      </c>
      <c r="F17" s="85" t="s">
        <v>27</v>
      </c>
      <c r="G17" s="54" t="s">
        <v>117</v>
      </c>
      <c r="H17" s="54"/>
      <c r="I17" s="54">
        <v>20</v>
      </c>
      <c r="J17" s="54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0"/>
      <c r="X17" s="10"/>
    </row>
    <row r="18" spans="1:24" ht="14.25" x14ac:dyDescent="0.2">
      <c r="A18" s="22"/>
      <c r="B18" s="40" t="s">
        <v>40</v>
      </c>
      <c r="C18" s="24" t="s">
        <v>41</v>
      </c>
      <c r="D18" s="25">
        <v>350</v>
      </c>
      <c r="E18" s="39">
        <f>350*5</f>
        <v>1750</v>
      </c>
      <c r="F18" s="86" t="s">
        <v>27</v>
      </c>
      <c r="G18" s="54" t="s">
        <v>117</v>
      </c>
      <c r="H18" s="54"/>
      <c r="I18" s="54">
        <v>5</v>
      </c>
      <c r="J18" s="90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10"/>
      <c r="X18" s="10"/>
    </row>
    <row r="19" spans="1:24" x14ac:dyDescent="0.2">
      <c r="A19" s="41"/>
      <c r="B19" s="42" t="s">
        <v>42</v>
      </c>
      <c r="C19" s="43" t="s">
        <v>43</v>
      </c>
      <c r="D19" s="44">
        <v>5000</v>
      </c>
      <c r="E19" s="45">
        <v>5000</v>
      </c>
      <c r="F19" s="85" t="s">
        <v>27</v>
      </c>
      <c r="G19" s="54" t="s">
        <v>117</v>
      </c>
      <c r="H19" s="54">
        <v>1</v>
      </c>
      <c r="I19" s="98"/>
      <c r="J19" s="100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10"/>
      <c r="X19" s="10"/>
    </row>
    <row r="20" spans="1:24" x14ac:dyDescent="0.2">
      <c r="A20" s="46"/>
      <c r="B20" s="42" t="s">
        <v>44</v>
      </c>
      <c r="C20" s="32" t="s">
        <v>45</v>
      </c>
      <c r="D20" s="47">
        <f>2500/5</f>
        <v>500</v>
      </c>
      <c r="E20" s="37">
        <f>500</f>
        <v>500</v>
      </c>
      <c r="F20" s="85" t="s">
        <v>27</v>
      </c>
      <c r="G20" s="54" t="s">
        <v>117</v>
      </c>
      <c r="H20" s="54">
        <v>1</v>
      </c>
      <c r="I20" s="98"/>
      <c r="J20" s="100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10"/>
      <c r="X20" s="10"/>
    </row>
    <row r="21" spans="1:24" ht="15.75" customHeight="1" x14ac:dyDescent="0.2">
      <c r="A21" s="46"/>
      <c r="B21" s="48" t="s">
        <v>46</v>
      </c>
      <c r="C21" s="32">
        <v>10</v>
      </c>
      <c r="D21" s="47">
        <f>500/20</f>
        <v>25</v>
      </c>
      <c r="E21" s="37">
        <v>250</v>
      </c>
      <c r="F21" s="86" t="s">
        <v>27</v>
      </c>
      <c r="G21" s="54" t="s">
        <v>117</v>
      </c>
      <c r="H21" s="54">
        <v>10</v>
      </c>
      <c r="I21" s="98"/>
      <c r="J21" s="100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10"/>
      <c r="X21" s="10"/>
    </row>
    <row r="22" spans="1:24" ht="15.75" customHeight="1" x14ac:dyDescent="0.2">
      <c r="A22" s="46"/>
      <c r="B22" s="48" t="s">
        <v>47</v>
      </c>
      <c r="C22" s="32">
        <v>10</v>
      </c>
      <c r="D22" s="47">
        <f>300/15</f>
        <v>20</v>
      </c>
      <c r="E22" s="37">
        <v>200</v>
      </c>
      <c r="F22" s="54" t="s">
        <v>27</v>
      </c>
      <c r="G22" s="54" t="s">
        <v>117</v>
      </c>
      <c r="H22" s="54">
        <v>10</v>
      </c>
      <c r="I22" s="98"/>
      <c r="J22" s="100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10"/>
      <c r="X22" s="10"/>
    </row>
    <row r="23" spans="1:24" ht="15.75" customHeight="1" x14ac:dyDescent="0.2">
      <c r="A23" s="46"/>
      <c r="B23" s="48" t="s">
        <v>48</v>
      </c>
      <c r="C23" s="32" t="s">
        <v>49</v>
      </c>
      <c r="D23" s="47">
        <f>150/5</f>
        <v>30</v>
      </c>
      <c r="E23" s="37">
        <v>150</v>
      </c>
      <c r="F23" s="54" t="s">
        <v>27</v>
      </c>
      <c r="G23" s="54" t="s">
        <v>117</v>
      </c>
      <c r="H23" s="54">
        <v>5</v>
      </c>
      <c r="I23" s="98"/>
      <c r="J23" s="100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10"/>
      <c r="X23" s="10"/>
    </row>
    <row r="24" spans="1:24" ht="15.75" customHeight="1" x14ac:dyDescent="0.2">
      <c r="A24" s="46"/>
      <c r="B24" s="42" t="s">
        <v>50</v>
      </c>
      <c r="C24" s="32" t="s">
        <v>51</v>
      </c>
      <c r="D24" s="47">
        <f>300/10</f>
        <v>30</v>
      </c>
      <c r="E24" s="37">
        <v>300</v>
      </c>
      <c r="F24" s="54" t="s">
        <v>27</v>
      </c>
      <c r="G24" s="54" t="s">
        <v>117</v>
      </c>
      <c r="H24" s="54">
        <v>10</v>
      </c>
      <c r="I24" s="98"/>
      <c r="J24" s="100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10"/>
      <c r="X24" s="10"/>
    </row>
    <row r="25" spans="1:24" ht="15.75" customHeight="1" x14ac:dyDescent="0.2">
      <c r="A25" s="46"/>
      <c r="B25" s="48" t="s">
        <v>52</v>
      </c>
      <c r="C25" s="32" t="s">
        <v>51</v>
      </c>
      <c r="D25" s="47">
        <f>300/30</f>
        <v>10</v>
      </c>
      <c r="E25" s="37">
        <v>100</v>
      </c>
      <c r="F25" s="54" t="s">
        <v>27</v>
      </c>
      <c r="G25" s="54" t="s">
        <v>117</v>
      </c>
      <c r="H25" s="54">
        <v>10</v>
      </c>
      <c r="I25" s="98"/>
      <c r="J25" s="100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10"/>
      <c r="X25" s="10"/>
    </row>
    <row r="26" spans="1:24" ht="15.75" customHeight="1" x14ac:dyDescent="0.2">
      <c r="A26" s="46"/>
      <c r="B26" s="48" t="s">
        <v>53</v>
      </c>
      <c r="C26" s="32" t="s">
        <v>49</v>
      </c>
      <c r="D26" s="49">
        <f>2000/20</f>
        <v>100</v>
      </c>
      <c r="E26" s="37">
        <v>500</v>
      </c>
      <c r="F26" s="54" t="s">
        <v>27</v>
      </c>
      <c r="G26" s="54" t="s">
        <v>117</v>
      </c>
      <c r="H26" s="54">
        <v>10</v>
      </c>
      <c r="I26" s="98"/>
      <c r="J26" s="100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10"/>
      <c r="X26" s="10"/>
    </row>
    <row r="27" spans="1:24" ht="15.75" customHeight="1" x14ac:dyDescent="0.2">
      <c r="A27" s="46"/>
      <c r="B27" s="48" t="s">
        <v>54</v>
      </c>
      <c r="C27" s="32" t="s">
        <v>55</v>
      </c>
      <c r="D27" s="47">
        <f>1000/50</f>
        <v>20</v>
      </c>
      <c r="E27" s="37">
        <v>1000</v>
      </c>
      <c r="F27" s="54" t="s">
        <v>27</v>
      </c>
      <c r="G27" s="54" t="s">
        <v>117</v>
      </c>
      <c r="H27" s="54"/>
      <c r="I27" s="54"/>
      <c r="J27" s="99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10"/>
      <c r="X27" s="10"/>
    </row>
    <row r="28" spans="1:24" ht="15.75" customHeight="1" x14ac:dyDescent="0.2">
      <c r="A28" s="46"/>
      <c r="B28" s="48" t="s">
        <v>56</v>
      </c>
      <c r="C28" s="32" t="s">
        <v>57</v>
      </c>
      <c r="D28" s="47">
        <f t="shared" ref="D28:D29" si="0">3200/8</f>
        <v>400</v>
      </c>
      <c r="E28" s="37">
        <v>3200</v>
      </c>
      <c r="F28" s="54" t="s">
        <v>27</v>
      </c>
      <c r="G28" s="54" t="s">
        <v>117</v>
      </c>
      <c r="H28" s="54"/>
      <c r="I28" s="54">
        <v>1</v>
      </c>
      <c r="J28" s="54">
        <v>1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0"/>
      <c r="X28" s="10"/>
    </row>
    <row r="29" spans="1:24" ht="15.75" customHeight="1" x14ac:dyDescent="0.2">
      <c r="A29" s="46"/>
      <c r="B29" s="48" t="s">
        <v>58</v>
      </c>
      <c r="C29" s="32" t="s">
        <v>59</v>
      </c>
      <c r="D29" s="47">
        <f t="shared" si="0"/>
        <v>400</v>
      </c>
      <c r="E29" s="37">
        <f>D29*9</f>
        <v>3600</v>
      </c>
      <c r="F29" s="54" t="s">
        <v>27</v>
      </c>
      <c r="G29" s="54" t="s">
        <v>117</v>
      </c>
      <c r="H29" s="54">
        <v>1</v>
      </c>
      <c r="I29" s="54">
        <v>1</v>
      </c>
      <c r="J29" s="54">
        <v>1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10"/>
      <c r="X29" s="10"/>
    </row>
    <row r="30" spans="1:24" ht="15.75" customHeight="1" x14ac:dyDescent="0.2">
      <c r="A30" s="46"/>
      <c r="B30" s="48" t="s">
        <v>30</v>
      </c>
      <c r="C30" s="32" t="s">
        <v>51</v>
      </c>
      <c r="D30" s="47">
        <f>1000/20</f>
        <v>50</v>
      </c>
      <c r="E30" s="37">
        <v>1000</v>
      </c>
      <c r="F30" s="54" t="s">
        <v>27</v>
      </c>
      <c r="G30" s="54" t="s">
        <v>117</v>
      </c>
      <c r="H30" s="54"/>
      <c r="I30" s="54">
        <v>5</v>
      </c>
      <c r="J30" s="54">
        <v>5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10"/>
      <c r="X30" s="10"/>
    </row>
    <row r="31" spans="1:24" ht="15.75" customHeight="1" x14ac:dyDescent="0.2">
      <c r="A31" s="46"/>
      <c r="B31" s="48" t="s">
        <v>60</v>
      </c>
      <c r="C31" s="32" t="s">
        <v>61</v>
      </c>
      <c r="D31" s="47">
        <f>600/20</f>
        <v>30</v>
      </c>
      <c r="E31" s="37">
        <v>600</v>
      </c>
      <c r="F31" s="54" t="s">
        <v>27</v>
      </c>
      <c r="G31" s="54" t="s">
        <v>117</v>
      </c>
      <c r="H31" s="54">
        <v>10</v>
      </c>
      <c r="I31" s="54"/>
      <c r="J31" s="54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10"/>
      <c r="X31" s="10"/>
    </row>
    <row r="32" spans="1:24" ht="15.75" customHeight="1" x14ac:dyDescent="0.2">
      <c r="A32" s="46"/>
      <c r="B32" s="48" t="s">
        <v>62</v>
      </c>
      <c r="C32" s="32" t="s">
        <v>63</v>
      </c>
      <c r="D32" s="47">
        <f>1000/100</f>
        <v>10</v>
      </c>
      <c r="E32" s="37">
        <v>500</v>
      </c>
      <c r="F32" s="54" t="s">
        <v>27</v>
      </c>
      <c r="G32" s="54" t="s">
        <v>117</v>
      </c>
      <c r="H32" s="54">
        <v>50</v>
      </c>
      <c r="I32" s="54"/>
      <c r="J32" s="54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10"/>
      <c r="X32" s="10"/>
    </row>
    <row r="33" spans="1:24" ht="15.75" customHeight="1" x14ac:dyDescent="0.2">
      <c r="A33" s="46"/>
      <c r="B33" s="48" t="s">
        <v>64</v>
      </c>
      <c r="C33" s="32" t="s">
        <v>65</v>
      </c>
      <c r="D33" s="47">
        <f>1000/50</f>
        <v>20</v>
      </c>
      <c r="E33" s="37">
        <v>200</v>
      </c>
      <c r="F33" s="54" t="s">
        <v>27</v>
      </c>
      <c r="G33" s="54" t="s">
        <v>117</v>
      </c>
      <c r="H33" s="54"/>
      <c r="I33" s="54"/>
      <c r="J33" s="54">
        <v>10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10"/>
      <c r="X33" s="10"/>
    </row>
    <row r="34" spans="1:24" ht="15.75" customHeight="1" x14ac:dyDescent="0.2">
      <c r="A34" s="46"/>
      <c r="B34" s="48" t="s">
        <v>66</v>
      </c>
      <c r="C34" s="32" t="s">
        <v>67</v>
      </c>
      <c r="D34" s="47">
        <f>400/20</f>
        <v>20</v>
      </c>
      <c r="E34" s="37">
        <v>120</v>
      </c>
      <c r="F34" s="54" t="s">
        <v>27</v>
      </c>
      <c r="G34" s="54" t="s">
        <v>117</v>
      </c>
      <c r="H34" s="54"/>
      <c r="I34" s="54"/>
      <c r="J34" s="54">
        <v>6</v>
      </c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10"/>
      <c r="X34" s="10"/>
    </row>
    <row r="35" spans="1:24" ht="15.75" customHeight="1" x14ac:dyDescent="0.2">
      <c r="A35" s="46"/>
      <c r="B35" s="48" t="s">
        <v>68</v>
      </c>
      <c r="C35" s="32" t="s">
        <v>69</v>
      </c>
      <c r="D35" s="47">
        <f>300/3</f>
        <v>100</v>
      </c>
      <c r="E35" s="37">
        <v>200</v>
      </c>
      <c r="F35" s="54" t="s">
        <v>27</v>
      </c>
      <c r="G35" s="54" t="s">
        <v>117</v>
      </c>
      <c r="H35" s="54"/>
      <c r="I35" s="54"/>
      <c r="J35" s="54">
        <v>2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10"/>
      <c r="X35" s="10"/>
    </row>
    <row r="36" spans="1:24" ht="15.75" customHeight="1" x14ac:dyDescent="0.2">
      <c r="A36" s="46"/>
      <c r="B36" s="48" t="s">
        <v>70</v>
      </c>
      <c r="C36" s="32" t="s">
        <v>71</v>
      </c>
      <c r="D36" s="47">
        <f>500/10</f>
        <v>50</v>
      </c>
      <c r="E36" s="37">
        <v>300</v>
      </c>
      <c r="F36" s="54" t="s">
        <v>27</v>
      </c>
      <c r="G36" s="54" t="s">
        <v>117</v>
      </c>
      <c r="H36" s="54"/>
      <c r="I36" s="54"/>
      <c r="J36" s="54">
        <v>6</v>
      </c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10"/>
      <c r="X36" s="10"/>
    </row>
    <row r="37" spans="1:24" ht="15.75" customHeight="1" x14ac:dyDescent="0.2">
      <c r="A37" s="46"/>
      <c r="B37" s="48" t="s">
        <v>72</v>
      </c>
      <c r="C37" s="32" t="s">
        <v>65</v>
      </c>
      <c r="D37" s="47">
        <f>300/10</f>
        <v>30</v>
      </c>
      <c r="E37" s="37">
        <v>300</v>
      </c>
      <c r="F37" s="54" t="s">
        <v>27</v>
      </c>
      <c r="G37" s="54" t="s">
        <v>117</v>
      </c>
      <c r="H37" s="54"/>
      <c r="I37" s="54">
        <v>10</v>
      </c>
      <c r="J37" s="54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10"/>
      <c r="X37" s="10"/>
    </row>
    <row r="38" spans="1:24" ht="15.75" customHeight="1" x14ac:dyDescent="0.2">
      <c r="A38" s="46"/>
      <c r="B38" s="92" t="s">
        <v>110</v>
      </c>
      <c r="C38" s="32" t="s">
        <v>111</v>
      </c>
      <c r="D38" s="47">
        <v>50</v>
      </c>
      <c r="E38" s="37">
        <v>200</v>
      </c>
      <c r="F38" s="54" t="str">
        <f>F37</f>
        <v>Shopping</v>
      </c>
      <c r="G38" s="54" t="s">
        <v>117</v>
      </c>
      <c r="H38" s="54">
        <v>2</v>
      </c>
      <c r="I38" s="54"/>
      <c r="J38" s="54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10"/>
      <c r="X38" s="10"/>
    </row>
    <row r="39" spans="1:24" ht="15.75" customHeight="1" x14ac:dyDescent="0.2">
      <c r="A39" s="46"/>
      <c r="B39" s="92" t="s">
        <v>112</v>
      </c>
      <c r="C39" s="32" t="s">
        <v>111</v>
      </c>
      <c r="D39" s="47">
        <v>60</v>
      </c>
      <c r="E39" s="37">
        <f>D39*4</f>
        <v>240</v>
      </c>
      <c r="F39" s="54" t="str">
        <f>F38</f>
        <v>Shopping</v>
      </c>
      <c r="G39" s="54" t="s">
        <v>117</v>
      </c>
      <c r="H39" s="54">
        <v>2</v>
      </c>
      <c r="I39" s="54"/>
      <c r="J39" s="54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10"/>
      <c r="X39" s="10"/>
    </row>
    <row r="40" spans="1:24" ht="15.75" customHeight="1" x14ac:dyDescent="0.2">
      <c r="A40" s="46"/>
      <c r="B40" s="92"/>
      <c r="C40" s="32"/>
      <c r="D40" s="47"/>
      <c r="E40" s="37"/>
      <c r="F40" s="54"/>
      <c r="G40" s="28"/>
      <c r="H40" s="54"/>
      <c r="I40" s="54"/>
      <c r="J40" s="54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10"/>
      <c r="X40" s="10"/>
    </row>
    <row r="41" spans="1:24" ht="15.75" customHeight="1" x14ac:dyDescent="0.2">
      <c r="A41" s="46"/>
      <c r="B41" s="48"/>
      <c r="C41" s="32"/>
      <c r="D41" s="47"/>
      <c r="E41" s="3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10"/>
      <c r="X41" s="10"/>
    </row>
    <row r="42" spans="1:24" ht="15.75" customHeight="1" x14ac:dyDescent="0.2">
      <c r="A42" s="46"/>
      <c r="B42" s="50" t="s">
        <v>115</v>
      </c>
      <c r="C42" s="51"/>
      <c r="D42" s="52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10"/>
      <c r="X42" s="10"/>
    </row>
    <row r="43" spans="1:24" ht="15.75" customHeight="1" x14ac:dyDescent="0.2">
      <c r="A43" s="46"/>
      <c r="B43" s="53" t="s">
        <v>73</v>
      </c>
      <c r="C43" s="54" t="s">
        <v>74</v>
      </c>
      <c r="D43" s="47">
        <v>900</v>
      </c>
      <c r="E43" s="26">
        <f>900*100</f>
        <v>90000</v>
      </c>
      <c r="F43" s="28" t="s">
        <v>75</v>
      </c>
      <c r="G43" s="54" t="s">
        <v>116</v>
      </c>
      <c r="H43" s="54">
        <v>100</v>
      </c>
      <c r="I43" s="54"/>
      <c r="J43" s="54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10"/>
      <c r="X43" s="10"/>
    </row>
    <row r="44" spans="1:24" ht="15.75" customHeight="1" x14ac:dyDescent="0.2">
      <c r="A44" s="46"/>
      <c r="B44" s="89" t="s">
        <v>106</v>
      </c>
      <c r="C44" s="54" t="s">
        <v>74</v>
      </c>
      <c r="D44" s="91">
        <v>700</v>
      </c>
      <c r="E44" s="26">
        <f>D44*100</f>
        <v>70000</v>
      </c>
      <c r="F44" s="28" t="s">
        <v>75</v>
      </c>
      <c r="G44" s="54" t="s">
        <v>116</v>
      </c>
      <c r="H44" s="54">
        <v>100</v>
      </c>
      <c r="I44" s="54"/>
      <c r="J44" s="54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10"/>
      <c r="X44" s="10"/>
    </row>
    <row r="45" spans="1:24" ht="15.75" customHeight="1" x14ac:dyDescent="0.2">
      <c r="A45" s="46"/>
      <c r="B45" s="48" t="s">
        <v>76</v>
      </c>
      <c r="C45" s="32" t="s">
        <v>74</v>
      </c>
      <c r="D45" s="47">
        <v>500</v>
      </c>
      <c r="E45" s="37">
        <f>500*100</f>
        <v>50000</v>
      </c>
      <c r="F45" s="28" t="s">
        <v>75</v>
      </c>
      <c r="G45" s="54" t="s">
        <v>116</v>
      </c>
      <c r="H45" s="54"/>
      <c r="I45" s="54">
        <v>100</v>
      </c>
      <c r="J45" s="54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10"/>
      <c r="X45" s="10"/>
    </row>
    <row r="46" spans="1:24" ht="15.75" customHeight="1" x14ac:dyDescent="0.2">
      <c r="A46" s="46"/>
      <c r="B46" s="53" t="s">
        <v>77</v>
      </c>
      <c r="C46" s="32" t="s">
        <v>78</v>
      </c>
      <c r="D46" s="47">
        <v>7000</v>
      </c>
      <c r="E46" s="37">
        <f>D46*2</f>
        <v>14000</v>
      </c>
      <c r="F46" s="28" t="s">
        <v>75</v>
      </c>
      <c r="G46" s="54" t="s">
        <v>117</v>
      </c>
      <c r="H46" s="54"/>
      <c r="I46" s="54">
        <v>2</v>
      </c>
      <c r="J46" s="54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10"/>
      <c r="X46" s="10"/>
    </row>
    <row r="47" spans="1:24" ht="15.75" customHeight="1" x14ac:dyDescent="0.2">
      <c r="A47" s="46"/>
      <c r="B47" s="53" t="s">
        <v>79</v>
      </c>
      <c r="C47" s="32" t="s">
        <v>80</v>
      </c>
      <c r="D47" s="47">
        <v>700</v>
      </c>
      <c r="E47" s="37">
        <f>D47*10</f>
        <v>7000</v>
      </c>
      <c r="F47" s="28" t="s">
        <v>75</v>
      </c>
      <c r="G47" s="54" t="s">
        <v>117</v>
      </c>
      <c r="H47" s="54"/>
      <c r="I47" s="54"/>
      <c r="J47" s="54">
        <v>6</v>
      </c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10"/>
      <c r="X47" s="10"/>
    </row>
    <row r="48" spans="1:24" ht="15.75" customHeight="1" x14ac:dyDescent="0.2">
      <c r="A48" s="46"/>
      <c r="B48" s="53" t="s">
        <v>81</v>
      </c>
      <c r="C48" s="32" t="s">
        <v>82</v>
      </c>
      <c r="D48" s="47">
        <v>1000</v>
      </c>
      <c r="E48" s="37">
        <v>4000</v>
      </c>
      <c r="F48" s="28" t="s">
        <v>75</v>
      </c>
      <c r="G48" s="54" t="s">
        <v>117</v>
      </c>
      <c r="H48" s="54"/>
      <c r="I48" s="54"/>
      <c r="J48" s="54">
        <v>4</v>
      </c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10"/>
      <c r="X48" s="10"/>
    </row>
    <row r="49" spans="1:24" ht="15.75" customHeight="1" x14ac:dyDescent="0.2">
      <c r="A49" s="46"/>
      <c r="B49" s="89" t="s">
        <v>119</v>
      </c>
      <c r="C49" s="32" t="s">
        <v>118</v>
      </c>
      <c r="D49" s="47">
        <v>20</v>
      </c>
      <c r="E49" s="37">
        <f>D49*100</f>
        <v>2000</v>
      </c>
      <c r="F49" s="28" t="s">
        <v>75</v>
      </c>
      <c r="G49" s="54" t="s">
        <v>117</v>
      </c>
      <c r="H49" s="54"/>
      <c r="I49" s="54">
        <v>100</v>
      </c>
      <c r="J49" s="54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10"/>
      <c r="X49" s="10"/>
    </row>
    <row r="50" spans="1:24" ht="15.75" customHeight="1" x14ac:dyDescent="0.2">
      <c r="A50" s="46"/>
      <c r="B50" s="89" t="s">
        <v>120</v>
      </c>
      <c r="C50" s="32" t="str">
        <f>C49</f>
        <v xml:space="preserve">100 pcs </v>
      </c>
      <c r="D50" s="47">
        <v>15</v>
      </c>
      <c r="E50" s="37">
        <f>15*100</f>
        <v>1500</v>
      </c>
      <c r="F50" s="28" t="str">
        <f>F49</f>
        <v>Small Value Procurement</v>
      </c>
      <c r="G50" s="54" t="str">
        <f>G49</f>
        <v>15 days</v>
      </c>
      <c r="H50" s="54"/>
      <c r="I50" s="54"/>
      <c r="J50" s="54">
        <f>I49</f>
        <v>100</v>
      </c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10"/>
      <c r="X50" s="10"/>
    </row>
    <row r="51" spans="1:24" ht="15.75" customHeight="1" x14ac:dyDescent="0.2">
      <c r="A51" s="46"/>
      <c r="B51" s="53"/>
      <c r="C51" s="32"/>
      <c r="D51" s="47"/>
      <c r="E51" s="3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10"/>
      <c r="X51" s="10"/>
    </row>
    <row r="52" spans="1:24" ht="15.75" customHeight="1" x14ac:dyDescent="0.2">
      <c r="A52" s="46"/>
      <c r="B52" s="95" t="s">
        <v>113</v>
      </c>
      <c r="C52" s="32"/>
      <c r="D52" s="47"/>
      <c r="E52" s="3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10"/>
      <c r="X52" s="10"/>
    </row>
    <row r="53" spans="1:24" ht="15.75" customHeight="1" x14ac:dyDescent="0.2">
      <c r="A53" s="93"/>
      <c r="B53" s="96" t="s">
        <v>114</v>
      </c>
      <c r="C53" s="94" t="s">
        <v>104</v>
      </c>
      <c r="D53" s="47">
        <v>189000</v>
      </c>
      <c r="E53" s="37">
        <f>D53</f>
        <v>189000</v>
      </c>
      <c r="F53" s="28" t="str">
        <f>F48</f>
        <v>Small Value Procurement</v>
      </c>
      <c r="G53" s="28"/>
      <c r="H53" s="54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10"/>
      <c r="X53" s="10"/>
    </row>
    <row r="54" spans="1:24" ht="15.75" customHeight="1" x14ac:dyDescent="0.2">
      <c r="A54" s="93"/>
      <c r="B54" s="97"/>
      <c r="C54" s="94"/>
      <c r="D54" s="47"/>
      <c r="E54" s="37"/>
      <c r="F54" s="28"/>
      <c r="G54" s="28"/>
      <c r="H54" s="54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10"/>
      <c r="X54" s="10"/>
    </row>
    <row r="55" spans="1:24" ht="15.75" customHeight="1" x14ac:dyDescent="0.2">
      <c r="A55" s="46"/>
      <c r="B55" s="87" t="s">
        <v>105</v>
      </c>
      <c r="C55" s="88" t="s">
        <v>104</v>
      </c>
      <c r="D55" s="55">
        <v>20000</v>
      </c>
      <c r="E55" s="39">
        <f>D55</f>
        <v>20000</v>
      </c>
      <c r="F55" s="27" t="str">
        <f>F53</f>
        <v>Small Value Procurement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10"/>
      <c r="X55" s="10"/>
    </row>
    <row r="56" spans="1:24" ht="15.75" customHeight="1" x14ac:dyDescent="0.2">
      <c r="A56" s="46"/>
      <c r="B56" s="53"/>
      <c r="C56" s="32"/>
      <c r="D56" s="55"/>
      <c r="E56" s="28"/>
      <c r="F56" s="27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10"/>
      <c r="X56" s="10"/>
    </row>
    <row r="57" spans="1:24" ht="15.75" hidden="1" customHeight="1" x14ac:dyDescent="0.2">
      <c r="A57" s="46"/>
      <c r="B57" s="53"/>
      <c r="C57" s="32"/>
      <c r="D57" s="47"/>
      <c r="E57" s="45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10"/>
      <c r="X57" s="10"/>
    </row>
    <row r="58" spans="1:24" ht="15.75" hidden="1" customHeight="1" x14ac:dyDescent="0.2">
      <c r="A58" s="46"/>
      <c r="B58" s="53"/>
      <c r="C58" s="32"/>
      <c r="D58" s="47"/>
      <c r="E58" s="37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10"/>
      <c r="X58" s="10"/>
    </row>
    <row r="59" spans="1:24" ht="15.75" hidden="1" customHeight="1" x14ac:dyDescent="0.2">
      <c r="A59" s="46"/>
      <c r="B59" s="53"/>
      <c r="C59" s="32"/>
      <c r="D59" s="47"/>
      <c r="E59" s="37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10"/>
      <c r="X59" s="10"/>
    </row>
    <row r="60" spans="1:24" ht="15.75" hidden="1" customHeight="1" x14ac:dyDescent="0.2">
      <c r="A60" s="46"/>
      <c r="B60" s="53"/>
      <c r="C60" s="32"/>
      <c r="D60" s="47"/>
      <c r="E60" s="37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10"/>
      <c r="X60" s="10"/>
    </row>
    <row r="61" spans="1:24" ht="15.75" hidden="1" customHeight="1" x14ac:dyDescent="0.2">
      <c r="A61" s="46"/>
      <c r="B61" s="53"/>
      <c r="C61" s="32"/>
      <c r="D61" s="47"/>
      <c r="E61" s="37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10"/>
      <c r="X61" s="10"/>
    </row>
    <row r="62" spans="1:24" ht="15.75" hidden="1" customHeight="1" x14ac:dyDescent="0.2">
      <c r="A62" s="46"/>
      <c r="B62" s="53"/>
      <c r="C62" s="32"/>
      <c r="D62" s="47"/>
      <c r="E62" s="37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10"/>
      <c r="X62" s="10"/>
    </row>
    <row r="63" spans="1:24" ht="15.75" hidden="1" customHeight="1" x14ac:dyDescent="0.2">
      <c r="A63" s="56"/>
      <c r="B63" s="57"/>
      <c r="C63" s="25"/>
      <c r="D63" s="58"/>
      <c r="E63" s="39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10"/>
      <c r="X63" s="10"/>
    </row>
    <row r="64" spans="1:24" ht="15.75" hidden="1" customHeight="1" x14ac:dyDescent="0.2">
      <c r="A64" s="46"/>
      <c r="B64" s="50" t="s">
        <v>83</v>
      </c>
      <c r="C64" s="51"/>
      <c r="D64" s="52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10"/>
      <c r="X64" s="10"/>
    </row>
    <row r="65" spans="1:24" ht="15.75" hidden="1" customHeight="1" x14ac:dyDescent="0.2">
      <c r="A65" s="46"/>
      <c r="B65" s="53"/>
      <c r="C65" s="32"/>
      <c r="D65" s="47"/>
      <c r="E65" s="37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10"/>
      <c r="X65" s="10"/>
    </row>
    <row r="66" spans="1:24" ht="15.75" hidden="1" customHeight="1" x14ac:dyDescent="0.2">
      <c r="A66" s="46"/>
      <c r="B66" s="53"/>
      <c r="C66" s="32"/>
      <c r="D66" s="47"/>
      <c r="E66" s="37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10"/>
      <c r="X66" s="10"/>
    </row>
    <row r="67" spans="1:24" ht="15.75" hidden="1" customHeight="1" x14ac:dyDescent="0.2">
      <c r="A67" s="46"/>
      <c r="B67" s="53"/>
      <c r="C67" s="32"/>
      <c r="D67" s="47"/>
      <c r="E67" s="37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10"/>
      <c r="X67" s="10"/>
    </row>
    <row r="68" spans="1:24" ht="15.75" hidden="1" customHeight="1" x14ac:dyDescent="0.2">
      <c r="A68" s="46"/>
      <c r="B68" s="53"/>
      <c r="C68" s="32"/>
      <c r="D68" s="47"/>
      <c r="E68" s="37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10"/>
      <c r="X68" s="10"/>
    </row>
    <row r="69" spans="1:24" ht="15.75" hidden="1" customHeight="1" x14ac:dyDescent="0.2">
      <c r="A69" s="46"/>
      <c r="B69" s="50" t="s">
        <v>84</v>
      </c>
      <c r="C69" s="51"/>
      <c r="D69" s="52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10"/>
      <c r="X69" s="10"/>
    </row>
    <row r="70" spans="1:24" ht="15.75" hidden="1" customHeight="1" x14ac:dyDescent="0.2">
      <c r="A70" s="46"/>
      <c r="B70" s="53"/>
      <c r="C70" s="32"/>
      <c r="D70" s="47"/>
      <c r="E70" s="37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10"/>
      <c r="X70" s="10"/>
    </row>
    <row r="71" spans="1:24" ht="15.75" hidden="1" customHeight="1" x14ac:dyDescent="0.2">
      <c r="A71" s="46"/>
      <c r="B71" s="53"/>
      <c r="C71" s="32"/>
      <c r="D71" s="47"/>
      <c r="E71" s="37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10"/>
      <c r="X71" s="10"/>
    </row>
    <row r="72" spans="1:24" ht="15.75" hidden="1" customHeight="1" x14ac:dyDescent="0.2">
      <c r="A72" s="46"/>
      <c r="B72" s="53"/>
      <c r="C72" s="32"/>
      <c r="D72" s="47"/>
      <c r="E72" s="37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10"/>
      <c r="X72" s="10"/>
    </row>
    <row r="73" spans="1:24" ht="15.75" customHeight="1" x14ac:dyDescent="0.2">
      <c r="A73" s="56"/>
      <c r="B73" s="117" t="s">
        <v>85</v>
      </c>
      <c r="C73" s="118"/>
      <c r="D73" s="118"/>
      <c r="E73" s="118"/>
      <c r="F73" s="118"/>
      <c r="G73" s="118"/>
      <c r="H73" s="118"/>
      <c r="I73" s="119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10"/>
      <c r="X73" s="10"/>
    </row>
    <row r="74" spans="1:24" ht="15.75" customHeight="1" x14ac:dyDescent="0.2">
      <c r="A74" s="59"/>
      <c r="B74" s="60"/>
      <c r="C74" s="1"/>
      <c r="D74" s="6"/>
      <c r="E74" s="7"/>
      <c r="F74" s="8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 x14ac:dyDescent="0.25">
      <c r="A75" s="61" t="s">
        <v>86</v>
      </c>
      <c r="B75" s="3"/>
      <c r="C75" s="62"/>
      <c r="D75" s="1"/>
      <c r="E75" s="63">
        <f>SUM(E11:E55)</f>
        <v>475159.98</v>
      </c>
      <c r="F75" s="8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hidden="1" customHeight="1" x14ac:dyDescent="0.25">
      <c r="A76" s="64" t="s">
        <v>87</v>
      </c>
      <c r="B76" s="65"/>
      <c r="C76" s="120">
        <f>PRODUCT(C75,0.1)</f>
        <v>0.1</v>
      </c>
      <c r="D76" s="121"/>
      <c r="E76" s="122"/>
      <c r="F76" s="8"/>
      <c r="G76" s="8"/>
      <c r="H76" s="110"/>
      <c r="I76" s="103"/>
      <c r="J76" s="110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66"/>
      <c r="V76" s="1"/>
      <c r="W76" s="1"/>
      <c r="X76" s="1"/>
    </row>
    <row r="77" spans="1:24" ht="15.75" hidden="1" customHeight="1" x14ac:dyDescent="0.25">
      <c r="A77" s="67" t="s">
        <v>88</v>
      </c>
      <c r="B77" s="68"/>
      <c r="C77" s="123">
        <f>PRODUCT(C75,0.1)</f>
        <v>0.1</v>
      </c>
      <c r="D77" s="118"/>
      <c r="E77" s="119"/>
      <c r="F77" s="8"/>
      <c r="G77" s="8"/>
      <c r="H77" s="69"/>
      <c r="I77" s="69"/>
      <c r="J77" s="108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70"/>
      <c r="V77" s="1"/>
      <c r="W77" s="1"/>
      <c r="X77" s="1"/>
    </row>
    <row r="78" spans="1:24" ht="15.75" hidden="1" customHeight="1" x14ac:dyDescent="0.25">
      <c r="A78" s="67" t="s">
        <v>89</v>
      </c>
      <c r="B78" s="68"/>
      <c r="C78" s="123">
        <f>SUM(C75:E77)</f>
        <v>475160.17999999993</v>
      </c>
      <c r="D78" s="118"/>
      <c r="E78" s="119"/>
      <c r="F78" s="8"/>
      <c r="G78" s="8"/>
      <c r="H78" s="69"/>
      <c r="I78" s="69"/>
      <c r="J78" s="108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70"/>
      <c r="V78" s="1"/>
      <c r="W78" s="1"/>
      <c r="X78" s="1"/>
    </row>
    <row r="79" spans="1:24" ht="15.75" customHeight="1" x14ac:dyDescent="0.2">
      <c r="A79" s="71"/>
      <c r="B79" s="3"/>
      <c r="C79" s="1"/>
      <c r="D79" s="6"/>
      <c r="E79" s="7"/>
      <c r="F79" s="8"/>
      <c r="G79" s="8"/>
      <c r="H79" s="69"/>
      <c r="I79" s="69"/>
      <c r="J79" s="108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70"/>
      <c r="V79" s="1"/>
      <c r="W79" s="1"/>
      <c r="X79" s="1"/>
    </row>
    <row r="80" spans="1:24" ht="15.75" customHeight="1" x14ac:dyDescent="0.2">
      <c r="A80" s="72" t="s">
        <v>90</v>
      </c>
      <c r="B80" s="3"/>
      <c r="C80" s="1"/>
      <c r="D80" s="6"/>
      <c r="E80" s="7"/>
      <c r="F80" s="8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2">
      <c r="A81" s="73"/>
      <c r="B81" s="3"/>
      <c r="C81" s="1"/>
      <c r="D81" s="6"/>
      <c r="E81" s="7"/>
      <c r="F81" s="8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2">
      <c r="A82" s="74" t="s">
        <v>91</v>
      </c>
      <c r="B82" s="60"/>
      <c r="C82" s="109" t="s">
        <v>92</v>
      </c>
      <c r="D82" s="103"/>
      <c r="E82" s="103"/>
      <c r="F82" s="69"/>
      <c r="G82" s="69"/>
      <c r="H82" s="1"/>
      <c r="I82" s="109" t="s">
        <v>93</v>
      </c>
      <c r="J82" s="103"/>
      <c r="K82" s="103"/>
      <c r="L82" s="103"/>
      <c r="M82" s="103"/>
      <c r="N82" s="103"/>
      <c r="O82" s="1"/>
      <c r="P82" s="1"/>
      <c r="Q82" s="109" t="s">
        <v>94</v>
      </c>
      <c r="R82" s="103"/>
      <c r="S82" s="103"/>
      <c r="T82" s="103"/>
      <c r="U82" s="1"/>
      <c r="V82" s="102"/>
      <c r="W82" s="103"/>
      <c r="X82" s="69"/>
    </row>
    <row r="83" spans="1:24" ht="15.75" customHeight="1" x14ac:dyDescent="0.2">
      <c r="A83" s="74"/>
      <c r="B83" s="60"/>
      <c r="C83" s="75"/>
      <c r="D83" s="76"/>
      <c r="E83" s="75"/>
      <c r="F83" s="69"/>
      <c r="G83" s="69"/>
      <c r="H83" s="1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69"/>
      <c r="X83" s="69"/>
    </row>
    <row r="84" spans="1:24" ht="15.75" customHeight="1" x14ac:dyDescent="0.2">
      <c r="B84" s="60"/>
      <c r="C84" s="69"/>
      <c r="D84" s="77"/>
      <c r="E84" s="78"/>
      <c r="F84" s="69"/>
      <c r="G84" s="69"/>
      <c r="H84" s="1"/>
      <c r="I84" s="69"/>
      <c r="J84" s="78"/>
      <c r="K84" s="78"/>
      <c r="L84" s="78"/>
      <c r="M84" s="78"/>
      <c r="N84" s="78"/>
      <c r="O84" s="78"/>
      <c r="P84" s="78"/>
      <c r="Q84" s="69"/>
      <c r="R84" s="78"/>
      <c r="S84" s="69"/>
      <c r="T84" s="69"/>
      <c r="U84" s="69"/>
      <c r="V84" s="69"/>
      <c r="W84" s="69"/>
      <c r="X84" s="69"/>
    </row>
    <row r="85" spans="1:24" ht="15.75" customHeight="1" x14ac:dyDescent="0.2">
      <c r="A85" s="124" t="s">
        <v>95</v>
      </c>
      <c r="B85" s="103"/>
      <c r="C85" s="104" t="s">
        <v>96</v>
      </c>
      <c r="D85" s="103"/>
      <c r="E85" s="103"/>
      <c r="F85" s="103"/>
      <c r="G85" s="1"/>
      <c r="H85" s="1"/>
      <c r="I85" s="104" t="s">
        <v>97</v>
      </c>
      <c r="J85" s="103"/>
      <c r="K85" s="103"/>
      <c r="L85" s="103"/>
      <c r="M85" s="103"/>
      <c r="N85" s="103"/>
      <c r="O85" s="1"/>
      <c r="P85" s="1"/>
      <c r="Q85" s="104" t="s">
        <v>98</v>
      </c>
      <c r="R85" s="103"/>
      <c r="S85" s="103"/>
      <c r="T85" s="103"/>
      <c r="U85" s="1"/>
      <c r="V85" s="102"/>
      <c r="W85" s="103"/>
      <c r="X85" s="103"/>
    </row>
    <row r="86" spans="1:24" ht="15" customHeight="1" x14ac:dyDescent="0.2">
      <c r="A86" s="113" t="s">
        <v>99</v>
      </c>
      <c r="B86" s="103"/>
      <c r="C86" s="112" t="s">
        <v>100</v>
      </c>
      <c r="D86" s="103"/>
      <c r="E86" s="103"/>
      <c r="F86" s="103"/>
      <c r="G86" s="79"/>
      <c r="H86" s="1"/>
      <c r="I86" s="111" t="s">
        <v>101</v>
      </c>
      <c r="J86" s="103"/>
      <c r="K86" s="103"/>
      <c r="L86" s="103"/>
      <c r="M86" s="103"/>
      <c r="N86" s="103"/>
      <c r="O86" s="1"/>
      <c r="P86" s="1"/>
      <c r="Q86" s="112" t="s">
        <v>102</v>
      </c>
      <c r="R86" s="103"/>
      <c r="S86" s="103"/>
      <c r="T86" s="103"/>
      <c r="U86" s="1"/>
      <c r="V86" s="1"/>
      <c r="W86" s="69"/>
      <c r="X86" s="69"/>
    </row>
    <row r="87" spans="1:24" ht="15.75" customHeight="1" x14ac:dyDescent="0.2">
      <c r="A87" s="1"/>
      <c r="B87" s="1"/>
      <c r="C87" s="1"/>
      <c r="D87" s="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 x14ac:dyDescent="0.2">
      <c r="A88" s="1" t="s">
        <v>103</v>
      </c>
      <c r="C88" s="1" t="s">
        <v>103</v>
      </c>
      <c r="D88" s="6"/>
      <c r="E88" s="1"/>
      <c r="F88" s="1"/>
      <c r="G88" s="1"/>
      <c r="H88" s="1"/>
      <c r="I88" s="1" t="s">
        <v>103</v>
      </c>
      <c r="J88" s="1"/>
      <c r="K88" s="1"/>
      <c r="L88" s="1"/>
      <c r="M88" s="1"/>
      <c r="N88" s="1"/>
      <c r="O88" s="1"/>
      <c r="P88" s="1"/>
      <c r="Q88" s="1" t="s">
        <v>103</v>
      </c>
      <c r="R88" s="1"/>
      <c r="S88" s="1"/>
      <c r="T88" s="1"/>
      <c r="U88" s="1"/>
      <c r="V88" s="1"/>
      <c r="W88" s="1"/>
      <c r="X88" s="1"/>
    </row>
    <row r="89" spans="1:24" ht="15.75" customHeight="1" x14ac:dyDescent="0.25">
      <c r="D89" s="80"/>
      <c r="H89" s="105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</row>
    <row r="90" spans="1:24" ht="15.75" customHeight="1" x14ac:dyDescent="0.25">
      <c r="D90" s="80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</row>
    <row r="91" spans="1:24" ht="15.75" customHeight="1" x14ac:dyDescent="0.25">
      <c r="D91" s="80"/>
      <c r="H91" s="82"/>
      <c r="I91" s="83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</row>
    <row r="92" spans="1:24" ht="15.75" customHeight="1" x14ac:dyDescent="0.25">
      <c r="D92" s="80"/>
      <c r="H92" s="106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</row>
    <row r="93" spans="1:24" ht="15.75" customHeight="1" x14ac:dyDescent="0.25">
      <c r="D93" s="80"/>
      <c r="H93" s="107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</row>
    <row r="94" spans="1:24" ht="15.75" customHeight="1" x14ac:dyDescent="0.25">
      <c r="D94" s="80"/>
    </row>
    <row r="95" spans="1:24" ht="15.75" customHeight="1" x14ac:dyDescent="0.25">
      <c r="D95" s="80"/>
    </row>
    <row r="96" spans="1:24" ht="15.75" customHeight="1" x14ac:dyDescent="0.25">
      <c r="D96" s="80"/>
    </row>
    <row r="97" spans="4:4" ht="15.75" customHeight="1" x14ac:dyDescent="0.25">
      <c r="D97" s="80"/>
    </row>
    <row r="98" spans="4:4" ht="15.75" customHeight="1" x14ac:dyDescent="0.25">
      <c r="D98" s="80"/>
    </row>
    <row r="99" spans="4:4" ht="15.75" customHeight="1" x14ac:dyDescent="0.25">
      <c r="D99" s="80"/>
    </row>
    <row r="100" spans="4:4" ht="15.75" customHeight="1" x14ac:dyDescent="0.25">
      <c r="D100" s="80"/>
    </row>
    <row r="101" spans="4:4" ht="15.75" customHeight="1" x14ac:dyDescent="0.25">
      <c r="D101" s="80"/>
    </row>
    <row r="102" spans="4:4" ht="15.75" customHeight="1" x14ac:dyDescent="0.25">
      <c r="D102" s="80"/>
    </row>
    <row r="103" spans="4:4" ht="15.75" customHeight="1" x14ac:dyDescent="0.25">
      <c r="D103" s="80"/>
    </row>
    <row r="104" spans="4:4" ht="15.75" customHeight="1" x14ac:dyDescent="0.25">
      <c r="D104" s="80"/>
    </row>
    <row r="105" spans="4:4" ht="15.75" customHeight="1" x14ac:dyDescent="0.25">
      <c r="D105" s="80"/>
    </row>
    <row r="106" spans="4:4" ht="15.75" customHeight="1" x14ac:dyDescent="0.25">
      <c r="D106" s="80"/>
    </row>
    <row r="107" spans="4:4" ht="15.75" customHeight="1" x14ac:dyDescent="0.25">
      <c r="D107" s="80"/>
    </row>
    <row r="108" spans="4:4" ht="15.75" customHeight="1" x14ac:dyDescent="0.25">
      <c r="D108" s="80"/>
    </row>
    <row r="109" spans="4:4" ht="15.75" customHeight="1" x14ac:dyDescent="0.25">
      <c r="D109" s="80"/>
    </row>
    <row r="110" spans="4:4" ht="15.75" customHeight="1" x14ac:dyDescent="0.25">
      <c r="D110" s="80"/>
    </row>
    <row r="111" spans="4:4" ht="15.75" customHeight="1" x14ac:dyDescent="0.25">
      <c r="D111" s="80"/>
    </row>
    <row r="112" spans="4:4" ht="15.75" customHeight="1" x14ac:dyDescent="0.25">
      <c r="D112" s="80"/>
    </row>
    <row r="113" spans="4:4" ht="15.75" customHeight="1" x14ac:dyDescent="0.25">
      <c r="D113" s="80"/>
    </row>
    <row r="114" spans="4:4" ht="15.75" customHeight="1" x14ac:dyDescent="0.25">
      <c r="D114" s="80"/>
    </row>
    <row r="115" spans="4:4" ht="15.75" customHeight="1" x14ac:dyDescent="0.25">
      <c r="D115" s="80"/>
    </row>
    <row r="116" spans="4:4" ht="15.75" customHeight="1" x14ac:dyDescent="0.25">
      <c r="D116" s="80"/>
    </row>
    <row r="117" spans="4:4" ht="15.75" customHeight="1" x14ac:dyDescent="0.25">
      <c r="D117" s="80"/>
    </row>
    <row r="118" spans="4:4" ht="15.75" customHeight="1" x14ac:dyDescent="0.25">
      <c r="D118" s="80"/>
    </row>
    <row r="119" spans="4:4" ht="15.75" customHeight="1" x14ac:dyDescent="0.25">
      <c r="D119" s="80"/>
    </row>
    <row r="120" spans="4:4" ht="15.75" customHeight="1" x14ac:dyDescent="0.25">
      <c r="D120" s="80"/>
    </row>
    <row r="121" spans="4:4" ht="15.75" customHeight="1" x14ac:dyDescent="0.25">
      <c r="D121" s="80"/>
    </row>
    <row r="122" spans="4:4" ht="15.75" customHeight="1" x14ac:dyDescent="0.25">
      <c r="D122" s="80"/>
    </row>
    <row r="123" spans="4:4" ht="15.75" customHeight="1" x14ac:dyDescent="0.25">
      <c r="D123" s="80"/>
    </row>
    <row r="124" spans="4:4" ht="15.75" customHeight="1" x14ac:dyDescent="0.25">
      <c r="D124" s="80"/>
    </row>
    <row r="125" spans="4:4" ht="15.75" customHeight="1" x14ac:dyDescent="0.25">
      <c r="D125" s="80"/>
    </row>
    <row r="126" spans="4:4" ht="15.75" customHeight="1" x14ac:dyDescent="0.25">
      <c r="D126" s="80"/>
    </row>
    <row r="127" spans="4:4" ht="15.75" customHeight="1" x14ac:dyDescent="0.25">
      <c r="D127" s="80"/>
    </row>
    <row r="128" spans="4:4" ht="15.75" customHeight="1" x14ac:dyDescent="0.25">
      <c r="D128" s="80"/>
    </row>
    <row r="129" spans="4:4" ht="15.75" customHeight="1" x14ac:dyDescent="0.25">
      <c r="D129" s="80"/>
    </row>
    <row r="130" spans="4:4" ht="15.75" customHeight="1" x14ac:dyDescent="0.25">
      <c r="D130" s="80"/>
    </row>
    <row r="131" spans="4:4" ht="15.75" customHeight="1" x14ac:dyDescent="0.25">
      <c r="D131" s="80"/>
    </row>
    <row r="132" spans="4:4" ht="15.75" customHeight="1" x14ac:dyDescent="0.25">
      <c r="D132" s="80"/>
    </row>
    <row r="133" spans="4:4" ht="15.75" customHeight="1" x14ac:dyDescent="0.25">
      <c r="D133" s="80"/>
    </row>
    <row r="134" spans="4:4" ht="15.75" customHeight="1" x14ac:dyDescent="0.25">
      <c r="D134" s="80"/>
    </row>
    <row r="135" spans="4:4" ht="15.75" customHeight="1" x14ac:dyDescent="0.25">
      <c r="D135" s="80"/>
    </row>
    <row r="136" spans="4:4" ht="15.75" customHeight="1" x14ac:dyDescent="0.25">
      <c r="D136" s="80"/>
    </row>
    <row r="137" spans="4:4" ht="15.75" customHeight="1" x14ac:dyDescent="0.25">
      <c r="D137" s="80"/>
    </row>
    <row r="138" spans="4:4" ht="15.75" customHeight="1" x14ac:dyDescent="0.25">
      <c r="D138" s="80"/>
    </row>
    <row r="139" spans="4:4" ht="15.75" customHeight="1" x14ac:dyDescent="0.25">
      <c r="D139" s="80"/>
    </row>
    <row r="140" spans="4:4" ht="15.75" customHeight="1" x14ac:dyDescent="0.25">
      <c r="D140" s="80"/>
    </row>
    <row r="141" spans="4:4" ht="15.75" customHeight="1" x14ac:dyDescent="0.25">
      <c r="D141" s="80"/>
    </row>
    <row r="142" spans="4:4" ht="15.75" customHeight="1" x14ac:dyDescent="0.25">
      <c r="D142" s="80"/>
    </row>
    <row r="143" spans="4:4" ht="15.75" customHeight="1" x14ac:dyDescent="0.25">
      <c r="D143" s="80"/>
    </row>
    <row r="144" spans="4:4" ht="15.75" customHeight="1" x14ac:dyDescent="0.25">
      <c r="D144" s="80"/>
    </row>
    <row r="145" spans="4:4" ht="15.75" customHeight="1" x14ac:dyDescent="0.25">
      <c r="D145" s="80"/>
    </row>
    <row r="146" spans="4:4" ht="15.75" customHeight="1" x14ac:dyDescent="0.25">
      <c r="D146" s="80"/>
    </row>
    <row r="147" spans="4:4" ht="15.75" customHeight="1" x14ac:dyDescent="0.25">
      <c r="D147" s="80"/>
    </row>
    <row r="148" spans="4:4" ht="15.75" customHeight="1" x14ac:dyDescent="0.25">
      <c r="D148" s="80"/>
    </row>
    <row r="149" spans="4:4" ht="15.75" customHeight="1" x14ac:dyDescent="0.25">
      <c r="D149" s="80"/>
    </row>
    <row r="150" spans="4:4" ht="15.75" customHeight="1" x14ac:dyDescent="0.25">
      <c r="D150" s="80"/>
    </row>
    <row r="151" spans="4:4" ht="15.75" customHeight="1" x14ac:dyDescent="0.25">
      <c r="D151" s="80"/>
    </row>
    <row r="152" spans="4:4" ht="15.75" customHeight="1" x14ac:dyDescent="0.25">
      <c r="D152" s="80"/>
    </row>
    <row r="153" spans="4:4" ht="15.75" customHeight="1" x14ac:dyDescent="0.25">
      <c r="D153" s="80"/>
    </row>
    <row r="154" spans="4:4" ht="15.75" customHeight="1" x14ac:dyDescent="0.25">
      <c r="D154" s="80"/>
    </row>
    <row r="155" spans="4:4" ht="15.75" customHeight="1" x14ac:dyDescent="0.25">
      <c r="D155" s="80"/>
    </row>
    <row r="156" spans="4:4" ht="15.75" customHeight="1" x14ac:dyDescent="0.25">
      <c r="D156" s="80"/>
    </row>
    <row r="157" spans="4:4" ht="15.75" customHeight="1" x14ac:dyDescent="0.25">
      <c r="D157" s="80"/>
    </row>
    <row r="158" spans="4:4" ht="15.75" customHeight="1" x14ac:dyDescent="0.25">
      <c r="D158" s="80"/>
    </row>
    <row r="159" spans="4:4" ht="15.75" customHeight="1" x14ac:dyDescent="0.25">
      <c r="D159" s="80"/>
    </row>
    <row r="160" spans="4:4" ht="15.75" customHeight="1" x14ac:dyDescent="0.25">
      <c r="D160" s="80"/>
    </row>
    <row r="161" spans="4:4" ht="15.75" customHeight="1" x14ac:dyDescent="0.25">
      <c r="D161" s="80"/>
    </row>
    <row r="162" spans="4:4" ht="15.75" customHeight="1" x14ac:dyDescent="0.25">
      <c r="D162" s="80"/>
    </row>
    <row r="163" spans="4:4" ht="15.75" customHeight="1" x14ac:dyDescent="0.25">
      <c r="D163" s="80"/>
    </row>
    <row r="164" spans="4:4" ht="15.75" customHeight="1" x14ac:dyDescent="0.25">
      <c r="D164" s="80"/>
    </row>
    <row r="165" spans="4:4" ht="15.75" customHeight="1" x14ac:dyDescent="0.25">
      <c r="D165" s="80"/>
    </row>
    <row r="166" spans="4:4" ht="15.75" customHeight="1" x14ac:dyDescent="0.25">
      <c r="D166" s="80"/>
    </row>
    <row r="167" spans="4:4" ht="15.75" customHeight="1" x14ac:dyDescent="0.25">
      <c r="D167" s="80"/>
    </row>
    <row r="168" spans="4:4" ht="15.75" customHeight="1" x14ac:dyDescent="0.25">
      <c r="D168" s="80"/>
    </row>
    <row r="169" spans="4:4" ht="15.75" customHeight="1" x14ac:dyDescent="0.25">
      <c r="D169" s="80"/>
    </row>
    <row r="170" spans="4:4" ht="15.75" customHeight="1" x14ac:dyDescent="0.25">
      <c r="D170" s="80"/>
    </row>
    <row r="171" spans="4:4" ht="15.75" customHeight="1" x14ac:dyDescent="0.25">
      <c r="D171" s="80"/>
    </row>
    <row r="172" spans="4:4" ht="15.75" customHeight="1" x14ac:dyDescent="0.25">
      <c r="D172" s="80"/>
    </row>
    <row r="173" spans="4:4" ht="15.75" customHeight="1" x14ac:dyDescent="0.25">
      <c r="D173" s="80"/>
    </row>
    <row r="174" spans="4:4" ht="15.75" customHeight="1" x14ac:dyDescent="0.25">
      <c r="D174" s="80"/>
    </row>
    <row r="175" spans="4:4" ht="15.75" customHeight="1" x14ac:dyDescent="0.25">
      <c r="D175" s="80"/>
    </row>
    <row r="176" spans="4:4" ht="15.75" customHeight="1" x14ac:dyDescent="0.25">
      <c r="D176" s="80"/>
    </row>
    <row r="177" spans="4:4" ht="15.75" customHeight="1" x14ac:dyDescent="0.25">
      <c r="D177" s="80"/>
    </row>
    <row r="178" spans="4:4" ht="15.75" customHeight="1" x14ac:dyDescent="0.25">
      <c r="D178" s="80"/>
    </row>
    <row r="179" spans="4:4" ht="15.75" customHeight="1" x14ac:dyDescent="0.25">
      <c r="D179" s="80"/>
    </row>
    <row r="180" spans="4:4" ht="15.75" customHeight="1" x14ac:dyDescent="0.25">
      <c r="D180" s="80"/>
    </row>
    <row r="181" spans="4:4" ht="15.75" customHeight="1" x14ac:dyDescent="0.25">
      <c r="D181" s="80"/>
    </row>
    <row r="182" spans="4:4" ht="15.75" customHeight="1" x14ac:dyDescent="0.25">
      <c r="D182" s="80"/>
    </row>
    <row r="183" spans="4:4" ht="15.75" customHeight="1" x14ac:dyDescent="0.25">
      <c r="D183" s="80"/>
    </row>
    <row r="184" spans="4:4" ht="15.75" customHeight="1" x14ac:dyDescent="0.25">
      <c r="D184" s="80"/>
    </row>
    <row r="185" spans="4:4" ht="15.75" customHeight="1" x14ac:dyDescent="0.25">
      <c r="D185" s="80"/>
    </row>
    <row r="186" spans="4:4" ht="15.75" customHeight="1" x14ac:dyDescent="0.25">
      <c r="D186" s="80"/>
    </row>
    <row r="187" spans="4:4" ht="15.75" customHeight="1" x14ac:dyDescent="0.25">
      <c r="D187" s="80"/>
    </row>
    <row r="188" spans="4:4" ht="15.75" customHeight="1" x14ac:dyDescent="0.25">
      <c r="D188" s="80"/>
    </row>
    <row r="189" spans="4:4" ht="15.75" customHeight="1" x14ac:dyDescent="0.25">
      <c r="D189" s="80"/>
    </row>
    <row r="190" spans="4:4" ht="15.75" customHeight="1" x14ac:dyDescent="0.25">
      <c r="D190" s="80"/>
    </row>
    <row r="191" spans="4:4" ht="15.75" customHeight="1" x14ac:dyDescent="0.25">
      <c r="D191" s="80"/>
    </row>
    <row r="192" spans="4:4" ht="15.75" customHeight="1" x14ac:dyDescent="0.25">
      <c r="D192" s="80"/>
    </row>
    <row r="193" spans="4:4" ht="15.75" customHeight="1" x14ac:dyDescent="0.25">
      <c r="D193" s="80"/>
    </row>
    <row r="194" spans="4:4" ht="15.75" customHeight="1" x14ac:dyDescent="0.25">
      <c r="D194" s="80"/>
    </row>
    <row r="195" spans="4:4" ht="15.75" customHeight="1" x14ac:dyDescent="0.25">
      <c r="D195" s="80"/>
    </row>
    <row r="196" spans="4:4" ht="15.75" customHeight="1" x14ac:dyDescent="0.25">
      <c r="D196" s="80"/>
    </row>
    <row r="197" spans="4:4" ht="15.75" customHeight="1" x14ac:dyDescent="0.25">
      <c r="D197" s="80"/>
    </row>
    <row r="198" spans="4:4" ht="15.75" customHeight="1" x14ac:dyDescent="0.25">
      <c r="D198" s="80"/>
    </row>
    <row r="199" spans="4:4" ht="15.75" customHeight="1" x14ac:dyDescent="0.25">
      <c r="D199" s="80"/>
    </row>
    <row r="200" spans="4:4" ht="15.75" customHeight="1" x14ac:dyDescent="0.25">
      <c r="D200" s="80"/>
    </row>
    <row r="201" spans="4:4" ht="15.75" customHeight="1" x14ac:dyDescent="0.25">
      <c r="D201" s="80"/>
    </row>
    <row r="202" spans="4:4" ht="15.75" customHeight="1" x14ac:dyDescent="0.25">
      <c r="D202" s="80"/>
    </row>
    <row r="203" spans="4:4" ht="15.75" customHeight="1" x14ac:dyDescent="0.25">
      <c r="D203" s="80"/>
    </row>
    <row r="204" spans="4:4" ht="15.75" customHeight="1" x14ac:dyDescent="0.25">
      <c r="D204" s="80"/>
    </row>
    <row r="205" spans="4:4" ht="15.75" customHeight="1" x14ac:dyDescent="0.25">
      <c r="D205" s="80"/>
    </row>
    <row r="206" spans="4:4" ht="15.75" customHeight="1" x14ac:dyDescent="0.25">
      <c r="D206" s="80"/>
    </row>
    <row r="207" spans="4:4" ht="15.75" customHeight="1" x14ac:dyDescent="0.25">
      <c r="D207" s="80"/>
    </row>
    <row r="208" spans="4:4" ht="15.75" customHeight="1" x14ac:dyDescent="0.25">
      <c r="D208" s="80"/>
    </row>
    <row r="209" spans="4:4" ht="15.75" customHeight="1" x14ac:dyDescent="0.25">
      <c r="D209" s="80"/>
    </row>
    <row r="210" spans="4:4" ht="15.75" customHeight="1" x14ac:dyDescent="0.25">
      <c r="D210" s="80"/>
    </row>
    <row r="211" spans="4:4" ht="15.75" customHeight="1" x14ac:dyDescent="0.25">
      <c r="D211" s="80"/>
    </row>
    <row r="212" spans="4:4" ht="15.75" customHeight="1" x14ac:dyDescent="0.25">
      <c r="D212" s="80"/>
    </row>
    <row r="213" spans="4:4" ht="15.75" customHeight="1" x14ac:dyDescent="0.25">
      <c r="D213" s="80"/>
    </row>
    <row r="214" spans="4:4" ht="15.75" customHeight="1" x14ac:dyDescent="0.25">
      <c r="D214" s="80"/>
    </row>
    <row r="215" spans="4:4" ht="15.75" customHeight="1" x14ac:dyDescent="0.25">
      <c r="D215" s="80"/>
    </row>
    <row r="216" spans="4:4" ht="15.75" customHeight="1" x14ac:dyDescent="0.25">
      <c r="D216" s="80"/>
    </row>
    <row r="217" spans="4:4" ht="15.75" customHeight="1" x14ac:dyDescent="0.25">
      <c r="D217" s="80"/>
    </row>
    <row r="218" spans="4:4" ht="15.75" customHeight="1" x14ac:dyDescent="0.25">
      <c r="D218" s="80"/>
    </row>
    <row r="219" spans="4:4" ht="15.75" customHeight="1" x14ac:dyDescent="0.25">
      <c r="D219" s="80"/>
    </row>
    <row r="220" spans="4:4" ht="15.75" customHeight="1" x14ac:dyDescent="0.25">
      <c r="D220" s="80"/>
    </row>
    <row r="221" spans="4:4" ht="15.75" customHeight="1" x14ac:dyDescent="0.25">
      <c r="D221" s="80"/>
    </row>
    <row r="222" spans="4:4" ht="15.75" customHeight="1" x14ac:dyDescent="0.25">
      <c r="D222" s="80"/>
    </row>
    <row r="223" spans="4:4" ht="15.75" customHeight="1" x14ac:dyDescent="0.25">
      <c r="D223" s="80"/>
    </row>
    <row r="224" spans="4:4" ht="15.75" customHeight="1" x14ac:dyDescent="0.25">
      <c r="D224" s="80"/>
    </row>
    <row r="225" spans="4:4" ht="15.75" customHeight="1" x14ac:dyDescent="0.25">
      <c r="D225" s="80"/>
    </row>
    <row r="226" spans="4:4" ht="15.75" customHeight="1" x14ac:dyDescent="0.25">
      <c r="D226" s="80"/>
    </row>
    <row r="227" spans="4:4" ht="15.75" customHeight="1" x14ac:dyDescent="0.25">
      <c r="D227" s="80"/>
    </row>
    <row r="228" spans="4:4" ht="15.75" customHeight="1" x14ac:dyDescent="0.25">
      <c r="D228" s="80"/>
    </row>
    <row r="229" spans="4:4" ht="15.75" customHeight="1" x14ac:dyDescent="0.25">
      <c r="D229" s="80"/>
    </row>
    <row r="230" spans="4:4" ht="15.75" customHeight="1" x14ac:dyDescent="0.25">
      <c r="D230" s="80"/>
    </row>
    <row r="231" spans="4:4" ht="15.75" customHeight="1" x14ac:dyDescent="0.25">
      <c r="D231" s="80"/>
    </row>
    <row r="232" spans="4:4" ht="15.75" customHeight="1" x14ac:dyDescent="0.25">
      <c r="D232" s="80"/>
    </row>
    <row r="233" spans="4:4" ht="15.75" customHeight="1" x14ac:dyDescent="0.25">
      <c r="D233" s="80"/>
    </row>
    <row r="234" spans="4:4" ht="15.75" customHeight="1" x14ac:dyDescent="0.25">
      <c r="D234" s="80"/>
    </row>
    <row r="235" spans="4:4" ht="15.75" customHeight="1" x14ac:dyDescent="0.25">
      <c r="D235" s="80"/>
    </row>
    <row r="236" spans="4:4" ht="15.75" customHeight="1" x14ac:dyDescent="0.25">
      <c r="D236" s="80"/>
    </row>
    <row r="237" spans="4:4" ht="15.75" customHeight="1" x14ac:dyDescent="0.25">
      <c r="D237" s="80"/>
    </row>
    <row r="238" spans="4:4" ht="15.75" customHeight="1" x14ac:dyDescent="0.25">
      <c r="D238" s="80"/>
    </row>
    <row r="239" spans="4:4" ht="15.75" customHeight="1" x14ac:dyDescent="0.25">
      <c r="D239" s="80"/>
    </row>
    <row r="240" spans="4:4" ht="15.75" customHeight="1" x14ac:dyDescent="0.25">
      <c r="D240" s="80"/>
    </row>
    <row r="241" spans="4:4" ht="15.75" customHeight="1" x14ac:dyDescent="0.25">
      <c r="D241" s="80"/>
    </row>
    <row r="242" spans="4:4" ht="15.75" customHeight="1" x14ac:dyDescent="0.25">
      <c r="D242" s="80"/>
    </row>
    <row r="243" spans="4:4" ht="15.75" customHeight="1" x14ac:dyDescent="0.25">
      <c r="D243" s="80"/>
    </row>
    <row r="244" spans="4:4" ht="15.75" customHeight="1" x14ac:dyDescent="0.25">
      <c r="D244" s="80"/>
    </row>
    <row r="245" spans="4:4" ht="15.75" customHeight="1" x14ac:dyDescent="0.25">
      <c r="D245" s="80"/>
    </row>
    <row r="246" spans="4:4" ht="15.75" customHeight="1" x14ac:dyDescent="0.25">
      <c r="D246" s="80"/>
    </row>
    <row r="247" spans="4:4" ht="15.75" customHeight="1" x14ac:dyDescent="0.25">
      <c r="D247" s="80"/>
    </row>
    <row r="248" spans="4:4" ht="15.75" customHeight="1" x14ac:dyDescent="0.25">
      <c r="D248" s="80"/>
    </row>
    <row r="249" spans="4:4" ht="15.75" customHeight="1" x14ac:dyDescent="0.25">
      <c r="D249" s="80"/>
    </row>
    <row r="250" spans="4:4" ht="15.75" customHeight="1" x14ac:dyDescent="0.25">
      <c r="D250" s="80"/>
    </row>
    <row r="251" spans="4:4" ht="15.75" customHeight="1" x14ac:dyDescent="0.25">
      <c r="D251" s="80"/>
    </row>
    <row r="252" spans="4:4" ht="15.75" customHeight="1" x14ac:dyDescent="0.25">
      <c r="D252" s="80"/>
    </row>
    <row r="253" spans="4:4" ht="15.75" customHeight="1" x14ac:dyDescent="0.25">
      <c r="D253" s="80"/>
    </row>
    <row r="254" spans="4:4" ht="15.75" customHeight="1" x14ac:dyDescent="0.25">
      <c r="D254" s="80"/>
    </row>
    <row r="255" spans="4:4" ht="15.75" customHeight="1" x14ac:dyDescent="0.25">
      <c r="D255" s="80"/>
    </row>
    <row r="256" spans="4:4" ht="15.75" customHeight="1" x14ac:dyDescent="0.25">
      <c r="D256" s="80"/>
    </row>
    <row r="257" spans="4:4" ht="15.75" customHeight="1" x14ac:dyDescent="0.25">
      <c r="D257" s="80"/>
    </row>
    <row r="258" spans="4:4" ht="15.75" customHeight="1" x14ac:dyDescent="0.25">
      <c r="D258" s="80"/>
    </row>
    <row r="259" spans="4:4" ht="15.75" customHeight="1" x14ac:dyDescent="0.25">
      <c r="D259" s="80"/>
    </row>
    <row r="260" spans="4:4" ht="15.75" customHeight="1" x14ac:dyDescent="0.25">
      <c r="D260" s="80"/>
    </row>
    <row r="261" spans="4:4" ht="15.75" customHeight="1" x14ac:dyDescent="0.25">
      <c r="D261" s="80"/>
    </row>
    <row r="262" spans="4:4" ht="15.75" customHeight="1" x14ac:dyDescent="0.25">
      <c r="D262" s="80"/>
    </row>
    <row r="263" spans="4:4" ht="15.75" customHeight="1" x14ac:dyDescent="0.25">
      <c r="D263" s="80"/>
    </row>
    <row r="264" spans="4:4" ht="15.75" customHeight="1" x14ac:dyDescent="0.25">
      <c r="D264" s="80"/>
    </row>
    <row r="265" spans="4:4" ht="15.75" customHeight="1" x14ac:dyDescent="0.25">
      <c r="D265" s="80"/>
    </row>
    <row r="266" spans="4:4" ht="15.75" customHeight="1" x14ac:dyDescent="0.25">
      <c r="D266" s="80"/>
    </row>
    <row r="267" spans="4:4" ht="15.75" customHeight="1" x14ac:dyDescent="0.25">
      <c r="D267" s="80"/>
    </row>
    <row r="268" spans="4:4" ht="15.75" customHeight="1" x14ac:dyDescent="0.25">
      <c r="D268" s="80"/>
    </row>
    <row r="269" spans="4:4" ht="15.75" customHeight="1" x14ac:dyDescent="0.25">
      <c r="D269" s="80"/>
    </row>
    <row r="270" spans="4:4" ht="15.75" customHeight="1" x14ac:dyDescent="0.25">
      <c r="D270" s="80"/>
    </row>
    <row r="271" spans="4:4" ht="15.75" customHeight="1" x14ac:dyDescent="0.25">
      <c r="D271" s="80"/>
    </row>
    <row r="272" spans="4:4" ht="15.75" customHeight="1" x14ac:dyDescent="0.25">
      <c r="D272" s="80"/>
    </row>
    <row r="273" spans="4:4" ht="15.75" customHeight="1" x14ac:dyDescent="0.25">
      <c r="D273" s="80"/>
    </row>
    <row r="274" spans="4:4" ht="15.75" customHeight="1" x14ac:dyDescent="0.25">
      <c r="D274" s="80"/>
    </row>
    <row r="275" spans="4:4" ht="15.75" customHeight="1" x14ac:dyDescent="0.25">
      <c r="D275" s="80"/>
    </row>
    <row r="276" spans="4:4" ht="15.75" customHeight="1" x14ac:dyDescent="0.25">
      <c r="D276" s="80"/>
    </row>
    <row r="277" spans="4:4" ht="15.75" customHeight="1" x14ac:dyDescent="0.25">
      <c r="D277" s="80"/>
    </row>
    <row r="278" spans="4:4" ht="15.75" customHeight="1" x14ac:dyDescent="0.25">
      <c r="D278" s="80"/>
    </row>
    <row r="279" spans="4:4" ht="15.75" customHeight="1" x14ac:dyDescent="0.25">
      <c r="D279" s="80"/>
    </row>
    <row r="280" spans="4:4" ht="15.75" customHeight="1" x14ac:dyDescent="0.25">
      <c r="D280" s="80"/>
    </row>
    <row r="281" spans="4:4" ht="15.75" customHeight="1" x14ac:dyDescent="0.25">
      <c r="D281" s="80"/>
    </row>
    <row r="282" spans="4:4" ht="15.75" customHeight="1" x14ac:dyDescent="0.25">
      <c r="D282" s="80"/>
    </row>
    <row r="283" spans="4:4" ht="15.75" customHeight="1" x14ac:dyDescent="0.25">
      <c r="D283" s="80"/>
    </row>
    <row r="284" spans="4:4" ht="15.75" customHeight="1" x14ac:dyDescent="0.25">
      <c r="D284" s="80"/>
    </row>
    <row r="285" spans="4:4" ht="15.75" customHeight="1" x14ac:dyDescent="0.25">
      <c r="D285" s="80"/>
    </row>
    <row r="286" spans="4:4" ht="15.75" customHeight="1" x14ac:dyDescent="0.25">
      <c r="D286" s="80"/>
    </row>
    <row r="287" spans="4:4" ht="15.75" customHeight="1" x14ac:dyDescent="0.25">
      <c r="D287" s="80"/>
    </row>
    <row r="288" spans="4:4" ht="15.75" customHeight="1" x14ac:dyDescent="0.25">
      <c r="D288" s="80"/>
    </row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</sheetData>
  <mergeCells count="35">
    <mergeCell ref="A1:V1"/>
    <mergeCell ref="A2:V2"/>
    <mergeCell ref="A3:V3"/>
    <mergeCell ref="A8:A9"/>
    <mergeCell ref="B8:B9"/>
    <mergeCell ref="D8:D9"/>
    <mergeCell ref="E8:E9"/>
    <mergeCell ref="H8:V8"/>
    <mergeCell ref="A86:B86"/>
    <mergeCell ref="C86:F86"/>
    <mergeCell ref="F8:F9"/>
    <mergeCell ref="G8:G9"/>
    <mergeCell ref="B73:I73"/>
    <mergeCell ref="C76:E76"/>
    <mergeCell ref="H76:I76"/>
    <mergeCell ref="C77:E77"/>
    <mergeCell ref="C78:E78"/>
    <mergeCell ref="C82:E82"/>
    <mergeCell ref="A85:B85"/>
    <mergeCell ref="C85:F85"/>
    <mergeCell ref="J76:T76"/>
    <mergeCell ref="J77:T77"/>
    <mergeCell ref="I85:N85"/>
    <mergeCell ref="I86:N86"/>
    <mergeCell ref="Q86:T86"/>
    <mergeCell ref="H93:T93"/>
    <mergeCell ref="J78:T78"/>
    <mergeCell ref="J79:T79"/>
    <mergeCell ref="I82:N82"/>
    <mergeCell ref="Q82:T82"/>
    <mergeCell ref="V82:W82"/>
    <mergeCell ref="Q85:T85"/>
    <mergeCell ref="V85:X85"/>
    <mergeCell ref="H89:T89"/>
    <mergeCell ref="H92:T92"/>
  </mergeCells>
  <pageMargins left="1.064638783269962" right="0.7" top="0.75" bottom="0.76299112801013946" header="0" footer="0"/>
  <pageSetup paperSize="5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PPMP Sample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dcterms:created xsi:type="dcterms:W3CDTF">2024-01-03T07:55:13Z</dcterms:created>
  <dcterms:modified xsi:type="dcterms:W3CDTF">2024-04-19T10:42:03Z</dcterms:modified>
</cp:coreProperties>
</file>